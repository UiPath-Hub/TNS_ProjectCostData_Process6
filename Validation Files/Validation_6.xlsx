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DB47527F-EE4F-46C1-BE5B-DD4BCB29BF1D}" xr6:coauthVersionLast="47" xr6:coauthVersionMax="47" xr10:uidLastSave="{00000000-0000-0000-0000-000000000000}"/>
  <bookViews>
    <workbookView xWindow="-120" yWindow="-120" windowWidth="29040" windowHeight="15720" tabRatio="682" activeTab="4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" sheetId="11" r:id="rId5"/>
    <sheet name="Configuration" sheetId="9" r:id="rId6"/>
    <sheet name="Validate_Type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8" l="1" a="1"/>
  <c r="E10" i="8" s="1"/>
  <c r="B11" i="8" a="1"/>
  <c r="B11" i="8" s="1"/>
  <c r="C11" i="8" a="1"/>
  <c r="C11" i="8" s="1"/>
  <c r="B12" i="8" a="1"/>
  <c r="B12" i="8" s="1"/>
  <c r="C12" i="8" a="1"/>
  <c r="C12" i="8" s="1"/>
  <c r="B13" i="8" a="1"/>
  <c r="B13" i="8" s="1"/>
  <c r="C13" i="8" a="1"/>
  <c r="C13" i="8" s="1"/>
  <c r="B14" i="8" a="1"/>
  <c r="B14" i="8" s="1"/>
  <c r="C14" i="8" a="1"/>
  <c r="C14" i="8" s="1"/>
  <c r="B15" i="8" a="1"/>
  <c r="B15" i="8" s="1"/>
  <c r="C15" i="8" a="1"/>
  <c r="C15" i="8" s="1"/>
  <c r="B16" i="8" a="1"/>
  <c r="B16" i="8" s="1"/>
  <c r="C16" i="8" a="1"/>
  <c r="C16" i="8" s="1"/>
  <c r="B17" i="8" a="1"/>
  <c r="B17" i="8" s="1"/>
  <c r="C17" i="8" a="1"/>
  <c r="C17" i="8" s="1"/>
  <c r="B18" i="8" a="1"/>
  <c r="B18" i="8" s="1"/>
  <c r="C18" i="8" a="1"/>
  <c r="C18" i="8" s="1"/>
  <c r="B19" i="8" a="1"/>
  <c r="B19" i="8" s="1"/>
  <c r="C19" i="8" a="1"/>
  <c r="C19" i="8" s="1"/>
  <c r="B20" i="8" a="1"/>
  <c r="B20" i="8" s="1"/>
  <c r="C20" i="8" a="1"/>
  <c r="C20" i="8" s="1"/>
  <c r="B21" i="8" a="1"/>
  <c r="B21" i="8" s="1"/>
  <c r="C21" i="8" a="1"/>
  <c r="C21" i="8" s="1"/>
  <c r="B22" i="8" a="1"/>
  <c r="B22" i="8" s="1"/>
  <c r="C22" i="8" a="1"/>
  <c r="C22" i="8" s="1"/>
  <c r="B23" i="8" a="1"/>
  <c r="B23" i="8" s="1"/>
  <c r="C23" i="8" a="1"/>
  <c r="C23" i="8" s="1"/>
  <c r="B24" i="8" a="1"/>
  <c r="B24" i="8" s="1"/>
  <c r="C24" i="8" a="1"/>
  <c r="C24" i="8" s="1"/>
  <c r="B25" i="8" a="1"/>
  <c r="B25" i="8" s="1"/>
  <c r="C25" i="8" a="1"/>
  <c r="C25" i="8" s="1"/>
  <c r="B26" i="8" a="1"/>
  <c r="B26" i="8" s="1"/>
  <c r="C26" i="8" a="1"/>
  <c r="C26" i="8" s="1"/>
  <c r="B27" i="8" a="1"/>
  <c r="B27" i="8" s="1"/>
  <c r="C27" i="8" a="1"/>
  <c r="C27" i="8" s="1"/>
  <c r="B28" i="8" a="1"/>
  <c r="B28" i="8" s="1"/>
  <c r="C28" i="8" a="1"/>
  <c r="C28" i="8" s="1"/>
  <c r="B29" i="8" a="1"/>
  <c r="B29" i="8" s="1"/>
  <c r="C29" i="8" a="1"/>
  <c r="C29" i="8" s="1"/>
  <c r="B30" i="8" a="1"/>
  <c r="B30" i="8" s="1"/>
  <c r="C30" i="8" a="1"/>
  <c r="C30" i="8" s="1"/>
  <c r="B31" i="8" a="1"/>
  <c r="B31" i="8" s="1"/>
  <c r="C31" i="8" a="1"/>
  <c r="C31" i="8" s="1"/>
  <c r="B32" i="8" a="1"/>
  <c r="B32" i="8" s="1"/>
  <c r="C32" i="8" a="1"/>
  <c r="C32" i="8" s="1"/>
  <c r="B33" i="8" a="1"/>
  <c r="B33" i="8" s="1"/>
  <c r="C33" i="8" a="1"/>
  <c r="C33" i="8" s="1"/>
  <c r="B34" i="8" a="1"/>
  <c r="B34" i="8" s="1"/>
  <c r="C34" i="8" a="1"/>
  <c r="C34" i="8" s="1"/>
  <c r="B35" i="8" a="1"/>
  <c r="B35" i="8" s="1"/>
  <c r="C35" i="8" a="1"/>
  <c r="C35" i="8" s="1"/>
  <c r="B36" i="8" a="1"/>
  <c r="B36" i="8" s="1"/>
  <c r="C36" i="8" a="1"/>
  <c r="C36" i="8" s="1"/>
  <c r="B37" i="8" a="1"/>
  <c r="B37" i="8" s="1"/>
  <c r="C37" i="8" a="1"/>
  <c r="C37" i="8" s="1"/>
  <c r="B38" i="8" a="1"/>
  <c r="B38" i="8" s="1"/>
  <c r="C38" i="8" a="1"/>
  <c r="C38" i="8" s="1"/>
  <c r="B39" i="8" a="1"/>
  <c r="B39" i="8" s="1"/>
  <c r="C39" i="8" a="1"/>
  <c r="C39" i="8" s="1"/>
  <c r="B40" i="8" a="1"/>
  <c r="B40" i="8" s="1"/>
  <c r="C40" i="8" a="1"/>
  <c r="C40" i="8" s="1"/>
  <c r="B41" i="8" a="1"/>
  <c r="B41" i="8" s="1"/>
  <c r="C41" i="8" a="1"/>
  <c r="C41" i="8" s="1"/>
  <c r="B42" i="8" a="1"/>
  <c r="B42" i="8" s="1"/>
  <c r="C42" i="8" a="1"/>
  <c r="C42" i="8" s="1"/>
  <c r="B43" i="8" a="1"/>
  <c r="B43" i="8" s="1"/>
  <c r="C43" i="8" a="1"/>
  <c r="C43" i="8" s="1"/>
  <c r="B44" i="8" a="1"/>
  <c r="B44" i="8" s="1"/>
  <c r="C44" i="8" a="1"/>
  <c r="C44" i="8" s="1"/>
  <c r="B45" i="8" a="1"/>
  <c r="B45" i="8" s="1"/>
  <c r="C45" i="8" a="1"/>
  <c r="C45" i="8" s="1"/>
  <c r="B46" i="8" a="1"/>
  <c r="B46" i="8" s="1"/>
  <c r="C46" i="8" a="1"/>
  <c r="C46" i="8" s="1"/>
  <c r="B47" i="8" a="1"/>
  <c r="B47" i="8" s="1"/>
  <c r="C47" i="8" a="1"/>
  <c r="C47" i="8" s="1"/>
  <c r="B48" i="8" a="1"/>
  <c r="B48" i="8" s="1"/>
  <c r="C48" i="8" a="1"/>
  <c r="C48" i="8" s="1"/>
  <c r="B49" i="8" a="1"/>
  <c r="B49" i="8" s="1"/>
  <c r="C49" i="8" a="1"/>
  <c r="C49" i="8" s="1"/>
  <c r="B50" i="8" a="1"/>
  <c r="B50" i="8" s="1"/>
  <c r="C50" i="8" a="1"/>
  <c r="C50" i="8" s="1"/>
  <c r="B51" i="8" a="1"/>
  <c r="B51" i="8" s="1"/>
  <c r="C51" i="8" a="1"/>
  <c r="C51" i="8" s="1"/>
  <c r="B52" i="8" a="1"/>
  <c r="B52" i="8" s="1"/>
  <c r="C52" i="8" a="1"/>
  <c r="C52" i="8" s="1"/>
  <c r="B53" i="8" a="1"/>
  <c r="B53" i="8" s="1"/>
  <c r="C53" i="8" a="1"/>
  <c r="C53" i="8" s="1"/>
  <c r="B54" i="8" a="1"/>
  <c r="B54" i="8" s="1"/>
  <c r="C54" i="8" a="1"/>
  <c r="C54" i="8" s="1"/>
  <c r="B55" i="8" a="1"/>
  <c r="B55" i="8" s="1"/>
  <c r="C55" i="8" a="1"/>
  <c r="C55" i="8" s="1"/>
  <c r="B56" i="8" a="1"/>
  <c r="B56" i="8" s="1"/>
  <c r="C56" i="8" a="1"/>
  <c r="C56" i="8" s="1"/>
  <c r="B57" i="8" a="1"/>
  <c r="B57" i="8" s="1"/>
  <c r="C57" i="8" a="1"/>
  <c r="C57" i="8" s="1"/>
  <c r="B58" i="8" a="1"/>
  <c r="B58" i="8" s="1"/>
  <c r="C58" i="8" a="1"/>
  <c r="C58" i="8" s="1"/>
  <c r="B59" i="8" a="1"/>
  <c r="B59" i="8" s="1"/>
  <c r="C59" i="8" a="1"/>
  <c r="C59" i="8" s="1"/>
  <c r="B60" i="8" a="1"/>
  <c r="B60" i="8" s="1"/>
  <c r="C60" i="8" a="1"/>
  <c r="C60" i="8" s="1"/>
  <c r="B61" i="8" a="1"/>
  <c r="B61" i="8" s="1"/>
  <c r="C61" i="8" a="1"/>
  <c r="C61" i="8" s="1"/>
  <c r="B62" i="8" a="1"/>
  <c r="B62" i="8" s="1"/>
  <c r="C62" i="8" a="1"/>
  <c r="C62" i="8" s="1"/>
  <c r="B63" i="8" a="1"/>
  <c r="B63" i="8" s="1"/>
  <c r="C63" i="8" a="1"/>
  <c r="C63" i="8" s="1"/>
  <c r="B64" i="8" a="1"/>
  <c r="B64" i="8" s="1"/>
  <c r="C64" i="8" a="1"/>
  <c r="C64" i="8" s="1"/>
  <c r="B65" i="8" a="1"/>
  <c r="B65" i="8" s="1"/>
  <c r="C65" i="8" a="1"/>
  <c r="C65" i="8" s="1"/>
  <c r="B66" i="8" a="1"/>
  <c r="B66" i="8" s="1"/>
  <c r="C66" i="8" a="1"/>
  <c r="C66" i="8" s="1"/>
  <c r="B67" i="8" a="1"/>
  <c r="B67" i="8" s="1"/>
  <c r="C67" i="8" a="1"/>
  <c r="C67" i="8" s="1"/>
  <c r="B68" i="8" a="1"/>
  <c r="B68" i="8" s="1"/>
  <c r="C68" i="8" a="1"/>
  <c r="C68" i="8" s="1"/>
  <c r="B69" i="8" a="1"/>
  <c r="B69" i="8" s="1"/>
  <c r="C69" i="8" a="1"/>
  <c r="C69" i="8" s="1"/>
  <c r="B70" i="8" a="1"/>
  <c r="B70" i="8" s="1"/>
  <c r="C70" i="8" a="1"/>
  <c r="C70" i="8" s="1"/>
  <c r="B71" i="8" a="1"/>
  <c r="B71" i="8" s="1"/>
  <c r="C71" i="8" a="1"/>
  <c r="C71" i="8" s="1"/>
  <c r="B72" i="8" a="1"/>
  <c r="B72" i="8" s="1"/>
  <c r="C72" i="8" a="1"/>
  <c r="C72" i="8" s="1"/>
  <c r="B73" i="8" a="1"/>
  <c r="B73" i="8" s="1"/>
  <c r="C73" i="8" a="1"/>
  <c r="C73" i="8" s="1"/>
  <c r="B74" i="8" a="1"/>
  <c r="B74" i="8" s="1"/>
  <c r="C74" i="8" a="1"/>
  <c r="C74" i="8" s="1"/>
  <c r="B75" i="8" a="1"/>
  <c r="B75" i="8" s="1"/>
  <c r="C75" i="8" a="1"/>
  <c r="C75" i="8" s="1"/>
  <c r="B76" i="8" a="1"/>
  <c r="B76" i="8" s="1"/>
  <c r="C76" i="8" a="1"/>
  <c r="C76" i="8" s="1"/>
  <c r="B77" i="8" a="1"/>
  <c r="B77" i="8" s="1"/>
  <c r="C77" i="8" a="1"/>
  <c r="C77" i="8" s="1"/>
  <c r="B78" i="8" a="1"/>
  <c r="B78" i="8" s="1"/>
  <c r="C78" i="8" a="1"/>
  <c r="C78" i="8" s="1"/>
  <c r="B79" i="8" a="1"/>
  <c r="B79" i="8" s="1"/>
  <c r="C79" i="8" a="1"/>
  <c r="C79" i="8" s="1"/>
  <c r="B80" i="8" a="1"/>
  <c r="B80" i="8" s="1"/>
  <c r="C80" i="8" a="1"/>
  <c r="C80" i="8" s="1"/>
  <c r="B81" i="8" a="1"/>
  <c r="B81" i="8" s="1"/>
  <c r="C81" i="8" a="1"/>
  <c r="C81" i="8" s="1"/>
  <c r="B82" i="8" a="1"/>
  <c r="B82" i="8" s="1"/>
  <c r="C82" i="8" a="1"/>
  <c r="C82" i="8" s="1"/>
  <c r="B83" i="8" a="1"/>
  <c r="B83" i="8" s="1"/>
  <c r="C83" i="8" a="1"/>
  <c r="C83" i="8" s="1"/>
  <c r="B84" i="8" a="1"/>
  <c r="B84" i="8" s="1"/>
  <c r="C84" i="8" a="1"/>
  <c r="C84" i="8" s="1"/>
  <c r="B85" i="8" a="1"/>
  <c r="B85" i="8" s="1"/>
  <c r="C85" i="8" a="1"/>
  <c r="C85" i="8" s="1"/>
  <c r="B86" i="8" a="1"/>
  <c r="B86" i="8" s="1"/>
  <c r="C86" i="8" a="1"/>
  <c r="C86" i="8" s="1"/>
  <c r="B87" i="8" a="1"/>
  <c r="B87" i="8" s="1"/>
  <c r="C87" i="8" a="1"/>
  <c r="C87" i="8" s="1"/>
  <c r="B88" i="8" a="1"/>
  <c r="B88" i="8" s="1"/>
  <c r="C88" i="8" a="1"/>
  <c r="C88" i="8" s="1"/>
  <c r="B89" i="8" a="1"/>
  <c r="B89" i="8" s="1"/>
  <c r="C89" i="8" a="1"/>
  <c r="C89" i="8" s="1"/>
  <c r="B90" i="8" a="1"/>
  <c r="B90" i="8" s="1"/>
  <c r="C90" i="8" a="1"/>
  <c r="C90" i="8" s="1"/>
  <c r="B91" i="8" a="1"/>
  <c r="B91" i="8" s="1"/>
  <c r="C91" i="8" a="1"/>
  <c r="C91" i="8" s="1"/>
  <c r="B92" i="8" a="1"/>
  <c r="B92" i="8" s="1"/>
  <c r="C92" i="8" a="1"/>
  <c r="C92" i="8" s="1"/>
  <c r="B93" i="8" a="1"/>
  <c r="B93" i="8" s="1"/>
  <c r="C93" i="8" a="1"/>
  <c r="C93" i="8" s="1"/>
  <c r="B94" i="8" a="1"/>
  <c r="B94" i="8" s="1"/>
  <c r="C94" i="8" a="1"/>
  <c r="C94" i="8" s="1"/>
  <c r="B95" i="8" a="1"/>
  <c r="B95" i="8" s="1"/>
  <c r="C95" i="8" a="1"/>
  <c r="C95" i="8" s="1"/>
  <c r="B96" i="8" a="1"/>
  <c r="B96" i="8" s="1"/>
  <c r="C96" i="8" a="1"/>
  <c r="C96" i="8" s="1"/>
  <c r="B97" i="8" a="1"/>
  <c r="B97" i="8" s="1"/>
  <c r="C97" i="8" a="1"/>
  <c r="C97" i="8" s="1"/>
  <c r="B98" i="8" a="1"/>
  <c r="B98" i="8" s="1"/>
  <c r="C98" i="8" a="1"/>
  <c r="C98" i="8" s="1"/>
  <c r="B99" i="8" a="1"/>
  <c r="B99" i="8" s="1"/>
  <c r="C99" i="8" a="1"/>
  <c r="C99" i="8" s="1"/>
  <c r="B100" i="8" a="1"/>
  <c r="B100" i="8" s="1"/>
  <c r="C100" i="8" a="1"/>
  <c r="C100" i="8" s="1"/>
  <c r="B101" i="8" a="1"/>
  <c r="B101" i="8" s="1"/>
  <c r="C101" i="8" a="1"/>
  <c r="C101" i="8" s="1"/>
  <c r="B102" i="8" a="1"/>
  <c r="B102" i="8" s="1"/>
  <c r="C102" i="8" a="1"/>
  <c r="C102" i="8" s="1"/>
  <c r="B103" i="8" a="1"/>
  <c r="B103" i="8" s="1"/>
  <c r="C103" i="8" a="1"/>
  <c r="C103" i="8" s="1"/>
  <c r="B104" i="8" a="1"/>
  <c r="B104" i="8" s="1"/>
  <c r="C104" i="8" a="1"/>
  <c r="C104" i="8" s="1"/>
  <c r="B105" i="8" a="1"/>
  <c r="B105" i="8" s="1"/>
  <c r="C105" i="8" a="1"/>
  <c r="C105" i="8" s="1"/>
  <c r="B106" i="8" a="1"/>
  <c r="B106" i="8" s="1"/>
  <c r="C106" i="8" a="1"/>
  <c r="C106" i="8" s="1"/>
  <c r="B107" i="8" a="1"/>
  <c r="B107" i="8" s="1"/>
  <c r="C107" i="8" a="1"/>
  <c r="C107" i="8" s="1"/>
  <c r="B108" i="8" a="1"/>
  <c r="B108" i="8" s="1"/>
  <c r="C108" i="8" a="1"/>
  <c r="C108" i="8" s="1"/>
  <c r="B109" i="8" a="1"/>
  <c r="B109" i="8" s="1"/>
  <c r="C109" i="8" a="1"/>
  <c r="C109" i="8" s="1"/>
  <c r="B110" i="8" a="1"/>
  <c r="B110" i="8" s="1"/>
  <c r="C110" i="8" a="1"/>
  <c r="C110" i="8" s="1"/>
  <c r="B111" i="8" a="1"/>
  <c r="B111" i="8" s="1"/>
  <c r="C111" i="8" a="1"/>
  <c r="C111" i="8" s="1"/>
  <c r="B112" i="8" a="1"/>
  <c r="B112" i="8" s="1"/>
  <c r="C112" i="8" a="1"/>
  <c r="C112" i="8" s="1"/>
  <c r="B113" i="8" a="1"/>
  <c r="B113" i="8" s="1"/>
  <c r="C113" i="8" a="1"/>
  <c r="C113" i="8" s="1"/>
  <c r="B114" i="8" a="1"/>
  <c r="B114" i="8" s="1"/>
  <c r="C114" i="8" a="1"/>
  <c r="C114" i="8" s="1"/>
  <c r="B115" i="8" a="1"/>
  <c r="B115" i="8" s="1"/>
  <c r="C115" i="8" a="1"/>
  <c r="C115" i="8" s="1"/>
  <c r="B116" i="8" a="1"/>
  <c r="B116" i="8" s="1"/>
  <c r="C116" i="8" a="1"/>
  <c r="C116" i="8" s="1"/>
  <c r="B117" i="8" a="1"/>
  <c r="B117" i="8" s="1"/>
  <c r="C117" i="8" a="1"/>
  <c r="C117" i="8" s="1"/>
  <c r="B118" i="8" a="1"/>
  <c r="B118" i="8" s="1"/>
  <c r="C118" i="8" a="1"/>
  <c r="C118" i="8" s="1"/>
  <c r="B119" i="8" a="1"/>
  <c r="B119" i="8" s="1"/>
  <c r="C119" i="8" a="1"/>
  <c r="C119" i="8" s="1"/>
  <c r="B120" i="8" a="1"/>
  <c r="B120" i="8" s="1"/>
  <c r="C120" i="8" a="1"/>
  <c r="C120" i="8" s="1"/>
  <c r="B121" i="8" a="1"/>
  <c r="B121" i="8" s="1"/>
  <c r="C121" i="8" a="1"/>
  <c r="C121" i="8" s="1"/>
  <c r="B122" i="8" a="1"/>
  <c r="B122" i="8" s="1"/>
  <c r="C122" i="8" a="1"/>
  <c r="C122" i="8" s="1"/>
  <c r="B123" i="8" a="1"/>
  <c r="B123" i="8" s="1"/>
  <c r="C123" i="8" a="1"/>
  <c r="C123" i="8" s="1"/>
  <c r="B124" i="8" a="1"/>
  <c r="B124" i="8" s="1"/>
  <c r="C124" i="8" a="1"/>
  <c r="C124" i="8" s="1"/>
  <c r="B125" i="8" a="1"/>
  <c r="B125" i="8" s="1"/>
  <c r="C125" i="8" a="1"/>
  <c r="C125" i="8" s="1"/>
  <c r="B126" i="8" a="1"/>
  <c r="B126" i="8" s="1"/>
  <c r="C126" i="8" a="1"/>
  <c r="C126" i="8" s="1"/>
  <c r="B127" i="8" a="1"/>
  <c r="B127" i="8" s="1"/>
  <c r="C127" i="8" a="1"/>
  <c r="C127" i="8" s="1"/>
  <c r="B128" i="8" a="1"/>
  <c r="B128" i="8" s="1"/>
  <c r="C128" i="8" a="1"/>
  <c r="C128" i="8" s="1"/>
  <c r="B129" i="8" a="1"/>
  <c r="B129" i="8" s="1"/>
  <c r="C129" i="8" a="1"/>
  <c r="C129" i="8" s="1"/>
  <c r="B130" i="8" a="1"/>
  <c r="B130" i="8" s="1"/>
  <c r="C130" i="8" a="1"/>
  <c r="C130" i="8" s="1"/>
  <c r="B131" i="8" a="1"/>
  <c r="B131" i="8" s="1"/>
  <c r="C131" i="8" a="1"/>
  <c r="C131" i="8" s="1"/>
  <c r="B132" i="8" a="1"/>
  <c r="B132" i="8" s="1"/>
  <c r="C132" i="8" a="1"/>
  <c r="C132" i="8" s="1"/>
  <c r="B133" i="8" a="1"/>
  <c r="B133" i="8" s="1"/>
  <c r="C133" i="8" a="1"/>
  <c r="C133" i="8" s="1"/>
  <c r="B134" i="8" a="1"/>
  <c r="B134" i="8" s="1"/>
  <c r="C134" i="8" a="1"/>
  <c r="C134" i="8" s="1"/>
  <c r="B135" i="8" a="1"/>
  <c r="B135" i="8" s="1"/>
  <c r="C135" i="8" a="1"/>
  <c r="C135" i="8" s="1"/>
  <c r="B136" i="8" a="1"/>
  <c r="B136" i="8" s="1"/>
  <c r="C136" i="8" a="1"/>
  <c r="C136" i="8" s="1"/>
  <c r="B137" i="8" a="1"/>
  <c r="B137" i="8" s="1"/>
  <c r="C137" i="8" a="1"/>
  <c r="C137" i="8" s="1"/>
  <c r="B138" i="8" a="1"/>
  <c r="B138" i="8" s="1"/>
  <c r="C138" i="8" a="1"/>
  <c r="C138" i="8" s="1"/>
  <c r="B139" i="8" a="1"/>
  <c r="B139" i="8" s="1"/>
  <c r="C139" i="8" a="1"/>
  <c r="C139" i="8" s="1"/>
  <c r="B140" i="8" a="1"/>
  <c r="B140" i="8" s="1"/>
  <c r="C140" i="8" a="1"/>
  <c r="C140" i="8" s="1"/>
  <c r="B141" i="8" a="1"/>
  <c r="B141" i="8" s="1"/>
  <c r="C141" i="8" a="1"/>
  <c r="C141" i="8" s="1"/>
  <c r="B142" i="8" a="1"/>
  <c r="B142" i="8" s="1"/>
  <c r="C142" i="8" a="1"/>
  <c r="C142" i="8" s="1"/>
  <c r="B143" i="8" a="1"/>
  <c r="B143" i="8" s="1"/>
  <c r="C143" i="8" a="1"/>
  <c r="C143" i="8" s="1"/>
  <c r="B144" i="8" a="1"/>
  <c r="B144" i="8" s="1"/>
  <c r="C144" i="8" a="1"/>
  <c r="C144" i="8" s="1"/>
  <c r="B145" i="8" a="1"/>
  <c r="B145" i="8" s="1"/>
  <c r="C145" i="8" a="1"/>
  <c r="C145" i="8" s="1"/>
  <c r="B146" i="8" a="1"/>
  <c r="B146" i="8" s="1"/>
  <c r="C146" i="8" a="1"/>
  <c r="C146" i="8" s="1"/>
  <c r="B147" i="8" a="1"/>
  <c r="B147" i="8" s="1"/>
  <c r="C147" i="8" a="1"/>
  <c r="C147" i="8" s="1"/>
  <c r="B148" i="8" a="1"/>
  <c r="B148" i="8" s="1"/>
  <c r="C148" i="8" a="1"/>
  <c r="C148" i="8" s="1"/>
  <c r="B149" i="8" a="1"/>
  <c r="B149" i="8" s="1"/>
  <c r="C149" i="8" a="1"/>
  <c r="C149" i="8" s="1"/>
  <c r="B150" i="8" a="1"/>
  <c r="B150" i="8" s="1"/>
  <c r="C150" i="8" a="1"/>
  <c r="C150" i="8" s="1"/>
  <c r="B151" i="8" a="1"/>
  <c r="B151" i="8" s="1"/>
  <c r="C151" i="8" a="1"/>
  <c r="C151" i="8" s="1"/>
  <c r="B152" i="8" a="1"/>
  <c r="B152" i="8" s="1"/>
  <c r="C152" i="8" a="1"/>
  <c r="C152" i="8" s="1"/>
  <c r="B153" i="8" a="1"/>
  <c r="B153" i="8" s="1"/>
  <c r="C153" i="8" a="1"/>
  <c r="C153" i="8" s="1"/>
  <c r="B154" i="8" a="1"/>
  <c r="B154" i="8" s="1"/>
  <c r="C154" i="8" a="1"/>
  <c r="C154" i="8" s="1"/>
  <c r="B155" i="8" a="1"/>
  <c r="B155" i="8" s="1"/>
  <c r="C155" i="8" a="1"/>
  <c r="C155" i="8" s="1"/>
  <c r="B156" i="8" a="1"/>
  <c r="B156" i="8" s="1"/>
  <c r="C156" i="8" a="1"/>
  <c r="C156" i="8" s="1"/>
  <c r="B157" i="8" a="1"/>
  <c r="B157" i="8" s="1"/>
  <c r="C157" i="8" a="1"/>
  <c r="C157" i="8" s="1"/>
  <c r="B158" i="8" a="1"/>
  <c r="B158" i="8" s="1"/>
  <c r="C158" i="8" a="1"/>
  <c r="C158" i="8" s="1"/>
  <c r="B159" i="8" a="1"/>
  <c r="B159" i="8" s="1"/>
  <c r="C159" i="8" a="1"/>
  <c r="C159" i="8" s="1"/>
  <c r="B160" i="8" a="1"/>
  <c r="B160" i="8" s="1"/>
  <c r="C160" i="8" a="1"/>
  <c r="C160" i="8" s="1"/>
  <c r="B161" i="8" a="1"/>
  <c r="B161" i="8" s="1"/>
  <c r="C161" i="8" a="1"/>
  <c r="C161" i="8" s="1"/>
  <c r="B162" i="8" a="1"/>
  <c r="B162" i="8" s="1"/>
  <c r="C162" i="8" a="1"/>
  <c r="C162" i="8" s="1"/>
  <c r="B163" i="8" a="1"/>
  <c r="B163" i="8" s="1"/>
  <c r="C163" i="8" a="1"/>
  <c r="C163" i="8" s="1"/>
  <c r="B164" i="8" a="1"/>
  <c r="B164" i="8" s="1"/>
  <c r="C164" i="8" a="1"/>
  <c r="C164" i="8" s="1"/>
  <c r="B165" i="8" a="1"/>
  <c r="B165" i="8" s="1"/>
  <c r="C165" i="8" a="1"/>
  <c r="C165" i="8" s="1"/>
  <c r="B166" i="8" a="1"/>
  <c r="B166" i="8" s="1"/>
  <c r="C166" i="8" a="1"/>
  <c r="C166" i="8" s="1"/>
  <c r="B167" i="8" a="1"/>
  <c r="B167" i="8" s="1"/>
  <c r="C167" i="8" a="1"/>
  <c r="C167" i="8" s="1"/>
  <c r="B168" i="8" a="1"/>
  <c r="B168" i="8" s="1"/>
  <c r="C168" i="8" a="1"/>
  <c r="C168" i="8" s="1"/>
  <c r="B169" i="8" a="1"/>
  <c r="B169" i="8" s="1"/>
  <c r="C169" i="8" a="1"/>
  <c r="C169" i="8" s="1"/>
  <c r="B170" i="8" a="1"/>
  <c r="B170" i="8" s="1"/>
  <c r="C170" i="8" a="1"/>
  <c r="C170" i="8" s="1"/>
  <c r="B171" i="8" a="1"/>
  <c r="B171" i="8" s="1"/>
  <c r="C171" i="8" a="1"/>
  <c r="C171" i="8" s="1"/>
  <c r="B172" i="8" a="1"/>
  <c r="B172" i="8" s="1"/>
  <c r="C172" i="8" a="1"/>
  <c r="C172" i="8" s="1"/>
  <c r="B173" i="8" a="1"/>
  <c r="B173" i="8" s="1"/>
  <c r="C173" i="8" a="1"/>
  <c r="C173" i="8" s="1"/>
  <c r="B174" i="8" a="1"/>
  <c r="B174" i="8" s="1"/>
  <c r="C174" i="8" a="1"/>
  <c r="C174" i="8" s="1"/>
  <c r="B175" i="8" a="1"/>
  <c r="B175" i="8" s="1"/>
  <c r="C175" i="8" a="1"/>
  <c r="C175" i="8" s="1"/>
  <c r="B176" i="8" a="1"/>
  <c r="B176" i="8" s="1"/>
  <c r="C176" i="8" a="1"/>
  <c r="C176" i="8" s="1"/>
  <c r="B177" i="8" a="1"/>
  <c r="B177" i="8" s="1"/>
  <c r="C177" i="8" a="1"/>
  <c r="C177" i="8" s="1"/>
  <c r="B178" i="8" a="1"/>
  <c r="B178" i="8" s="1"/>
  <c r="C178" i="8" a="1"/>
  <c r="C178" i="8" s="1"/>
  <c r="B179" i="8" a="1"/>
  <c r="B179" i="8" s="1"/>
  <c r="C179" i="8" a="1"/>
  <c r="C179" i="8" s="1"/>
  <c r="B180" i="8" a="1"/>
  <c r="B180" i="8" s="1"/>
  <c r="C180" i="8" a="1"/>
  <c r="C180" i="8" s="1"/>
  <c r="B181" i="8" a="1"/>
  <c r="B181" i="8" s="1"/>
  <c r="C181" i="8" a="1"/>
  <c r="C181" i="8" s="1"/>
  <c r="B182" i="8" a="1"/>
  <c r="B182" i="8" s="1"/>
  <c r="C182" i="8" a="1"/>
  <c r="C182" i="8" s="1"/>
  <c r="B183" i="8" a="1"/>
  <c r="B183" i="8" s="1"/>
  <c r="C183" i="8" a="1"/>
  <c r="C183" i="8" s="1"/>
  <c r="B184" i="8" a="1"/>
  <c r="B184" i="8" s="1"/>
  <c r="C184" i="8" a="1"/>
  <c r="C184" i="8" s="1"/>
  <c r="B185" i="8" a="1"/>
  <c r="B185" i="8" s="1"/>
  <c r="C185" i="8" a="1"/>
  <c r="C185" i="8" s="1"/>
  <c r="B186" i="8" a="1"/>
  <c r="B186" i="8" s="1"/>
  <c r="C186" i="8" a="1"/>
  <c r="C186" i="8" s="1"/>
  <c r="B187" i="8" a="1"/>
  <c r="B187" i="8" s="1"/>
  <c r="C187" i="8" a="1"/>
  <c r="C187" i="8" s="1"/>
  <c r="B188" i="8" a="1"/>
  <c r="B188" i="8" s="1"/>
  <c r="C188" i="8" a="1"/>
  <c r="C188" i="8" s="1"/>
  <c r="B189" i="8" a="1"/>
  <c r="B189" i="8" s="1"/>
  <c r="C189" i="8" a="1"/>
  <c r="C189" i="8" s="1"/>
  <c r="B190" i="8" a="1"/>
  <c r="B190" i="8" s="1"/>
  <c r="C190" i="8" a="1"/>
  <c r="C190" i="8" s="1"/>
  <c r="B191" i="8" a="1"/>
  <c r="B191" i="8" s="1"/>
  <c r="C191" i="8" a="1"/>
  <c r="C191" i="8" s="1"/>
  <c r="B192" i="8" a="1"/>
  <c r="B192" i="8" s="1"/>
  <c r="C192" i="8" a="1"/>
  <c r="C192" i="8" s="1"/>
  <c r="B193" i="8" a="1"/>
  <c r="B193" i="8" s="1"/>
  <c r="C193" i="8" a="1"/>
  <c r="C193" i="8" s="1"/>
  <c r="B194" i="8" a="1"/>
  <c r="B194" i="8" s="1"/>
  <c r="C194" i="8" a="1"/>
  <c r="C194" i="8" s="1"/>
  <c r="B195" i="8" a="1"/>
  <c r="B195" i="8" s="1"/>
  <c r="C195" i="8" a="1"/>
  <c r="C195" i="8" s="1"/>
  <c r="B196" i="8" a="1"/>
  <c r="B196" i="8" s="1"/>
  <c r="C196" i="8" a="1"/>
  <c r="C196" i="8" s="1"/>
  <c r="B197" i="8" a="1"/>
  <c r="B197" i="8" s="1"/>
  <c r="C197" i="8" a="1"/>
  <c r="C197" i="8" s="1"/>
  <c r="B198" i="8" a="1"/>
  <c r="B198" i="8" s="1"/>
  <c r="C198" i="8" a="1"/>
  <c r="C198" i="8" s="1"/>
  <c r="B199" i="8" a="1"/>
  <c r="B199" i="8" s="1"/>
  <c r="C199" i="8" a="1"/>
  <c r="C199" i="8" s="1"/>
  <c r="B200" i="8" a="1"/>
  <c r="B200" i="8" s="1"/>
  <c r="C200" i="8" a="1"/>
  <c r="C200" i="8" s="1"/>
  <c r="B201" i="8" a="1"/>
  <c r="B201" i="8" s="1"/>
  <c r="C201" i="8" a="1"/>
  <c r="C201" i="8" s="1"/>
  <c r="B202" i="8" a="1"/>
  <c r="B202" i="8" s="1"/>
  <c r="C202" i="8" a="1"/>
  <c r="C202" i="8" s="1"/>
  <c r="B203" i="8" a="1"/>
  <c r="B203" i="8" s="1"/>
  <c r="C203" i="8" a="1"/>
  <c r="C203" i="8" s="1"/>
  <c r="B204" i="8" a="1"/>
  <c r="B204" i="8" s="1"/>
  <c r="C204" i="8" a="1"/>
  <c r="C204" i="8" s="1"/>
  <c r="B205" i="8" a="1"/>
  <c r="B205" i="8" s="1"/>
  <c r="C205" i="8" a="1"/>
  <c r="C205" i="8" s="1"/>
  <c r="B206" i="8" a="1"/>
  <c r="B206" i="8" s="1"/>
  <c r="C206" i="8" a="1"/>
  <c r="C206" i="8" s="1"/>
  <c r="B207" i="8" a="1"/>
  <c r="B207" i="8" s="1"/>
  <c r="C207" i="8" a="1"/>
  <c r="C207" i="8" s="1"/>
  <c r="B208" i="8" a="1"/>
  <c r="B208" i="8" s="1"/>
  <c r="C208" i="8" a="1"/>
  <c r="C208" i="8" s="1"/>
  <c r="B209" i="8" a="1"/>
  <c r="B209" i="8" s="1"/>
  <c r="C209" i="8" a="1"/>
  <c r="C209" i="8" s="1"/>
  <c r="B210" i="8" a="1"/>
  <c r="B210" i="8" s="1"/>
  <c r="C210" i="8" a="1"/>
  <c r="C210" i="8" s="1"/>
  <c r="B211" i="8" a="1"/>
  <c r="B211" i="8" s="1"/>
  <c r="C211" i="8" a="1"/>
  <c r="C211" i="8" s="1"/>
  <c r="B212" i="8" a="1"/>
  <c r="B212" i="8" s="1"/>
  <c r="C212" i="8" a="1"/>
  <c r="C212" i="8" s="1"/>
  <c r="B213" i="8" a="1"/>
  <c r="B213" i="8" s="1"/>
  <c r="C213" i="8" a="1"/>
  <c r="C213" i="8" s="1"/>
  <c r="B214" i="8" a="1"/>
  <c r="B214" i="8" s="1"/>
  <c r="C214" i="8" a="1"/>
  <c r="C214" i="8" s="1"/>
  <c r="B215" i="8" a="1"/>
  <c r="B215" i="8" s="1"/>
  <c r="C215" i="8" a="1"/>
  <c r="C215" i="8" s="1"/>
  <c r="B216" i="8" a="1"/>
  <c r="B216" i="8" s="1"/>
  <c r="C216" i="8" a="1"/>
  <c r="C216" i="8" s="1"/>
  <c r="B217" i="8" a="1"/>
  <c r="B217" i="8" s="1"/>
  <c r="C217" i="8" a="1"/>
  <c r="C217" i="8" s="1"/>
  <c r="B218" i="8" a="1"/>
  <c r="B218" i="8" s="1"/>
  <c r="C218" i="8" a="1"/>
  <c r="C218" i="8" s="1"/>
  <c r="B219" i="8" a="1"/>
  <c r="B219" i="8" s="1"/>
  <c r="C219" i="8" a="1"/>
  <c r="C219" i="8" s="1"/>
  <c r="B220" i="8" a="1"/>
  <c r="B220" i="8" s="1"/>
  <c r="C220" i="8" a="1"/>
  <c r="C220" i="8" s="1"/>
  <c r="B221" i="8" a="1"/>
  <c r="B221" i="8" s="1"/>
  <c r="C221" i="8" a="1"/>
  <c r="C221" i="8" s="1"/>
  <c r="B222" i="8" a="1"/>
  <c r="B222" i="8" s="1"/>
  <c r="C222" i="8" a="1"/>
  <c r="C222" i="8" s="1"/>
  <c r="B223" i="8" a="1"/>
  <c r="B223" i="8" s="1"/>
  <c r="C223" i="8" a="1"/>
  <c r="C223" i="8" s="1"/>
  <c r="B224" i="8" a="1"/>
  <c r="B224" i="8" s="1"/>
  <c r="C224" i="8" a="1"/>
  <c r="C224" i="8" s="1"/>
  <c r="B225" i="8" a="1"/>
  <c r="B225" i="8" s="1"/>
  <c r="C225" i="8" a="1"/>
  <c r="C225" i="8" s="1"/>
  <c r="B226" i="8" a="1"/>
  <c r="B226" i="8" s="1"/>
  <c r="C226" i="8" a="1"/>
  <c r="C226" i="8" s="1"/>
  <c r="B227" i="8" a="1"/>
  <c r="B227" i="8" s="1"/>
  <c r="C227" i="8" a="1"/>
  <c r="C227" i="8" s="1"/>
  <c r="B228" i="8" a="1"/>
  <c r="B228" i="8" s="1"/>
  <c r="C228" i="8" a="1"/>
  <c r="C228" i="8" s="1"/>
  <c r="B229" i="8" a="1"/>
  <c r="B229" i="8" s="1"/>
  <c r="C229" i="8" a="1"/>
  <c r="C229" i="8" s="1"/>
  <c r="B230" i="8" a="1"/>
  <c r="B230" i="8" s="1"/>
  <c r="C230" i="8" a="1"/>
  <c r="C230" i="8" s="1"/>
  <c r="B231" i="8" a="1"/>
  <c r="B231" i="8" s="1"/>
  <c r="C231" i="8" a="1"/>
  <c r="C231" i="8" s="1"/>
  <c r="B232" i="8" a="1"/>
  <c r="B232" i="8" s="1"/>
  <c r="C232" i="8" a="1"/>
  <c r="C232" i="8" s="1"/>
  <c r="B233" i="8" a="1"/>
  <c r="B233" i="8" s="1"/>
  <c r="C233" i="8" a="1"/>
  <c r="C233" i="8" s="1"/>
  <c r="B234" i="8" a="1"/>
  <c r="B234" i="8" s="1"/>
  <c r="C234" i="8" a="1"/>
  <c r="C234" i="8" s="1"/>
  <c r="B235" i="8" a="1"/>
  <c r="B235" i="8" s="1"/>
  <c r="C235" i="8" a="1"/>
  <c r="C235" i="8" s="1"/>
  <c r="B236" i="8" a="1"/>
  <c r="B236" i="8" s="1"/>
  <c r="C236" i="8" a="1"/>
  <c r="C236" i="8" s="1"/>
  <c r="B237" i="8" a="1"/>
  <c r="B237" i="8" s="1"/>
  <c r="C237" i="8" a="1"/>
  <c r="C237" i="8" s="1"/>
  <c r="B238" i="8" a="1"/>
  <c r="B238" i="8" s="1"/>
  <c r="C238" i="8" a="1"/>
  <c r="C238" i="8" s="1"/>
  <c r="B239" i="8" a="1"/>
  <c r="B239" i="8" s="1"/>
  <c r="C239" i="8" a="1"/>
  <c r="C239" i="8" s="1"/>
  <c r="B240" i="8" a="1"/>
  <c r="B240" i="8" s="1"/>
  <c r="C240" i="8" a="1"/>
  <c r="C240" i="8" s="1"/>
  <c r="B241" i="8" a="1"/>
  <c r="B241" i="8" s="1"/>
  <c r="C241" i="8" a="1"/>
  <c r="C241" i="8" s="1"/>
  <c r="B242" i="8" a="1"/>
  <c r="B242" i="8" s="1"/>
  <c r="C242" i="8" a="1"/>
  <c r="C242" i="8" s="1"/>
  <c r="B243" i="8" a="1"/>
  <c r="B243" i="8" s="1"/>
  <c r="C243" i="8" a="1"/>
  <c r="C243" i="8" s="1"/>
  <c r="B244" i="8" a="1"/>
  <c r="B244" i="8" s="1"/>
  <c r="C244" i="8" a="1"/>
  <c r="C244" i="8" s="1"/>
  <c r="B245" i="8" a="1"/>
  <c r="B245" i="8" s="1"/>
  <c r="C245" i="8" a="1"/>
  <c r="C245" i="8" s="1"/>
  <c r="B246" i="8" a="1"/>
  <c r="B246" i="8" s="1"/>
  <c r="C246" i="8" a="1"/>
  <c r="C246" i="8" s="1"/>
  <c r="B247" i="8" a="1"/>
  <c r="B247" i="8" s="1"/>
  <c r="C247" i="8" a="1"/>
  <c r="C247" i="8" s="1"/>
  <c r="B248" i="8" a="1"/>
  <c r="B248" i="8" s="1"/>
  <c r="C248" i="8" a="1"/>
  <c r="C248" i="8" s="1"/>
  <c r="B249" i="8" a="1"/>
  <c r="B249" i="8" s="1"/>
  <c r="C249" i="8" a="1"/>
  <c r="C249" i="8" s="1"/>
  <c r="C10" i="8" a="1"/>
  <c r="C10" i="8" s="1"/>
  <c r="B10" i="8" a="1"/>
  <c r="B10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E12" i="8" a="1"/>
  <c r="E12" i="8" s="1"/>
  <c r="F12" i="8" a="1"/>
  <c r="F12" i="8" s="1"/>
  <c r="G12" i="8" a="1"/>
  <c r="G12" i="8" s="1"/>
  <c r="I12" i="8" a="1"/>
  <c r="I12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E14" i="8" a="1"/>
  <c r="E14" i="8" s="1"/>
  <c r="F14" i="8" a="1"/>
  <c r="F14" i="8" s="1"/>
  <c r="G14" i="8" a="1"/>
  <c r="G14" i="8" s="1"/>
  <c r="I14" i="8" a="1"/>
  <c r="I14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E18" i="8" a="1"/>
  <c r="E18" i="8" s="1"/>
  <c r="F18" i="8" a="1"/>
  <c r="F18" i="8" s="1"/>
  <c r="G18" i="8" a="1"/>
  <c r="G18" i="8" s="1"/>
  <c r="I18" i="8" a="1"/>
  <c r="I18" i="8" s="1"/>
  <c r="J18" i="8" a="1"/>
  <c r="J18" i="8" s="1"/>
  <c r="E19" i="8" a="1"/>
  <c r="E19" i="8" s="1"/>
  <c r="F19" i="8" a="1"/>
  <c r="F19" i="8" s="1"/>
  <c r="G19" i="8" a="1"/>
  <c r="G19" i="8" s="1"/>
  <c r="H19" i="8" a="1"/>
  <c r="H19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E22" i="8" a="1"/>
  <c r="E22" i="8" s="1"/>
  <c r="F22" i="8" a="1"/>
  <c r="F22" i="8" s="1"/>
  <c r="G22" i="8" a="1"/>
  <c r="G22" i="8" s="1"/>
  <c r="I22" i="8" a="1"/>
  <c r="I22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E28" i="8" a="1"/>
  <c r="E28" i="8" s="1"/>
  <c r="F28" i="8" a="1"/>
  <c r="F28" i="8" s="1"/>
  <c r="G28" i="8" a="1"/>
  <c r="G28" i="8" s="1"/>
  <c r="H28" i="8" a="1"/>
  <c r="H28" i="8" s="1"/>
  <c r="J28" i="8" a="1"/>
  <c r="J28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E36" i="8" a="1"/>
  <c r="E36" i="8" s="1"/>
  <c r="F36" i="8" a="1"/>
  <c r="F36" i="8" s="1"/>
  <c r="G36" i="8" a="1"/>
  <c r="G36" i="8" s="1"/>
  <c r="H36" i="8" a="1"/>
  <c r="H36" i="8" s="1"/>
  <c r="E37" i="8" a="1"/>
  <c r="E37" i="8" s="1"/>
  <c r="F37" i="8" a="1"/>
  <c r="F37" i="8" s="1"/>
  <c r="G37" i="8" a="1"/>
  <c r="G37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E42" i="8" a="1"/>
  <c r="E42" i="8" s="1"/>
  <c r="F42" i="8" a="1"/>
  <c r="F42" i="8" s="1"/>
  <c r="G42" i="8" a="1"/>
  <c r="G42" i="8" s="1"/>
  <c r="E43" i="8" a="1"/>
  <c r="E43" i="8" s="1"/>
  <c r="F43" i="8" a="1"/>
  <c r="F43" i="8" s="1"/>
  <c r="G43" i="8" a="1"/>
  <c r="G43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E45" i="8" a="1"/>
  <c r="E45" i="8" s="1"/>
  <c r="F45" i="8" a="1"/>
  <c r="F45" i="8" s="1"/>
  <c r="G45" i="8" a="1"/>
  <c r="G45" i="8" s="1"/>
  <c r="I45" i="8" a="1"/>
  <c r="I45" i="8" s="1"/>
  <c r="E46" i="8" a="1"/>
  <c r="E46" i="8" s="1"/>
  <c r="F46" i="8" a="1"/>
  <c r="F46" i="8" s="1"/>
  <c r="G46" i="8" a="1"/>
  <c r="G46" i="8" s="1"/>
  <c r="H46" i="8" a="1"/>
  <c r="H46" i="8" s="1"/>
  <c r="J46" i="8" a="1"/>
  <c r="J46" i="8" s="1"/>
  <c r="E47" i="8" a="1"/>
  <c r="E47" i="8" s="1"/>
  <c r="F47" i="8" a="1"/>
  <c r="F47" i="8" s="1"/>
  <c r="G47" i="8" a="1"/>
  <c r="G47" i="8" s="1"/>
  <c r="I47" i="8" a="1"/>
  <c r="I47" i="8" s="1"/>
  <c r="J47" i="8" a="1"/>
  <c r="J47" i="8" s="1"/>
  <c r="E48" i="8" a="1"/>
  <c r="E48" i="8" s="1"/>
  <c r="F48" i="8" a="1"/>
  <c r="F48" i="8" s="1"/>
  <c r="G48" i="8" a="1"/>
  <c r="G48" i="8" s="1"/>
  <c r="I48" i="8" a="1"/>
  <c r="I48" i="8" s="1"/>
  <c r="J48" i="8" a="1"/>
  <c r="J48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E61" i="8" a="1"/>
  <c r="E61" i="8" s="1"/>
  <c r="F61" i="8" a="1"/>
  <c r="F61" i="8" s="1"/>
  <c r="G61" i="8" a="1"/>
  <c r="G61" i="8" s="1"/>
  <c r="I61" i="8" a="1"/>
  <c r="I61" i="8" s="1"/>
  <c r="E62" i="8" a="1"/>
  <c r="E62" i="8" s="1"/>
  <c r="F62" i="8" a="1"/>
  <c r="F62" i="8" s="1"/>
  <c r="G62" i="8" a="1"/>
  <c r="G62" i="8" s="1"/>
  <c r="I62" i="8" a="1"/>
  <c r="I62" i="8" s="1"/>
  <c r="J62" i="8" a="1"/>
  <c r="J62" i="8" s="1"/>
  <c r="E63" i="8" a="1"/>
  <c r="E63" i="8" s="1"/>
  <c r="F63" i="8" a="1"/>
  <c r="F63" i="8" s="1"/>
  <c r="G63" i="8" a="1"/>
  <c r="G63" i="8" s="1"/>
  <c r="H63" i="8" a="1"/>
  <c r="H63" i="8" s="1"/>
  <c r="E64" i="8" a="1"/>
  <c r="E64" i="8" s="1"/>
  <c r="F64" i="8" a="1"/>
  <c r="F64" i="8" s="1"/>
  <c r="G64" i="8" a="1"/>
  <c r="G64" i="8" s="1"/>
  <c r="H64" i="8" a="1"/>
  <c r="H64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E66" i="8" a="1"/>
  <c r="E66" i="8" s="1"/>
  <c r="F66" i="8" a="1"/>
  <c r="F66" i="8" s="1"/>
  <c r="G66" i="8" a="1"/>
  <c r="G66" i="8" s="1"/>
  <c r="I66" i="8" a="1"/>
  <c r="I66" i="8" s="1"/>
  <c r="E67" i="8" a="1"/>
  <c r="E67" i="8" s="1"/>
  <c r="F67" i="8" a="1"/>
  <c r="F67" i="8" s="1"/>
  <c r="G67" i="8" a="1"/>
  <c r="G67" i="8" s="1"/>
  <c r="I67" i="8" a="1"/>
  <c r="I67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E69" i="8" a="1"/>
  <c r="E69" i="8" s="1"/>
  <c r="F69" i="8" a="1"/>
  <c r="F69" i="8" s="1"/>
  <c r="G69" i="8" a="1"/>
  <c r="G69" i="8" s="1"/>
  <c r="I69" i="8" a="1"/>
  <c r="I69" i="8" s="1"/>
  <c r="E70" i="8" a="1"/>
  <c r="E70" i="8" s="1"/>
  <c r="F70" i="8" a="1"/>
  <c r="F70" i="8" s="1"/>
  <c r="G70" i="8" a="1"/>
  <c r="G70" i="8" s="1"/>
  <c r="H70" i="8" a="1"/>
  <c r="H70" i="8" s="1"/>
  <c r="J70" i="8" a="1"/>
  <c r="J70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E73" i="8" a="1"/>
  <c r="E73" i="8" s="1"/>
  <c r="F73" i="8" a="1"/>
  <c r="F73" i="8" s="1"/>
  <c r="G73" i="8" a="1"/>
  <c r="G73" i="8" s="1"/>
  <c r="H73" i="8" a="1"/>
  <c r="H73" i="8" s="1"/>
  <c r="J73" i="8" a="1"/>
  <c r="J73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E77" i="8" a="1"/>
  <c r="E77" i="8" s="1"/>
  <c r="F77" i="8" a="1"/>
  <c r="F77" i="8" s="1"/>
  <c r="G77" i="8" a="1"/>
  <c r="G77" i="8" s="1"/>
  <c r="H77" i="8" a="1"/>
  <c r="H77" i="8" s="1"/>
  <c r="J77" i="8" a="1"/>
  <c r="J77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E79" i="8" a="1"/>
  <c r="E79" i="8" s="1"/>
  <c r="F79" i="8" a="1"/>
  <c r="F79" i="8" s="1"/>
  <c r="G79" i="8" a="1"/>
  <c r="G79" i="8" s="1"/>
  <c r="H79" i="8" a="1"/>
  <c r="H79" i="8" s="1"/>
  <c r="J79" i="8" a="1"/>
  <c r="J79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E84" i="8" a="1"/>
  <c r="E84" i="8" s="1"/>
  <c r="F84" i="8" a="1"/>
  <c r="F84" i="8" s="1"/>
  <c r="G84" i="8" a="1"/>
  <c r="G84" i="8" s="1"/>
  <c r="H84" i="8" a="1"/>
  <c r="H84" i="8" s="1"/>
  <c r="E85" i="8" a="1"/>
  <c r="E85" i="8" s="1"/>
  <c r="F85" i="8" a="1"/>
  <c r="F85" i="8" s="1"/>
  <c r="G85" i="8" a="1"/>
  <c r="G85" i="8" s="1"/>
  <c r="E86" i="8" a="1"/>
  <c r="E86" i="8" s="1"/>
  <c r="F86" i="8" a="1"/>
  <c r="F86" i="8" s="1"/>
  <c r="G86" i="8" a="1"/>
  <c r="G86" i="8" s="1"/>
  <c r="I86" i="8" a="1"/>
  <c r="I86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E88" i="8" a="1"/>
  <c r="E88" i="8" s="1"/>
  <c r="F88" i="8" a="1"/>
  <c r="F88" i="8" s="1"/>
  <c r="G88" i="8" a="1"/>
  <c r="G88" i="8" s="1"/>
  <c r="H88" i="8" a="1"/>
  <c r="H88" i="8" s="1"/>
  <c r="J88" i="8" a="1"/>
  <c r="J88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E90" i="8" a="1"/>
  <c r="E90" i="8" s="1"/>
  <c r="F90" i="8" a="1"/>
  <c r="F90" i="8" s="1"/>
  <c r="G90" i="8" a="1"/>
  <c r="G90" i="8" s="1"/>
  <c r="J90" i="8" a="1"/>
  <c r="J90" i="8" s="1"/>
  <c r="E91" i="8" a="1"/>
  <c r="E91" i="8" s="1"/>
  <c r="F91" i="8" a="1"/>
  <c r="F91" i="8" s="1"/>
  <c r="G91" i="8" a="1"/>
  <c r="G91" i="8" s="1"/>
  <c r="I91" i="8" a="1"/>
  <c r="I91" i="8" s="1"/>
  <c r="J91" i="8" a="1"/>
  <c r="J91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E93" i="8" a="1"/>
  <c r="E93" i="8" s="1"/>
  <c r="F93" i="8" a="1"/>
  <c r="F93" i="8" s="1"/>
  <c r="G93" i="8" a="1"/>
  <c r="G93" i="8" s="1"/>
  <c r="I93" i="8" a="1"/>
  <c r="I93" i="8" s="1"/>
  <c r="J93" i="8" a="1"/>
  <c r="J93" i="8" s="1"/>
  <c r="E94" i="8" a="1"/>
  <c r="E94" i="8" s="1"/>
  <c r="F94" i="8" a="1"/>
  <c r="F94" i="8" s="1"/>
  <c r="G94" i="8" a="1"/>
  <c r="G94" i="8" s="1"/>
  <c r="I94" i="8" a="1"/>
  <c r="I94" i="8" s="1"/>
  <c r="J94" i="8" a="1"/>
  <c r="J94" i="8" s="1"/>
  <c r="E95" i="8" a="1"/>
  <c r="E95" i="8" s="1"/>
  <c r="F95" i="8" a="1"/>
  <c r="F95" i="8" s="1"/>
  <c r="G95" i="8" a="1"/>
  <c r="G95" i="8" s="1"/>
  <c r="H95" i="8" a="1"/>
  <c r="H95" i="8" s="1"/>
  <c r="J95" i="8" a="1"/>
  <c r="J95" i="8" s="1"/>
  <c r="E96" i="8" a="1"/>
  <c r="E96" i="8" s="1"/>
  <c r="F96" i="8" a="1"/>
  <c r="F96" i="8" s="1"/>
  <c r="G96" i="8" a="1"/>
  <c r="G96" i="8" s="1"/>
  <c r="H96" i="8" a="1"/>
  <c r="H96" i="8" s="1"/>
  <c r="J96" i="8" a="1"/>
  <c r="J96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E98" i="8" a="1"/>
  <c r="E98" i="8" s="1"/>
  <c r="F98" i="8" a="1"/>
  <c r="F98" i="8" s="1"/>
  <c r="G98" i="8" a="1"/>
  <c r="G98" i="8" s="1"/>
  <c r="H98" i="8" a="1"/>
  <c r="H98" i="8" s="1"/>
  <c r="J98" i="8" a="1"/>
  <c r="J98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E100" i="8" a="1"/>
  <c r="E100" i="8" s="1"/>
  <c r="F100" i="8" a="1"/>
  <c r="F100" i="8" s="1"/>
  <c r="G100" i="8" a="1"/>
  <c r="G100" i="8" s="1"/>
  <c r="H100" i="8" a="1"/>
  <c r="H100" i="8" s="1"/>
  <c r="J100" i="8" a="1"/>
  <c r="J100" i="8" s="1"/>
  <c r="E101" i="8" a="1"/>
  <c r="E101" i="8" s="1"/>
  <c r="F101" i="8" a="1"/>
  <c r="F101" i="8" s="1"/>
  <c r="G101" i="8" a="1"/>
  <c r="G101" i="8" s="1"/>
  <c r="H101" i="8" a="1"/>
  <c r="H101" i="8" s="1"/>
  <c r="J101" i="8" a="1"/>
  <c r="J101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E104" i="8" a="1"/>
  <c r="E104" i="8" s="1"/>
  <c r="F104" i="8" a="1"/>
  <c r="F104" i="8" s="1"/>
  <c r="G104" i="8" a="1"/>
  <c r="G104" i="8" s="1"/>
  <c r="H104" i="8" a="1"/>
  <c r="H104" i="8" s="1"/>
  <c r="J104" i="8" a="1"/>
  <c r="J104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E110" i="8" a="1"/>
  <c r="E110" i="8" s="1"/>
  <c r="F110" i="8" a="1"/>
  <c r="F110" i="8" s="1"/>
  <c r="G110" i="8" a="1"/>
  <c r="G110" i="8" s="1"/>
  <c r="I110" i="8" a="1"/>
  <c r="I110" i="8" s="1"/>
  <c r="J110" i="8" a="1"/>
  <c r="J110" i="8" s="1"/>
  <c r="E111" i="8" a="1"/>
  <c r="E111" i="8" s="1"/>
  <c r="F111" i="8" a="1"/>
  <c r="F111" i="8" s="1"/>
  <c r="G111" i="8" a="1"/>
  <c r="G111" i="8" s="1"/>
  <c r="H111" i="8" a="1"/>
  <c r="H111" i="8" s="1"/>
  <c r="E112" i="8" a="1"/>
  <c r="E112" i="8" s="1"/>
  <c r="F112" i="8" a="1"/>
  <c r="F112" i="8" s="1"/>
  <c r="G112" i="8" a="1"/>
  <c r="G112" i="8" s="1"/>
  <c r="H112" i="8" a="1"/>
  <c r="H112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E115" i="8" a="1"/>
  <c r="E115" i="8" s="1"/>
  <c r="F115" i="8" a="1"/>
  <c r="F115" i="8" s="1"/>
  <c r="G115" i="8" a="1"/>
  <c r="G115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E118" i="8" a="1"/>
  <c r="E118" i="8" s="1"/>
  <c r="F118" i="8" a="1"/>
  <c r="F118" i="8" s="1"/>
  <c r="G118" i="8" a="1"/>
  <c r="G118" i="8" s="1"/>
  <c r="I118" i="8" a="1"/>
  <c r="I118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E121" i="8" a="1"/>
  <c r="E121" i="8" s="1"/>
  <c r="F121" i="8" a="1"/>
  <c r="F121" i="8" s="1"/>
  <c r="G121" i="8" a="1"/>
  <c r="G121" i="8" s="1"/>
  <c r="J121" i="8" a="1"/>
  <c r="J121" i="8" s="1"/>
  <c r="E122" i="8" a="1"/>
  <c r="E122" i="8" s="1"/>
  <c r="F122" i="8" a="1"/>
  <c r="F122" i="8" s="1"/>
  <c r="G122" i="8" a="1"/>
  <c r="G122" i="8" s="1"/>
  <c r="H122" i="8" a="1"/>
  <c r="H122" i="8" s="1"/>
  <c r="J122" i="8" a="1"/>
  <c r="J122" i="8" s="1"/>
  <c r="E123" i="8" a="1"/>
  <c r="E123" i="8" s="1"/>
  <c r="F123" i="8" a="1"/>
  <c r="F123" i="8" s="1"/>
  <c r="G123" i="8" a="1"/>
  <c r="G123" i="8" s="1"/>
  <c r="H123" i="8" a="1"/>
  <c r="H123" i="8" s="1"/>
  <c r="J123" i="8" a="1"/>
  <c r="J123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E125" i="8" a="1"/>
  <c r="E125" i="8" s="1"/>
  <c r="F125" i="8" a="1"/>
  <c r="F125" i="8" s="1"/>
  <c r="G125" i="8" a="1"/>
  <c r="G125" i="8" s="1"/>
  <c r="J125" i="8" a="1"/>
  <c r="J125" i="8" s="1"/>
  <c r="E126" i="8" a="1"/>
  <c r="E126" i="8" s="1"/>
  <c r="F126" i="8" a="1"/>
  <c r="F126" i="8" s="1"/>
  <c r="G126" i="8" a="1"/>
  <c r="G126" i="8" s="1"/>
  <c r="H126" i="8" a="1"/>
  <c r="H126" i="8" s="1"/>
  <c r="J126" i="8" a="1"/>
  <c r="J126" i="8" s="1"/>
  <c r="E127" i="8" a="1"/>
  <c r="E127" i="8" s="1"/>
  <c r="F127" i="8" a="1"/>
  <c r="F127" i="8" s="1"/>
  <c r="G127" i="8" a="1"/>
  <c r="G127" i="8" s="1"/>
  <c r="H127" i="8" a="1"/>
  <c r="H127" i="8" s="1"/>
  <c r="J127" i="8" a="1"/>
  <c r="J127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F10" i="8" a="1"/>
  <c r="F10" i="8" s="1"/>
  <c r="G10" i="8" a="1"/>
  <c r="G10" i="8" s="1"/>
  <c r="H10" i="8" a="1"/>
  <c r="H10" i="8" s="1"/>
  <c r="I10" i="8" a="1"/>
  <c r="I10" i="8" s="1"/>
  <c r="J10" i="8" a="1"/>
  <c r="J10" i="8" s="1"/>
  <c r="B10" i="6" a="1"/>
  <c r="B10" i="6" l="1"/>
  <c r="B10" i="10" s="1" a="1"/>
  <c r="D202" i="8" a="1"/>
  <c r="D147" i="8" a="1"/>
  <c r="D186" i="8" a="1"/>
  <c r="D211" i="8" a="1"/>
  <c r="D201" i="8" a="1"/>
  <c r="D136" i="8" a="1"/>
  <c r="D160" i="8" a="1"/>
  <c r="D199" i="8" a="1"/>
  <c r="D210" i="8" a="1"/>
  <c r="D249" i="8" a="1"/>
  <c r="D135" i="8" a="1"/>
  <c r="D245" i="8" a="1"/>
  <c r="D236" i="8" a="1"/>
  <c r="D168" i="8" a="1"/>
  <c r="D198" i="8" a="1"/>
  <c r="D158" i="8" a="1"/>
  <c r="D130" i="8" a="1"/>
  <c r="D247" i="8" a="1"/>
  <c r="D183" i="8" a="1"/>
  <c r="D188" i="8" a="1"/>
  <c r="D228" i="8" a="1"/>
  <c r="D132" i="8" a="1"/>
  <c r="D241" i="8" a="1"/>
  <c r="D170" i="8" a="1"/>
  <c r="D238" i="8" a="1"/>
  <c r="D175" i="8" a="1"/>
  <c r="D143" i="8" a="1"/>
  <c r="D164" i="8" a="1"/>
  <c r="D171" i="8" a="1"/>
  <c r="D179" i="8" a="1"/>
  <c r="D214" i="8" a="1"/>
  <c r="D246" i="8" a="1"/>
  <c r="D138" i="8" a="1"/>
  <c r="D203" i="8" a="1"/>
  <c r="D244" i="8" a="1"/>
  <c r="D197" i="8" a="1"/>
  <c r="D155" i="8" a="1"/>
  <c r="D205" i="8" a="1"/>
  <c r="D140" i="8" a="1"/>
  <c r="D177" i="8" a="1"/>
  <c r="D227" i="8" a="1"/>
  <c r="D182" i="8" a="1"/>
  <c r="D180" i="8" a="1"/>
  <c r="D144" i="8" a="1"/>
  <c r="D151" i="8" a="1"/>
  <c r="D146" i="8" a="1"/>
  <c r="D166" i="8" a="1"/>
  <c r="D191" i="8" a="1"/>
  <c r="D190" i="8" a="1"/>
  <c r="D243" i="8" a="1"/>
  <c r="D148" i="8" a="1"/>
  <c r="D184" i="8" a="1"/>
  <c r="D150" i="8" a="1"/>
  <c r="D167" i="8" a="1"/>
  <c r="D165" i="8" a="1"/>
  <c r="D174" i="8" a="1"/>
  <c r="D193" i="8" a="1"/>
  <c r="D222" i="8" a="1"/>
  <c r="D137" i="8" a="1"/>
  <c r="D235" i="8" a="1"/>
  <c r="D226" i="8" a="1"/>
  <c r="D220" i="8" a="1"/>
  <c r="D224" i="8" a="1"/>
  <c r="D173" i="8" a="1"/>
  <c r="D154" i="8" a="1"/>
  <c r="D206" i="8" a="1"/>
  <c r="D185" i="8" a="1"/>
  <c r="D133" i="8" a="1"/>
  <c r="D231" i="8" a="1"/>
  <c r="D216" i="8" a="1"/>
  <c r="D240" i="8" a="1"/>
  <c r="D213" i="8" a="1"/>
  <c r="D212" i="8" a="1"/>
  <c r="D145" i="8" a="1"/>
  <c r="D221" i="8" a="1"/>
  <c r="D152" i="8" a="1"/>
  <c r="D189" i="8" a="1"/>
  <c r="D223" i="8" a="1"/>
  <c r="D134" i="8" a="1"/>
  <c r="D172" i="8" a="1"/>
  <c r="D169" i="8" a="1"/>
  <c r="D161" i="8" a="1"/>
  <c r="D242" i="8" a="1"/>
  <c r="D141" i="8" a="1"/>
  <c r="D230" i="8" a="1"/>
  <c r="D248" i="8" a="1"/>
  <c r="D157" i="8" a="1"/>
  <c r="D153" i="8" a="1"/>
  <c r="D218" i="8" a="1"/>
  <c r="D239" i="8" a="1"/>
  <c r="D187" i="8" a="1"/>
  <c r="D162" i="8" a="1"/>
  <c r="D181" i="8" a="1"/>
  <c r="D225" i="8" a="1"/>
  <c r="D234" i="8" a="1"/>
  <c r="D194" i="8" a="1"/>
  <c r="D131" i="8" a="1"/>
  <c r="D217" i="8" a="1"/>
  <c r="D200" i="8" a="1"/>
  <c r="D178" i="8" a="1"/>
  <c r="D229" i="8" a="1"/>
  <c r="D149" i="8" a="1"/>
  <c r="D208" i="8" a="1"/>
  <c r="D142" i="8" a="1"/>
  <c r="D233" i="8" a="1"/>
  <c r="D163" i="8" a="1"/>
  <c r="D204" i="8" a="1"/>
  <c r="D215" i="8" a="1"/>
  <c r="D156" i="8" a="1"/>
  <c r="D232" i="8" a="1"/>
  <c r="D219" i="8" a="1"/>
  <c r="D196" i="8" a="1"/>
  <c r="D209" i="8" a="1"/>
  <c r="D195" i="8" a="1"/>
  <c r="D139" i="8" a="1"/>
  <c r="D237" i="8" a="1"/>
  <c r="D192" i="8" a="1"/>
  <c r="D159" i="8" a="1"/>
  <c r="D207" i="8" a="1"/>
  <c r="D176" i="8" a="1"/>
  <c r="D14" i="8" a="1"/>
  <c r="D18" i="8" a="1"/>
  <c r="D22" i="8" a="1"/>
  <c r="D26" i="8" a="1"/>
  <c r="D30" i="8" a="1"/>
  <c r="D34" i="8" a="1"/>
  <c r="D38" i="8" a="1"/>
  <c r="D42" i="8" a="1"/>
  <c r="D46" i="8" a="1"/>
  <c r="D50" i="8" a="1"/>
  <c r="D54" i="8" a="1"/>
  <c r="D58" i="8" a="1"/>
  <c r="D62" i="8" a="1"/>
  <c r="D66" i="8" a="1"/>
  <c r="D70" i="8" a="1"/>
  <c r="D74" i="8" a="1"/>
  <c r="D78" i="8" a="1"/>
  <c r="D82" i="8" a="1"/>
  <c r="D86" i="8" a="1"/>
  <c r="D90" i="8" a="1"/>
  <c r="D94" i="8" a="1"/>
  <c r="D98" i="8" a="1"/>
  <c r="D102" i="8" a="1"/>
  <c r="D106" i="8" a="1"/>
  <c r="D110" i="8" a="1"/>
  <c r="D114" i="8" a="1"/>
  <c r="D118" i="8" a="1"/>
  <c r="D122" i="8" a="1"/>
  <c r="D126" i="8" a="1"/>
  <c r="D10" i="8" a="1"/>
  <c r="D11" i="8" a="1"/>
  <c r="D15" i="8" a="1"/>
  <c r="D19" i="8" a="1"/>
  <c r="D23" i="8" a="1"/>
  <c r="D27" i="8" a="1"/>
  <c r="D31" i="8" a="1"/>
  <c r="D35" i="8" a="1"/>
  <c r="D39" i="8" a="1"/>
  <c r="D43" i="8" a="1"/>
  <c r="D47" i="8" a="1"/>
  <c r="D51" i="8" a="1"/>
  <c r="D55" i="8" a="1"/>
  <c r="D59" i="8" a="1"/>
  <c r="D63" i="8" a="1"/>
  <c r="D67" i="8" a="1"/>
  <c r="D71" i="8" a="1"/>
  <c r="D75" i="8" a="1"/>
  <c r="D79" i="8" a="1"/>
  <c r="D83" i="8" a="1"/>
  <c r="D87" i="8" a="1"/>
  <c r="D91" i="8" a="1"/>
  <c r="D95" i="8" a="1"/>
  <c r="D99" i="8" a="1"/>
  <c r="D103" i="8" a="1"/>
  <c r="D107" i="8" a="1"/>
  <c r="D111" i="8" a="1"/>
  <c r="D115" i="8" a="1"/>
  <c r="D119" i="8" a="1"/>
  <c r="D123" i="8" a="1"/>
  <c r="D127" i="8" a="1"/>
  <c r="D12" i="8" a="1"/>
  <c r="D16" i="8" a="1"/>
  <c r="D20" i="8" a="1"/>
  <c r="D24" i="8" a="1"/>
  <c r="D28" i="8" a="1"/>
  <c r="D32" i="8" a="1"/>
  <c r="D36" i="8" a="1"/>
  <c r="D40" i="8" a="1"/>
  <c r="D44" i="8" a="1"/>
  <c r="D48" i="8" a="1"/>
  <c r="D52" i="8" a="1"/>
  <c r="D56" i="8" a="1"/>
  <c r="D60" i="8" a="1"/>
  <c r="D64" i="8" a="1"/>
  <c r="D68" i="8" a="1"/>
  <c r="D72" i="8" a="1"/>
  <c r="D76" i="8" a="1"/>
  <c r="D80" i="8" a="1"/>
  <c r="D84" i="8" a="1"/>
  <c r="D88" i="8" a="1"/>
  <c r="D92" i="8" a="1"/>
  <c r="D96" i="8" a="1"/>
  <c r="D100" i="8" a="1"/>
  <c r="D104" i="8" a="1"/>
  <c r="D108" i="8" a="1"/>
  <c r="D112" i="8" a="1"/>
  <c r="D116" i="8" a="1"/>
  <c r="D120" i="8" a="1"/>
  <c r="D124" i="8" a="1"/>
  <c r="D128" i="8" a="1"/>
  <c r="D13" i="8" a="1"/>
  <c r="D17" i="8" a="1"/>
  <c r="D21" i="8" a="1"/>
  <c r="D25" i="8" a="1"/>
  <c r="D29" i="8" a="1"/>
  <c r="D33" i="8" a="1"/>
  <c r="D37" i="8" a="1"/>
  <c r="D41" i="8" a="1"/>
  <c r="D45" i="8" a="1"/>
  <c r="D49" i="8" a="1"/>
  <c r="D53" i="8" a="1"/>
  <c r="D57" i="8" a="1"/>
  <c r="D61" i="8" a="1"/>
  <c r="D65" i="8" a="1"/>
  <c r="D69" i="8" a="1"/>
  <c r="D73" i="8" a="1"/>
  <c r="D77" i="8" a="1"/>
  <c r="D81" i="8" a="1"/>
  <c r="D85" i="8" a="1"/>
  <c r="D89" i="8" a="1"/>
  <c r="D93" i="8" a="1"/>
  <c r="D97" i="8" a="1"/>
  <c r="D101" i="8" a="1"/>
  <c r="D105" i="8" a="1"/>
  <c r="D109" i="8" a="1"/>
  <c r="D113" i="8" a="1"/>
  <c r="D117" i="8" a="1"/>
  <c r="D121" i="8" a="1"/>
  <c r="D125" i="8" a="1"/>
  <c r="D129" i="8" a="1"/>
  <c r="D129" i="8" l="1"/>
  <c r="D129" i="10" s="1" a="1"/>
  <c r="D125" i="8"/>
  <c r="D125" i="10" s="1" a="1"/>
  <c r="D121" i="8"/>
  <c r="D121" i="10" s="1" a="1"/>
  <c r="D117" i="8"/>
  <c r="D117" i="10" s="1" a="1"/>
  <c r="D113" i="8"/>
  <c r="D113" i="10" s="1" a="1"/>
  <c r="D109" i="8"/>
  <c r="D109" i="10" s="1" a="1"/>
  <c r="D105" i="8"/>
  <c r="D105" i="10" s="1" a="1"/>
  <c r="D101" i="8"/>
  <c r="D101" i="10" s="1" a="1"/>
  <c r="D97" i="8"/>
  <c r="D97" i="10" s="1" a="1"/>
  <c r="D93" i="8"/>
  <c r="D93" i="10" s="1" a="1"/>
  <c r="D89" i="8"/>
  <c r="D89" i="10" s="1" a="1"/>
  <c r="D85" i="8"/>
  <c r="D85" i="10" s="1" a="1"/>
  <c r="D81" i="8"/>
  <c r="D81" i="10" s="1" a="1"/>
  <c r="D77" i="8"/>
  <c r="D77" i="10" s="1" a="1"/>
  <c r="D73" i="8"/>
  <c r="D73" i="10" s="1" a="1"/>
  <c r="D69" i="8"/>
  <c r="D69" i="10" s="1" a="1"/>
  <c r="D65" i="8"/>
  <c r="D65" i="10" s="1" a="1"/>
  <c r="D61" i="8"/>
  <c r="D61" i="10" s="1" a="1"/>
  <c r="D57" i="8"/>
  <c r="D57" i="10" s="1" a="1"/>
  <c r="D53" i="8"/>
  <c r="D53" i="10" s="1" a="1"/>
  <c r="D49" i="8"/>
  <c r="D49" i="10" s="1" a="1"/>
  <c r="D45" i="8"/>
  <c r="D45" i="10" s="1" a="1"/>
  <c r="D41" i="8"/>
  <c r="D41" i="10" s="1" a="1"/>
  <c r="D37" i="8"/>
  <c r="D37" i="10" s="1" a="1"/>
  <c r="D33" i="8"/>
  <c r="D33" i="10" s="1" a="1"/>
  <c r="D29" i="8"/>
  <c r="D29" i="10" s="1" a="1"/>
  <c r="D25" i="8"/>
  <c r="D25" i="10" s="1" a="1"/>
  <c r="D21" i="8"/>
  <c r="D21" i="10" s="1" a="1"/>
  <c r="D17" i="8"/>
  <c r="D17" i="10" s="1" a="1"/>
  <c r="D13" i="8"/>
  <c r="D13" i="10" s="1" a="1"/>
  <c r="D128" i="8"/>
  <c r="D128" i="10" s="1" a="1"/>
  <c r="D124" i="8"/>
  <c r="D124" i="10" s="1" a="1"/>
  <c r="D120" i="8"/>
  <c r="D120" i="10" s="1" a="1"/>
  <c r="D116" i="8"/>
  <c r="D116" i="10" s="1" a="1"/>
  <c r="D112" i="8"/>
  <c r="D112" i="10" s="1" a="1"/>
  <c r="D108" i="8"/>
  <c r="D108" i="10" s="1" a="1"/>
  <c r="D104" i="8"/>
  <c r="D104" i="10" s="1" a="1"/>
  <c r="D100" i="8"/>
  <c r="D100" i="10" s="1" a="1"/>
  <c r="D96" i="8"/>
  <c r="D96" i="10" s="1" a="1"/>
  <c r="D92" i="8"/>
  <c r="D92" i="10" s="1" a="1"/>
  <c r="D88" i="8"/>
  <c r="D88" i="10" s="1" a="1"/>
  <c r="D84" i="8"/>
  <c r="D84" i="10" s="1" a="1"/>
  <c r="D80" i="8"/>
  <c r="D80" i="10" s="1" a="1"/>
  <c r="D76" i="8"/>
  <c r="D76" i="10" s="1" a="1"/>
  <c r="D72" i="8"/>
  <c r="D72" i="10" s="1" a="1"/>
  <c r="D68" i="8"/>
  <c r="D68" i="10" s="1" a="1"/>
  <c r="D64" i="8"/>
  <c r="D64" i="10" s="1" a="1"/>
  <c r="D60" i="8"/>
  <c r="D60" i="10" s="1" a="1"/>
  <c r="D56" i="8"/>
  <c r="D56" i="10" s="1" a="1"/>
  <c r="D52" i="8"/>
  <c r="D52" i="10" s="1" a="1"/>
  <c r="D48" i="8"/>
  <c r="D48" i="10" s="1" a="1"/>
  <c r="D44" i="8"/>
  <c r="D44" i="10" s="1" a="1"/>
  <c r="D40" i="8"/>
  <c r="D40" i="10" s="1" a="1"/>
  <c r="D36" i="8"/>
  <c r="D36" i="10" s="1" a="1"/>
  <c r="D32" i="8"/>
  <c r="D32" i="10" s="1" a="1"/>
  <c r="D28" i="8"/>
  <c r="D28" i="10" s="1" a="1"/>
  <c r="D24" i="8"/>
  <c r="D24" i="10" s="1" a="1"/>
  <c r="D20" i="8"/>
  <c r="D20" i="10" s="1" a="1"/>
  <c r="D16" i="8"/>
  <c r="D16" i="10" s="1" a="1"/>
  <c r="D12" i="8"/>
  <c r="D12" i="10" s="1" a="1"/>
  <c r="D127" i="8"/>
  <c r="D127" i="10" s="1" a="1"/>
  <c r="D123" i="8"/>
  <c r="D123" i="10" s="1" a="1"/>
  <c r="D119" i="8"/>
  <c r="D119" i="10" s="1" a="1"/>
  <c r="D115" i="8"/>
  <c r="D115" i="10" s="1" a="1"/>
  <c r="D111" i="8"/>
  <c r="D111" i="10" s="1" a="1"/>
  <c r="D107" i="8"/>
  <c r="D107" i="10" s="1" a="1"/>
  <c r="D103" i="8"/>
  <c r="D103" i="10" s="1" a="1"/>
  <c r="D99" i="8"/>
  <c r="D99" i="10" s="1" a="1"/>
  <c r="D95" i="8"/>
  <c r="D95" i="10" s="1" a="1"/>
  <c r="D91" i="8"/>
  <c r="D91" i="10" s="1" a="1"/>
  <c r="D87" i="8"/>
  <c r="D87" i="10" s="1" a="1"/>
  <c r="D83" i="8"/>
  <c r="D83" i="10" s="1" a="1"/>
  <c r="D79" i="8"/>
  <c r="D79" i="10" s="1" a="1"/>
  <c r="D75" i="8"/>
  <c r="D75" i="10" s="1" a="1"/>
  <c r="D71" i="8"/>
  <c r="D71" i="10" s="1" a="1"/>
  <c r="D67" i="8"/>
  <c r="D67" i="10" s="1" a="1"/>
  <c r="D63" i="8"/>
  <c r="D63" i="10" s="1" a="1"/>
  <c r="D59" i="8"/>
  <c r="D59" i="10" s="1" a="1"/>
  <c r="D55" i="8"/>
  <c r="D55" i="10" s="1" a="1"/>
  <c r="D51" i="8"/>
  <c r="D51" i="10" s="1" a="1"/>
  <c r="D47" i="8"/>
  <c r="D47" i="10" s="1" a="1"/>
  <c r="D43" i="8"/>
  <c r="D43" i="10" s="1" a="1"/>
  <c r="D39" i="8"/>
  <c r="D39" i="10" s="1" a="1"/>
  <c r="D35" i="8"/>
  <c r="D35" i="10" s="1" a="1"/>
  <c r="D31" i="8"/>
  <c r="D31" i="10" s="1" a="1"/>
  <c r="D27" i="8"/>
  <c r="D27" i="10" s="1" a="1"/>
  <c r="D23" i="8"/>
  <c r="D23" i="10" s="1" a="1"/>
  <c r="D19" i="8"/>
  <c r="D19" i="10" s="1" a="1"/>
  <c r="D15" i="8"/>
  <c r="D15" i="10" s="1" a="1"/>
  <c r="D11" i="8"/>
  <c r="D11" i="10" s="1" a="1"/>
  <c r="D126" i="8"/>
  <c r="D126" i="10" s="1" a="1"/>
  <c r="D122" i="8"/>
  <c r="D122" i="10" s="1" a="1"/>
  <c r="D118" i="8"/>
  <c r="D118" i="10" s="1" a="1"/>
  <c r="D114" i="8"/>
  <c r="D114" i="10" s="1" a="1"/>
  <c r="D110" i="8"/>
  <c r="D110" i="10" s="1" a="1"/>
  <c r="D106" i="8"/>
  <c r="D106" i="10" s="1" a="1"/>
  <c r="D102" i="8"/>
  <c r="D102" i="10" s="1" a="1"/>
  <c r="D98" i="8"/>
  <c r="D98" i="10" s="1" a="1"/>
  <c r="D94" i="8"/>
  <c r="D94" i="10" s="1" a="1"/>
  <c r="D90" i="8"/>
  <c r="D90" i="10" s="1" a="1"/>
  <c r="D90" i="10" s="1"/>
  <c r="D86" i="8"/>
  <c r="D86" i="10" s="1" a="1"/>
  <c r="D82" i="8"/>
  <c r="D82" i="10" s="1" a="1"/>
  <c r="D78" i="8"/>
  <c r="D78" i="10" s="1" a="1"/>
  <c r="D74" i="8"/>
  <c r="D74" i="10" s="1" a="1"/>
  <c r="D74" i="10" s="1"/>
  <c r="D70" i="8"/>
  <c r="D70" i="10" s="1" a="1"/>
  <c r="D66" i="8"/>
  <c r="D66" i="10" s="1" a="1"/>
  <c r="D62" i="8"/>
  <c r="D62" i="10" s="1" a="1"/>
  <c r="D58" i="8"/>
  <c r="D58" i="10" s="1" a="1"/>
  <c r="D58" i="10" s="1"/>
  <c r="D54" i="8"/>
  <c r="D54" i="10" s="1" a="1"/>
  <c r="D50" i="8"/>
  <c r="D50" i="10" s="1" a="1"/>
  <c r="D46" i="8"/>
  <c r="D46" i="10" s="1" a="1"/>
  <c r="D42" i="8"/>
  <c r="D42" i="10" s="1" a="1"/>
  <c r="D42" i="10" s="1"/>
  <c r="D38" i="8"/>
  <c r="D38" i="10" s="1" a="1"/>
  <c r="D34" i="8"/>
  <c r="D34" i="10" s="1" a="1"/>
  <c r="D30" i="8"/>
  <c r="D30" i="10" s="1" a="1"/>
  <c r="D26" i="8"/>
  <c r="D26" i="10" s="1" a="1"/>
  <c r="D26" i="10" s="1"/>
  <c r="D22" i="8"/>
  <c r="D22" i="10" s="1" a="1"/>
  <c r="D18" i="8"/>
  <c r="D18" i="10" s="1" a="1"/>
  <c r="D14" i="8"/>
  <c r="D14" i="10" s="1" a="1"/>
  <c r="D152" i="8"/>
  <c r="D152" i="10" s="1" a="1"/>
  <c r="D152" i="10" s="1"/>
  <c r="D153" i="8"/>
  <c r="D153" i="10" s="1" a="1"/>
  <c r="D153" i="10" s="1"/>
  <c r="D145" i="8"/>
  <c r="D145" i="10" s="1" a="1"/>
  <c r="D145" i="10" s="1"/>
  <c r="D137" i="8"/>
  <c r="D137" i="10" s="1" a="1"/>
  <c r="D137" i="10" s="1"/>
  <c r="D151" i="8"/>
  <c r="D151" i="10" s="1" a="1"/>
  <c r="D151" i="10" s="1"/>
  <c r="D143" i="8"/>
  <c r="D143" i="10" s="1" a="1"/>
  <c r="D143" i="10" s="1"/>
  <c r="D135" i="8"/>
  <c r="D135" i="10" s="1" a="1"/>
  <c r="D135" i="10" s="1"/>
  <c r="D144" i="8"/>
  <c r="D144" i="10" s="1" a="1"/>
  <c r="D144" i="10" s="1"/>
  <c r="D142" i="8"/>
  <c r="D142" i="10" s="1" a="1"/>
  <c r="D142" i="10" s="1"/>
  <c r="D149" i="8"/>
  <c r="D149" i="10" s="1" a="1"/>
  <c r="D149" i="10" s="1"/>
  <c r="D141" i="8"/>
  <c r="D141" i="10" s="1" a="1"/>
  <c r="D141" i="10" s="1"/>
  <c r="D133" i="8"/>
  <c r="D133" i="10" s="1" a="1"/>
  <c r="D133" i="10" s="1"/>
  <c r="D136" i="8"/>
  <c r="D136" i="10" s="1" a="1"/>
  <c r="D136" i="10" s="1"/>
  <c r="D150" i="8"/>
  <c r="D150" i="10" s="1" a="1"/>
  <c r="D150" i="10" s="1"/>
  <c r="D148" i="8"/>
  <c r="D148" i="10" s="1" a="1"/>
  <c r="D148" i="10" s="1"/>
  <c r="D140" i="8"/>
  <c r="D140" i="10" s="1" a="1"/>
  <c r="D140" i="10" s="1"/>
  <c r="D132" i="8"/>
  <c r="D132" i="10" s="1" a="1"/>
  <c r="D132" i="10" s="1"/>
  <c r="D147" i="8"/>
  <c r="D147" i="10" s="1" a="1"/>
  <c r="D147" i="10" s="1"/>
  <c r="D139" i="8"/>
  <c r="D139" i="10" s="1" a="1"/>
  <c r="D139" i="10" s="1"/>
  <c r="D131" i="8"/>
  <c r="D131" i="10" s="1" a="1"/>
  <c r="D131" i="10" s="1"/>
  <c r="D134" i="8"/>
  <c r="D134" i="10" s="1" a="1"/>
  <c r="D134" i="10" s="1"/>
  <c r="D146" i="8"/>
  <c r="D146" i="10" s="1" a="1"/>
  <c r="D146" i="10" s="1"/>
  <c r="D138" i="8"/>
  <c r="D138" i="10" s="1" a="1"/>
  <c r="D138" i="10" s="1"/>
  <c r="D130" i="8"/>
  <c r="D130" i="10" s="1" a="1"/>
  <c r="D130" i="10" s="1"/>
  <c r="D129" i="10"/>
  <c r="D121" i="10"/>
  <c r="D113" i="10"/>
  <c r="D105" i="10"/>
  <c r="D97" i="10"/>
  <c r="D89" i="10"/>
  <c r="D81" i="10"/>
  <c r="D73" i="10"/>
  <c r="D65" i="10"/>
  <c r="D57" i="10"/>
  <c r="D49" i="10"/>
  <c r="D41" i="10"/>
  <c r="D33" i="10"/>
  <c r="D25" i="10"/>
  <c r="D17" i="10"/>
  <c r="D128" i="10"/>
  <c r="D120" i="10"/>
  <c r="D112" i="10"/>
  <c r="D104" i="10"/>
  <c r="D96" i="10"/>
  <c r="D88" i="10"/>
  <c r="D80" i="10"/>
  <c r="D72" i="10"/>
  <c r="D64" i="10"/>
  <c r="D56" i="10"/>
  <c r="D48" i="10"/>
  <c r="D40" i="10"/>
  <c r="D32" i="10"/>
  <c r="D24" i="10"/>
  <c r="D16" i="10"/>
  <c r="D127" i="10"/>
  <c r="D119" i="10"/>
  <c r="D111" i="10"/>
  <c r="D103" i="10"/>
  <c r="D95" i="10"/>
  <c r="D87" i="10"/>
  <c r="D79" i="10"/>
  <c r="D71" i="10"/>
  <c r="D63" i="10"/>
  <c r="D55" i="10"/>
  <c r="D47" i="10"/>
  <c r="D39" i="10"/>
  <c r="D31" i="10"/>
  <c r="D23" i="10"/>
  <c r="D15" i="10"/>
  <c r="D126" i="10"/>
  <c r="D118" i="10"/>
  <c r="D110" i="10"/>
  <c r="D102" i="10"/>
  <c r="D94" i="10"/>
  <c r="D86" i="10"/>
  <c r="D78" i="10"/>
  <c r="D70" i="10"/>
  <c r="D62" i="10"/>
  <c r="D54" i="10"/>
  <c r="D46" i="10"/>
  <c r="D38" i="10"/>
  <c r="D30" i="10"/>
  <c r="D22" i="10"/>
  <c r="D14" i="10"/>
  <c r="D125" i="10"/>
  <c r="D117" i="10"/>
  <c r="D109" i="10"/>
  <c r="D101" i="10"/>
  <c r="D93" i="10"/>
  <c r="D85" i="10"/>
  <c r="D77" i="10"/>
  <c r="D69" i="10"/>
  <c r="D61" i="10"/>
  <c r="D53" i="10"/>
  <c r="D45" i="10"/>
  <c r="D37" i="10"/>
  <c r="D29" i="10"/>
  <c r="D21" i="10"/>
  <c r="D13" i="10"/>
  <c r="D124" i="10"/>
  <c r="D116" i="10"/>
  <c r="D108" i="10"/>
  <c r="D100" i="10"/>
  <c r="D92" i="10"/>
  <c r="D84" i="10"/>
  <c r="D76" i="10"/>
  <c r="D68" i="10"/>
  <c r="D60" i="10"/>
  <c r="D52" i="10"/>
  <c r="D44" i="10"/>
  <c r="D36" i="10"/>
  <c r="D28" i="10"/>
  <c r="D20" i="10"/>
  <c r="D12" i="10"/>
  <c r="D123" i="10"/>
  <c r="D115" i="10"/>
  <c r="D107" i="10"/>
  <c r="D99" i="10"/>
  <c r="D91" i="10"/>
  <c r="D83" i="10"/>
  <c r="D75" i="10"/>
  <c r="D67" i="10"/>
  <c r="D59" i="10"/>
  <c r="D51" i="10"/>
  <c r="D43" i="10"/>
  <c r="D35" i="10"/>
  <c r="D27" i="10"/>
  <c r="D19" i="10"/>
  <c r="D11" i="10"/>
  <c r="D122" i="10"/>
  <c r="D114" i="10"/>
  <c r="D106" i="10"/>
  <c r="D98" i="10"/>
  <c r="D82" i="10"/>
  <c r="D66" i="10"/>
  <c r="D50" i="10"/>
  <c r="D34" i="10"/>
  <c r="D18" i="10"/>
  <c r="D10" i="8"/>
  <c r="B10" i="10"/>
  <c r="D195" i="8"/>
  <c r="D195" i="10" s="1" a="1"/>
  <c r="D195" i="10" s="1"/>
  <c r="D155" i="8"/>
  <c r="D155" i="10" s="1" a="1"/>
  <c r="D155" i="10" s="1"/>
  <c r="D209" i="8"/>
  <c r="D209" i="10" s="1" a="1"/>
  <c r="D209" i="10" s="1"/>
  <c r="D169" i="8"/>
  <c r="D169" i="10" s="1" a="1"/>
  <c r="D169" i="10" s="1"/>
  <c r="D248" i="8"/>
  <c r="D248" i="10" s="1" a="1"/>
  <c r="D248" i="10" s="1"/>
  <c r="D232" i="8"/>
  <c r="D232" i="10" s="1" a="1"/>
  <c r="D232" i="10" s="1"/>
  <c r="D216" i="8"/>
  <c r="D216" i="10" s="1" a="1"/>
  <c r="D216" i="10" s="1"/>
  <c r="D200" i="8"/>
  <c r="D200" i="10" s="1" a="1"/>
  <c r="D200" i="10" s="1"/>
  <c r="D184" i="8"/>
  <c r="D184" i="10" s="1" a="1"/>
  <c r="D184" i="10" s="1"/>
  <c r="D247" i="8"/>
  <c r="D247" i="10" s="1" a="1"/>
  <c r="D247" i="10" s="1"/>
  <c r="D239" i="8"/>
  <c r="D239" i="10" s="1" a="1"/>
  <c r="D239" i="10" s="1"/>
  <c r="D231" i="8"/>
  <c r="D231" i="10" s="1" a="1"/>
  <c r="D231" i="10" s="1"/>
  <c r="D223" i="8"/>
  <c r="D223" i="10" s="1" a="1"/>
  <c r="D223" i="10" s="1"/>
  <c r="D215" i="8"/>
  <c r="D215" i="10" s="1" a="1"/>
  <c r="D215" i="10" s="1"/>
  <c r="D207" i="8"/>
  <c r="D207" i="10" s="1" a="1"/>
  <c r="D207" i="10" s="1"/>
  <c r="D199" i="8"/>
  <c r="D199" i="10" s="1" a="1"/>
  <c r="D199" i="10" s="1"/>
  <c r="D191" i="8"/>
  <c r="D191" i="10" s="1" a="1"/>
  <c r="D191" i="10" s="1"/>
  <c r="D183" i="8"/>
  <c r="D183" i="10" s="1" a="1"/>
  <c r="D183" i="10" s="1"/>
  <c r="D175" i="8"/>
  <c r="D175" i="10" s="1" a="1"/>
  <c r="D175" i="10" s="1"/>
  <c r="D167" i="8"/>
  <c r="D167" i="10" s="1" a="1"/>
  <c r="D167" i="10" s="1"/>
  <c r="D159" i="8"/>
  <c r="D159" i="10" s="1" a="1"/>
  <c r="D159" i="10" s="1"/>
  <c r="D227" i="8"/>
  <c r="D227" i="10" s="1" a="1"/>
  <c r="D227" i="10" s="1"/>
  <c r="D187" i="8"/>
  <c r="D187" i="10" s="1" a="1"/>
  <c r="D187" i="10" s="1"/>
  <c r="D225" i="8"/>
  <c r="D225" i="10" s="1" a="1"/>
  <c r="D225" i="10" s="1"/>
  <c r="D177" i="8"/>
  <c r="D177" i="10" s="1" a="1"/>
  <c r="D177" i="10" s="1"/>
  <c r="D222" i="8"/>
  <c r="D222" i="10" s="1" a="1"/>
  <c r="D222" i="10" s="1"/>
  <c r="D218" i="8"/>
  <c r="D218" i="10" s="1" a="1"/>
  <c r="D218" i="10" s="1"/>
  <c r="D210" i="8"/>
  <c r="D210" i="10" s="1" a="1"/>
  <c r="D210" i="10" s="1"/>
  <c r="D170" i="8"/>
  <c r="D170" i="10" s="1" a="1"/>
  <c r="D170" i="10" s="1"/>
  <c r="D241" i="8"/>
  <c r="D241" i="10" s="1" a="1"/>
  <c r="D241" i="10" s="1"/>
  <c r="D201" i="8"/>
  <c r="D201" i="10" s="1" a="1"/>
  <c r="D201" i="10" s="1"/>
  <c r="D161" i="8"/>
  <c r="D161" i="10" s="1" a="1"/>
  <c r="D161" i="10" s="1"/>
  <c r="D238" i="8"/>
  <c r="D238" i="10" s="1" a="1"/>
  <c r="D238" i="10" s="1"/>
  <c r="D214" i="8"/>
  <c r="D214" i="10" s="1" a="1"/>
  <c r="D214" i="10" s="1"/>
  <c r="D198" i="8"/>
  <c r="D198" i="10" s="1" a="1"/>
  <c r="D198" i="10" s="1"/>
  <c r="D182" i="8"/>
  <c r="D182" i="10" s="1" a="1"/>
  <c r="D182" i="10" s="1"/>
  <c r="D166" i="8"/>
  <c r="D166" i="10" s="1" a="1"/>
  <c r="D166" i="10" s="1"/>
  <c r="D237" i="8"/>
  <c r="D237" i="10" s="1" a="1"/>
  <c r="D237" i="10" s="1"/>
  <c r="D221" i="8"/>
  <c r="D221" i="10" s="1" a="1"/>
  <c r="D221" i="10" s="1"/>
  <c r="D205" i="8"/>
  <c r="D205" i="10" s="1" a="1"/>
  <c r="D205" i="10" s="1"/>
  <c r="D189" i="8"/>
  <c r="D189" i="10" s="1" a="1"/>
  <c r="D189" i="10" s="1"/>
  <c r="D165" i="8"/>
  <c r="D165" i="10" s="1" a="1"/>
  <c r="D165" i="10" s="1"/>
  <c r="D219" i="8"/>
  <c r="D219" i="10" s="1" a="1"/>
  <c r="D219" i="10" s="1"/>
  <c r="D179" i="8"/>
  <c r="D179" i="10" s="1" a="1"/>
  <c r="D179" i="10" s="1"/>
  <c r="D226" i="8"/>
  <c r="D226" i="10" s="1" a="1"/>
  <c r="D226" i="10" s="1"/>
  <c r="D194" i="8"/>
  <c r="D194" i="10" s="1" a="1"/>
  <c r="D194" i="10" s="1"/>
  <c r="D162" i="8"/>
  <c r="D162" i="10" s="1" a="1"/>
  <c r="D162" i="10" s="1"/>
  <c r="D233" i="8"/>
  <c r="D233" i="10" s="1" a="1"/>
  <c r="D233" i="10" s="1"/>
  <c r="D185" i="8"/>
  <c r="D185" i="10" s="1" a="1"/>
  <c r="D185" i="10" s="1"/>
  <c r="D246" i="8"/>
  <c r="D246" i="10" s="1" a="1"/>
  <c r="D246" i="10" s="1"/>
  <c r="D230" i="8"/>
  <c r="D230" i="10" s="1" a="1"/>
  <c r="D230" i="10" s="1"/>
  <c r="D206" i="8"/>
  <c r="D206" i="10" s="1" a="1"/>
  <c r="D206" i="10" s="1"/>
  <c r="D190" i="8"/>
  <c r="D190" i="10" s="1" a="1"/>
  <c r="D190" i="10" s="1"/>
  <c r="D174" i="8"/>
  <c r="D174" i="10" s="1" a="1"/>
  <c r="D174" i="10" s="1"/>
  <c r="D158" i="8"/>
  <c r="D158" i="10" s="1" a="1"/>
  <c r="D158" i="10" s="1"/>
  <c r="D245" i="8"/>
  <c r="D245" i="10" s="1" a="1"/>
  <c r="D245" i="10" s="1"/>
  <c r="D229" i="8"/>
  <c r="D229" i="10" s="1" a="1"/>
  <c r="D229" i="10" s="1"/>
  <c r="D213" i="8"/>
  <c r="D213" i="10" s="1" a="1"/>
  <c r="D213" i="10" s="1"/>
  <c r="D197" i="8"/>
  <c r="D197" i="10" s="1" a="1"/>
  <c r="D197" i="10" s="1"/>
  <c r="D181" i="8"/>
  <c r="D181" i="10" s="1" a="1"/>
  <c r="D181" i="10" s="1"/>
  <c r="D173" i="8"/>
  <c r="D173" i="10" s="1" a="1"/>
  <c r="D173" i="10" s="1"/>
  <c r="D157" i="8"/>
  <c r="D157" i="10" s="1" a="1"/>
  <c r="D157" i="10" s="1"/>
  <c r="D244" i="8"/>
  <c r="D244" i="10" s="1" a="1"/>
  <c r="D244" i="10" s="1"/>
  <c r="D236" i="8"/>
  <c r="D236" i="10" s="1" a="1"/>
  <c r="D236" i="10" s="1"/>
  <c r="D228" i="8"/>
  <c r="D228" i="10" s="1" a="1"/>
  <c r="D228" i="10" s="1"/>
  <c r="D220" i="8"/>
  <c r="D220" i="10" s="1" a="1"/>
  <c r="D220" i="10" s="1"/>
  <c r="D212" i="8"/>
  <c r="D212" i="10" s="1" a="1"/>
  <c r="D212" i="10" s="1"/>
  <c r="D204" i="8"/>
  <c r="D204" i="10" s="1" a="1"/>
  <c r="D204" i="10" s="1"/>
  <c r="D196" i="8"/>
  <c r="D196" i="10" s="1" a="1"/>
  <c r="D196" i="10" s="1"/>
  <c r="D188" i="8"/>
  <c r="D188" i="10" s="1" a="1"/>
  <c r="D188" i="10" s="1"/>
  <c r="D180" i="8"/>
  <c r="D180" i="10" s="1" a="1"/>
  <c r="D180" i="10" s="1"/>
  <c r="D172" i="8"/>
  <c r="D172" i="10" s="1" a="1"/>
  <c r="D172" i="10" s="1"/>
  <c r="D164" i="8"/>
  <c r="D164" i="10" s="1" a="1"/>
  <c r="D164" i="10" s="1"/>
  <c r="D156" i="8"/>
  <c r="D156" i="10" s="1" a="1"/>
  <c r="D156" i="10" s="1"/>
  <c r="D235" i="8"/>
  <c r="D235" i="10" s="1" a="1"/>
  <c r="D235" i="10" s="1"/>
  <c r="D211" i="8"/>
  <c r="D211" i="10" s="1" a="1"/>
  <c r="D211" i="10" s="1"/>
  <c r="D171" i="8"/>
  <c r="D171" i="10" s="1" a="1"/>
  <c r="D171" i="10" s="1"/>
  <c r="D242" i="8"/>
  <c r="D242" i="10" s="1" a="1"/>
  <c r="D242" i="10" s="1"/>
  <c r="D186" i="8"/>
  <c r="D186" i="10" s="1" a="1"/>
  <c r="D186" i="10" s="1"/>
  <c r="D154" i="8"/>
  <c r="D154" i="10" s="1" a="1"/>
  <c r="D154" i="10" s="1"/>
  <c r="D217" i="8"/>
  <c r="D217" i="10" s="1" a="1"/>
  <c r="D217" i="10" s="1"/>
  <c r="D243" i="8"/>
  <c r="D243" i="10" s="1" a="1"/>
  <c r="D243" i="10" s="1"/>
  <c r="D203" i="8"/>
  <c r="D203" i="10" s="1" a="1"/>
  <c r="D203" i="10" s="1"/>
  <c r="D163" i="8"/>
  <c r="D163" i="10" s="1" a="1"/>
  <c r="D163" i="10" s="1"/>
  <c r="D234" i="8"/>
  <c r="D234" i="10" s="1" a="1"/>
  <c r="D234" i="10" s="1"/>
  <c r="D202" i="8"/>
  <c r="D202" i="10" s="1" a="1"/>
  <c r="D202" i="10" s="1"/>
  <c r="D178" i="8"/>
  <c r="D178" i="10" s="1" a="1"/>
  <c r="D178" i="10" s="1"/>
  <c r="D249" i="8"/>
  <c r="D249" i="10" s="1" a="1"/>
  <c r="D249" i="10" s="1"/>
  <c r="D193" i="8"/>
  <c r="D193" i="10" s="1" a="1"/>
  <c r="D193" i="10" s="1"/>
  <c r="D240" i="8"/>
  <c r="D240" i="10" s="1" a="1"/>
  <c r="D240" i="10" s="1"/>
  <c r="D224" i="8"/>
  <c r="D224" i="10" s="1" a="1"/>
  <c r="D224" i="10" s="1"/>
  <c r="D208" i="8"/>
  <c r="D208" i="10" s="1" a="1"/>
  <c r="D208" i="10" s="1"/>
  <c r="D192" i="8"/>
  <c r="D192" i="10" s="1" a="1"/>
  <c r="D192" i="10" s="1"/>
  <c r="D176" i="8"/>
  <c r="D176" i="10" s="1" a="1"/>
  <c r="D176" i="10" s="1"/>
  <c r="D168" i="8"/>
  <c r="D168" i="10" s="1" a="1"/>
  <c r="D168" i="10" s="1"/>
  <c r="D160" i="8"/>
  <c r="D160" i="10" s="1" a="1"/>
  <c r="D160" i="10" s="1"/>
  <c r="J115" i="8" a="1"/>
  <c r="J115" i="8" s="1"/>
  <c r="H118" i="8" a="1"/>
  <c r="H118" i="8" s="1"/>
  <c r="I125" i="8" a="1"/>
  <c r="I125" i="8" s="1"/>
  <c r="J58" i="8" a="1"/>
  <c r="J58" i="8" s="1"/>
  <c r="I100" i="8" a="1"/>
  <c r="I100" i="8" s="1"/>
  <c r="H85" i="8" a="1"/>
  <c r="H85" i="8" s="1"/>
  <c r="H66" i="8" a="1"/>
  <c r="H66" i="8" s="1"/>
  <c r="I28" i="8" a="1"/>
  <c r="I28" i="8" s="1"/>
  <c r="H61" i="8" a="1"/>
  <c r="H61" i="8" s="1"/>
  <c r="I70" i="8" a="1"/>
  <c r="I70" i="8" s="1"/>
  <c r="I127" i="8" a="1"/>
  <c r="I127" i="8" s="1"/>
  <c r="J60" i="8" a="1"/>
  <c r="J60" i="8" s="1"/>
  <c r="I46" i="8" a="1"/>
  <c r="I46" i="8" s="1"/>
  <c r="H22" i="8" a="1"/>
  <c r="H22" i="8" s="1"/>
  <c r="I115" i="8" a="1"/>
  <c r="I115" i="8" s="1"/>
  <c r="J106" i="8" a="1"/>
  <c r="J106" i="8" s="1"/>
  <c r="I112" i="8" a="1"/>
  <c r="I112" i="8" s="1"/>
  <c r="J19" i="8" a="1"/>
  <c r="J19" i="8" s="1"/>
  <c r="J68" i="8" a="1"/>
  <c r="J68" i="8" s="1"/>
  <c r="I121" i="8" a="1"/>
  <c r="I121" i="8" s="1"/>
  <c r="J92" i="8" a="1"/>
  <c r="J92" i="8" s="1"/>
  <c r="I104" i="8" a="1"/>
  <c r="I104" i="8" s="1"/>
  <c r="I123" i="8" a="1"/>
  <c r="I123" i="8" s="1"/>
  <c r="I98" i="8" a="1"/>
  <c r="I98" i="8" s="1"/>
  <c r="I85" i="8" a="1"/>
  <c r="I85" i="8" s="1"/>
  <c r="H86" i="8" a="1"/>
  <c r="H86" i="8" s="1"/>
  <c r="H67" i="8" a="1"/>
  <c r="H67" i="8" s="1"/>
  <c r="J20" i="8" a="1"/>
  <c r="J20" i="8" s="1"/>
  <c r="J42" i="8" a="1"/>
  <c r="J42" i="8" s="1"/>
  <c r="H69" i="8" a="1"/>
  <c r="H69" i="8" s="1"/>
  <c r="I126" i="8" a="1"/>
  <c r="I126" i="8" s="1"/>
  <c r="H45" i="8" a="1"/>
  <c r="H45" i="8" s="1"/>
  <c r="I19" i="8" a="1"/>
  <c r="I19" i="8" s="1"/>
  <c r="I42" i="8" a="1"/>
  <c r="I42" i="8" s="1"/>
  <c r="H91" i="8" a="1"/>
  <c r="H91" i="8" s="1"/>
  <c r="J64" i="8" a="1"/>
  <c r="J64" i="8" s="1"/>
  <c r="J12" i="8" a="1"/>
  <c r="J12" i="8" s="1"/>
  <c r="J14" i="8" a="1"/>
  <c r="J14" i="8" s="1"/>
  <c r="J112" i="8" a="1"/>
  <c r="J112" i="8" s="1"/>
  <c r="J118" i="8" a="1"/>
  <c r="J118" i="8" s="1"/>
  <c r="J84" i="8" a="1"/>
  <c r="J84" i="8" s="1"/>
  <c r="H90" i="8" a="1"/>
  <c r="H90" i="8" s="1"/>
  <c r="I95" i="8" a="1"/>
  <c r="I95" i="8" s="1"/>
  <c r="I101" i="8" a="1"/>
  <c r="I101" i="8" s="1"/>
  <c r="I122" i="8" a="1"/>
  <c r="I122" i="8" s="1"/>
  <c r="I96" i="8" a="1"/>
  <c r="I96" i="8" s="1"/>
  <c r="I84" i="8" a="1"/>
  <c r="I84" i="8" s="1"/>
  <c r="J39" i="8" a="1"/>
  <c r="J39" i="8" s="1"/>
  <c r="J41" i="8" a="1"/>
  <c r="J41" i="8" s="1"/>
  <c r="J43" i="8" a="1"/>
  <c r="J43" i="8" s="1"/>
  <c r="I77" i="8" a="1"/>
  <c r="I77" i="8" s="1"/>
  <c r="J109" i="8" a="1"/>
  <c r="J109" i="8" s="1"/>
  <c r="J107" i="8" a="1"/>
  <c r="J107" i="8" s="1"/>
  <c r="J87" i="8" a="1"/>
  <c r="J87" i="8" s="1"/>
  <c r="H93" i="8" a="1"/>
  <c r="H93" i="8" s="1"/>
  <c r="I111" i="8" a="1"/>
  <c r="I111" i="8" s="1"/>
  <c r="I43" i="8" a="1"/>
  <c r="I43" i="8" s="1"/>
  <c r="J82" i="8" a="1"/>
  <c r="J82" i="8" s="1"/>
  <c r="H43" i="8" a="1"/>
  <c r="H43" i="8" s="1"/>
  <c r="J69" i="8" a="1"/>
  <c r="J69" i="8" s="1"/>
  <c r="J111" i="8" a="1"/>
  <c r="J111" i="8" s="1"/>
  <c r="H125" i="8" a="1"/>
  <c r="H125" i="8" s="1"/>
  <c r="H110" i="8" a="1"/>
  <c r="H110" i="8" s="1"/>
  <c r="J83" i="8" a="1"/>
  <c r="J83" i="8" s="1"/>
  <c r="J45" i="8" a="1"/>
  <c r="J45" i="8" s="1"/>
  <c r="I36" i="8" a="1"/>
  <c r="I36" i="8" s="1"/>
  <c r="H62" i="8" a="1"/>
  <c r="H62" i="8" s="1"/>
  <c r="I73" i="8" a="1"/>
  <c r="I73" i="8" s="1"/>
  <c r="J61" i="8" a="1"/>
  <c r="J61" i="8" s="1"/>
  <c r="J16" i="8" a="1"/>
  <c r="J16" i="8" s="1"/>
  <c r="J63" i="8" a="1"/>
  <c r="J63" i="8" s="1"/>
  <c r="H42" i="8" a="1"/>
  <c r="H42" i="8" s="1"/>
  <c r="J66" i="8" a="1"/>
  <c r="J66" i="8" s="1"/>
  <c r="H48" i="8" a="1"/>
  <c r="H48" i="8" s="1"/>
  <c r="I63" i="8" a="1"/>
  <c r="I63" i="8" s="1"/>
  <c r="H115" i="8" a="1"/>
  <c r="H115" i="8" s="1"/>
  <c r="H94" i="8" a="1"/>
  <c r="H94" i="8" s="1"/>
  <c r="J86" i="8" a="1"/>
  <c r="J86" i="8" s="1"/>
  <c r="I90" i="8" a="1"/>
  <c r="I90" i="8" s="1"/>
  <c r="I88" i="8" a="1"/>
  <c r="I88" i="8" s="1"/>
  <c r="J37" i="8" a="1"/>
  <c r="J37" i="8" s="1"/>
  <c r="J22" i="8" a="1"/>
  <c r="J22" i="8" s="1"/>
  <c r="H18" i="8" a="1"/>
  <c r="H18" i="8" s="1"/>
  <c r="H47" i="8" a="1"/>
  <c r="H47" i="8" s="1"/>
  <c r="I64" i="8" a="1"/>
  <c r="I64" i="8" s="1"/>
  <c r="J116" i="8" a="1"/>
  <c r="J116" i="8" s="1"/>
  <c r="H121" i="8" a="1"/>
  <c r="H121" i="8" s="1"/>
  <c r="J85" i="8" a="1"/>
  <c r="J85" i="8" s="1"/>
  <c r="I79" i="8" a="1"/>
  <c r="I79" i="8" s="1"/>
  <c r="J15" i="8" a="1"/>
  <c r="J15" i="8" s="1"/>
  <c r="J44" i="8" a="1"/>
  <c r="J44" i="8" s="1"/>
  <c r="I37" i="8" a="1"/>
  <c r="I37" i="8" s="1"/>
  <c r="H37" i="8" a="1"/>
  <c r="H37" i="8" s="1"/>
  <c r="H14" i="8" a="1"/>
  <c r="H14" i="8" s="1"/>
  <c r="J11" i="8" a="1"/>
  <c r="J11" i="8" s="1"/>
  <c r="J35" i="8" a="1"/>
  <c r="J35" i="8" s="1"/>
  <c r="H12" i="8" a="1"/>
  <c r="H12" i="8" s="1"/>
  <c r="J67" i="8" a="1"/>
  <c r="J67" i="8" s="1"/>
  <c r="D10" i="10" a="1"/>
  <c r="D10" i="10" l="1"/>
  <c r="J36" i="8" a="1"/>
  <c r="J36" i="8" s="1"/>
  <c r="J108" i="8" a="1"/>
  <c r="J108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22" i="8" a="1"/>
  <c r="R22" i="8" s="1"/>
  <c r="R23" i="8" a="1"/>
  <c r="R23" i="8" s="1"/>
  <c r="R24" i="8" a="1"/>
  <c r="R24" i="8" s="1"/>
  <c r="R25" i="8" a="1"/>
  <c r="R25" i="8" s="1"/>
  <c r="R26" i="8" a="1"/>
  <c r="R26" i="8" s="1"/>
  <c r="R27" i="8" a="1"/>
  <c r="R27" i="8" s="1"/>
  <c r="R28" i="8" a="1"/>
  <c r="R28" i="8" s="1"/>
  <c r="R29" i="8" a="1"/>
  <c r="R29" i="8" s="1"/>
  <c r="R30" i="8" a="1"/>
  <c r="R30" i="8" s="1"/>
  <c r="R31" i="8" a="1"/>
  <c r="R31" i="8" s="1"/>
  <c r="R32" i="8" a="1"/>
  <c r="R32" i="8" s="1"/>
  <c r="R33" i="8" a="1"/>
  <c r="R33" i="8" s="1"/>
  <c r="R34" i="8" a="1"/>
  <c r="R34" i="8" s="1"/>
  <c r="R35" i="8" a="1"/>
  <c r="R35" i="8" s="1"/>
  <c r="R36" i="8" a="1"/>
  <c r="R36" i="8" s="1"/>
  <c r="R37" i="8" a="1"/>
  <c r="R37" i="8" s="1"/>
  <c r="R38" i="8" a="1"/>
  <c r="R38" i="8" s="1"/>
  <c r="R39" i="8" a="1"/>
  <c r="R39" i="8" s="1"/>
  <c r="R40" i="8" a="1"/>
  <c r="R40" i="8" s="1"/>
  <c r="R41" i="8" a="1"/>
  <c r="R41" i="8" s="1"/>
  <c r="R42" i="8" a="1"/>
  <c r="R42" i="8" s="1"/>
  <c r="R43" i="8" a="1"/>
  <c r="R43" i="8" s="1"/>
  <c r="R44" i="8" a="1"/>
  <c r="R44" i="8" s="1"/>
  <c r="R45" i="8" a="1"/>
  <c r="R45" i="8" s="1"/>
  <c r="R46" i="8" a="1"/>
  <c r="R46" i="8" s="1"/>
  <c r="R47" i="8" a="1"/>
  <c r="R47" i="8" s="1"/>
  <c r="R48" i="8" a="1"/>
  <c r="R48" i="8" s="1"/>
  <c r="R49" i="8" a="1"/>
  <c r="R49" i="8" s="1"/>
  <c r="R50" i="8" a="1"/>
  <c r="R50" i="8" s="1"/>
  <c r="R51" i="8" a="1"/>
  <c r="R51" i="8" s="1"/>
  <c r="R52" i="8" a="1"/>
  <c r="R52" i="8" s="1"/>
  <c r="R53" i="8" a="1"/>
  <c r="R53" i="8" s="1"/>
  <c r="R54" i="8" a="1"/>
  <c r="R54" i="8" s="1"/>
  <c r="R55" i="8" a="1"/>
  <c r="R55" i="8" s="1"/>
  <c r="R56" i="8" a="1"/>
  <c r="R56" i="8" s="1"/>
  <c r="R57" i="8" a="1"/>
  <c r="R57" i="8" s="1"/>
  <c r="R58" i="8" a="1"/>
  <c r="R58" i="8" s="1"/>
  <c r="R59" i="8" a="1"/>
  <c r="R59" i="8" s="1"/>
  <c r="R60" i="8" a="1"/>
  <c r="R60" i="8" s="1"/>
  <c r="R61" i="8" a="1"/>
  <c r="R61" i="8" s="1"/>
  <c r="R62" i="8" a="1"/>
  <c r="R62" i="8" s="1"/>
  <c r="R63" i="8" a="1"/>
  <c r="R63" i="8" s="1"/>
  <c r="R64" i="8" a="1"/>
  <c r="R64" i="8" s="1"/>
  <c r="R65" i="8" a="1"/>
  <c r="R65" i="8" s="1"/>
  <c r="R66" i="8" a="1"/>
  <c r="R66" i="8" s="1"/>
  <c r="R67" i="8" a="1"/>
  <c r="R67" i="8" s="1"/>
  <c r="R68" i="8" a="1"/>
  <c r="R68" i="8" s="1"/>
  <c r="R69" i="8" a="1"/>
  <c r="R69" i="8" s="1"/>
  <c r="R70" i="8" a="1"/>
  <c r="R70" i="8" s="1"/>
  <c r="R71" i="8" a="1"/>
  <c r="R71" i="8" s="1"/>
  <c r="R72" i="8" a="1"/>
  <c r="R72" i="8" s="1"/>
  <c r="R73" i="8" a="1"/>
  <c r="R73" i="8" s="1"/>
  <c r="R74" i="8" a="1"/>
  <c r="R74" i="8" s="1"/>
  <c r="R75" i="8" a="1"/>
  <c r="R75" i="8" s="1"/>
  <c r="R76" i="8" a="1"/>
  <c r="R76" i="8" s="1"/>
  <c r="R77" i="8" a="1"/>
  <c r="R77" i="8" s="1"/>
  <c r="R78" i="8" a="1"/>
  <c r="R78" i="8" s="1"/>
  <c r="R79" i="8" a="1"/>
  <c r="R79" i="8" s="1"/>
  <c r="R80" i="8" a="1"/>
  <c r="R80" i="8" s="1"/>
  <c r="R81" i="8" a="1"/>
  <c r="R81" i="8" s="1"/>
  <c r="R82" i="8" a="1"/>
  <c r="R82" i="8" s="1"/>
  <c r="R83" i="8" a="1"/>
  <c r="R83" i="8" s="1"/>
  <c r="R84" i="8" a="1"/>
  <c r="R84" i="8" s="1"/>
  <c r="R85" i="8" a="1"/>
  <c r="R85" i="8" s="1"/>
  <c r="R86" i="8" a="1"/>
  <c r="R86" i="8" s="1"/>
  <c r="R87" i="8" a="1"/>
  <c r="R87" i="8" s="1"/>
  <c r="R88" i="8" a="1"/>
  <c r="R88" i="8" s="1"/>
  <c r="R89" i="8" a="1"/>
  <c r="R89" i="8" s="1"/>
  <c r="R90" i="8" a="1"/>
  <c r="R90" i="8" s="1"/>
  <c r="R91" i="8" a="1"/>
  <c r="R91" i="8" s="1"/>
  <c r="R92" i="8" a="1"/>
  <c r="R92" i="8" s="1"/>
  <c r="R93" i="8" a="1"/>
  <c r="R93" i="8" s="1"/>
  <c r="R94" i="8" a="1"/>
  <c r="R94" i="8" s="1"/>
  <c r="R95" i="8" a="1"/>
  <c r="R95" i="8" s="1"/>
  <c r="R96" i="8" a="1"/>
  <c r="R96" i="8" s="1"/>
  <c r="R97" i="8" a="1"/>
  <c r="R97" i="8" s="1"/>
  <c r="R98" i="8" a="1"/>
  <c r="R98" i="8" s="1"/>
  <c r="R99" i="8" a="1"/>
  <c r="R99" i="8" s="1"/>
  <c r="R100" i="8" a="1"/>
  <c r="R100" i="8" s="1"/>
  <c r="R101" i="8" a="1"/>
  <c r="R101" i="8" s="1"/>
  <c r="R102" i="8" a="1"/>
  <c r="R102" i="8" s="1"/>
  <c r="R103" i="8" a="1"/>
  <c r="R103" i="8" s="1"/>
  <c r="R104" i="8" a="1"/>
  <c r="R104" i="8" s="1"/>
  <c r="R105" i="8" a="1"/>
  <c r="R105" i="8" s="1"/>
  <c r="R106" i="8" a="1"/>
  <c r="R106" i="8" s="1"/>
  <c r="R107" i="8" a="1"/>
  <c r="R107" i="8" s="1"/>
  <c r="R108" i="8" a="1"/>
  <c r="R108" i="8" s="1"/>
  <c r="R109" i="8" a="1"/>
  <c r="R109" i="8" s="1"/>
  <c r="R110" i="8" a="1"/>
  <c r="R110" i="8" s="1"/>
  <c r="R111" i="8" a="1"/>
  <c r="R111" i="8" s="1"/>
  <c r="R112" i="8" a="1"/>
  <c r="R112" i="8" s="1"/>
  <c r="R113" i="8" a="1"/>
  <c r="R113" i="8" s="1"/>
  <c r="R114" i="8" a="1"/>
  <c r="R114" i="8" s="1"/>
  <c r="R115" i="8" a="1"/>
  <c r="R115" i="8" s="1"/>
  <c r="R116" i="8" a="1"/>
  <c r="R116" i="8" s="1"/>
  <c r="R117" i="8" a="1"/>
  <c r="R117" i="8" s="1"/>
  <c r="R118" i="8" a="1"/>
  <c r="R118" i="8" s="1"/>
  <c r="R119" i="8" a="1"/>
  <c r="R119" i="8" s="1"/>
  <c r="R120" i="8" a="1"/>
  <c r="R120" i="8" s="1"/>
  <c r="R121" i="8" a="1"/>
  <c r="R121" i="8" s="1"/>
  <c r="R122" i="8" a="1"/>
  <c r="R122" i="8" s="1"/>
  <c r="R123" i="8" a="1"/>
  <c r="R123" i="8" s="1"/>
  <c r="R124" i="8" a="1"/>
  <c r="R124" i="8" s="1"/>
  <c r="R125" i="8" a="1"/>
  <c r="R125" i="8" s="1"/>
  <c r="R126" i="8" a="1"/>
  <c r="R126" i="8" s="1"/>
  <c r="R127" i="8" a="1"/>
  <c r="R127" i="8" s="1"/>
  <c r="R128" i="8" a="1"/>
  <c r="R128" i="8" s="1"/>
  <c r="R129" i="8" a="1"/>
  <c r="R129" i="8" s="1"/>
  <c r="R130" i="8" a="1"/>
  <c r="R130" i="8" s="1"/>
  <c r="R131" i="8" a="1"/>
  <c r="R131" i="8" s="1"/>
  <c r="R132" i="8" a="1"/>
  <c r="R132" i="8" s="1"/>
  <c r="R133" i="8" a="1"/>
  <c r="R133" i="8" s="1"/>
  <c r="R134" i="8" a="1"/>
  <c r="R134" i="8" s="1"/>
  <c r="R135" i="8" a="1"/>
  <c r="R135" i="8" s="1"/>
  <c r="R136" i="8" a="1"/>
  <c r="R136" i="8" s="1"/>
  <c r="R137" i="8" a="1"/>
  <c r="R137" i="8" s="1"/>
  <c r="R138" i="8" a="1"/>
  <c r="R138" i="8" s="1"/>
  <c r="R139" i="8" a="1"/>
  <c r="R139" i="8" s="1"/>
  <c r="R140" i="8" a="1"/>
  <c r="R140" i="8" s="1"/>
  <c r="R141" i="8" a="1"/>
  <c r="R141" i="8" s="1"/>
  <c r="R142" i="8" a="1"/>
  <c r="R142" i="8" s="1"/>
  <c r="R143" i="8" a="1"/>
  <c r="R143" i="8" s="1"/>
  <c r="R144" i="8" a="1"/>
  <c r="R144" i="8" s="1"/>
  <c r="R145" i="8" a="1"/>
  <c r="R145" i="8" s="1"/>
  <c r="R146" i="8" a="1"/>
  <c r="R146" i="8" s="1"/>
  <c r="R147" i="8" a="1"/>
  <c r="R147" i="8" s="1"/>
  <c r="R148" i="8" a="1"/>
  <c r="R148" i="8" s="1"/>
  <c r="R149" i="8" a="1"/>
  <c r="R149" i="8" s="1"/>
  <c r="R150" i="8" a="1"/>
  <c r="R150" i="8" s="1"/>
  <c r="R151" i="8" a="1"/>
  <c r="R151" i="8" s="1"/>
  <c r="R152" i="8" a="1"/>
  <c r="R152" i="8" s="1"/>
  <c r="R153" i="8" a="1"/>
  <c r="R153" i="8" s="1"/>
  <c r="R154" i="8" a="1"/>
  <c r="R154" i="8" s="1"/>
  <c r="R155" i="8" a="1"/>
  <c r="R155" i="8" s="1"/>
  <c r="R156" i="8" a="1"/>
  <c r="R156" i="8" s="1"/>
  <c r="R157" i="8" a="1"/>
  <c r="R157" i="8" s="1"/>
  <c r="R158" i="8" a="1"/>
  <c r="R158" i="8" s="1"/>
  <c r="R159" i="8" a="1"/>
  <c r="R159" i="8" s="1"/>
  <c r="R160" i="8" a="1"/>
  <c r="R160" i="8" s="1"/>
  <c r="R161" i="8" a="1"/>
  <c r="R161" i="8" s="1"/>
  <c r="R162" i="8" a="1"/>
  <c r="R162" i="8" s="1"/>
  <c r="R163" i="8" a="1"/>
  <c r="R163" i="8" s="1"/>
  <c r="R164" i="8" a="1"/>
  <c r="R164" i="8" s="1"/>
  <c r="R165" i="8" a="1"/>
  <c r="R165" i="8" s="1"/>
  <c r="R166" i="8" a="1"/>
  <c r="R166" i="8" s="1"/>
  <c r="R167" i="8" a="1"/>
  <c r="R167" i="8" s="1"/>
  <c r="R168" i="8" a="1"/>
  <c r="R168" i="8" s="1"/>
  <c r="R169" i="8" a="1"/>
  <c r="R169" i="8" s="1"/>
  <c r="R170" i="8" a="1"/>
  <c r="R170" i="8" s="1"/>
  <c r="R171" i="8" a="1"/>
  <c r="R171" i="8" s="1"/>
  <c r="R172" i="8" a="1"/>
  <c r="R172" i="8" s="1"/>
  <c r="R173" i="8" a="1"/>
  <c r="R173" i="8" s="1"/>
  <c r="R174" i="8" a="1"/>
  <c r="R174" i="8" s="1"/>
  <c r="R175" i="8" a="1"/>
  <c r="R175" i="8" s="1"/>
  <c r="R176" i="8" a="1"/>
  <c r="R176" i="8" s="1"/>
  <c r="R177" i="8" a="1"/>
  <c r="R177" i="8" s="1"/>
  <c r="R178" i="8" a="1"/>
  <c r="R178" i="8" s="1"/>
  <c r="R179" i="8" a="1"/>
  <c r="R179" i="8" s="1"/>
  <c r="R180" i="8" a="1"/>
  <c r="R180" i="8" s="1"/>
  <c r="R181" i="8" a="1"/>
  <c r="R181" i="8" s="1"/>
  <c r="R182" i="8" a="1"/>
  <c r="R182" i="8" s="1"/>
  <c r="R183" i="8" a="1"/>
  <c r="R183" i="8" s="1"/>
  <c r="R184" i="8" a="1"/>
  <c r="R184" i="8" s="1"/>
  <c r="R185" i="8" a="1"/>
  <c r="R185" i="8" s="1"/>
  <c r="R186" i="8" a="1"/>
  <c r="R186" i="8" s="1"/>
  <c r="R187" i="8" a="1"/>
  <c r="R187" i="8" s="1"/>
  <c r="R188" i="8" a="1"/>
  <c r="R188" i="8" s="1"/>
  <c r="R189" i="8" a="1"/>
  <c r="R189" i="8" s="1"/>
  <c r="R190" i="8" a="1"/>
  <c r="R190" i="8" s="1"/>
  <c r="R191" i="8" a="1"/>
  <c r="R191" i="8" s="1"/>
  <c r="R192" i="8" a="1"/>
  <c r="R192" i="8" s="1"/>
  <c r="R193" i="8" a="1"/>
  <c r="R193" i="8" s="1"/>
  <c r="R194" i="8" a="1"/>
  <c r="R194" i="8" s="1"/>
  <c r="R195" i="8" a="1"/>
  <c r="R195" i="8" s="1"/>
  <c r="R196" i="8" a="1"/>
  <c r="R196" i="8" s="1"/>
  <c r="R197" i="8" a="1"/>
  <c r="R197" i="8" s="1"/>
  <c r="R198" i="8" a="1"/>
  <c r="R198" i="8" s="1"/>
  <c r="R199" i="8" a="1"/>
  <c r="R199" i="8" s="1"/>
  <c r="R200" i="8" a="1"/>
  <c r="R200" i="8" s="1"/>
  <c r="R201" i="8" a="1"/>
  <c r="R201" i="8" s="1"/>
  <c r="R202" i="8" a="1"/>
  <c r="R202" i="8" s="1"/>
  <c r="R203" i="8" a="1"/>
  <c r="R203" i="8" s="1"/>
  <c r="R204" i="8" a="1"/>
  <c r="R204" i="8" s="1"/>
  <c r="R205" i="8" a="1"/>
  <c r="R205" i="8" s="1"/>
  <c r="R206" i="8" a="1"/>
  <c r="R206" i="8" s="1"/>
  <c r="R207" i="8" a="1"/>
  <c r="R207" i="8" s="1"/>
  <c r="R208" i="8" a="1"/>
  <c r="R208" i="8" s="1"/>
  <c r="R209" i="8" a="1"/>
  <c r="R209" i="8" s="1"/>
  <c r="R210" i="8" a="1"/>
  <c r="R210" i="8" s="1"/>
  <c r="R211" i="8" a="1"/>
  <c r="R211" i="8" s="1"/>
  <c r="R212" i="8" a="1"/>
  <c r="R212" i="8" s="1"/>
  <c r="R213" i="8" a="1"/>
  <c r="R213" i="8" s="1"/>
  <c r="R214" i="8" a="1"/>
  <c r="R214" i="8" s="1"/>
  <c r="R215" i="8" a="1"/>
  <c r="R215" i="8" s="1"/>
  <c r="R216" i="8" a="1"/>
  <c r="R216" i="8" s="1"/>
  <c r="R217" i="8" a="1"/>
  <c r="R217" i="8" s="1"/>
  <c r="R218" i="8" a="1"/>
  <c r="R218" i="8" s="1"/>
  <c r="R219" i="8" a="1"/>
  <c r="R219" i="8" s="1"/>
  <c r="R220" i="8" a="1"/>
  <c r="R220" i="8" s="1"/>
  <c r="R221" i="8" a="1"/>
  <c r="R221" i="8" s="1"/>
  <c r="R222" i="8" a="1"/>
  <c r="R222" i="8" s="1"/>
  <c r="R223" i="8" a="1"/>
  <c r="R223" i="8" s="1"/>
  <c r="R224" i="8" a="1"/>
  <c r="R224" i="8" s="1"/>
  <c r="R225" i="8" a="1"/>
  <c r="R225" i="8" s="1"/>
  <c r="R226" i="8" a="1"/>
  <c r="R226" i="8" s="1"/>
  <c r="R227" i="8" a="1"/>
  <c r="R227" i="8" s="1"/>
  <c r="R228" i="8" a="1"/>
  <c r="R228" i="8" s="1"/>
  <c r="R229" i="8" a="1"/>
  <c r="R229" i="8" s="1"/>
  <c r="R230" i="8" a="1"/>
  <c r="R230" i="8" s="1"/>
  <c r="R231" i="8" a="1"/>
  <c r="R231" i="8" s="1"/>
  <c r="R232" i="8" a="1"/>
  <c r="R232" i="8" s="1"/>
  <c r="R233" i="8" a="1"/>
  <c r="R233" i="8" s="1"/>
  <c r="R234" i="8" a="1"/>
  <c r="R234" i="8" s="1"/>
  <c r="R235" i="8" a="1"/>
  <c r="R235" i="8" s="1"/>
  <c r="R236" i="8" a="1"/>
  <c r="R236" i="8" s="1"/>
  <c r="R237" i="8" a="1"/>
  <c r="R237" i="8" s="1"/>
  <c r="R238" i="8" a="1"/>
  <c r="R238" i="8" s="1"/>
  <c r="R239" i="8" a="1"/>
  <c r="R239" i="8" s="1"/>
  <c r="R240" i="8" a="1"/>
  <c r="R240" i="8" s="1"/>
  <c r="R241" i="8" a="1"/>
  <c r="R241" i="8" s="1"/>
  <c r="R242" i="8" a="1"/>
  <c r="R242" i="8" s="1"/>
  <c r="R243" i="8" a="1"/>
  <c r="R243" i="8" s="1"/>
  <c r="R244" i="8" a="1"/>
  <c r="R244" i="8" s="1"/>
  <c r="R245" i="8" a="1"/>
  <c r="R245" i="8" s="1"/>
  <c r="R246" i="8" a="1"/>
  <c r="R246" i="8" s="1"/>
  <c r="R247" i="8" a="1"/>
  <c r="R247" i="8" s="1"/>
  <c r="R248" i="8" a="1"/>
  <c r="R248" i="8" s="1"/>
  <c r="R249" i="8" a="1"/>
  <c r="R249" i="8" s="1"/>
  <c r="Q11" i="8" a="1"/>
  <c r="Q11" i="8" s="1"/>
  <c r="Q12" i="8" a="1"/>
  <c r="Q12" i="8" s="1"/>
  <c r="Q13" i="8" a="1"/>
  <c r="Q13" i="8" s="1"/>
  <c r="Q14" i="8" a="1"/>
  <c r="Q14" i="8" s="1"/>
  <c r="Q15" i="8" a="1"/>
  <c r="Q15" i="8" s="1"/>
  <c r="Q16" i="8" a="1"/>
  <c r="Q16" i="8" s="1"/>
  <c r="Q17" i="8" a="1"/>
  <c r="Q17" i="8" s="1"/>
  <c r="Q18" i="8" a="1"/>
  <c r="Q18" i="8" s="1"/>
  <c r="Q19" i="8" a="1"/>
  <c r="Q19" i="8" s="1"/>
  <c r="Q20" i="8" a="1"/>
  <c r="Q20" i="8" s="1"/>
  <c r="Q21" i="8" a="1"/>
  <c r="Q21" i="8" s="1"/>
  <c r="Q22" i="8" a="1"/>
  <c r="Q22" i="8" s="1"/>
  <c r="Q23" i="8" a="1"/>
  <c r="Q23" i="8" s="1"/>
  <c r="Q24" i="8" a="1"/>
  <c r="Q24" i="8" s="1"/>
  <c r="Q25" i="8" a="1"/>
  <c r="Q25" i="8" s="1"/>
  <c r="Q26" i="8" a="1"/>
  <c r="Q26" i="8" s="1"/>
  <c r="Q27" i="8" a="1"/>
  <c r="Q27" i="8" s="1"/>
  <c r="Q28" i="8" a="1"/>
  <c r="Q28" i="8" s="1"/>
  <c r="Q29" i="8" a="1"/>
  <c r="Q29" i="8" s="1"/>
  <c r="Q30" i="8" a="1"/>
  <c r="Q30" i="8" s="1"/>
  <c r="Q31" i="8" a="1"/>
  <c r="Q31" i="8" s="1"/>
  <c r="Q32" i="8" a="1"/>
  <c r="Q32" i="8" s="1"/>
  <c r="Q33" i="8" a="1"/>
  <c r="Q33" i="8" s="1"/>
  <c r="Q34" i="8" a="1"/>
  <c r="Q34" i="8" s="1"/>
  <c r="Q35" i="8" a="1"/>
  <c r="Q35" i="8" s="1"/>
  <c r="Q36" i="8" a="1"/>
  <c r="Q36" i="8" s="1"/>
  <c r="Q37" i="8" a="1"/>
  <c r="Q37" i="8" s="1"/>
  <c r="Q38" i="8" a="1"/>
  <c r="Q38" i="8" s="1"/>
  <c r="Q39" i="8" a="1"/>
  <c r="Q39" i="8" s="1"/>
  <c r="Q40" i="8" a="1"/>
  <c r="Q40" i="8" s="1"/>
  <c r="Q41" i="8" a="1"/>
  <c r="Q41" i="8" s="1"/>
  <c r="Q42" i="8" a="1"/>
  <c r="Q42" i="8" s="1"/>
  <c r="Q43" i="8" a="1"/>
  <c r="Q43" i="8" s="1"/>
  <c r="Q44" i="8" a="1"/>
  <c r="Q44" i="8" s="1"/>
  <c r="Q45" i="8" a="1"/>
  <c r="Q45" i="8" s="1"/>
  <c r="Q46" i="8" a="1"/>
  <c r="Q46" i="8" s="1"/>
  <c r="Q47" i="8" a="1"/>
  <c r="Q47" i="8" s="1"/>
  <c r="Q48" i="8" a="1"/>
  <c r="Q48" i="8" s="1"/>
  <c r="Q49" i="8" a="1"/>
  <c r="Q49" i="8" s="1"/>
  <c r="Q50" i="8" a="1"/>
  <c r="Q50" i="8" s="1"/>
  <c r="Q51" i="8" a="1"/>
  <c r="Q51" i="8" s="1"/>
  <c r="Q52" i="8" a="1"/>
  <c r="Q52" i="8" s="1"/>
  <c r="Q53" i="8" a="1"/>
  <c r="Q53" i="8" s="1"/>
  <c r="Q54" i="8" a="1"/>
  <c r="Q54" i="8" s="1"/>
  <c r="Q55" i="8" a="1"/>
  <c r="Q55" i="8" s="1"/>
  <c r="Q56" i="8" a="1"/>
  <c r="Q56" i="8" s="1"/>
  <c r="Q57" i="8" a="1"/>
  <c r="Q57" i="8" s="1"/>
  <c r="Q58" i="8" a="1"/>
  <c r="Q58" i="8" s="1"/>
  <c r="Q59" i="8" a="1"/>
  <c r="Q59" i="8" s="1"/>
  <c r="Q60" i="8" a="1"/>
  <c r="Q60" i="8" s="1"/>
  <c r="Q61" i="8" a="1"/>
  <c r="Q61" i="8" s="1"/>
  <c r="Q62" i="8" a="1"/>
  <c r="Q62" i="8" s="1"/>
  <c r="Q63" i="8" a="1"/>
  <c r="Q63" i="8" s="1"/>
  <c r="Q64" i="8" a="1"/>
  <c r="Q64" i="8" s="1"/>
  <c r="Q65" i="8" a="1"/>
  <c r="Q65" i="8" s="1"/>
  <c r="Q66" i="8" a="1"/>
  <c r="Q66" i="8" s="1"/>
  <c r="Q67" i="8" a="1"/>
  <c r="Q67" i="8" s="1"/>
  <c r="Q68" i="8" a="1"/>
  <c r="Q68" i="8" s="1"/>
  <c r="Q69" i="8" a="1"/>
  <c r="Q69" i="8" s="1"/>
  <c r="Q70" i="8" a="1"/>
  <c r="Q70" i="8" s="1"/>
  <c r="Q71" i="8" a="1"/>
  <c r="Q71" i="8" s="1"/>
  <c r="Q72" i="8" a="1"/>
  <c r="Q72" i="8" s="1"/>
  <c r="Q73" i="8" a="1"/>
  <c r="Q73" i="8" s="1"/>
  <c r="Q74" i="8" a="1"/>
  <c r="Q74" i="8" s="1"/>
  <c r="Q75" i="8" a="1"/>
  <c r="Q75" i="8" s="1"/>
  <c r="Q76" i="8" a="1"/>
  <c r="Q76" i="8" s="1"/>
  <c r="Q77" i="8" a="1"/>
  <c r="Q77" i="8" s="1"/>
  <c r="Q78" i="8" a="1"/>
  <c r="Q78" i="8" s="1"/>
  <c r="Q79" i="8" a="1"/>
  <c r="Q79" i="8" s="1"/>
  <c r="Q80" i="8" a="1"/>
  <c r="Q80" i="8" s="1"/>
  <c r="Q81" i="8" a="1"/>
  <c r="Q81" i="8" s="1"/>
  <c r="Q82" i="8" a="1"/>
  <c r="Q82" i="8" s="1"/>
  <c r="Q83" i="8" a="1"/>
  <c r="Q83" i="8" s="1"/>
  <c r="Q84" i="8" a="1"/>
  <c r="Q84" i="8" s="1"/>
  <c r="Q85" i="8" a="1"/>
  <c r="Q85" i="8" s="1"/>
  <c r="Q86" i="8" a="1"/>
  <c r="Q86" i="8" s="1"/>
  <c r="Q87" i="8" a="1"/>
  <c r="Q87" i="8" s="1"/>
  <c r="Q88" i="8" a="1"/>
  <c r="Q88" i="8" s="1"/>
  <c r="Q89" i="8" a="1"/>
  <c r="Q89" i="8" s="1"/>
  <c r="Q90" i="8" a="1"/>
  <c r="Q90" i="8" s="1"/>
  <c r="Q91" i="8" a="1"/>
  <c r="Q91" i="8" s="1"/>
  <c r="Q92" i="8" a="1"/>
  <c r="Q92" i="8" s="1"/>
  <c r="Q93" i="8" a="1"/>
  <c r="Q93" i="8" s="1"/>
  <c r="Q94" i="8" a="1"/>
  <c r="Q94" i="8" s="1"/>
  <c r="Q95" i="8" a="1"/>
  <c r="Q95" i="8" s="1"/>
  <c r="Q96" i="8" a="1"/>
  <c r="Q96" i="8" s="1"/>
  <c r="Q97" i="8" a="1"/>
  <c r="Q97" i="8" s="1"/>
  <c r="Q98" i="8" a="1"/>
  <c r="Q98" i="8" s="1"/>
  <c r="Q99" i="8" a="1"/>
  <c r="Q99" i="8" s="1"/>
  <c r="Q100" i="8" a="1"/>
  <c r="Q100" i="8" s="1"/>
  <c r="Q101" i="8" a="1"/>
  <c r="Q101" i="8" s="1"/>
  <c r="Q102" i="8" a="1"/>
  <c r="Q102" i="8" s="1"/>
  <c r="Q103" i="8" a="1"/>
  <c r="Q103" i="8" s="1"/>
  <c r="Q104" i="8" a="1"/>
  <c r="Q104" i="8" s="1"/>
  <c r="Q105" i="8" a="1"/>
  <c r="Q105" i="8" s="1"/>
  <c r="Q106" i="8" a="1"/>
  <c r="Q106" i="8" s="1"/>
  <c r="Q107" i="8" a="1"/>
  <c r="Q107" i="8" s="1"/>
  <c r="Q108" i="8" a="1"/>
  <c r="Q108" i="8" s="1"/>
  <c r="Q109" i="8" a="1"/>
  <c r="Q109" i="8" s="1"/>
  <c r="Q110" i="8" a="1"/>
  <c r="Q110" i="8" s="1"/>
  <c r="Q111" i="8" a="1"/>
  <c r="Q111" i="8" s="1"/>
  <c r="Q112" i="8" a="1"/>
  <c r="Q112" i="8" s="1"/>
  <c r="Q113" i="8" a="1"/>
  <c r="Q113" i="8" s="1"/>
  <c r="Q114" i="8" a="1"/>
  <c r="Q114" i="8" s="1"/>
  <c r="Q115" i="8" a="1"/>
  <c r="Q115" i="8" s="1"/>
  <c r="Q116" i="8" a="1"/>
  <c r="Q116" i="8" s="1"/>
  <c r="Q117" i="8" a="1"/>
  <c r="Q117" i="8" s="1"/>
  <c r="Q118" i="8" a="1"/>
  <c r="Q118" i="8" s="1"/>
  <c r="Q119" i="8" a="1"/>
  <c r="Q119" i="8" s="1"/>
  <c r="Q120" i="8" a="1"/>
  <c r="Q120" i="8" s="1"/>
  <c r="Q121" i="8" a="1"/>
  <c r="Q121" i="8" s="1"/>
  <c r="Q122" i="8" a="1"/>
  <c r="Q122" i="8" s="1"/>
  <c r="Q123" i="8" a="1"/>
  <c r="Q123" i="8" s="1"/>
  <c r="Q124" i="8" a="1"/>
  <c r="Q124" i="8" s="1"/>
  <c r="Q125" i="8" a="1"/>
  <c r="Q125" i="8" s="1"/>
  <c r="Q126" i="8" a="1"/>
  <c r="Q126" i="8" s="1"/>
  <c r="Q127" i="8" a="1"/>
  <c r="Q127" i="8" s="1"/>
  <c r="Q128" i="8" a="1"/>
  <c r="Q128" i="8" s="1"/>
  <c r="Q129" i="8" a="1"/>
  <c r="Q129" i="8" s="1"/>
  <c r="Q130" i="8" a="1"/>
  <c r="Q130" i="8" s="1"/>
  <c r="Q131" i="8" a="1"/>
  <c r="Q131" i="8" s="1"/>
  <c r="Q132" i="8" a="1"/>
  <c r="Q132" i="8" s="1"/>
  <c r="Q133" i="8" a="1"/>
  <c r="Q133" i="8" s="1"/>
  <c r="Q134" i="8" a="1"/>
  <c r="Q134" i="8" s="1"/>
  <c r="Q135" i="8" a="1"/>
  <c r="Q135" i="8" s="1"/>
  <c r="Q136" i="8" a="1"/>
  <c r="Q136" i="8" s="1"/>
  <c r="Q137" i="8" a="1"/>
  <c r="Q137" i="8" s="1"/>
  <c r="Q138" i="8" a="1"/>
  <c r="Q138" i="8" s="1"/>
  <c r="Q139" i="8" a="1"/>
  <c r="Q139" i="8" s="1"/>
  <c r="Q140" i="8" a="1"/>
  <c r="Q140" i="8" s="1"/>
  <c r="Q141" i="8" a="1"/>
  <c r="Q141" i="8" s="1"/>
  <c r="Q142" i="8" a="1"/>
  <c r="Q142" i="8" s="1"/>
  <c r="Q143" i="8" a="1"/>
  <c r="Q143" i="8" s="1"/>
  <c r="Q144" i="8" a="1"/>
  <c r="Q144" i="8" s="1"/>
  <c r="Q145" i="8" a="1"/>
  <c r="Q145" i="8" s="1"/>
  <c r="Q146" i="8" a="1"/>
  <c r="Q146" i="8" s="1"/>
  <c r="Q147" i="8" a="1"/>
  <c r="Q147" i="8" s="1"/>
  <c r="Q148" i="8" a="1"/>
  <c r="Q148" i="8" s="1"/>
  <c r="Q149" i="8" a="1"/>
  <c r="Q149" i="8" s="1"/>
  <c r="Q150" i="8" a="1"/>
  <c r="Q150" i="8" s="1"/>
  <c r="Q151" i="8" a="1"/>
  <c r="Q151" i="8" s="1"/>
  <c r="Q152" i="8" a="1"/>
  <c r="Q152" i="8" s="1"/>
  <c r="Q153" i="8" a="1"/>
  <c r="Q153" i="8" s="1"/>
  <c r="Q154" i="8" a="1"/>
  <c r="Q154" i="8" s="1"/>
  <c r="Q155" i="8" a="1"/>
  <c r="Q155" i="8" s="1"/>
  <c r="Q156" i="8" a="1"/>
  <c r="Q156" i="8" s="1"/>
  <c r="Q157" i="8" a="1"/>
  <c r="Q157" i="8" s="1"/>
  <c r="Q158" i="8" a="1"/>
  <c r="Q158" i="8" s="1"/>
  <c r="Q159" i="8" a="1"/>
  <c r="Q159" i="8" s="1"/>
  <c r="Q160" i="8" a="1"/>
  <c r="Q160" i="8" s="1"/>
  <c r="Q161" i="8" a="1"/>
  <c r="Q161" i="8" s="1"/>
  <c r="Q162" i="8" a="1"/>
  <c r="Q162" i="8" s="1"/>
  <c r="Q163" i="8" a="1"/>
  <c r="Q163" i="8" s="1"/>
  <c r="Q164" i="8" a="1"/>
  <c r="Q164" i="8" s="1"/>
  <c r="Q165" i="8" a="1"/>
  <c r="Q165" i="8" s="1"/>
  <c r="Q166" i="8" a="1"/>
  <c r="Q166" i="8" s="1"/>
  <c r="Q167" i="8" a="1"/>
  <c r="Q167" i="8" s="1"/>
  <c r="Q168" i="8" a="1"/>
  <c r="Q168" i="8" s="1"/>
  <c r="Q169" i="8" a="1"/>
  <c r="Q169" i="8" s="1"/>
  <c r="Q170" i="8" a="1"/>
  <c r="Q170" i="8" s="1"/>
  <c r="Q171" i="8" a="1"/>
  <c r="Q171" i="8" s="1"/>
  <c r="Q172" i="8" a="1"/>
  <c r="Q172" i="8" s="1"/>
  <c r="Q173" i="8" a="1"/>
  <c r="Q173" i="8" s="1"/>
  <c r="Q174" i="8" a="1"/>
  <c r="Q174" i="8" s="1"/>
  <c r="Q175" i="8" a="1"/>
  <c r="Q175" i="8" s="1"/>
  <c r="Q176" i="8" a="1"/>
  <c r="Q176" i="8" s="1"/>
  <c r="Q177" i="8" a="1"/>
  <c r="Q177" i="8" s="1"/>
  <c r="Q178" i="8" a="1"/>
  <c r="Q178" i="8" s="1"/>
  <c r="Q179" i="8" a="1"/>
  <c r="Q179" i="8" s="1"/>
  <c r="Q180" i="8" a="1"/>
  <c r="Q180" i="8" s="1"/>
  <c r="Q181" i="8" a="1"/>
  <c r="Q181" i="8" s="1"/>
  <c r="Q182" i="8" a="1"/>
  <c r="Q182" i="8" s="1"/>
  <c r="Q183" i="8" a="1"/>
  <c r="Q183" i="8" s="1"/>
  <c r="Q184" i="8" a="1"/>
  <c r="Q184" i="8" s="1"/>
  <c r="Q185" i="8" a="1"/>
  <c r="Q185" i="8" s="1"/>
  <c r="Q186" i="8" a="1"/>
  <c r="Q186" i="8" s="1"/>
  <c r="Q187" i="8" a="1"/>
  <c r="Q187" i="8" s="1"/>
  <c r="Q188" i="8" a="1"/>
  <c r="Q188" i="8" s="1"/>
  <c r="Q189" i="8" a="1"/>
  <c r="Q189" i="8" s="1"/>
  <c r="Q190" i="8" a="1"/>
  <c r="Q190" i="8" s="1"/>
  <c r="Q191" i="8" a="1"/>
  <c r="Q191" i="8" s="1"/>
  <c r="Q192" i="8" a="1"/>
  <c r="Q192" i="8" s="1"/>
  <c r="Q193" i="8" a="1"/>
  <c r="Q193" i="8" s="1"/>
  <c r="Q194" i="8" a="1"/>
  <c r="Q194" i="8" s="1"/>
  <c r="Q195" i="8" a="1"/>
  <c r="Q195" i="8" s="1"/>
  <c r="Q196" i="8" a="1"/>
  <c r="Q196" i="8" s="1"/>
  <c r="Q197" i="8" a="1"/>
  <c r="Q197" i="8" s="1"/>
  <c r="Q198" i="8" a="1"/>
  <c r="Q198" i="8" s="1"/>
  <c r="Q199" i="8" a="1"/>
  <c r="Q199" i="8" s="1"/>
  <c r="Q200" i="8" a="1"/>
  <c r="Q200" i="8" s="1"/>
  <c r="Q201" i="8" a="1"/>
  <c r="Q201" i="8" s="1"/>
  <c r="Q202" i="8" a="1"/>
  <c r="Q202" i="8" s="1"/>
  <c r="Q203" i="8" a="1"/>
  <c r="Q203" i="8" s="1"/>
  <c r="Q204" i="8" a="1"/>
  <c r="Q204" i="8" s="1"/>
  <c r="Q205" i="8" a="1"/>
  <c r="Q205" i="8" s="1"/>
  <c r="Q206" i="8" a="1"/>
  <c r="Q206" i="8" s="1"/>
  <c r="Q207" i="8" a="1"/>
  <c r="Q207" i="8" s="1"/>
  <c r="Q208" i="8" a="1"/>
  <c r="Q208" i="8" s="1"/>
  <c r="Q209" i="8" a="1"/>
  <c r="Q209" i="8" s="1"/>
  <c r="Q210" i="8" a="1"/>
  <c r="Q210" i="8" s="1"/>
  <c r="Q211" i="8" a="1"/>
  <c r="Q211" i="8" s="1"/>
  <c r="Q212" i="8" a="1"/>
  <c r="Q212" i="8" s="1"/>
  <c r="Q213" i="8" a="1"/>
  <c r="Q213" i="8" s="1"/>
  <c r="Q214" i="8" a="1"/>
  <c r="Q214" i="8" s="1"/>
  <c r="Q215" i="8" a="1"/>
  <c r="Q215" i="8" s="1"/>
  <c r="Q216" i="8" a="1"/>
  <c r="Q216" i="8" s="1"/>
  <c r="Q217" i="8" a="1"/>
  <c r="Q217" i="8" s="1"/>
  <c r="Q218" i="8" a="1"/>
  <c r="Q218" i="8" s="1"/>
  <c r="Q219" i="8" a="1"/>
  <c r="Q219" i="8" s="1"/>
  <c r="Q220" i="8" a="1"/>
  <c r="Q220" i="8" s="1"/>
  <c r="Q221" i="8" a="1"/>
  <c r="Q221" i="8" s="1"/>
  <c r="Q222" i="8" a="1"/>
  <c r="Q222" i="8" s="1"/>
  <c r="Q223" i="8" a="1"/>
  <c r="Q223" i="8" s="1"/>
  <c r="Q224" i="8" a="1"/>
  <c r="Q224" i="8" s="1"/>
  <c r="Q225" i="8" a="1"/>
  <c r="Q225" i="8" s="1"/>
  <c r="Q226" i="8" a="1"/>
  <c r="Q226" i="8" s="1"/>
  <c r="Q227" i="8" a="1"/>
  <c r="Q227" i="8" s="1"/>
  <c r="Q228" i="8" a="1"/>
  <c r="Q228" i="8" s="1"/>
  <c r="Q229" i="8" a="1"/>
  <c r="Q229" i="8" s="1"/>
  <c r="Q230" i="8" a="1"/>
  <c r="Q230" i="8" s="1"/>
  <c r="Q231" i="8" a="1"/>
  <c r="Q231" i="8" s="1"/>
  <c r="Q232" i="8" a="1"/>
  <c r="Q232" i="8" s="1"/>
  <c r="Q233" i="8" a="1"/>
  <c r="Q233" i="8" s="1"/>
  <c r="Q234" i="8" a="1"/>
  <c r="Q234" i="8" s="1"/>
  <c r="Q235" i="8" a="1"/>
  <c r="Q235" i="8" s="1"/>
  <c r="Q236" i="8" a="1"/>
  <c r="Q236" i="8" s="1"/>
  <c r="Q237" i="8" a="1"/>
  <c r="Q237" i="8" s="1"/>
  <c r="Q238" i="8" a="1"/>
  <c r="Q238" i="8" s="1"/>
  <c r="Q239" i="8" a="1"/>
  <c r="Q239" i="8" s="1"/>
  <c r="Q240" i="8" a="1"/>
  <c r="Q240" i="8" s="1"/>
  <c r="Q241" i="8" a="1"/>
  <c r="Q241" i="8" s="1"/>
  <c r="Q242" i="8" a="1"/>
  <c r="Q242" i="8" s="1"/>
  <c r="Q243" i="8" a="1"/>
  <c r="Q243" i="8" s="1"/>
  <c r="Q244" i="8" a="1"/>
  <c r="Q244" i="8" s="1"/>
  <c r="Q245" i="8" a="1"/>
  <c r="Q245" i="8" s="1"/>
  <c r="Q246" i="8" a="1"/>
  <c r="Q246" i="8" s="1"/>
  <c r="Q247" i="8" a="1"/>
  <c r="Q247" i="8" s="1"/>
  <c r="Q248" i="8" a="1"/>
  <c r="Q248" i="8" s="1"/>
  <c r="Q249" i="8" a="1"/>
  <c r="Q249" i="8" s="1"/>
  <c r="P11" i="8" a="1"/>
  <c r="P11" i="8" s="1"/>
  <c r="P12" i="8" a="1"/>
  <c r="P12" i="8" s="1"/>
  <c r="P13" i="8" a="1"/>
  <c r="P13" i="8" s="1"/>
  <c r="P14" i="8" a="1"/>
  <c r="P14" i="8" s="1"/>
  <c r="P15" i="8" a="1"/>
  <c r="P15" i="8" s="1"/>
  <c r="P16" i="8" a="1"/>
  <c r="P16" i="8" s="1"/>
  <c r="P17" i="8" a="1"/>
  <c r="P17" i="8" s="1"/>
  <c r="P18" i="8" a="1"/>
  <c r="P18" i="8" s="1"/>
  <c r="P19" i="8" a="1"/>
  <c r="P19" i="8" s="1"/>
  <c r="P20" i="8" a="1"/>
  <c r="P20" i="8" s="1"/>
  <c r="P21" i="8" a="1"/>
  <c r="P21" i="8" s="1"/>
  <c r="P22" i="8" a="1"/>
  <c r="P22" i="8" s="1"/>
  <c r="P23" i="8" a="1"/>
  <c r="P23" i="8" s="1"/>
  <c r="P24" i="8" a="1"/>
  <c r="P24" i="8" s="1"/>
  <c r="P25" i="8" a="1"/>
  <c r="P25" i="8" s="1"/>
  <c r="P26" i="8" a="1"/>
  <c r="P26" i="8" s="1"/>
  <c r="P27" i="8" a="1"/>
  <c r="P27" i="8" s="1"/>
  <c r="P28" i="8" a="1"/>
  <c r="P28" i="8" s="1"/>
  <c r="P29" i="8" a="1"/>
  <c r="P29" i="8" s="1"/>
  <c r="P30" i="8" a="1"/>
  <c r="P30" i="8" s="1"/>
  <c r="P31" i="8" a="1"/>
  <c r="P31" i="8" s="1"/>
  <c r="P32" i="8" a="1"/>
  <c r="P32" i="8" s="1"/>
  <c r="P33" i="8" a="1"/>
  <c r="P33" i="8" s="1"/>
  <c r="P34" i="8" a="1"/>
  <c r="P34" i="8" s="1"/>
  <c r="P35" i="8" a="1"/>
  <c r="P35" i="8" s="1"/>
  <c r="P36" i="8" a="1"/>
  <c r="P36" i="8" s="1"/>
  <c r="P37" i="8" a="1"/>
  <c r="P37" i="8" s="1"/>
  <c r="P38" i="8" a="1"/>
  <c r="P38" i="8" s="1"/>
  <c r="P39" i="8" a="1"/>
  <c r="P39" i="8" s="1"/>
  <c r="P40" i="8" a="1"/>
  <c r="P40" i="8" s="1"/>
  <c r="P41" i="8" a="1"/>
  <c r="P41" i="8" s="1"/>
  <c r="P42" i="8" a="1"/>
  <c r="P42" i="8" s="1"/>
  <c r="P43" i="8" a="1"/>
  <c r="P43" i="8" s="1"/>
  <c r="P44" i="8" a="1"/>
  <c r="P44" i="8" s="1"/>
  <c r="P45" i="8" a="1"/>
  <c r="P45" i="8" s="1"/>
  <c r="P46" i="8" a="1"/>
  <c r="P46" i="8" s="1"/>
  <c r="P47" i="8" a="1"/>
  <c r="P47" i="8" s="1"/>
  <c r="P48" i="8" a="1"/>
  <c r="P48" i="8" s="1"/>
  <c r="P49" i="8" a="1"/>
  <c r="P49" i="8" s="1"/>
  <c r="P50" i="8" a="1"/>
  <c r="P50" i="8" s="1"/>
  <c r="P51" i="8" a="1"/>
  <c r="P51" i="8" s="1"/>
  <c r="P52" i="8" a="1"/>
  <c r="P52" i="8" s="1"/>
  <c r="P53" i="8" a="1"/>
  <c r="P53" i="8" s="1"/>
  <c r="P54" i="8" a="1"/>
  <c r="P54" i="8" s="1"/>
  <c r="P55" i="8" a="1"/>
  <c r="P55" i="8" s="1"/>
  <c r="P56" i="8" a="1"/>
  <c r="P56" i="8" s="1"/>
  <c r="P57" i="8" a="1"/>
  <c r="P57" i="8" s="1"/>
  <c r="P58" i="8" a="1"/>
  <c r="P58" i="8" s="1"/>
  <c r="P59" i="8" a="1"/>
  <c r="P59" i="8" s="1"/>
  <c r="P60" i="8" a="1"/>
  <c r="P60" i="8" s="1"/>
  <c r="P61" i="8" a="1"/>
  <c r="P61" i="8" s="1"/>
  <c r="P62" i="8" a="1"/>
  <c r="P62" i="8" s="1"/>
  <c r="P63" i="8" a="1"/>
  <c r="P63" i="8" s="1"/>
  <c r="P64" i="8" a="1"/>
  <c r="P64" i="8" s="1"/>
  <c r="P65" i="8" a="1"/>
  <c r="P65" i="8" s="1"/>
  <c r="P66" i="8" a="1"/>
  <c r="P66" i="8" s="1"/>
  <c r="P67" i="8" a="1"/>
  <c r="P67" i="8" s="1"/>
  <c r="P68" i="8" a="1"/>
  <c r="P68" i="8" s="1"/>
  <c r="P69" i="8" a="1"/>
  <c r="P69" i="8" s="1"/>
  <c r="P70" i="8" a="1"/>
  <c r="P70" i="8" s="1"/>
  <c r="P71" i="8" a="1"/>
  <c r="P71" i="8" s="1"/>
  <c r="P72" i="8" a="1"/>
  <c r="P72" i="8" s="1"/>
  <c r="P73" i="8" a="1"/>
  <c r="P73" i="8" s="1"/>
  <c r="P74" i="8" a="1"/>
  <c r="P74" i="8" s="1"/>
  <c r="P75" i="8" a="1"/>
  <c r="P75" i="8" s="1"/>
  <c r="P76" i="8" a="1"/>
  <c r="P76" i="8" s="1"/>
  <c r="P77" i="8" a="1"/>
  <c r="P77" i="8" s="1"/>
  <c r="P78" i="8" a="1"/>
  <c r="P78" i="8" s="1"/>
  <c r="P79" i="8" a="1"/>
  <c r="P79" i="8" s="1"/>
  <c r="P80" i="8" a="1"/>
  <c r="P80" i="8" s="1"/>
  <c r="P81" i="8" a="1"/>
  <c r="P81" i="8" s="1"/>
  <c r="P82" i="8" a="1"/>
  <c r="P82" i="8" s="1"/>
  <c r="P83" i="8" a="1"/>
  <c r="P83" i="8" s="1"/>
  <c r="P84" i="8" a="1"/>
  <c r="P84" i="8" s="1"/>
  <c r="P85" i="8" a="1"/>
  <c r="P85" i="8" s="1"/>
  <c r="P86" i="8" a="1"/>
  <c r="P86" i="8" s="1"/>
  <c r="P87" i="8" a="1"/>
  <c r="P87" i="8" s="1"/>
  <c r="P88" i="8" a="1"/>
  <c r="P88" i="8" s="1"/>
  <c r="P89" i="8" a="1"/>
  <c r="P89" i="8" s="1"/>
  <c r="P90" i="8" a="1"/>
  <c r="P90" i="8" s="1"/>
  <c r="P91" i="8" a="1"/>
  <c r="P91" i="8" s="1"/>
  <c r="P92" i="8" a="1"/>
  <c r="P92" i="8" s="1"/>
  <c r="P93" i="8" a="1"/>
  <c r="P93" i="8" s="1"/>
  <c r="P94" i="8" a="1"/>
  <c r="P94" i="8" s="1"/>
  <c r="P95" i="8" a="1"/>
  <c r="P95" i="8" s="1"/>
  <c r="P96" i="8" a="1"/>
  <c r="P96" i="8" s="1"/>
  <c r="P97" i="8" a="1"/>
  <c r="P97" i="8" s="1"/>
  <c r="P98" i="8" a="1"/>
  <c r="P98" i="8" s="1"/>
  <c r="P99" i="8" a="1"/>
  <c r="P99" i="8" s="1"/>
  <c r="P100" i="8" a="1"/>
  <c r="P100" i="8" s="1"/>
  <c r="P101" i="8" a="1"/>
  <c r="P101" i="8" s="1"/>
  <c r="P102" i="8" a="1"/>
  <c r="P102" i="8" s="1"/>
  <c r="P103" i="8" a="1"/>
  <c r="P103" i="8" s="1"/>
  <c r="P104" i="8" a="1"/>
  <c r="P104" i="8" s="1"/>
  <c r="P105" i="8" a="1"/>
  <c r="P105" i="8" s="1"/>
  <c r="P106" i="8" a="1"/>
  <c r="P106" i="8" s="1"/>
  <c r="P107" i="8" a="1"/>
  <c r="P107" i="8" s="1"/>
  <c r="P108" i="8" a="1"/>
  <c r="P108" i="8" s="1"/>
  <c r="P109" i="8" a="1"/>
  <c r="P109" i="8" s="1"/>
  <c r="P110" i="8" a="1"/>
  <c r="P110" i="8" s="1"/>
  <c r="P111" i="8" a="1"/>
  <c r="P111" i="8" s="1"/>
  <c r="P112" i="8" a="1"/>
  <c r="P112" i="8" s="1"/>
  <c r="P113" i="8" a="1"/>
  <c r="P113" i="8" s="1"/>
  <c r="P114" i="8" a="1"/>
  <c r="P114" i="8" s="1"/>
  <c r="P115" i="8" a="1"/>
  <c r="P115" i="8" s="1"/>
  <c r="P116" i="8" a="1"/>
  <c r="P116" i="8" s="1"/>
  <c r="P117" i="8" a="1"/>
  <c r="P117" i="8" s="1"/>
  <c r="P118" i="8" a="1"/>
  <c r="P118" i="8" s="1"/>
  <c r="P119" i="8" a="1"/>
  <c r="P119" i="8" s="1"/>
  <c r="P120" i="8" a="1"/>
  <c r="P120" i="8" s="1"/>
  <c r="P121" i="8" a="1"/>
  <c r="P121" i="8" s="1"/>
  <c r="P122" i="8" a="1"/>
  <c r="P122" i="8" s="1"/>
  <c r="P123" i="8" a="1"/>
  <c r="P123" i="8" s="1"/>
  <c r="P124" i="8" a="1"/>
  <c r="P124" i="8" s="1"/>
  <c r="P125" i="8" a="1"/>
  <c r="P125" i="8" s="1"/>
  <c r="P126" i="8" a="1"/>
  <c r="P126" i="8" s="1"/>
  <c r="P127" i="8" a="1"/>
  <c r="P127" i="8" s="1"/>
  <c r="P128" i="8" a="1"/>
  <c r="P128" i="8" s="1"/>
  <c r="P129" i="8" a="1"/>
  <c r="P129" i="8" s="1"/>
  <c r="P130" i="8" a="1"/>
  <c r="P130" i="8" s="1"/>
  <c r="P131" i="8" a="1"/>
  <c r="P131" i="8" s="1"/>
  <c r="P132" i="8" a="1"/>
  <c r="P132" i="8" s="1"/>
  <c r="P133" i="8" a="1"/>
  <c r="P133" i="8" s="1"/>
  <c r="P134" i="8" a="1"/>
  <c r="P134" i="8" s="1"/>
  <c r="P135" i="8" a="1"/>
  <c r="P135" i="8" s="1"/>
  <c r="P136" i="8" a="1"/>
  <c r="P136" i="8" s="1"/>
  <c r="P137" i="8" a="1"/>
  <c r="P137" i="8" s="1"/>
  <c r="P138" i="8" a="1"/>
  <c r="P138" i="8" s="1"/>
  <c r="P139" i="8" a="1"/>
  <c r="P139" i="8" s="1"/>
  <c r="P140" i="8" a="1"/>
  <c r="P140" i="8" s="1"/>
  <c r="P141" i="8" a="1"/>
  <c r="P141" i="8" s="1"/>
  <c r="P142" i="8" a="1"/>
  <c r="P142" i="8" s="1"/>
  <c r="P143" i="8" a="1"/>
  <c r="P143" i="8" s="1"/>
  <c r="P144" i="8" a="1"/>
  <c r="P144" i="8" s="1"/>
  <c r="P145" i="8" a="1"/>
  <c r="P145" i="8" s="1"/>
  <c r="P146" i="8" a="1"/>
  <c r="P146" i="8" s="1"/>
  <c r="P147" i="8" a="1"/>
  <c r="P147" i="8" s="1"/>
  <c r="P148" i="8" a="1"/>
  <c r="P148" i="8" s="1"/>
  <c r="P149" i="8" a="1"/>
  <c r="P149" i="8" s="1"/>
  <c r="P150" i="8" a="1"/>
  <c r="P150" i="8" s="1"/>
  <c r="P151" i="8" a="1"/>
  <c r="P151" i="8" s="1"/>
  <c r="P152" i="8" a="1"/>
  <c r="P152" i="8" s="1"/>
  <c r="P153" i="8" a="1"/>
  <c r="P153" i="8" s="1"/>
  <c r="P154" i="8" a="1"/>
  <c r="P154" i="8" s="1"/>
  <c r="P155" i="8" a="1"/>
  <c r="P155" i="8" s="1"/>
  <c r="P156" i="8" a="1"/>
  <c r="P156" i="8" s="1"/>
  <c r="P157" i="8" a="1"/>
  <c r="P157" i="8" s="1"/>
  <c r="P158" i="8" a="1"/>
  <c r="P158" i="8" s="1"/>
  <c r="P159" i="8" a="1"/>
  <c r="P159" i="8" s="1"/>
  <c r="P160" i="8" a="1"/>
  <c r="P160" i="8" s="1"/>
  <c r="P161" i="8" a="1"/>
  <c r="P161" i="8" s="1"/>
  <c r="P162" i="8" a="1"/>
  <c r="P162" i="8" s="1"/>
  <c r="P163" i="8" a="1"/>
  <c r="P163" i="8" s="1"/>
  <c r="P164" i="8" a="1"/>
  <c r="P164" i="8" s="1"/>
  <c r="P165" i="8" a="1"/>
  <c r="P165" i="8" s="1"/>
  <c r="P166" i="8" a="1"/>
  <c r="P166" i="8" s="1"/>
  <c r="P167" i="8" a="1"/>
  <c r="P167" i="8" s="1"/>
  <c r="P168" i="8" a="1"/>
  <c r="P168" i="8" s="1"/>
  <c r="P169" i="8" a="1"/>
  <c r="P169" i="8" s="1"/>
  <c r="P170" i="8" a="1"/>
  <c r="P170" i="8" s="1"/>
  <c r="P171" i="8" a="1"/>
  <c r="P171" i="8" s="1"/>
  <c r="P172" i="8" a="1"/>
  <c r="P172" i="8" s="1"/>
  <c r="P173" i="8" a="1"/>
  <c r="P173" i="8" s="1"/>
  <c r="P174" i="8" a="1"/>
  <c r="P174" i="8" s="1"/>
  <c r="P175" i="8" a="1"/>
  <c r="P175" i="8" s="1"/>
  <c r="P176" i="8" a="1"/>
  <c r="P176" i="8" s="1"/>
  <c r="P177" i="8" a="1"/>
  <c r="P177" i="8" s="1"/>
  <c r="P178" i="8" a="1"/>
  <c r="P178" i="8" s="1"/>
  <c r="P179" i="8" a="1"/>
  <c r="P179" i="8" s="1"/>
  <c r="P180" i="8" a="1"/>
  <c r="P180" i="8" s="1"/>
  <c r="P181" i="8" a="1"/>
  <c r="P181" i="8" s="1"/>
  <c r="P182" i="8" a="1"/>
  <c r="P182" i="8" s="1"/>
  <c r="P183" i="8" a="1"/>
  <c r="P183" i="8" s="1"/>
  <c r="P184" i="8" a="1"/>
  <c r="P184" i="8" s="1"/>
  <c r="P185" i="8" a="1"/>
  <c r="P185" i="8" s="1"/>
  <c r="P186" i="8" a="1"/>
  <c r="P186" i="8" s="1"/>
  <c r="P187" i="8" a="1"/>
  <c r="P187" i="8" s="1"/>
  <c r="P188" i="8" a="1"/>
  <c r="P188" i="8" s="1"/>
  <c r="P189" i="8" a="1"/>
  <c r="P189" i="8" s="1"/>
  <c r="P190" i="8" a="1"/>
  <c r="P190" i="8" s="1"/>
  <c r="P191" i="8" a="1"/>
  <c r="P191" i="8" s="1"/>
  <c r="P192" i="8" a="1"/>
  <c r="P192" i="8" s="1"/>
  <c r="P193" i="8" a="1"/>
  <c r="P193" i="8" s="1"/>
  <c r="P194" i="8" a="1"/>
  <c r="P194" i="8" s="1"/>
  <c r="P195" i="8" a="1"/>
  <c r="P195" i="8" s="1"/>
  <c r="P196" i="8" a="1"/>
  <c r="P196" i="8" s="1"/>
  <c r="P197" i="8" a="1"/>
  <c r="P197" i="8" s="1"/>
  <c r="P198" i="8" a="1"/>
  <c r="P198" i="8" s="1"/>
  <c r="P199" i="8" a="1"/>
  <c r="P199" i="8" s="1"/>
  <c r="P200" i="8" a="1"/>
  <c r="P200" i="8" s="1"/>
  <c r="P201" i="8" a="1"/>
  <c r="P201" i="8" s="1"/>
  <c r="P202" i="8" a="1"/>
  <c r="P202" i="8" s="1"/>
  <c r="P203" i="8" a="1"/>
  <c r="P203" i="8" s="1"/>
  <c r="P204" i="8" a="1"/>
  <c r="P204" i="8" s="1"/>
  <c r="P205" i="8" a="1"/>
  <c r="P205" i="8" s="1"/>
  <c r="P206" i="8" a="1"/>
  <c r="P206" i="8" s="1"/>
  <c r="P207" i="8" a="1"/>
  <c r="P207" i="8" s="1"/>
  <c r="P208" i="8" a="1"/>
  <c r="P208" i="8" s="1"/>
  <c r="P209" i="8" a="1"/>
  <c r="P209" i="8" s="1"/>
  <c r="P210" i="8" a="1"/>
  <c r="P210" i="8" s="1"/>
  <c r="P211" i="8" a="1"/>
  <c r="P211" i="8" s="1"/>
  <c r="P212" i="8" a="1"/>
  <c r="P212" i="8" s="1"/>
  <c r="P213" i="8" a="1"/>
  <c r="P213" i="8" s="1"/>
  <c r="P214" i="8" a="1"/>
  <c r="P214" i="8" s="1"/>
  <c r="P215" i="8" a="1"/>
  <c r="P215" i="8" s="1"/>
  <c r="P216" i="8" a="1"/>
  <c r="P216" i="8" s="1"/>
  <c r="P217" i="8" a="1"/>
  <c r="P217" i="8" s="1"/>
  <c r="P218" i="8" a="1"/>
  <c r="P218" i="8" s="1"/>
  <c r="P219" i="8" a="1"/>
  <c r="P219" i="8" s="1"/>
  <c r="P220" i="8" a="1"/>
  <c r="P220" i="8" s="1"/>
  <c r="P221" i="8" a="1"/>
  <c r="P221" i="8" s="1"/>
  <c r="P222" i="8" a="1"/>
  <c r="P222" i="8" s="1"/>
  <c r="P223" i="8" a="1"/>
  <c r="P223" i="8" s="1"/>
  <c r="P224" i="8" a="1"/>
  <c r="P224" i="8" s="1"/>
  <c r="P225" i="8" a="1"/>
  <c r="P225" i="8" s="1"/>
  <c r="P226" i="8" a="1"/>
  <c r="P226" i="8" s="1"/>
  <c r="P227" i="8" a="1"/>
  <c r="P227" i="8" s="1"/>
  <c r="P228" i="8" a="1"/>
  <c r="P228" i="8" s="1"/>
  <c r="P229" i="8" a="1"/>
  <c r="P229" i="8" s="1"/>
  <c r="P230" i="8" a="1"/>
  <c r="P230" i="8" s="1"/>
  <c r="P231" i="8" a="1"/>
  <c r="P231" i="8" s="1"/>
  <c r="P232" i="8" a="1"/>
  <c r="P232" i="8" s="1"/>
  <c r="P233" i="8" a="1"/>
  <c r="P233" i="8" s="1"/>
  <c r="P234" i="8" a="1"/>
  <c r="P234" i="8" s="1"/>
  <c r="P235" i="8" a="1"/>
  <c r="P235" i="8" s="1"/>
  <c r="P236" i="8" a="1"/>
  <c r="P236" i="8" s="1"/>
  <c r="P237" i="8" a="1"/>
  <c r="P237" i="8" s="1"/>
  <c r="P238" i="8" a="1"/>
  <c r="P238" i="8" s="1"/>
  <c r="P239" i="8" a="1"/>
  <c r="P239" i="8" s="1"/>
  <c r="P240" i="8" a="1"/>
  <c r="P240" i="8" s="1"/>
  <c r="P241" i="8" a="1"/>
  <c r="P241" i="8" s="1"/>
  <c r="P242" i="8" a="1"/>
  <c r="P242" i="8" s="1"/>
  <c r="P243" i="8" a="1"/>
  <c r="P243" i="8" s="1"/>
  <c r="P244" i="8" a="1"/>
  <c r="P244" i="8" s="1"/>
  <c r="P245" i="8" a="1"/>
  <c r="P245" i="8" s="1"/>
  <c r="P246" i="8" a="1"/>
  <c r="P246" i="8" s="1"/>
  <c r="P247" i="8" a="1"/>
  <c r="P247" i="8" s="1"/>
  <c r="P248" i="8" a="1"/>
  <c r="P248" i="8" s="1"/>
  <c r="P249" i="8" a="1"/>
  <c r="P249" i="8" s="1"/>
  <c r="O11" i="8" a="1"/>
  <c r="O11" i="8" s="1"/>
  <c r="O12" i="8" a="1"/>
  <c r="O12" i="8" s="1"/>
  <c r="O13" i="8" a="1"/>
  <c r="O13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O21" i="8" a="1"/>
  <c r="O21" i="8" s="1"/>
  <c r="O22" i="8" a="1"/>
  <c r="O22" i="8" s="1"/>
  <c r="O23" i="8" a="1"/>
  <c r="O23" i="8" s="1"/>
  <c r="O24" i="8" a="1"/>
  <c r="O24" i="8" s="1"/>
  <c r="O25" i="8" a="1"/>
  <c r="O25" i="8" s="1"/>
  <c r="O26" i="8" a="1"/>
  <c r="O26" i="8" s="1"/>
  <c r="O27" i="8" a="1"/>
  <c r="O27" i="8" s="1"/>
  <c r="O28" i="8" a="1"/>
  <c r="O28" i="8" s="1"/>
  <c r="O29" i="8" a="1"/>
  <c r="O29" i="8" s="1"/>
  <c r="O30" i="8" a="1"/>
  <c r="O30" i="8" s="1"/>
  <c r="O31" i="8" a="1"/>
  <c r="O31" i="8" s="1"/>
  <c r="O32" i="8" a="1"/>
  <c r="O32" i="8" s="1"/>
  <c r="O33" i="8" a="1"/>
  <c r="O33" i="8" s="1"/>
  <c r="O34" i="8" a="1"/>
  <c r="O34" i="8" s="1"/>
  <c r="O35" i="8" a="1"/>
  <c r="O35" i="8" s="1"/>
  <c r="O36" i="8" a="1"/>
  <c r="O36" i="8" s="1"/>
  <c r="O37" i="8" a="1"/>
  <c r="O37" i="8" s="1"/>
  <c r="O38" i="8" a="1"/>
  <c r="O38" i="8" s="1"/>
  <c r="O39" i="8" a="1"/>
  <c r="O39" i="8" s="1"/>
  <c r="O40" i="8" a="1"/>
  <c r="O40" i="8" s="1"/>
  <c r="O41" i="8" a="1"/>
  <c r="O41" i="8" s="1"/>
  <c r="O42" i="8" a="1"/>
  <c r="O42" i="8" s="1"/>
  <c r="O43" i="8" a="1"/>
  <c r="O43" i="8" s="1"/>
  <c r="O44" i="8" a="1"/>
  <c r="O44" i="8" s="1"/>
  <c r="O45" i="8" a="1"/>
  <c r="O45" i="8" s="1"/>
  <c r="O46" i="8" a="1"/>
  <c r="O46" i="8" s="1"/>
  <c r="O47" i="8" a="1"/>
  <c r="O47" i="8" s="1"/>
  <c r="O48" i="8" a="1"/>
  <c r="O48" i="8" s="1"/>
  <c r="O49" i="8" a="1"/>
  <c r="O49" i="8" s="1"/>
  <c r="O50" i="8" a="1"/>
  <c r="O50" i="8" s="1"/>
  <c r="O51" i="8" a="1"/>
  <c r="O51" i="8" s="1"/>
  <c r="O52" i="8" a="1"/>
  <c r="O52" i="8" s="1"/>
  <c r="O53" i="8" a="1"/>
  <c r="O53" i="8" s="1"/>
  <c r="O54" i="8" a="1"/>
  <c r="O54" i="8" s="1"/>
  <c r="O55" i="8" a="1"/>
  <c r="O55" i="8" s="1"/>
  <c r="O56" i="8" a="1"/>
  <c r="O56" i="8" s="1"/>
  <c r="O57" i="8" a="1"/>
  <c r="O57" i="8" s="1"/>
  <c r="O58" i="8" a="1"/>
  <c r="O58" i="8" s="1"/>
  <c r="O59" i="8" a="1"/>
  <c r="O59" i="8" s="1"/>
  <c r="O60" i="8" a="1"/>
  <c r="O60" i="8" s="1"/>
  <c r="O61" i="8" a="1"/>
  <c r="O61" i="8" s="1"/>
  <c r="O62" i="8" a="1"/>
  <c r="O62" i="8" s="1"/>
  <c r="O63" i="8" a="1"/>
  <c r="O63" i="8" s="1"/>
  <c r="O64" i="8" a="1"/>
  <c r="O64" i="8" s="1"/>
  <c r="O65" i="8" a="1"/>
  <c r="O65" i="8" s="1"/>
  <c r="O66" i="8" a="1"/>
  <c r="O66" i="8" s="1"/>
  <c r="O67" i="8" a="1"/>
  <c r="O67" i="8" s="1"/>
  <c r="O68" i="8" a="1"/>
  <c r="O68" i="8" s="1"/>
  <c r="O69" i="8" a="1"/>
  <c r="O69" i="8" s="1"/>
  <c r="O70" i="8" a="1"/>
  <c r="O70" i="8" s="1"/>
  <c r="O71" i="8" a="1"/>
  <c r="O71" i="8" s="1"/>
  <c r="O72" i="8" a="1"/>
  <c r="O72" i="8" s="1"/>
  <c r="O73" i="8" a="1"/>
  <c r="O73" i="8" s="1"/>
  <c r="O74" i="8" a="1"/>
  <c r="O74" i="8" s="1"/>
  <c r="O75" i="8" a="1"/>
  <c r="O75" i="8" s="1"/>
  <c r="O76" i="8" a="1"/>
  <c r="O76" i="8" s="1"/>
  <c r="O77" i="8" a="1"/>
  <c r="O77" i="8" s="1"/>
  <c r="O78" i="8" a="1"/>
  <c r="O78" i="8" s="1"/>
  <c r="O79" i="8" a="1"/>
  <c r="O79" i="8" s="1"/>
  <c r="O80" i="8" a="1"/>
  <c r="O80" i="8" s="1"/>
  <c r="O81" i="8" a="1"/>
  <c r="O81" i="8" s="1"/>
  <c r="O82" i="8" a="1"/>
  <c r="O82" i="8" s="1"/>
  <c r="O83" i="8" a="1"/>
  <c r="O83" i="8" s="1"/>
  <c r="O84" i="8" a="1"/>
  <c r="O84" i="8" s="1"/>
  <c r="O85" i="8" a="1"/>
  <c r="O85" i="8" s="1"/>
  <c r="O86" i="8" a="1"/>
  <c r="O86" i="8" s="1"/>
  <c r="O87" i="8" a="1"/>
  <c r="O87" i="8" s="1"/>
  <c r="O88" i="8" a="1"/>
  <c r="O88" i="8" s="1"/>
  <c r="O89" i="8" a="1"/>
  <c r="O89" i="8" s="1"/>
  <c r="O90" i="8" a="1"/>
  <c r="O90" i="8" s="1"/>
  <c r="O91" i="8" a="1"/>
  <c r="O91" i="8" s="1"/>
  <c r="O92" i="8" a="1"/>
  <c r="O92" i="8" s="1"/>
  <c r="O93" i="8" a="1"/>
  <c r="O93" i="8" s="1"/>
  <c r="O94" i="8" a="1"/>
  <c r="O94" i="8" s="1"/>
  <c r="O95" i="8" a="1"/>
  <c r="O95" i="8" s="1"/>
  <c r="O96" i="8" a="1"/>
  <c r="O96" i="8" s="1"/>
  <c r="O97" i="8" a="1"/>
  <c r="O97" i="8" s="1"/>
  <c r="O98" i="8" a="1"/>
  <c r="O98" i="8" s="1"/>
  <c r="O99" i="8" a="1"/>
  <c r="O99" i="8" s="1"/>
  <c r="O100" i="8" a="1"/>
  <c r="O100" i="8" s="1"/>
  <c r="O101" i="8" a="1"/>
  <c r="O101" i="8" s="1"/>
  <c r="O102" i="8" a="1"/>
  <c r="O102" i="8" s="1"/>
  <c r="O103" i="8" a="1"/>
  <c r="O103" i="8" s="1"/>
  <c r="O104" i="8" a="1"/>
  <c r="O104" i="8" s="1"/>
  <c r="O105" i="8" a="1"/>
  <c r="O105" i="8" s="1"/>
  <c r="O106" i="8" a="1"/>
  <c r="O106" i="8" s="1"/>
  <c r="O107" i="8" a="1"/>
  <c r="O107" i="8" s="1"/>
  <c r="O108" i="8" a="1"/>
  <c r="O108" i="8" s="1"/>
  <c r="O109" i="8" a="1"/>
  <c r="O109" i="8" s="1"/>
  <c r="O110" i="8" a="1"/>
  <c r="O110" i="8" s="1"/>
  <c r="O111" i="8" a="1"/>
  <c r="O111" i="8" s="1"/>
  <c r="O112" i="8" a="1"/>
  <c r="O112" i="8" s="1"/>
  <c r="O113" i="8" a="1"/>
  <c r="O113" i="8" s="1"/>
  <c r="O114" i="8" a="1"/>
  <c r="O114" i="8" s="1"/>
  <c r="O115" i="8" a="1"/>
  <c r="O115" i="8" s="1"/>
  <c r="O116" i="8" a="1"/>
  <c r="O116" i="8" s="1"/>
  <c r="O117" i="8" a="1"/>
  <c r="O117" i="8" s="1"/>
  <c r="O118" i="8" a="1"/>
  <c r="O118" i="8" s="1"/>
  <c r="O119" i="8" a="1"/>
  <c r="O119" i="8" s="1"/>
  <c r="O120" i="8" a="1"/>
  <c r="O120" i="8" s="1"/>
  <c r="O121" i="8" a="1"/>
  <c r="O121" i="8" s="1"/>
  <c r="O122" i="8" a="1"/>
  <c r="O122" i="8" s="1"/>
  <c r="O123" i="8" a="1"/>
  <c r="O123" i="8" s="1"/>
  <c r="O124" i="8" a="1"/>
  <c r="O124" i="8" s="1"/>
  <c r="O125" i="8" a="1"/>
  <c r="O125" i="8" s="1"/>
  <c r="O126" i="8" a="1"/>
  <c r="O126" i="8" s="1"/>
  <c r="O127" i="8" a="1"/>
  <c r="O127" i="8" s="1"/>
  <c r="O128" i="8" a="1"/>
  <c r="O128" i="8" s="1"/>
  <c r="O129" i="8" a="1"/>
  <c r="O129" i="8" s="1"/>
  <c r="O130" i="8" a="1"/>
  <c r="O130" i="8" s="1"/>
  <c r="O131" i="8" a="1"/>
  <c r="O131" i="8" s="1"/>
  <c r="O132" i="8" a="1"/>
  <c r="O132" i="8" s="1"/>
  <c r="O133" i="8" a="1"/>
  <c r="O133" i="8" s="1"/>
  <c r="O134" i="8" a="1"/>
  <c r="O134" i="8" s="1"/>
  <c r="O135" i="8" a="1"/>
  <c r="O135" i="8" s="1"/>
  <c r="O136" i="8" a="1"/>
  <c r="O136" i="8" s="1"/>
  <c r="O137" i="8" a="1"/>
  <c r="O137" i="8" s="1"/>
  <c r="O138" i="8" a="1"/>
  <c r="O138" i="8" s="1"/>
  <c r="O139" i="8" a="1"/>
  <c r="O139" i="8" s="1"/>
  <c r="O140" i="8" a="1"/>
  <c r="O140" i="8" s="1"/>
  <c r="O141" i="8" a="1"/>
  <c r="O141" i="8" s="1"/>
  <c r="O142" i="8" a="1"/>
  <c r="O142" i="8" s="1"/>
  <c r="O143" i="8" a="1"/>
  <c r="O143" i="8" s="1"/>
  <c r="O144" i="8" a="1"/>
  <c r="O144" i="8" s="1"/>
  <c r="O145" i="8" a="1"/>
  <c r="O145" i="8" s="1"/>
  <c r="O146" i="8" a="1"/>
  <c r="O146" i="8" s="1"/>
  <c r="O147" i="8" a="1"/>
  <c r="O147" i="8" s="1"/>
  <c r="O148" i="8" a="1"/>
  <c r="O148" i="8" s="1"/>
  <c r="O149" i="8" a="1"/>
  <c r="O149" i="8" s="1"/>
  <c r="O150" i="8" a="1"/>
  <c r="O150" i="8" s="1"/>
  <c r="O151" i="8" a="1"/>
  <c r="O151" i="8" s="1"/>
  <c r="O152" i="8" a="1"/>
  <c r="O152" i="8" s="1"/>
  <c r="O153" i="8" a="1"/>
  <c r="O153" i="8" s="1"/>
  <c r="O154" i="8" a="1"/>
  <c r="O154" i="8" s="1"/>
  <c r="O155" i="8" a="1"/>
  <c r="O155" i="8" s="1"/>
  <c r="O156" i="8" a="1"/>
  <c r="O156" i="8" s="1"/>
  <c r="O157" i="8" a="1"/>
  <c r="O157" i="8" s="1"/>
  <c r="O158" i="8" a="1"/>
  <c r="O158" i="8" s="1"/>
  <c r="O159" i="8" a="1"/>
  <c r="O159" i="8" s="1"/>
  <c r="O160" i="8" a="1"/>
  <c r="O160" i="8" s="1"/>
  <c r="O161" i="8" a="1"/>
  <c r="O161" i="8" s="1"/>
  <c r="O162" i="8" a="1"/>
  <c r="O162" i="8" s="1"/>
  <c r="O163" i="8" a="1"/>
  <c r="O163" i="8" s="1"/>
  <c r="O164" i="8" a="1"/>
  <c r="O164" i="8" s="1"/>
  <c r="O165" i="8" a="1"/>
  <c r="O165" i="8" s="1"/>
  <c r="O166" i="8" a="1"/>
  <c r="O166" i="8" s="1"/>
  <c r="O167" i="8" a="1"/>
  <c r="O167" i="8" s="1"/>
  <c r="O168" i="8" a="1"/>
  <c r="O168" i="8" s="1"/>
  <c r="O169" i="8" a="1"/>
  <c r="O169" i="8" s="1"/>
  <c r="O170" i="8" a="1"/>
  <c r="O170" i="8" s="1"/>
  <c r="O171" i="8" a="1"/>
  <c r="O171" i="8" s="1"/>
  <c r="O172" i="8" a="1"/>
  <c r="O172" i="8" s="1"/>
  <c r="O173" i="8" a="1"/>
  <c r="O173" i="8" s="1"/>
  <c r="O174" i="8" a="1"/>
  <c r="O174" i="8" s="1"/>
  <c r="O175" i="8" a="1"/>
  <c r="O175" i="8" s="1"/>
  <c r="O176" i="8" a="1"/>
  <c r="O176" i="8" s="1"/>
  <c r="O177" i="8" a="1"/>
  <c r="O177" i="8" s="1"/>
  <c r="O178" i="8" a="1"/>
  <c r="O178" i="8" s="1"/>
  <c r="O179" i="8" a="1"/>
  <c r="O179" i="8" s="1"/>
  <c r="O180" i="8" a="1"/>
  <c r="O180" i="8" s="1"/>
  <c r="O181" i="8" a="1"/>
  <c r="O181" i="8" s="1"/>
  <c r="O182" i="8" a="1"/>
  <c r="O182" i="8" s="1"/>
  <c r="O183" i="8" a="1"/>
  <c r="O183" i="8" s="1"/>
  <c r="O184" i="8" a="1"/>
  <c r="O184" i="8" s="1"/>
  <c r="O185" i="8" a="1"/>
  <c r="O185" i="8" s="1"/>
  <c r="O186" i="8" a="1"/>
  <c r="O186" i="8" s="1"/>
  <c r="O187" i="8" a="1"/>
  <c r="O187" i="8" s="1"/>
  <c r="O188" i="8" a="1"/>
  <c r="O188" i="8" s="1"/>
  <c r="O189" i="8" a="1"/>
  <c r="O189" i="8" s="1"/>
  <c r="O190" i="8" a="1"/>
  <c r="O190" i="8" s="1"/>
  <c r="O191" i="8" a="1"/>
  <c r="O191" i="8" s="1"/>
  <c r="O192" i="8" a="1"/>
  <c r="O192" i="8" s="1"/>
  <c r="O193" i="8" a="1"/>
  <c r="O193" i="8" s="1"/>
  <c r="O194" i="8" a="1"/>
  <c r="O194" i="8" s="1"/>
  <c r="O195" i="8" a="1"/>
  <c r="O195" i="8" s="1"/>
  <c r="O196" i="8" a="1"/>
  <c r="O196" i="8" s="1"/>
  <c r="O197" i="8" a="1"/>
  <c r="O197" i="8" s="1"/>
  <c r="O198" i="8" a="1"/>
  <c r="O198" i="8" s="1"/>
  <c r="O199" i="8" a="1"/>
  <c r="O199" i="8" s="1"/>
  <c r="O200" i="8" a="1"/>
  <c r="O200" i="8" s="1"/>
  <c r="O201" i="8" a="1"/>
  <c r="O201" i="8" s="1"/>
  <c r="O202" i="8" a="1"/>
  <c r="O202" i="8" s="1"/>
  <c r="O203" i="8" a="1"/>
  <c r="O203" i="8" s="1"/>
  <c r="O204" i="8" a="1"/>
  <c r="O204" i="8" s="1"/>
  <c r="O205" i="8" a="1"/>
  <c r="O205" i="8" s="1"/>
  <c r="O206" i="8" a="1"/>
  <c r="O206" i="8" s="1"/>
  <c r="O207" i="8" a="1"/>
  <c r="O207" i="8" s="1"/>
  <c r="O208" i="8" a="1"/>
  <c r="O208" i="8" s="1"/>
  <c r="O209" i="8" a="1"/>
  <c r="O209" i="8" s="1"/>
  <c r="O210" i="8" a="1"/>
  <c r="O210" i="8" s="1"/>
  <c r="O211" i="8" a="1"/>
  <c r="O211" i="8" s="1"/>
  <c r="O212" i="8" a="1"/>
  <c r="O212" i="8" s="1"/>
  <c r="O213" i="8" a="1"/>
  <c r="O213" i="8" s="1"/>
  <c r="O214" i="8" a="1"/>
  <c r="O214" i="8" s="1"/>
  <c r="O215" i="8" a="1"/>
  <c r="O215" i="8" s="1"/>
  <c r="O216" i="8" a="1"/>
  <c r="O216" i="8" s="1"/>
  <c r="O217" i="8" a="1"/>
  <c r="O217" i="8" s="1"/>
  <c r="O218" i="8" a="1"/>
  <c r="O218" i="8" s="1"/>
  <c r="O219" i="8" a="1"/>
  <c r="O219" i="8" s="1"/>
  <c r="O220" i="8" a="1"/>
  <c r="O220" i="8" s="1"/>
  <c r="O221" i="8" a="1"/>
  <c r="O221" i="8" s="1"/>
  <c r="O222" i="8" a="1"/>
  <c r="O222" i="8" s="1"/>
  <c r="O223" i="8" a="1"/>
  <c r="O223" i="8" s="1"/>
  <c r="O224" i="8" a="1"/>
  <c r="O224" i="8" s="1"/>
  <c r="O225" i="8" a="1"/>
  <c r="O225" i="8" s="1"/>
  <c r="O226" i="8" a="1"/>
  <c r="O226" i="8" s="1"/>
  <c r="O227" i="8" a="1"/>
  <c r="O227" i="8" s="1"/>
  <c r="O228" i="8" a="1"/>
  <c r="O228" i="8" s="1"/>
  <c r="O229" i="8" a="1"/>
  <c r="O229" i="8" s="1"/>
  <c r="O230" i="8" a="1"/>
  <c r="O230" i="8" s="1"/>
  <c r="O231" i="8" a="1"/>
  <c r="O231" i="8" s="1"/>
  <c r="O232" i="8" a="1"/>
  <c r="O232" i="8" s="1"/>
  <c r="O233" i="8" a="1"/>
  <c r="O233" i="8" s="1"/>
  <c r="O234" i="8" a="1"/>
  <c r="O234" i="8" s="1"/>
  <c r="O235" i="8" a="1"/>
  <c r="O235" i="8" s="1"/>
  <c r="O236" i="8" a="1"/>
  <c r="O236" i="8" s="1"/>
  <c r="O237" i="8" a="1"/>
  <c r="O237" i="8" s="1"/>
  <c r="O238" i="8" a="1"/>
  <c r="O238" i="8" s="1"/>
  <c r="O239" i="8" a="1"/>
  <c r="O239" i="8" s="1"/>
  <c r="O240" i="8" a="1"/>
  <c r="O240" i="8" s="1"/>
  <c r="O241" i="8" a="1"/>
  <c r="O241" i="8" s="1"/>
  <c r="O242" i="8" a="1"/>
  <c r="O242" i="8" s="1"/>
  <c r="O243" i="8" a="1"/>
  <c r="O243" i="8" s="1"/>
  <c r="O244" i="8" a="1"/>
  <c r="O244" i="8" s="1"/>
  <c r="O245" i="8" a="1"/>
  <c r="O245" i="8" s="1"/>
  <c r="O246" i="8" a="1"/>
  <c r="O246" i="8" s="1"/>
  <c r="O247" i="8" a="1"/>
  <c r="O247" i="8" s="1"/>
  <c r="O248" i="8" a="1"/>
  <c r="O248" i="8" s="1"/>
  <c r="O249" i="8" a="1"/>
  <c r="O249" i="8" s="1"/>
  <c r="N11" i="8" a="1"/>
  <c r="N11" i="8" s="1"/>
  <c r="N12" i="8" a="1"/>
  <c r="N12" i="8" s="1"/>
  <c r="N13" i="8" a="1"/>
  <c r="N13" i="8" s="1"/>
  <c r="N14" i="8" a="1"/>
  <c r="N14" i="8" s="1"/>
  <c r="N15" i="8" a="1"/>
  <c r="N15" i="8" s="1"/>
  <c r="N16" i="8" a="1"/>
  <c r="N16" i="8" s="1"/>
  <c r="N17" i="8" a="1"/>
  <c r="N17" i="8" s="1"/>
  <c r="N18" i="8" a="1"/>
  <c r="N18" i="8" s="1"/>
  <c r="N19" i="8" a="1"/>
  <c r="N19" i="8" s="1"/>
  <c r="N20" i="8" a="1"/>
  <c r="N20" i="8" s="1"/>
  <c r="N21" i="8" a="1"/>
  <c r="N21" i="8" s="1"/>
  <c r="N22" i="8" a="1"/>
  <c r="N22" i="8" s="1"/>
  <c r="N23" i="8" a="1"/>
  <c r="N23" i="8" s="1"/>
  <c r="N24" i="8" a="1"/>
  <c r="N24" i="8" s="1"/>
  <c r="N25" i="8" a="1"/>
  <c r="N25" i="8" s="1"/>
  <c r="N26" i="8" a="1"/>
  <c r="N26" i="8" s="1"/>
  <c r="N27" i="8" a="1"/>
  <c r="N27" i="8" s="1"/>
  <c r="N28" i="8" a="1"/>
  <c r="N28" i="8" s="1"/>
  <c r="N29" i="8" a="1"/>
  <c r="N29" i="8" s="1"/>
  <c r="N30" i="8" a="1"/>
  <c r="N30" i="8" s="1"/>
  <c r="N31" i="8" a="1"/>
  <c r="N31" i="8" s="1"/>
  <c r="N32" i="8" a="1"/>
  <c r="N32" i="8" s="1"/>
  <c r="N33" i="8" a="1"/>
  <c r="N33" i="8" s="1"/>
  <c r="N34" i="8" a="1"/>
  <c r="N34" i="8" s="1"/>
  <c r="N35" i="8" a="1"/>
  <c r="N35" i="8" s="1"/>
  <c r="N36" i="8" a="1"/>
  <c r="N36" i="8" s="1"/>
  <c r="N37" i="8" a="1"/>
  <c r="N37" i="8" s="1"/>
  <c r="N38" i="8" a="1"/>
  <c r="N38" i="8" s="1"/>
  <c r="N39" i="8" a="1"/>
  <c r="N39" i="8" s="1"/>
  <c r="N40" i="8" a="1"/>
  <c r="N40" i="8" s="1"/>
  <c r="N41" i="8" a="1"/>
  <c r="N41" i="8" s="1"/>
  <c r="N42" i="8" a="1"/>
  <c r="N42" i="8" s="1"/>
  <c r="N43" i="8" a="1"/>
  <c r="N43" i="8" s="1"/>
  <c r="N44" i="8" a="1"/>
  <c r="N44" i="8" s="1"/>
  <c r="N45" i="8" a="1"/>
  <c r="N45" i="8" s="1"/>
  <c r="N46" i="8" a="1"/>
  <c r="N46" i="8" s="1"/>
  <c r="N47" i="8" a="1"/>
  <c r="N47" i="8" s="1"/>
  <c r="N48" i="8" a="1"/>
  <c r="N48" i="8" s="1"/>
  <c r="N49" i="8" a="1"/>
  <c r="N49" i="8" s="1"/>
  <c r="N50" i="8" a="1"/>
  <c r="N50" i="8" s="1"/>
  <c r="N51" i="8" a="1"/>
  <c r="N51" i="8" s="1"/>
  <c r="N52" i="8" a="1"/>
  <c r="N52" i="8" s="1"/>
  <c r="N53" i="8" a="1"/>
  <c r="N53" i="8" s="1"/>
  <c r="N54" i="8" a="1"/>
  <c r="N54" i="8" s="1"/>
  <c r="N55" i="8" a="1"/>
  <c r="N55" i="8" s="1"/>
  <c r="N56" i="8" a="1"/>
  <c r="N56" i="8" s="1"/>
  <c r="N57" i="8" a="1"/>
  <c r="N57" i="8" s="1"/>
  <c r="N58" i="8" a="1"/>
  <c r="N58" i="8" s="1"/>
  <c r="N59" i="8" a="1"/>
  <c r="N59" i="8" s="1"/>
  <c r="N60" i="8" a="1"/>
  <c r="N60" i="8" s="1"/>
  <c r="N61" i="8" a="1"/>
  <c r="N61" i="8" s="1"/>
  <c r="N62" i="8" a="1"/>
  <c r="N62" i="8" s="1"/>
  <c r="N63" i="8" a="1"/>
  <c r="N63" i="8" s="1"/>
  <c r="N64" i="8" a="1"/>
  <c r="N64" i="8" s="1"/>
  <c r="N65" i="8" a="1"/>
  <c r="N65" i="8" s="1"/>
  <c r="N66" i="8" a="1"/>
  <c r="N66" i="8" s="1"/>
  <c r="N67" i="8" a="1"/>
  <c r="N67" i="8" s="1"/>
  <c r="N68" i="8" a="1"/>
  <c r="N68" i="8" s="1"/>
  <c r="N69" i="8" a="1"/>
  <c r="N69" i="8" s="1"/>
  <c r="N70" i="8" a="1"/>
  <c r="N70" i="8" s="1"/>
  <c r="N71" i="8" a="1"/>
  <c r="N71" i="8" s="1"/>
  <c r="N72" i="8" a="1"/>
  <c r="N72" i="8" s="1"/>
  <c r="N73" i="8" a="1"/>
  <c r="N73" i="8" s="1"/>
  <c r="N74" i="8" a="1"/>
  <c r="N74" i="8" s="1"/>
  <c r="N75" i="8" a="1"/>
  <c r="N75" i="8" s="1"/>
  <c r="N76" i="8" a="1"/>
  <c r="N76" i="8" s="1"/>
  <c r="N77" i="8" a="1"/>
  <c r="N77" i="8" s="1"/>
  <c r="N78" i="8" a="1"/>
  <c r="N78" i="8" s="1"/>
  <c r="N79" i="8" a="1"/>
  <c r="N79" i="8" s="1"/>
  <c r="N80" i="8" a="1"/>
  <c r="N80" i="8" s="1"/>
  <c r="N81" i="8" a="1"/>
  <c r="N81" i="8" s="1"/>
  <c r="N82" i="8" a="1"/>
  <c r="N82" i="8" s="1"/>
  <c r="N83" i="8" a="1"/>
  <c r="N83" i="8" s="1"/>
  <c r="N84" i="8" a="1"/>
  <c r="N84" i="8" s="1"/>
  <c r="N85" i="8" a="1"/>
  <c r="N85" i="8" s="1"/>
  <c r="N86" i="8" a="1"/>
  <c r="N86" i="8" s="1"/>
  <c r="N87" i="8" a="1"/>
  <c r="N87" i="8" s="1"/>
  <c r="N88" i="8" a="1"/>
  <c r="N88" i="8" s="1"/>
  <c r="N89" i="8" a="1"/>
  <c r="N89" i="8" s="1"/>
  <c r="N90" i="8" a="1"/>
  <c r="N90" i="8" s="1"/>
  <c r="N91" i="8" a="1"/>
  <c r="N91" i="8" s="1"/>
  <c r="N92" i="8" a="1"/>
  <c r="N92" i="8" s="1"/>
  <c r="N93" i="8" a="1"/>
  <c r="N93" i="8" s="1"/>
  <c r="N94" i="8" a="1"/>
  <c r="N94" i="8" s="1"/>
  <c r="N95" i="8" a="1"/>
  <c r="N95" i="8" s="1"/>
  <c r="N96" i="8" a="1"/>
  <c r="N96" i="8" s="1"/>
  <c r="N97" i="8" a="1"/>
  <c r="N97" i="8" s="1"/>
  <c r="N98" i="8" a="1"/>
  <c r="N98" i="8" s="1"/>
  <c r="N99" i="8" a="1"/>
  <c r="N99" i="8" s="1"/>
  <c r="N100" i="8" a="1"/>
  <c r="N100" i="8" s="1"/>
  <c r="N101" i="8" a="1"/>
  <c r="N101" i="8" s="1"/>
  <c r="N102" i="8" a="1"/>
  <c r="N102" i="8" s="1"/>
  <c r="N103" i="8" a="1"/>
  <c r="N103" i="8" s="1"/>
  <c r="N104" i="8" a="1"/>
  <c r="N104" i="8" s="1"/>
  <c r="N105" i="8" a="1"/>
  <c r="N105" i="8" s="1"/>
  <c r="N106" i="8" a="1"/>
  <c r="N106" i="8" s="1"/>
  <c r="N107" i="8" a="1"/>
  <c r="N107" i="8" s="1"/>
  <c r="N108" i="8" a="1"/>
  <c r="N108" i="8" s="1"/>
  <c r="N109" i="8" a="1"/>
  <c r="N109" i="8" s="1"/>
  <c r="N110" i="8" a="1"/>
  <c r="N110" i="8" s="1"/>
  <c r="N111" i="8" a="1"/>
  <c r="N111" i="8" s="1"/>
  <c r="N112" i="8" a="1"/>
  <c r="N112" i="8" s="1"/>
  <c r="N113" i="8" a="1"/>
  <c r="N113" i="8" s="1"/>
  <c r="N114" i="8" a="1"/>
  <c r="N114" i="8" s="1"/>
  <c r="N115" i="8" a="1"/>
  <c r="N115" i="8" s="1"/>
  <c r="N116" i="8" a="1"/>
  <c r="N116" i="8" s="1"/>
  <c r="N117" i="8" a="1"/>
  <c r="N117" i="8" s="1"/>
  <c r="N118" i="8" a="1"/>
  <c r="N118" i="8" s="1"/>
  <c r="N119" i="8" a="1"/>
  <c r="N119" i="8" s="1"/>
  <c r="N120" i="8" a="1"/>
  <c r="N120" i="8" s="1"/>
  <c r="N121" i="8" a="1"/>
  <c r="N121" i="8" s="1"/>
  <c r="N122" i="8" a="1"/>
  <c r="N122" i="8" s="1"/>
  <c r="N123" i="8" a="1"/>
  <c r="N123" i="8" s="1"/>
  <c r="N124" i="8" a="1"/>
  <c r="N124" i="8" s="1"/>
  <c r="N125" i="8" a="1"/>
  <c r="N125" i="8" s="1"/>
  <c r="N126" i="8" a="1"/>
  <c r="N126" i="8" s="1"/>
  <c r="N127" i="8" a="1"/>
  <c r="N127" i="8" s="1"/>
  <c r="N128" i="8" a="1"/>
  <c r="N128" i="8" s="1"/>
  <c r="N129" i="8" a="1"/>
  <c r="N129" i="8" s="1"/>
  <c r="N130" i="8" a="1"/>
  <c r="N130" i="8" s="1"/>
  <c r="N131" i="8" a="1"/>
  <c r="N131" i="8" s="1"/>
  <c r="N132" i="8" a="1"/>
  <c r="N132" i="8" s="1"/>
  <c r="N133" i="8" a="1"/>
  <c r="N133" i="8" s="1"/>
  <c r="N134" i="8" a="1"/>
  <c r="N134" i="8" s="1"/>
  <c r="N135" i="8" a="1"/>
  <c r="N135" i="8" s="1"/>
  <c r="N136" i="8" a="1"/>
  <c r="N136" i="8" s="1"/>
  <c r="N137" i="8" a="1"/>
  <c r="N137" i="8" s="1"/>
  <c r="N138" i="8" a="1"/>
  <c r="N138" i="8" s="1"/>
  <c r="N139" i="8" a="1"/>
  <c r="N139" i="8" s="1"/>
  <c r="N140" i="8" a="1"/>
  <c r="N140" i="8" s="1"/>
  <c r="N141" i="8" a="1"/>
  <c r="N141" i="8" s="1"/>
  <c r="N142" i="8" a="1"/>
  <c r="N142" i="8" s="1"/>
  <c r="N143" i="8" a="1"/>
  <c r="N143" i="8" s="1"/>
  <c r="N144" i="8" a="1"/>
  <c r="N144" i="8" s="1"/>
  <c r="N145" i="8" a="1"/>
  <c r="N145" i="8" s="1"/>
  <c r="N146" i="8" a="1"/>
  <c r="N146" i="8" s="1"/>
  <c r="N147" i="8" a="1"/>
  <c r="N147" i="8" s="1"/>
  <c r="N148" i="8" a="1"/>
  <c r="N148" i="8" s="1"/>
  <c r="N149" i="8" a="1"/>
  <c r="N149" i="8" s="1"/>
  <c r="N150" i="8" a="1"/>
  <c r="N150" i="8" s="1"/>
  <c r="N151" i="8" a="1"/>
  <c r="N151" i="8" s="1"/>
  <c r="N152" i="8" a="1"/>
  <c r="N152" i="8" s="1"/>
  <c r="N153" i="8" a="1"/>
  <c r="N153" i="8" s="1"/>
  <c r="N154" i="8" a="1"/>
  <c r="N154" i="8" s="1"/>
  <c r="N155" i="8" a="1"/>
  <c r="N155" i="8" s="1"/>
  <c r="N156" i="8" a="1"/>
  <c r="N156" i="8" s="1"/>
  <c r="N157" i="8" a="1"/>
  <c r="N157" i="8" s="1"/>
  <c r="N158" i="8" a="1"/>
  <c r="N158" i="8" s="1"/>
  <c r="N159" i="8" a="1"/>
  <c r="N159" i="8" s="1"/>
  <c r="N160" i="8" a="1"/>
  <c r="N160" i="8" s="1"/>
  <c r="N161" i="8" a="1"/>
  <c r="N161" i="8" s="1"/>
  <c r="N162" i="8" a="1"/>
  <c r="N162" i="8" s="1"/>
  <c r="N163" i="8" a="1"/>
  <c r="N163" i="8" s="1"/>
  <c r="N164" i="8" a="1"/>
  <c r="N164" i="8" s="1"/>
  <c r="N165" i="8" a="1"/>
  <c r="N165" i="8" s="1"/>
  <c r="N166" i="8" a="1"/>
  <c r="N166" i="8" s="1"/>
  <c r="N167" i="8" a="1"/>
  <c r="N167" i="8" s="1"/>
  <c r="N168" i="8" a="1"/>
  <c r="N168" i="8" s="1"/>
  <c r="N169" i="8" a="1"/>
  <c r="N169" i="8" s="1"/>
  <c r="N170" i="8" a="1"/>
  <c r="N170" i="8" s="1"/>
  <c r="N171" i="8" a="1"/>
  <c r="N171" i="8" s="1"/>
  <c r="N172" i="8" a="1"/>
  <c r="N172" i="8" s="1"/>
  <c r="N173" i="8" a="1"/>
  <c r="N173" i="8" s="1"/>
  <c r="N174" i="8" a="1"/>
  <c r="N174" i="8" s="1"/>
  <c r="N175" i="8" a="1"/>
  <c r="N175" i="8" s="1"/>
  <c r="N176" i="8" a="1"/>
  <c r="N176" i="8" s="1"/>
  <c r="N177" i="8" a="1"/>
  <c r="N177" i="8" s="1"/>
  <c r="N178" i="8" a="1"/>
  <c r="N178" i="8" s="1"/>
  <c r="N179" i="8" a="1"/>
  <c r="N179" i="8" s="1"/>
  <c r="N180" i="8" a="1"/>
  <c r="N180" i="8" s="1"/>
  <c r="N181" i="8" a="1"/>
  <c r="N181" i="8" s="1"/>
  <c r="N182" i="8" a="1"/>
  <c r="N182" i="8" s="1"/>
  <c r="N183" i="8" a="1"/>
  <c r="N183" i="8" s="1"/>
  <c r="N184" i="8" a="1"/>
  <c r="N184" i="8" s="1"/>
  <c r="N185" i="8" a="1"/>
  <c r="N185" i="8" s="1"/>
  <c r="N186" i="8" a="1"/>
  <c r="N186" i="8" s="1"/>
  <c r="N187" i="8" a="1"/>
  <c r="N187" i="8" s="1"/>
  <c r="N188" i="8" a="1"/>
  <c r="N188" i="8" s="1"/>
  <c r="N189" i="8" a="1"/>
  <c r="N189" i="8" s="1"/>
  <c r="N190" i="8" a="1"/>
  <c r="N190" i="8" s="1"/>
  <c r="N191" i="8" a="1"/>
  <c r="N191" i="8" s="1"/>
  <c r="N192" i="8" a="1"/>
  <c r="N192" i="8" s="1"/>
  <c r="N193" i="8" a="1"/>
  <c r="N193" i="8" s="1"/>
  <c r="N194" i="8" a="1"/>
  <c r="N194" i="8" s="1"/>
  <c r="N195" i="8" a="1"/>
  <c r="N195" i="8" s="1"/>
  <c r="N196" i="8" a="1"/>
  <c r="N196" i="8" s="1"/>
  <c r="N197" i="8" a="1"/>
  <c r="N197" i="8" s="1"/>
  <c r="N198" i="8" a="1"/>
  <c r="N198" i="8" s="1"/>
  <c r="N199" i="8" a="1"/>
  <c r="N199" i="8" s="1"/>
  <c r="N200" i="8" a="1"/>
  <c r="N200" i="8" s="1"/>
  <c r="N201" i="8" a="1"/>
  <c r="N201" i="8" s="1"/>
  <c r="N202" i="8" a="1"/>
  <c r="N202" i="8" s="1"/>
  <c r="N203" i="8" a="1"/>
  <c r="N203" i="8" s="1"/>
  <c r="N204" i="8" a="1"/>
  <c r="N204" i="8" s="1"/>
  <c r="N205" i="8" a="1"/>
  <c r="N205" i="8" s="1"/>
  <c r="N206" i="8" a="1"/>
  <c r="N206" i="8" s="1"/>
  <c r="N207" i="8" a="1"/>
  <c r="N207" i="8" s="1"/>
  <c r="N208" i="8" a="1"/>
  <c r="N208" i="8" s="1"/>
  <c r="N209" i="8" a="1"/>
  <c r="N209" i="8" s="1"/>
  <c r="N210" i="8" a="1"/>
  <c r="N210" i="8" s="1"/>
  <c r="N211" i="8" a="1"/>
  <c r="N211" i="8" s="1"/>
  <c r="N212" i="8" a="1"/>
  <c r="N212" i="8" s="1"/>
  <c r="N213" i="8" a="1"/>
  <c r="N213" i="8" s="1"/>
  <c r="N214" i="8" a="1"/>
  <c r="N214" i="8" s="1"/>
  <c r="N215" i="8" a="1"/>
  <c r="N215" i="8" s="1"/>
  <c r="N216" i="8" a="1"/>
  <c r="N216" i="8" s="1"/>
  <c r="N217" i="8" a="1"/>
  <c r="N217" i="8" s="1"/>
  <c r="N218" i="8" a="1"/>
  <c r="N218" i="8" s="1"/>
  <c r="N219" i="8" a="1"/>
  <c r="N219" i="8" s="1"/>
  <c r="N220" i="8" a="1"/>
  <c r="N220" i="8" s="1"/>
  <c r="N221" i="8" a="1"/>
  <c r="N221" i="8" s="1"/>
  <c r="N222" i="8" a="1"/>
  <c r="N222" i="8" s="1"/>
  <c r="N223" i="8" a="1"/>
  <c r="N223" i="8" s="1"/>
  <c r="N224" i="8" a="1"/>
  <c r="N224" i="8" s="1"/>
  <c r="N225" i="8" a="1"/>
  <c r="N225" i="8" s="1"/>
  <c r="N226" i="8" a="1"/>
  <c r="N226" i="8" s="1"/>
  <c r="N227" i="8" a="1"/>
  <c r="N227" i="8" s="1"/>
  <c r="N228" i="8" a="1"/>
  <c r="N228" i="8" s="1"/>
  <c r="N229" i="8" a="1"/>
  <c r="N229" i="8" s="1"/>
  <c r="N230" i="8" a="1"/>
  <c r="N230" i="8" s="1"/>
  <c r="N231" i="8" a="1"/>
  <c r="N231" i="8" s="1"/>
  <c r="N232" i="8" a="1"/>
  <c r="N232" i="8" s="1"/>
  <c r="N233" i="8" a="1"/>
  <c r="N233" i="8" s="1"/>
  <c r="N234" i="8" a="1"/>
  <c r="N234" i="8" s="1"/>
  <c r="N235" i="8" a="1"/>
  <c r="N235" i="8" s="1"/>
  <c r="N236" i="8" a="1"/>
  <c r="N236" i="8" s="1"/>
  <c r="N237" i="8" a="1"/>
  <c r="N237" i="8" s="1"/>
  <c r="N238" i="8" a="1"/>
  <c r="N238" i="8" s="1"/>
  <c r="N239" i="8" a="1"/>
  <c r="N239" i="8" s="1"/>
  <c r="N240" i="8" a="1"/>
  <c r="N240" i="8" s="1"/>
  <c r="N241" i="8" a="1"/>
  <c r="N241" i="8" s="1"/>
  <c r="N242" i="8" a="1"/>
  <c r="N242" i="8" s="1"/>
  <c r="N243" i="8" a="1"/>
  <c r="N243" i="8" s="1"/>
  <c r="N244" i="8" a="1"/>
  <c r="N244" i="8" s="1"/>
  <c r="N245" i="8" a="1"/>
  <c r="N245" i="8" s="1"/>
  <c r="N246" i="8" a="1"/>
  <c r="N246" i="8" s="1"/>
  <c r="N247" i="8" a="1"/>
  <c r="N247" i="8" s="1"/>
  <c r="N248" i="8" a="1"/>
  <c r="N248" i="8" s="1"/>
  <c r="N249" i="8" a="1"/>
  <c r="N249" i="8" s="1"/>
  <c r="V11" i="8" a="1"/>
  <c r="V11" i="8" s="1"/>
  <c r="V12" i="8" a="1"/>
  <c r="V12" i="8" s="1"/>
  <c r="V13" i="8" a="1"/>
  <c r="V13" i="8" s="1"/>
  <c r="V14" i="8" a="1"/>
  <c r="V14" i="8" s="1"/>
  <c r="V15" i="8" a="1"/>
  <c r="V15" i="8" s="1"/>
  <c r="V16" i="8" a="1"/>
  <c r="V16" i="8" s="1"/>
  <c r="V17" i="8" a="1"/>
  <c r="V17" i="8" s="1"/>
  <c r="V18" i="8" a="1"/>
  <c r="V18" i="8" s="1"/>
  <c r="V19" i="8" a="1"/>
  <c r="V19" i="8" s="1"/>
  <c r="V20" i="8" a="1"/>
  <c r="V20" i="8" s="1"/>
  <c r="V21" i="8" a="1"/>
  <c r="V21" i="8" s="1"/>
  <c r="V22" i="8" a="1"/>
  <c r="V22" i="8" s="1"/>
  <c r="V23" i="8" a="1"/>
  <c r="V23" i="8" s="1"/>
  <c r="V24" i="8" a="1"/>
  <c r="V24" i="8" s="1"/>
  <c r="V25" i="8" a="1"/>
  <c r="V25" i="8" s="1"/>
  <c r="V26" i="8" a="1"/>
  <c r="V26" i="8" s="1"/>
  <c r="V27" i="8" a="1"/>
  <c r="V27" i="8" s="1"/>
  <c r="V28" i="8" a="1"/>
  <c r="V28" i="8" s="1"/>
  <c r="V29" i="8" a="1"/>
  <c r="V29" i="8" s="1"/>
  <c r="V30" i="8" a="1"/>
  <c r="V30" i="8" s="1"/>
  <c r="V31" i="8" a="1"/>
  <c r="V31" i="8" s="1"/>
  <c r="V32" i="8" a="1"/>
  <c r="V32" i="8" s="1"/>
  <c r="V33" i="8" a="1"/>
  <c r="V33" i="8" s="1"/>
  <c r="V34" i="8" a="1"/>
  <c r="V34" i="8" s="1"/>
  <c r="V35" i="8" a="1"/>
  <c r="V35" i="8" s="1"/>
  <c r="V36" i="8" a="1"/>
  <c r="V36" i="8" s="1"/>
  <c r="V37" i="8" a="1"/>
  <c r="V37" i="8" s="1"/>
  <c r="V38" i="8" a="1"/>
  <c r="V38" i="8" s="1"/>
  <c r="V39" i="8" a="1"/>
  <c r="V39" i="8" s="1"/>
  <c r="V40" i="8" a="1"/>
  <c r="V40" i="8" s="1"/>
  <c r="V41" i="8" a="1"/>
  <c r="V41" i="8" s="1"/>
  <c r="V42" i="8" a="1"/>
  <c r="V42" i="8" s="1"/>
  <c r="V43" i="8" a="1"/>
  <c r="V43" i="8" s="1"/>
  <c r="V44" i="8" a="1"/>
  <c r="V44" i="8" s="1"/>
  <c r="V45" i="8" a="1"/>
  <c r="V45" i="8" s="1"/>
  <c r="V46" i="8" a="1"/>
  <c r="V46" i="8" s="1"/>
  <c r="V47" i="8" a="1"/>
  <c r="V47" i="8" s="1"/>
  <c r="V48" i="8" a="1"/>
  <c r="V48" i="8" s="1"/>
  <c r="V49" i="8" a="1"/>
  <c r="V49" i="8" s="1"/>
  <c r="V50" i="8" a="1"/>
  <c r="V50" i="8" s="1"/>
  <c r="V51" i="8" a="1"/>
  <c r="V51" i="8" s="1"/>
  <c r="V52" i="8" a="1"/>
  <c r="V52" i="8" s="1"/>
  <c r="V53" i="8" a="1"/>
  <c r="V53" i="8" s="1"/>
  <c r="V54" i="8" a="1"/>
  <c r="V54" i="8" s="1"/>
  <c r="V55" i="8" a="1"/>
  <c r="V55" i="8" s="1"/>
  <c r="V56" i="8" a="1"/>
  <c r="V56" i="8" s="1"/>
  <c r="V57" i="8" a="1"/>
  <c r="V57" i="8" s="1"/>
  <c r="V58" i="8" a="1"/>
  <c r="V58" i="8" s="1"/>
  <c r="V59" i="8" a="1"/>
  <c r="V59" i="8" s="1"/>
  <c r="V60" i="8" a="1"/>
  <c r="V60" i="8" s="1"/>
  <c r="V61" i="8" a="1"/>
  <c r="V61" i="8" s="1"/>
  <c r="V62" i="8" a="1"/>
  <c r="V62" i="8" s="1"/>
  <c r="V63" i="8" a="1"/>
  <c r="V63" i="8" s="1"/>
  <c r="V64" i="8" a="1"/>
  <c r="V64" i="8" s="1"/>
  <c r="V65" i="8" a="1"/>
  <c r="V65" i="8" s="1"/>
  <c r="V66" i="8" a="1"/>
  <c r="V66" i="8" s="1"/>
  <c r="V67" i="8" a="1"/>
  <c r="V67" i="8" s="1"/>
  <c r="V68" i="8" a="1"/>
  <c r="V68" i="8" s="1"/>
  <c r="V69" i="8" a="1"/>
  <c r="V69" i="8" s="1"/>
  <c r="V70" i="8" a="1"/>
  <c r="V70" i="8" s="1"/>
  <c r="V71" i="8" a="1"/>
  <c r="V71" i="8" s="1"/>
  <c r="V72" i="8" a="1"/>
  <c r="V72" i="8" s="1"/>
  <c r="V73" i="8" a="1"/>
  <c r="V73" i="8" s="1"/>
  <c r="V74" i="8" a="1"/>
  <c r="V74" i="8" s="1"/>
  <c r="V75" i="8" a="1"/>
  <c r="V75" i="8" s="1"/>
  <c r="V76" i="8" a="1"/>
  <c r="V76" i="8" s="1"/>
  <c r="V77" i="8" a="1"/>
  <c r="V77" i="8" s="1"/>
  <c r="V78" i="8" a="1"/>
  <c r="V78" i="8" s="1"/>
  <c r="V79" i="8" a="1"/>
  <c r="V79" i="8" s="1"/>
  <c r="V80" i="8" a="1"/>
  <c r="V80" i="8" s="1"/>
  <c r="V81" i="8" a="1"/>
  <c r="V81" i="8" s="1"/>
  <c r="V82" i="8" a="1"/>
  <c r="V82" i="8" s="1"/>
  <c r="V83" i="8" a="1"/>
  <c r="V83" i="8" s="1"/>
  <c r="V84" i="8" a="1"/>
  <c r="V84" i="8" s="1"/>
  <c r="V85" i="8" a="1"/>
  <c r="V85" i="8" s="1"/>
  <c r="V86" i="8" a="1"/>
  <c r="V86" i="8" s="1"/>
  <c r="V87" i="8" a="1"/>
  <c r="V87" i="8" s="1"/>
  <c r="V88" i="8" a="1"/>
  <c r="V88" i="8" s="1"/>
  <c r="V89" i="8" a="1"/>
  <c r="V89" i="8" s="1"/>
  <c r="V90" i="8" a="1"/>
  <c r="V90" i="8" s="1"/>
  <c r="V91" i="8" a="1"/>
  <c r="V91" i="8" s="1"/>
  <c r="V92" i="8" a="1"/>
  <c r="V92" i="8" s="1"/>
  <c r="V93" i="8" a="1"/>
  <c r="V93" i="8" s="1"/>
  <c r="V94" i="8" a="1"/>
  <c r="V94" i="8" s="1"/>
  <c r="V95" i="8" a="1"/>
  <c r="V95" i="8" s="1"/>
  <c r="V96" i="8" a="1"/>
  <c r="V96" i="8" s="1"/>
  <c r="V97" i="8" a="1"/>
  <c r="V97" i="8" s="1"/>
  <c r="V98" i="8" a="1"/>
  <c r="V98" i="8" s="1"/>
  <c r="V99" i="8" a="1"/>
  <c r="V99" i="8" s="1"/>
  <c r="V100" i="8" a="1"/>
  <c r="V100" i="8" s="1"/>
  <c r="V101" i="8" a="1"/>
  <c r="V101" i="8" s="1"/>
  <c r="V102" i="8" a="1"/>
  <c r="V102" i="8" s="1"/>
  <c r="V103" i="8" a="1"/>
  <c r="V103" i="8" s="1"/>
  <c r="V104" i="8" a="1"/>
  <c r="V104" i="8" s="1"/>
  <c r="V105" i="8" a="1"/>
  <c r="V105" i="8" s="1"/>
  <c r="V106" i="8" a="1"/>
  <c r="V106" i="8" s="1"/>
  <c r="V107" i="8" a="1"/>
  <c r="V107" i="8" s="1"/>
  <c r="V108" i="8" a="1"/>
  <c r="V108" i="8" s="1"/>
  <c r="V109" i="8" a="1"/>
  <c r="V109" i="8" s="1"/>
  <c r="V110" i="8" a="1"/>
  <c r="V110" i="8" s="1"/>
  <c r="V111" i="8" a="1"/>
  <c r="V111" i="8" s="1"/>
  <c r="V112" i="8" a="1"/>
  <c r="V112" i="8" s="1"/>
  <c r="V113" i="8" a="1"/>
  <c r="V113" i="8" s="1"/>
  <c r="V114" i="8" a="1"/>
  <c r="V114" i="8" s="1"/>
  <c r="V115" i="8" a="1"/>
  <c r="V115" i="8" s="1"/>
  <c r="V116" i="8" a="1"/>
  <c r="V116" i="8" s="1"/>
  <c r="V117" i="8" a="1"/>
  <c r="V117" i="8" s="1"/>
  <c r="V118" i="8" a="1"/>
  <c r="V118" i="8" s="1"/>
  <c r="V119" i="8" a="1"/>
  <c r="V119" i="8" s="1"/>
  <c r="V120" i="8" a="1"/>
  <c r="V120" i="8" s="1"/>
  <c r="V121" i="8" a="1"/>
  <c r="V121" i="8" s="1"/>
  <c r="V122" i="8" a="1"/>
  <c r="V122" i="8" s="1"/>
  <c r="V123" i="8" a="1"/>
  <c r="V123" i="8" s="1"/>
  <c r="V124" i="8" a="1"/>
  <c r="V124" i="8" s="1"/>
  <c r="V125" i="8" a="1"/>
  <c r="V125" i="8" s="1"/>
  <c r="V126" i="8" a="1"/>
  <c r="V126" i="8" s="1"/>
  <c r="V127" i="8" a="1"/>
  <c r="V127" i="8" s="1"/>
  <c r="V128" i="8" a="1"/>
  <c r="V128" i="8" s="1"/>
  <c r="V129" i="8" a="1"/>
  <c r="V129" i="8" s="1"/>
  <c r="V130" i="8" a="1"/>
  <c r="V130" i="8" s="1"/>
  <c r="V131" i="8" a="1"/>
  <c r="V131" i="8" s="1"/>
  <c r="V132" i="8" a="1"/>
  <c r="V132" i="8" s="1"/>
  <c r="V133" i="8" a="1"/>
  <c r="V133" i="8" s="1"/>
  <c r="V134" i="8" a="1"/>
  <c r="V134" i="8" s="1"/>
  <c r="V135" i="8" a="1"/>
  <c r="V135" i="8" s="1"/>
  <c r="V136" i="8" a="1"/>
  <c r="V136" i="8" s="1"/>
  <c r="V137" i="8" a="1"/>
  <c r="V137" i="8" s="1"/>
  <c r="V138" i="8" a="1"/>
  <c r="V138" i="8" s="1"/>
  <c r="V139" i="8" a="1"/>
  <c r="V139" i="8" s="1"/>
  <c r="V140" i="8" a="1"/>
  <c r="V140" i="8" s="1"/>
  <c r="V141" i="8" a="1"/>
  <c r="V141" i="8" s="1"/>
  <c r="V142" i="8" a="1"/>
  <c r="V142" i="8" s="1"/>
  <c r="V143" i="8" a="1"/>
  <c r="V143" i="8" s="1"/>
  <c r="V144" i="8" a="1"/>
  <c r="V144" i="8" s="1"/>
  <c r="V145" i="8" a="1"/>
  <c r="V145" i="8" s="1"/>
  <c r="V146" i="8" a="1"/>
  <c r="V146" i="8" s="1"/>
  <c r="V147" i="8" a="1"/>
  <c r="V147" i="8" s="1"/>
  <c r="V148" i="8" a="1"/>
  <c r="V148" i="8" s="1"/>
  <c r="V149" i="8" a="1"/>
  <c r="V149" i="8" s="1"/>
  <c r="V150" i="8" a="1"/>
  <c r="V150" i="8" s="1"/>
  <c r="V151" i="8" a="1"/>
  <c r="V151" i="8" s="1"/>
  <c r="V152" i="8" a="1"/>
  <c r="V152" i="8" s="1"/>
  <c r="V153" i="8" a="1"/>
  <c r="V153" i="8" s="1"/>
  <c r="V154" i="8" a="1"/>
  <c r="V154" i="8" s="1"/>
  <c r="V155" i="8" a="1"/>
  <c r="V155" i="8" s="1"/>
  <c r="V156" i="8" a="1"/>
  <c r="V156" i="8" s="1"/>
  <c r="V157" i="8" a="1"/>
  <c r="V157" i="8" s="1"/>
  <c r="V158" i="8" a="1"/>
  <c r="V158" i="8" s="1"/>
  <c r="V159" i="8" a="1"/>
  <c r="V159" i="8" s="1"/>
  <c r="V160" i="8" a="1"/>
  <c r="V160" i="8" s="1"/>
  <c r="V161" i="8" a="1"/>
  <c r="V161" i="8" s="1"/>
  <c r="V162" i="8" a="1"/>
  <c r="V162" i="8" s="1"/>
  <c r="V163" i="8" a="1"/>
  <c r="V163" i="8" s="1"/>
  <c r="V164" i="8" a="1"/>
  <c r="V164" i="8" s="1"/>
  <c r="V165" i="8" a="1"/>
  <c r="V165" i="8" s="1"/>
  <c r="V166" i="8" a="1"/>
  <c r="V166" i="8" s="1"/>
  <c r="V167" i="8" a="1"/>
  <c r="V167" i="8" s="1"/>
  <c r="V168" i="8" a="1"/>
  <c r="V168" i="8" s="1"/>
  <c r="V169" i="8" a="1"/>
  <c r="V169" i="8" s="1"/>
  <c r="V170" i="8" a="1"/>
  <c r="V170" i="8" s="1"/>
  <c r="V171" i="8" a="1"/>
  <c r="V171" i="8" s="1"/>
  <c r="V172" i="8" a="1"/>
  <c r="V172" i="8" s="1"/>
  <c r="V173" i="8" a="1"/>
  <c r="V173" i="8" s="1"/>
  <c r="V174" i="8" a="1"/>
  <c r="V174" i="8" s="1"/>
  <c r="V175" i="8" a="1"/>
  <c r="V175" i="8" s="1"/>
  <c r="V176" i="8" a="1"/>
  <c r="V176" i="8" s="1"/>
  <c r="V177" i="8" a="1"/>
  <c r="V177" i="8" s="1"/>
  <c r="V178" i="8" a="1"/>
  <c r="V178" i="8" s="1"/>
  <c r="V179" i="8" a="1"/>
  <c r="V179" i="8" s="1"/>
  <c r="V180" i="8" a="1"/>
  <c r="V180" i="8" s="1"/>
  <c r="V181" i="8" a="1"/>
  <c r="V181" i="8" s="1"/>
  <c r="V182" i="8" a="1"/>
  <c r="V182" i="8" s="1"/>
  <c r="V183" i="8" a="1"/>
  <c r="V183" i="8" s="1"/>
  <c r="V184" i="8" a="1"/>
  <c r="V184" i="8" s="1"/>
  <c r="V185" i="8" a="1"/>
  <c r="V185" i="8" s="1"/>
  <c r="V186" i="8" a="1"/>
  <c r="V186" i="8" s="1"/>
  <c r="V187" i="8" a="1"/>
  <c r="V187" i="8" s="1"/>
  <c r="V188" i="8" a="1"/>
  <c r="V188" i="8" s="1"/>
  <c r="V189" i="8" a="1"/>
  <c r="V189" i="8" s="1"/>
  <c r="V190" i="8" a="1"/>
  <c r="V190" i="8" s="1"/>
  <c r="V191" i="8" a="1"/>
  <c r="V191" i="8" s="1"/>
  <c r="V192" i="8" a="1"/>
  <c r="V192" i="8" s="1"/>
  <c r="V193" i="8" a="1"/>
  <c r="V193" i="8" s="1"/>
  <c r="V194" i="8" a="1"/>
  <c r="V194" i="8" s="1"/>
  <c r="V195" i="8" a="1"/>
  <c r="V195" i="8" s="1"/>
  <c r="V196" i="8" a="1"/>
  <c r="V196" i="8" s="1"/>
  <c r="V197" i="8" a="1"/>
  <c r="V197" i="8" s="1"/>
  <c r="V198" i="8" a="1"/>
  <c r="V198" i="8" s="1"/>
  <c r="V199" i="8" a="1"/>
  <c r="V199" i="8" s="1"/>
  <c r="V200" i="8" a="1"/>
  <c r="V200" i="8" s="1"/>
  <c r="V201" i="8" a="1"/>
  <c r="V201" i="8" s="1"/>
  <c r="V202" i="8" a="1"/>
  <c r="V202" i="8" s="1"/>
  <c r="V203" i="8" a="1"/>
  <c r="V203" i="8" s="1"/>
  <c r="V204" i="8" a="1"/>
  <c r="V204" i="8" s="1"/>
  <c r="V205" i="8" a="1"/>
  <c r="V205" i="8" s="1"/>
  <c r="V206" i="8" a="1"/>
  <c r="V206" i="8" s="1"/>
  <c r="V207" i="8" a="1"/>
  <c r="V207" i="8" s="1"/>
  <c r="V208" i="8" a="1"/>
  <c r="V208" i="8" s="1"/>
  <c r="V209" i="8" a="1"/>
  <c r="V209" i="8" s="1"/>
  <c r="V210" i="8" a="1"/>
  <c r="V210" i="8" s="1"/>
  <c r="V211" i="8" a="1"/>
  <c r="V211" i="8" s="1"/>
  <c r="V212" i="8" a="1"/>
  <c r="V212" i="8" s="1"/>
  <c r="V213" i="8" a="1"/>
  <c r="V213" i="8" s="1"/>
  <c r="V214" i="8" a="1"/>
  <c r="V214" i="8" s="1"/>
  <c r="V215" i="8" a="1"/>
  <c r="V215" i="8" s="1"/>
  <c r="V216" i="8" a="1"/>
  <c r="V216" i="8" s="1"/>
  <c r="V217" i="8" a="1"/>
  <c r="V217" i="8" s="1"/>
  <c r="V218" i="8" a="1"/>
  <c r="V218" i="8" s="1"/>
  <c r="V219" i="8" a="1"/>
  <c r="V219" i="8" s="1"/>
  <c r="V220" i="8" a="1"/>
  <c r="V220" i="8" s="1"/>
  <c r="V221" i="8" a="1"/>
  <c r="V221" i="8" s="1"/>
  <c r="V222" i="8" a="1"/>
  <c r="V222" i="8" s="1"/>
  <c r="V223" i="8" a="1"/>
  <c r="V223" i="8" s="1"/>
  <c r="V224" i="8" a="1"/>
  <c r="V224" i="8" s="1"/>
  <c r="V225" i="8" a="1"/>
  <c r="V225" i="8" s="1"/>
  <c r="V226" i="8" a="1"/>
  <c r="V226" i="8" s="1"/>
  <c r="V227" i="8" a="1"/>
  <c r="V227" i="8" s="1"/>
  <c r="V228" i="8" a="1"/>
  <c r="V228" i="8" s="1"/>
  <c r="V229" i="8" a="1"/>
  <c r="V229" i="8" s="1"/>
  <c r="V230" i="8" a="1"/>
  <c r="V230" i="8" s="1"/>
  <c r="V231" i="8" a="1"/>
  <c r="V231" i="8" s="1"/>
  <c r="V232" i="8" a="1"/>
  <c r="V232" i="8" s="1"/>
  <c r="V233" i="8" a="1"/>
  <c r="V233" i="8" s="1"/>
  <c r="V234" i="8" a="1"/>
  <c r="V234" i="8" s="1"/>
  <c r="V235" i="8" a="1"/>
  <c r="V235" i="8" s="1"/>
  <c r="V236" i="8" a="1"/>
  <c r="V236" i="8" s="1"/>
  <c r="V237" i="8" a="1"/>
  <c r="V237" i="8" s="1"/>
  <c r="V238" i="8" a="1"/>
  <c r="V238" i="8" s="1"/>
  <c r="V239" i="8" a="1"/>
  <c r="V239" i="8" s="1"/>
  <c r="V240" i="8" a="1"/>
  <c r="V240" i="8" s="1"/>
  <c r="V241" i="8" a="1"/>
  <c r="V241" i="8" s="1"/>
  <c r="V242" i="8" a="1"/>
  <c r="V242" i="8" s="1"/>
  <c r="V243" i="8" a="1"/>
  <c r="V243" i="8" s="1"/>
  <c r="V244" i="8" a="1"/>
  <c r="V244" i="8" s="1"/>
  <c r="V245" i="8" a="1"/>
  <c r="V245" i="8" s="1"/>
  <c r="V246" i="8" a="1"/>
  <c r="V246" i="8" s="1"/>
  <c r="V247" i="8" a="1"/>
  <c r="V247" i="8" s="1"/>
  <c r="V248" i="8" a="1"/>
  <c r="V248" i="8" s="1"/>
  <c r="V249" i="8" a="1"/>
  <c r="V249" i="8" s="1"/>
  <c r="U11" i="8" a="1"/>
  <c r="U11" i="8" s="1"/>
  <c r="U12" i="8" a="1"/>
  <c r="U12" i="8" s="1"/>
  <c r="U13" i="8" a="1"/>
  <c r="U13" i="8" s="1"/>
  <c r="U14" i="8" a="1"/>
  <c r="U14" i="8" s="1"/>
  <c r="U15" i="8" a="1"/>
  <c r="U15" i="8" s="1"/>
  <c r="U16" i="8" a="1"/>
  <c r="U16" i="8" s="1"/>
  <c r="U17" i="8" a="1"/>
  <c r="U17" i="8" s="1"/>
  <c r="U18" i="8" a="1"/>
  <c r="U18" i="8" s="1"/>
  <c r="U19" i="8" a="1"/>
  <c r="U19" i="8" s="1"/>
  <c r="U20" i="8" a="1"/>
  <c r="U20" i="8" s="1"/>
  <c r="U21" i="8" a="1"/>
  <c r="U21" i="8" s="1"/>
  <c r="U22" i="8" a="1"/>
  <c r="U22" i="8" s="1"/>
  <c r="U23" i="8" a="1"/>
  <c r="U23" i="8" s="1"/>
  <c r="U24" i="8" a="1"/>
  <c r="U24" i="8" s="1"/>
  <c r="U25" i="8" a="1"/>
  <c r="U25" i="8" s="1"/>
  <c r="U26" i="8" a="1"/>
  <c r="U26" i="8" s="1"/>
  <c r="U27" i="8" a="1"/>
  <c r="U27" i="8" s="1"/>
  <c r="U28" i="8" a="1"/>
  <c r="U28" i="8" s="1"/>
  <c r="U29" i="8" a="1"/>
  <c r="U29" i="8" s="1"/>
  <c r="U30" i="8" a="1"/>
  <c r="U30" i="8" s="1"/>
  <c r="U31" i="8" a="1"/>
  <c r="U31" i="8" s="1"/>
  <c r="U32" i="8" a="1"/>
  <c r="U32" i="8" s="1"/>
  <c r="U33" i="8" a="1"/>
  <c r="U33" i="8" s="1"/>
  <c r="U34" i="8" a="1"/>
  <c r="U34" i="8" s="1"/>
  <c r="U35" i="8" a="1"/>
  <c r="U35" i="8" s="1"/>
  <c r="U36" i="8" a="1"/>
  <c r="U36" i="8" s="1"/>
  <c r="U37" i="8" a="1"/>
  <c r="U37" i="8" s="1"/>
  <c r="U38" i="8" a="1"/>
  <c r="U38" i="8" s="1"/>
  <c r="U39" i="8" a="1"/>
  <c r="U39" i="8" s="1"/>
  <c r="U40" i="8" a="1"/>
  <c r="U40" i="8" s="1"/>
  <c r="U41" i="8" a="1"/>
  <c r="U41" i="8" s="1"/>
  <c r="U42" i="8" a="1"/>
  <c r="U42" i="8" s="1"/>
  <c r="U43" i="8" a="1"/>
  <c r="U43" i="8" s="1"/>
  <c r="U44" i="8" a="1"/>
  <c r="U44" i="8" s="1"/>
  <c r="U45" i="8" a="1"/>
  <c r="U45" i="8" s="1"/>
  <c r="U46" i="8" a="1"/>
  <c r="U46" i="8" s="1"/>
  <c r="U47" i="8" a="1"/>
  <c r="U47" i="8" s="1"/>
  <c r="U48" i="8" a="1"/>
  <c r="U48" i="8" s="1"/>
  <c r="U49" i="8" a="1"/>
  <c r="U49" i="8" s="1"/>
  <c r="U50" i="8" a="1"/>
  <c r="U50" i="8" s="1"/>
  <c r="U51" i="8" a="1"/>
  <c r="U51" i="8" s="1"/>
  <c r="U52" i="8" a="1"/>
  <c r="U52" i="8" s="1"/>
  <c r="U53" i="8" a="1"/>
  <c r="U53" i="8" s="1"/>
  <c r="U54" i="8" a="1"/>
  <c r="U54" i="8" s="1"/>
  <c r="U55" i="8" a="1"/>
  <c r="U55" i="8" s="1"/>
  <c r="U56" i="8" a="1"/>
  <c r="U56" i="8" s="1"/>
  <c r="U57" i="8" a="1"/>
  <c r="U57" i="8" s="1"/>
  <c r="U58" i="8" a="1"/>
  <c r="U58" i="8" s="1"/>
  <c r="U59" i="8" a="1"/>
  <c r="U59" i="8" s="1"/>
  <c r="U60" i="8" a="1"/>
  <c r="U60" i="8" s="1"/>
  <c r="U61" i="8" a="1"/>
  <c r="U61" i="8" s="1"/>
  <c r="U62" i="8" a="1"/>
  <c r="U62" i="8" s="1"/>
  <c r="U63" i="8" a="1"/>
  <c r="U63" i="8" s="1"/>
  <c r="U64" i="8" a="1"/>
  <c r="U64" i="8" s="1"/>
  <c r="U65" i="8" a="1"/>
  <c r="U65" i="8" s="1"/>
  <c r="U66" i="8" a="1"/>
  <c r="U66" i="8" s="1"/>
  <c r="U67" i="8" a="1"/>
  <c r="U67" i="8" s="1"/>
  <c r="U68" i="8" a="1"/>
  <c r="U68" i="8" s="1"/>
  <c r="U69" i="8" a="1"/>
  <c r="U69" i="8" s="1"/>
  <c r="U70" i="8" a="1"/>
  <c r="U70" i="8" s="1"/>
  <c r="U71" i="8" a="1"/>
  <c r="U71" i="8" s="1"/>
  <c r="U72" i="8" a="1"/>
  <c r="U72" i="8" s="1"/>
  <c r="U73" i="8" a="1"/>
  <c r="U73" i="8" s="1"/>
  <c r="U74" i="8" a="1"/>
  <c r="U74" i="8" s="1"/>
  <c r="U75" i="8" a="1"/>
  <c r="U75" i="8" s="1"/>
  <c r="U76" i="8" a="1"/>
  <c r="U76" i="8" s="1"/>
  <c r="U77" i="8" a="1"/>
  <c r="U77" i="8" s="1"/>
  <c r="U78" i="8" a="1"/>
  <c r="U78" i="8" s="1"/>
  <c r="U79" i="8" a="1"/>
  <c r="U79" i="8" s="1"/>
  <c r="U80" i="8" a="1"/>
  <c r="U80" i="8" s="1"/>
  <c r="U81" i="8" a="1"/>
  <c r="U81" i="8" s="1"/>
  <c r="U82" i="8" a="1"/>
  <c r="U82" i="8" s="1"/>
  <c r="U83" i="8" a="1"/>
  <c r="U83" i="8" s="1"/>
  <c r="U84" i="8" a="1"/>
  <c r="U84" i="8" s="1"/>
  <c r="U85" i="8" a="1"/>
  <c r="U85" i="8" s="1"/>
  <c r="U86" i="8" a="1"/>
  <c r="U86" i="8" s="1"/>
  <c r="U87" i="8" a="1"/>
  <c r="U87" i="8" s="1"/>
  <c r="U88" i="8" a="1"/>
  <c r="U88" i="8" s="1"/>
  <c r="U89" i="8" a="1"/>
  <c r="U89" i="8" s="1"/>
  <c r="U90" i="8" a="1"/>
  <c r="U90" i="8" s="1"/>
  <c r="U91" i="8" a="1"/>
  <c r="U91" i="8" s="1"/>
  <c r="U92" i="8" a="1"/>
  <c r="U92" i="8" s="1"/>
  <c r="U93" i="8" a="1"/>
  <c r="U93" i="8" s="1"/>
  <c r="U94" i="8" a="1"/>
  <c r="U94" i="8" s="1"/>
  <c r="U95" i="8" a="1"/>
  <c r="U95" i="8" s="1"/>
  <c r="U96" i="8" a="1"/>
  <c r="U96" i="8" s="1"/>
  <c r="U97" i="8" a="1"/>
  <c r="U97" i="8" s="1"/>
  <c r="U98" i="8" a="1"/>
  <c r="U98" i="8" s="1"/>
  <c r="U99" i="8" a="1"/>
  <c r="U99" i="8" s="1"/>
  <c r="U100" i="8" a="1"/>
  <c r="U100" i="8" s="1"/>
  <c r="U101" i="8" a="1"/>
  <c r="U101" i="8" s="1"/>
  <c r="U102" i="8" a="1"/>
  <c r="U102" i="8" s="1"/>
  <c r="U103" i="8" a="1"/>
  <c r="U103" i="8" s="1"/>
  <c r="U104" i="8" a="1"/>
  <c r="U104" i="8" s="1"/>
  <c r="U105" i="8" a="1"/>
  <c r="U105" i="8" s="1"/>
  <c r="U106" i="8" a="1"/>
  <c r="U106" i="8" s="1"/>
  <c r="U107" i="8" a="1"/>
  <c r="U107" i="8" s="1"/>
  <c r="U108" i="8" a="1"/>
  <c r="U108" i="8" s="1"/>
  <c r="U109" i="8" a="1"/>
  <c r="U109" i="8" s="1"/>
  <c r="U110" i="8" a="1"/>
  <c r="U110" i="8" s="1"/>
  <c r="U111" i="8" a="1"/>
  <c r="U111" i="8" s="1"/>
  <c r="U112" i="8" a="1"/>
  <c r="U112" i="8" s="1"/>
  <c r="U113" i="8" a="1"/>
  <c r="U113" i="8" s="1"/>
  <c r="U114" i="8" a="1"/>
  <c r="U114" i="8" s="1"/>
  <c r="U115" i="8" a="1"/>
  <c r="U115" i="8" s="1"/>
  <c r="U116" i="8" a="1"/>
  <c r="U116" i="8" s="1"/>
  <c r="U117" i="8" a="1"/>
  <c r="U117" i="8" s="1"/>
  <c r="U118" i="8" a="1"/>
  <c r="U118" i="8" s="1"/>
  <c r="U119" i="8" a="1"/>
  <c r="U119" i="8" s="1"/>
  <c r="U120" i="8" a="1"/>
  <c r="U120" i="8" s="1"/>
  <c r="U121" i="8" a="1"/>
  <c r="U121" i="8" s="1"/>
  <c r="U122" i="8" a="1"/>
  <c r="U122" i="8" s="1"/>
  <c r="U123" i="8" a="1"/>
  <c r="U123" i="8" s="1"/>
  <c r="U124" i="8" a="1"/>
  <c r="U124" i="8" s="1"/>
  <c r="U125" i="8" a="1"/>
  <c r="U125" i="8" s="1"/>
  <c r="U126" i="8" a="1"/>
  <c r="U126" i="8" s="1"/>
  <c r="U127" i="8" a="1"/>
  <c r="U127" i="8" s="1"/>
  <c r="U128" i="8" a="1"/>
  <c r="U128" i="8" s="1"/>
  <c r="U129" i="8" a="1"/>
  <c r="U129" i="8" s="1"/>
  <c r="U130" i="8" a="1"/>
  <c r="U130" i="8" s="1"/>
  <c r="U131" i="8" a="1"/>
  <c r="U131" i="8" s="1"/>
  <c r="U132" i="8" a="1"/>
  <c r="U132" i="8" s="1"/>
  <c r="U133" i="8" a="1"/>
  <c r="U133" i="8" s="1"/>
  <c r="U134" i="8" a="1"/>
  <c r="U134" i="8" s="1"/>
  <c r="U135" i="8" a="1"/>
  <c r="U135" i="8" s="1"/>
  <c r="U136" i="8" a="1"/>
  <c r="U136" i="8" s="1"/>
  <c r="U137" i="8" a="1"/>
  <c r="U137" i="8" s="1"/>
  <c r="U138" i="8" a="1"/>
  <c r="U138" i="8" s="1"/>
  <c r="U139" i="8" a="1"/>
  <c r="U139" i="8" s="1"/>
  <c r="U140" i="8" a="1"/>
  <c r="U140" i="8" s="1"/>
  <c r="U141" i="8" a="1"/>
  <c r="U141" i="8" s="1"/>
  <c r="U142" i="8" a="1"/>
  <c r="U142" i="8" s="1"/>
  <c r="U143" i="8" a="1"/>
  <c r="U143" i="8" s="1"/>
  <c r="U144" i="8" a="1"/>
  <c r="U144" i="8" s="1"/>
  <c r="U145" i="8" a="1"/>
  <c r="U145" i="8" s="1"/>
  <c r="U146" i="8" a="1"/>
  <c r="U146" i="8" s="1"/>
  <c r="U147" i="8" a="1"/>
  <c r="U147" i="8" s="1"/>
  <c r="U148" i="8" a="1"/>
  <c r="U148" i="8" s="1"/>
  <c r="U149" i="8" a="1"/>
  <c r="U149" i="8" s="1"/>
  <c r="U150" i="8" a="1"/>
  <c r="U150" i="8" s="1"/>
  <c r="U151" i="8" a="1"/>
  <c r="U151" i="8" s="1"/>
  <c r="U152" i="8" a="1"/>
  <c r="U152" i="8" s="1"/>
  <c r="U153" i="8" a="1"/>
  <c r="U153" i="8" s="1"/>
  <c r="U154" i="8" a="1"/>
  <c r="U154" i="8" s="1"/>
  <c r="U155" i="8" a="1"/>
  <c r="U155" i="8" s="1"/>
  <c r="U156" i="8" a="1"/>
  <c r="U156" i="8" s="1"/>
  <c r="U157" i="8" a="1"/>
  <c r="U157" i="8" s="1"/>
  <c r="U158" i="8" a="1"/>
  <c r="U158" i="8" s="1"/>
  <c r="U159" i="8" a="1"/>
  <c r="U159" i="8" s="1"/>
  <c r="U160" i="8" a="1"/>
  <c r="U160" i="8" s="1"/>
  <c r="U161" i="8" a="1"/>
  <c r="U161" i="8" s="1"/>
  <c r="U162" i="8" a="1"/>
  <c r="U162" i="8" s="1"/>
  <c r="U163" i="8" a="1"/>
  <c r="U163" i="8" s="1"/>
  <c r="U164" i="8" a="1"/>
  <c r="U164" i="8" s="1"/>
  <c r="U165" i="8" a="1"/>
  <c r="U165" i="8" s="1"/>
  <c r="U166" i="8" a="1"/>
  <c r="U166" i="8" s="1"/>
  <c r="U167" i="8" a="1"/>
  <c r="U167" i="8" s="1"/>
  <c r="U168" i="8" a="1"/>
  <c r="U168" i="8" s="1"/>
  <c r="U169" i="8" a="1"/>
  <c r="U169" i="8" s="1"/>
  <c r="U170" i="8" a="1"/>
  <c r="U170" i="8" s="1"/>
  <c r="U171" i="8" a="1"/>
  <c r="U171" i="8" s="1"/>
  <c r="U172" i="8" a="1"/>
  <c r="U172" i="8" s="1"/>
  <c r="U173" i="8" a="1"/>
  <c r="U173" i="8" s="1"/>
  <c r="U174" i="8" a="1"/>
  <c r="U174" i="8" s="1"/>
  <c r="U175" i="8" a="1"/>
  <c r="U175" i="8" s="1"/>
  <c r="U176" i="8" a="1"/>
  <c r="U176" i="8" s="1"/>
  <c r="U177" i="8" a="1"/>
  <c r="U177" i="8" s="1"/>
  <c r="U178" i="8" a="1"/>
  <c r="U178" i="8" s="1"/>
  <c r="U179" i="8" a="1"/>
  <c r="U179" i="8" s="1"/>
  <c r="U180" i="8" a="1"/>
  <c r="U180" i="8" s="1"/>
  <c r="U181" i="8" a="1"/>
  <c r="U181" i="8" s="1"/>
  <c r="U182" i="8" a="1"/>
  <c r="U182" i="8" s="1"/>
  <c r="U183" i="8" a="1"/>
  <c r="U183" i="8" s="1"/>
  <c r="U184" i="8" a="1"/>
  <c r="U184" i="8" s="1"/>
  <c r="U185" i="8" a="1"/>
  <c r="U185" i="8" s="1"/>
  <c r="U186" i="8" a="1"/>
  <c r="U186" i="8" s="1"/>
  <c r="U187" i="8" a="1"/>
  <c r="U187" i="8" s="1"/>
  <c r="U188" i="8" a="1"/>
  <c r="U188" i="8" s="1"/>
  <c r="U189" i="8" a="1"/>
  <c r="U189" i="8" s="1"/>
  <c r="U190" i="8" a="1"/>
  <c r="U190" i="8" s="1"/>
  <c r="U191" i="8" a="1"/>
  <c r="U191" i="8" s="1"/>
  <c r="U192" i="8" a="1"/>
  <c r="U192" i="8" s="1"/>
  <c r="U193" i="8" a="1"/>
  <c r="U193" i="8" s="1"/>
  <c r="U194" i="8" a="1"/>
  <c r="U194" i="8" s="1"/>
  <c r="U195" i="8" a="1"/>
  <c r="U195" i="8" s="1"/>
  <c r="U196" i="8" a="1"/>
  <c r="U196" i="8" s="1"/>
  <c r="U197" i="8" a="1"/>
  <c r="U197" i="8" s="1"/>
  <c r="U198" i="8" a="1"/>
  <c r="U198" i="8" s="1"/>
  <c r="U199" i="8" a="1"/>
  <c r="U199" i="8" s="1"/>
  <c r="U200" i="8" a="1"/>
  <c r="U200" i="8" s="1"/>
  <c r="U201" i="8" a="1"/>
  <c r="U201" i="8" s="1"/>
  <c r="U202" i="8" a="1"/>
  <c r="U202" i="8" s="1"/>
  <c r="U203" i="8" a="1"/>
  <c r="U203" i="8" s="1"/>
  <c r="U204" i="8" a="1"/>
  <c r="U204" i="8" s="1"/>
  <c r="U205" i="8" a="1"/>
  <c r="U205" i="8" s="1"/>
  <c r="U206" i="8" a="1"/>
  <c r="U206" i="8" s="1"/>
  <c r="U207" i="8" a="1"/>
  <c r="U207" i="8" s="1"/>
  <c r="U208" i="8" a="1"/>
  <c r="U208" i="8" s="1"/>
  <c r="U209" i="8" a="1"/>
  <c r="U209" i="8" s="1"/>
  <c r="U210" i="8" a="1"/>
  <c r="U210" i="8" s="1"/>
  <c r="U211" i="8" a="1"/>
  <c r="U211" i="8" s="1"/>
  <c r="U212" i="8" a="1"/>
  <c r="U212" i="8" s="1"/>
  <c r="U213" i="8" a="1"/>
  <c r="U213" i="8" s="1"/>
  <c r="U214" i="8" a="1"/>
  <c r="U214" i="8" s="1"/>
  <c r="U215" i="8" a="1"/>
  <c r="U215" i="8" s="1"/>
  <c r="U216" i="8" a="1"/>
  <c r="U216" i="8" s="1"/>
  <c r="U217" i="8" a="1"/>
  <c r="U217" i="8" s="1"/>
  <c r="U218" i="8" a="1"/>
  <c r="U218" i="8" s="1"/>
  <c r="U219" i="8" a="1"/>
  <c r="U219" i="8" s="1"/>
  <c r="U220" i="8" a="1"/>
  <c r="U220" i="8" s="1"/>
  <c r="U221" i="8" a="1"/>
  <c r="U221" i="8" s="1"/>
  <c r="U222" i="8" a="1"/>
  <c r="U222" i="8" s="1"/>
  <c r="U223" i="8" a="1"/>
  <c r="U223" i="8" s="1"/>
  <c r="U224" i="8" a="1"/>
  <c r="U224" i="8" s="1"/>
  <c r="U225" i="8" a="1"/>
  <c r="U225" i="8" s="1"/>
  <c r="U226" i="8" a="1"/>
  <c r="U226" i="8" s="1"/>
  <c r="U227" i="8" a="1"/>
  <c r="U227" i="8" s="1"/>
  <c r="U228" i="8" a="1"/>
  <c r="U228" i="8" s="1"/>
  <c r="U229" i="8" a="1"/>
  <c r="U229" i="8" s="1"/>
  <c r="U230" i="8" a="1"/>
  <c r="U230" i="8" s="1"/>
  <c r="U231" i="8" a="1"/>
  <c r="U231" i="8" s="1"/>
  <c r="U232" i="8" a="1"/>
  <c r="U232" i="8" s="1"/>
  <c r="U233" i="8" a="1"/>
  <c r="U233" i="8" s="1"/>
  <c r="U234" i="8" a="1"/>
  <c r="U234" i="8" s="1"/>
  <c r="U235" i="8" a="1"/>
  <c r="U235" i="8" s="1"/>
  <c r="U236" i="8" a="1"/>
  <c r="U236" i="8" s="1"/>
  <c r="U237" i="8" a="1"/>
  <c r="U237" i="8" s="1"/>
  <c r="U238" i="8" a="1"/>
  <c r="U238" i="8" s="1"/>
  <c r="U239" i="8" a="1"/>
  <c r="U239" i="8" s="1"/>
  <c r="U240" i="8" a="1"/>
  <c r="U240" i="8" s="1"/>
  <c r="U241" i="8" a="1"/>
  <c r="U241" i="8" s="1"/>
  <c r="U242" i="8" a="1"/>
  <c r="U242" i="8" s="1"/>
  <c r="U243" i="8" a="1"/>
  <c r="U243" i="8" s="1"/>
  <c r="U244" i="8" a="1"/>
  <c r="U244" i="8" s="1"/>
  <c r="U245" i="8" a="1"/>
  <c r="U245" i="8" s="1"/>
  <c r="U246" i="8" a="1"/>
  <c r="U246" i="8" s="1"/>
  <c r="U247" i="8" a="1"/>
  <c r="U247" i="8" s="1"/>
  <c r="U248" i="8" a="1"/>
  <c r="U248" i="8" s="1"/>
  <c r="U249" i="8" a="1"/>
  <c r="U249" i="8" s="1"/>
  <c r="T11" i="8" a="1"/>
  <c r="T11" i="8" s="1"/>
  <c r="T12" i="8" a="1"/>
  <c r="T12" i="8" s="1"/>
  <c r="T13" i="8" a="1"/>
  <c r="T13" i="8" s="1"/>
  <c r="T14" i="8" a="1"/>
  <c r="T14" i="8" s="1"/>
  <c r="T15" i="8" a="1"/>
  <c r="T15" i="8" s="1"/>
  <c r="T16" i="8" a="1"/>
  <c r="T16" i="8" s="1"/>
  <c r="T17" i="8" a="1"/>
  <c r="T17" i="8" s="1"/>
  <c r="T18" i="8" a="1"/>
  <c r="T18" i="8" s="1"/>
  <c r="T19" i="8" a="1"/>
  <c r="T19" i="8" s="1"/>
  <c r="T20" i="8" a="1"/>
  <c r="T20" i="8" s="1"/>
  <c r="T21" i="8" a="1"/>
  <c r="T21" i="8" s="1"/>
  <c r="T22" i="8" a="1"/>
  <c r="T22" i="8" s="1"/>
  <c r="T23" i="8" a="1"/>
  <c r="T23" i="8" s="1"/>
  <c r="T24" i="8" a="1"/>
  <c r="T24" i="8" s="1"/>
  <c r="T25" i="8" a="1"/>
  <c r="T25" i="8" s="1"/>
  <c r="T26" i="8" a="1"/>
  <c r="T26" i="8" s="1"/>
  <c r="T27" i="8" a="1"/>
  <c r="T27" i="8" s="1"/>
  <c r="T28" i="8" a="1"/>
  <c r="T28" i="8" s="1"/>
  <c r="T29" i="8" a="1"/>
  <c r="T29" i="8" s="1"/>
  <c r="T30" i="8" a="1"/>
  <c r="T30" i="8" s="1"/>
  <c r="T31" i="8" a="1"/>
  <c r="T31" i="8" s="1"/>
  <c r="T32" i="8" a="1"/>
  <c r="T32" i="8" s="1"/>
  <c r="T33" i="8" a="1"/>
  <c r="T33" i="8" s="1"/>
  <c r="T34" i="8" a="1"/>
  <c r="T34" i="8" s="1"/>
  <c r="T35" i="8" a="1"/>
  <c r="T35" i="8" s="1"/>
  <c r="T36" i="8" a="1"/>
  <c r="T36" i="8" s="1"/>
  <c r="T37" i="8" a="1"/>
  <c r="T37" i="8" s="1"/>
  <c r="T38" i="8" a="1"/>
  <c r="T38" i="8" s="1"/>
  <c r="T39" i="8" a="1"/>
  <c r="T39" i="8" s="1"/>
  <c r="T40" i="8" a="1"/>
  <c r="T40" i="8" s="1"/>
  <c r="T41" i="8" a="1"/>
  <c r="T41" i="8" s="1"/>
  <c r="T42" i="8" a="1"/>
  <c r="T42" i="8" s="1"/>
  <c r="T43" i="8" a="1"/>
  <c r="T43" i="8" s="1"/>
  <c r="T44" i="8" a="1"/>
  <c r="T44" i="8" s="1"/>
  <c r="T45" i="8" a="1"/>
  <c r="T45" i="8" s="1"/>
  <c r="T46" i="8" a="1"/>
  <c r="T46" i="8" s="1"/>
  <c r="T47" i="8" a="1"/>
  <c r="T47" i="8" s="1"/>
  <c r="T48" i="8" a="1"/>
  <c r="T48" i="8" s="1"/>
  <c r="T49" i="8" a="1"/>
  <c r="T49" i="8" s="1"/>
  <c r="T50" i="8" a="1"/>
  <c r="T50" i="8" s="1"/>
  <c r="T51" i="8" a="1"/>
  <c r="T51" i="8" s="1"/>
  <c r="T52" i="8" a="1"/>
  <c r="T52" i="8" s="1"/>
  <c r="T53" i="8" a="1"/>
  <c r="T53" i="8" s="1"/>
  <c r="T54" i="8" a="1"/>
  <c r="T54" i="8" s="1"/>
  <c r="T55" i="8" a="1"/>
  <c r="T55" i="8" s="1"/>
  <c r="T56" i="8" a="1"/>
  <c r="T56" i="8" s="1"/>
  <c r="T57" i="8" a="1"/>
  <c r="T57" i="8" s="1"/>
  <c r="T58" i="8" a="1"/>
  <c r="T58" i="8" s="1"/>
  <c r="T59" i="8" a="1"/>
  <c r="T59" i="8" s="1"/>
  <c r="T60" i="8" a="1"/>
  <c r="T60" i="8" s="1"/>
  <c r="T61" i="8" a="1"/>
  <c r="T61" i="8" s="1"/>
  <c r="T62" i="8" a="1"/>
  <c r="T62" i="8" s="1"/>
  <c r="T63" i="8" a="1"/>
  <c r="T63" i="8" s="1"/>
  <c r="T64" i="8" a="1"/>
  <c r="T64" i="8" s="1"/>
  <c r="T65" i="8" a="1"/>
  <c r="T65" i="8" s="1"/>
  <c r="T66" i="8" a="1"/>
  <c r="T66" i="8" s="1"/>
  <c r="T67" i="8" a="1"/>
  <c r="T67" i="8" s="1"/>
  <c r="T68" i="8" a="1"/>
  <c r="T68" i="8" s="1"/>
  <c r="T69" i="8" a="1"/>
  <c r="T69" i="8" s="1"/>
  <c r="T70" i="8" a="1"/>
  <c r="T70" i="8" s="1"/>
  <c r="T71" i="8" a="1"/>
  <c r="T71" i="8" s="1"/>
  <c r="T72" i="8" a="1"/>
  <c r="T72" i="8" s="1"/>
  <c r="T73" i="8" a="1"/>
  <c r="T73" i="8" s="1"/>
  <c r="T74" i="8" a="1"/>
  <c r="T74" i="8" s="1"/>
  <c r="T75" i="8" a="1"/>
  <c r="T75" i="8" s="1"/>
  <c r="T76" i="8" a="1"/>
  <c r="T76" i="8" s="1"/>
  <c r="T77" i="8" a="1"/>
  <c r="T77" i="8" s="1"/>
  <c r="T78" i="8" a="1"/>
  <c r="T78" i="8" s="1"/>
  <c r="T79" i="8" a="1"/>
  <c r="T79" i="8" s="1"/>
  <c r="T80" i="8" a="1"/>
  <c r="T80" i="8" s="1"/>
  <c r="T81" i="8" a="1"/>
  <c r="T81" i="8" s="1"/>
  <c r="T82" i="8" a="1"/>
  <c r="T82" i="8" s="1"/>
  <c r="T83" i="8" a="1"/>
  <c r="T83" i="8" s="1"/>
  <c r="T84" i="8" a="1"/>
  <c r="T84" i="8" s="1"/>
  <c r="T85" i="8" a="1"/>
  <c r="T85" i="8" s="1"/>
  <c r="T86" i="8" a="1"/>
  <c r="T86" i="8" s="1"/>
  <c r="T87" i="8" a="1"/>
  <c r="T87" i="8" s="1"/>
  <c r="T88" i="8" a="1"/>
  <c r="T88" i="8" s="1"/>
  <c r="T89" i="8" a="1"/>
  <c r="T89" i="8" s="1"/>
  <c r="T90" i="8" a="1"/>
  <c r="T90" i="8" s="1"/>
  <c r="T91" i="8" a="1"/>
  <c r="T91" i="8" s="1"/>
  <c r="T92" i="8" a="1"/>
  <c r="T92" i="8" s="1"/>
  <c r="T93" i="8" a="1"/>
  <c r="T93" i="8" s="1"/>
  <c r="T94" i="8" a="1"/>
  <c r="T94" i="8" s="1"/>
  <c r="T95" i="8" a="1"/>
  <c r="T95" i="8" s="1"/>
  <c r="T96" i="8" a="1"/>
  <c r="T96" i="8" s="1"/>
  <c r="T97" i="8" a="1"/>
  <c r="T97" i="8" s="1"/>
  <c r="T98" i="8" a="1"/>
  <c r="T98" i="8" s="1"/>
  <c r="T99" i="8" a="1"/>
  <c r="T99" i="8" s="1"/>
  <c r="T100" i="8" a="1"/>
  <c r="T100" i="8" s="1"/>
  <c r="T101" i="8" a="1"/>
  <c r="T101" i="8" s="1"/>
  <c r="T102" i="8" a="1"/>
  <c r="T102" i="8" s="1"/>
  <c r="T103" i="8" a="1"/>
  <c r="T103" i="8" s="1"/>
  <c r="T104" i="8" a="1"/>
  <c r="T104" i="8" s="1"/>
  <c r="T105" i="8" a="1"/>
  <c r="T105" i="8" s="1"/>
  <c r="T106" i="8" a="1"/>
  <c r="T106" i="8" s="1"/>
  <c r="T107" i="8" a="1"/>
  <c r="T107" i="8" s="1"/>
  <c r="T108" i="8" a="1"/>
  <c r="T108" i="8" s="1"/>
  <c r="T109" i="8" a="1"/>
  <c r="T109" i="8" s="1"/>
  <c r="T110" i="8" a="1"/>
  <c r="T110" i="8" s="1"/>
  <c r="T111" i="8" a="1"/>
  <c r="T111" i="8" s="1"/>
  <c r="T112" i="8" a="1"/>
  <c r="T112" i="8" s="1"/>
  <c r="T113" i="8" a="1"/>
  <c r="T113" i="8" s="1"/>
  <c r="T114" i="8" a="1"/>
  <c r="T114" i="8" s="1"/>
  <c r="T115" i="8" a="1"/>
  <c r="T115" i="8" s="1"/>
  <c r="T116" i="8" a="1"/>
  <c r="T116" i="8" s="1"/>
  <c r="T117" i="8" a="1"/>
  <c r="T117" i="8" s="1"/>
  <c r="T118" i="8" a="1"/>
  <c r="T118" i="8" s="1"/>
  <c r="T119" i="8" a="1"/>
  <c r="T119" i="8" s="1"/>
  <c r="T120" i="8" a="1"/>
  <c r="T120" i="8" s="1"/>
  <c r="T121" i="8" a="1"/>
  <c r="T121" i="8" s="1"/>
  <c r="T122" i="8" a="1"/>
  <c r="T122" i="8" s="1"/>
  <c r="T123" i="8" a="1"/>
  <c r="T123" i="8" s="1"/>
  <c r="T124" i="8" a="1"/>
  <c r="T124" i="8" s="1"/>
  <c r="T125" i="8" a="1"/>
  <c r="T125" i="8" s="1"/>
  <c r="T126" i="8" a="1"/>
  <c r="T126" i="8" s="1"/>
  <c r="T127" i="8" a="1"/>
  <c r="T127" i="8" s="1"/>
  <c r="T128" i="8" a="1"/>
  <c r="T128" i="8" s="1"/>
  <c r="T129" i="8" a="1"/>
  <c r="T129" i="8" s="1"/>
  <c r="T130" i="8" a="1"/>
  <c r="T130" i="8" s="1"/>
  <c r="T131" i="8" a="1"/>
  <c r="T131" i="8" s="1"/>
  <c r="T132" i="8" a="1"/>
  <c r="T132" i="8" s="1"/>
  <c r="T133" i="8" a="1"/>
  <c r="T133" i="8" s="1"/>
  <c r="T134" i="8" a="1"/>
  <c r="T134" i="8" s="1"/>
  <c r="T135" i="8" a="1"/>
  <c r="T135" i="8" s="1"/>
  <c r="T136" i="8" a="1"/>
  <c r="T136" i="8" s="1"/>
  <c r="T137" i="8" a="1"/>
  <c r="T137" i="8" s="1"/>
  <c r="T138" i="8" a="1"/>
  <c r="T138" i="8" s="1"/>
  <c r="T139" i="8" a="1"/>
  <c r="T139" i="8" s="1"/>
  <c r="T140" i="8" a="1"/>
  <c r="T140" i="8" s="1"/>
  <c r="T141" i="8" a="1"/>
  <c r="T141" i="8" s="1"/>
  <c r="T142" i="8" a="1"/>
  <c r="T142" i="8" s="1"/>
  <c r="T143" i="8" a="1"/>
  <c r="T143" i="8" s="1"/>
  <c r="T144" i="8" a="1"/>
  <c r="T144" i="8" s="1"/>
  <c r="T145" i="8" a="1"/>
  <c r="T145" i="8" s="1"/>
  <c r="T146" i="8" a="1"/>
  <c r="T146" i="8" s="1"/>
  <c r="T147" i="8" a="1"/>
  <c r="T147" i="8" s="1"/>
  <c r="T148" i="8" a="1"/>
  <c r="T148" i="8" s="1"/>
  <c r="T149" i="8" a="1"/>
  <c r="T149" i="8" s="1"/>
  <c r="T150" i="8" a="1"/>
  <c r="T150" i="8" s="1"/>
  <c r="T151" i="8" a="1"/>
  <c r="T151" i="8" s="1"/>
  <c r="T152" i="8" a="1"/>
  <c r="T152" i="8" s="1"/>
  <c r="T153" i="8" a="1"/>
  <c r="T153" i="8" s="1"/>
  <c r="T154" i="8" a="1"/>
  <c r="T154" i="8" s="1"/>
  <c r="T155" i="8" a="1"/>
  <c r="T155" i="8" s="1"/>
  <c r="T156" i="8" a="1"/>
  <c r="T156" i="8" s="1"/>
  <c r="T157" i="8" a="1"/>
  <c r="T157" i="8" s="1"/>
  <c r="T158" i="8" a="1"/>
  <c r="T158" i="8" s="1"/>
  <c r="T159" i="8" a="1"/>
  <c r="T159" i="8" s="1"/>
  <c r="T160" i="8" a="1"/>
  <c r="T160" i="8" s="1"/>
  <c r="T161" i="8" a="1"/>
  <c r="T161" i="8" s="1"/>
  <c r="T162" i="8" a="1"/>
  <c r="T162" i="8" s="1"/>
  <c r="T163" i="8" a="1"/>
  <c r="T163" i="8" s="1"/>
  <c r="T164" i="8" a="1"/>
  <c r="T164" i="8" s="1"/>
  <c r="T165" i="8" a="1"/>
  <c r="T165" i="8" s="1"/>
  <c r="T166" i="8" a="1"/>
  <c r="T166" i="8" s="1"/>
  <c r="T167" i="8" a="1"/>
  <c r="T167" i="8" s="1"/>
  <c r="T168" i="8" a="1"/>
  <c r="T168" i="8" s="1"/>
  <c r="T169" i="8" a="1"/>
  <c r="T169" i="8" s="1"/>
  <c r="T170" i="8" a="1"/>
  <c r="T170" i="8" s="1"/>
  <c r="T171" i="8" a="1"/>
  <c r="T171" i="8" s="1"/>
  <c r="T172" i="8" a="1"/>
  <c r="T172" i="8" s="1"/>
  <c r="T173" i="8" a="1"/>
  <c r="T173" i="8" s="1"/>
  <c r="T174" i="8" a="1"/>
  <c r="T174" i="8" s="1"/>
  <c r="T175" i="8" a="1"/>
  <c r="T175" i="8" s="1"/>
  <c r="T176" i="8" a="1"/>
  <c r="T176" i="8" s="1"/>
  <c r="T177" i="8" a="1"/>
  <c r="T177" i="8" s="1"/>
  <c r="T178" i="8" a="1"/>
  <c r="T178" i="8" s="1"/>
  <c r="T179" i="8" a="1"/>
  <c r="T179" i="8" s="1"/>
  <c r="T180" i="8" a="1"/>
  <c r="T180" i="8" s="1"/>
  <c r="T181" i="8" a="1"/>
  <c r="T181" i="8" s="1"/>
  <c r="T182" i="8" a="1"/>
  <c r="T182" i="8" s="1"/>
  <c r="T183" i="8" a="1"/>
  <c r="T183" i="8" s="1"/>
  <c r="T184" i="8" a="1"/>
  <c r="T184" i="8" s="1"/>
  <c r="T185" i="8" a="1"/>
  <c r="T185" i="8" s="1"/>
  <c r="T186" i="8" a="1"/>
  <c r="T186" i="8" s="1"/>
  <c r="T187" i="8" a="1"/>
  <c r="T187" i="8" s="1"/>
  <c r="T188" i="8" a="1"/>
  <c r="T188" i="8" s="1"/>
  <c r="T189" i="8" a="1"/>
  <c r="T189" i="8" s="1"/>
  <c r="T190" i="8" a="1"/>
  <c r="T190" i="8" s="1"/>
  <c r="T191" i="8" a="1"/>
  <c r="T191" i="8" s="1"/>
  <c r="T192" i="8" a="1"/>
  <c r="T192" i="8" s="1"/>
  <c r="T193" i="8" a="1"/>
  <c r="T193" i="8" s="1"/>
  <c r="T194" i="8" a="1"/>
  <c r="T194" i="8" s="1"/>
  <c r="T195" i="8" a="1"/>
  <c r="T195" i="8" s="1"/>
  <c r="T196" i="8" a="1"/>
  <c r="T196" i="8" s="1"/>
  <c r="T197" i="8" a="1"/>
  <c r="T197" i="8" s="1"/>
  <c r="T198" i="8" a="1"/>
  <c r="T198" i="8" s="1"/>
  <c r="T199" i="8" a="1"/>
  <c r="T199" i="8" s="1"/>
  <c r="T200" i="8" a="1"/>
  <c r="T200" i="8" s="1"/>
  <c r="T201" i="8" a="1"/>
  <c r="T201" i="8" s="1"/>
  <c r="T202" i="8" a="1"/>
  <c r="T202" i="8" s="1"/>
  <c r="T203" i="8" a="1"/>
  <c r="T203" i="8" s="1"/>
  <c r="T204" i="8" a="1"/>
  <c r="T204" i="8" s="1"/>
  <c r="T205" i="8" a="1"/>
  <c r="T205" i="8" s="1"/>
  <c r="T206" i="8" a="1"/>
  <c r="T206" i="8" s="1"/>
  <c r="T207" i="8" a="1"/>
  <c r="T207" i="8" s="1"/>
  <c r="T208" i="8" a="1"/>
  <c r="T208" i="8" s="1"/>
  <c r="T209" i="8" a="1"/>
  <c r="T209" i="8" s="1"/>
  <c r="T210" i="8" a="1"/>
  <c r="T210" i="8" s="1"/>
  <c r="T211" i="8" a="1"/>
  <c r="T211" i="8" s="1"/>
  <c r="T212" i="8" a="1"/>
  <c r="T212" i="8" s="1"/>
  <c r="T213" i="8" a="1"/>
  <c r="T213" i="8" s="1"/>
  <c r="T214" i="8" a="1"/>
  <c r="T214" i="8" s="1"/>
  <c r="T215" i="8" a="1"/>
  <c r="T215" i="8" s="1"/>
  <c r="T216" i="8" a="1"/>
  <c r="T216" i="8" s="1"/>
  <c r="T217" i="8" a="1"/>
  <c r="T217" i="8" s="1"/>
  <c r="T218" i="8" a="1"/>
  <c r="T218" i="8" s="1"/>
  <c r="T219" i="8" a="1"/>
  <c r="T219" i="8" s="1"/>
  <c r="T220" i="8" a="1"/>
  <c r="T220" i="8" s="1"/>
  <c r="T221" i="8" a="1"/>
  <c r="T221" i="8" s="1"/>
  <c r="T222" i="8" a="1"/>
  <c r="T222" i="8" s="1"/>
  <c r="T223" i="8" a="1"/>
  <c r="T223" i="8" s="1"/>
  <c r="T224" i="8" a="1"/>
  <c r="T224" i="8" s="1"/>
  <c r="T225" i="8" a="1"/>
  <c r="T225" i="8" s="1"/>
  <c r="T226" i="8" a="1"/>
  <c r="T226" i="8" s="1"/>
  <c r="T227" i="8" a="1"/>
  <c r="T227" i="8" s="1"/>
  <c r="T228" i="8" a="1"/>
  <c r="T228" i="8" s="1"/>
  <c r="T229" i="8" a="1"/>
  <c r="T229" i="8" s="1"/>
  <c r="T230" i="8" a="1"/>
  <c r="T230" i="8" s="1"/>
  <c r="T231" i="8" a="1"/>
  <c r="T231" i="8" s="1"/>
  <c r="T232" i="8" a="1"/>
  <c r="T232" i="8" s="1"/>
  <c r="T233" i="8" a="1"/>
  <c r="T233" i="8" s="1"/>
  <c r="T234" i="8" a="1"/>
  <c r="T234" i="8" s="1"/>
  <c r="T235" i="8" a="1"/>
  <c r="T235" i="8" s="1"/>
  <c r="T236" i="8" a="1"/>
  <c r="T236" i="8" s="1"/>
  <c r="T237" i="8" a="1"/>
  <c r="T237" i="8" s="1"/>
  <c r="T238" i="8" a="1"/>
  <c r="T238" i="8" s="1"/>
  <c r="T239" i="8" a="1"/>
  <c r="T239" i="8" s="1"/>
  <c r="T240" i="8" a="1"/>
  <c r="T240" i="8" s="1"/>
  <c r="T241" i="8" a="1"/>
  <c r="T241" i="8" s="1"/>
  <c r="T242" i="8" a="1"/>
  <c r="T242" i="8" s="1"/>
  <c r="T243" i="8" a="1"/>
  <c r="T243" i="8" s="1"/>
  <c r="T244" i="8" a="1"/>
  <c r="T244" i="8" s="1"/>
  <c r="T245" i="8" a="1"/>
  <c r="T245" i="8" s="1"/>
  <c r="T246" i="8" a="1"/>
  <c r="T246" i="8" s="1"/>
  <c r="T247" i="8" a="1"/>
  <c r="T247" i="8" s="1"/>
  <c r="T248" i="8" a="1"/>
  <c r="T248" i="8" s="1"/>
  <c r="T249" i="8" a="1"/>
  <c r="T249" i="8" s="1"/>
  <c r="S11" i="8" a="1"/>
  <c r="S11" i="8" s="1"/>
  <c r="S12" i="8" a="1"/>
  <c r="S12" i="8" s="1"/>
  <c r="S13" i="8" a="1"/>
  <c r="S13" i="8" s="1"/>
  <c r="S14" i="8" a="1"/>
  <c r="S14" i="8" s="1"/>
  <c r="S15" i="8" a="1"/>
  <c r="S15" i="8" s="1"/>
  <c r="S16" i="8" a="1"/>
  <c r="S16" i="8" s="1"/>
  <c r="S17" i="8" a="1"/>
  <c r="S17" i="8" s="1"/>
  <c r="S18" i="8" a="1"/>
  <c r="S18" i="8" s="1"/>
  <c r="S19" i="8" a="1"/>
  <c r="S19" i="8" s="1"/>
  <c r="S20" i="8" a="1"/>
  <c r="S20" i="8" s="1"/>
  <c r="S21" i="8" a="1"/>
  <c r="S21" i="8" s="1"/>
  <c r="S22" i="8" a="1"/>
  <c r="S22" i="8" s="1"/>
  <c r="S23" i="8" a="1"/>
  <c r="S23" i="8" s="1"/>
  <c r="S24" i="8" a="1"/>
  <c r="S24" i="8" s="1"/>
  <c r="S25" i="8" a="1"/>
  <c r="S25" i="8" s="1"/>
  <c r="S26" i="8" a="1"/>
  <c r="S26" i="8" s="1"/>
  <c r="S27" i="8" a="1"/>
  <c r="S27" i="8" s="1"/>
  <c r="S28" i="8" a="1"/>
  <c r="S28" i="8" s="1"/>
  <c r="S29" i="8" a="1"/>
  <c r="S29" i="8" s="1"/>
  <c r="S30" i="8" a="1"/>
  <c r="S30" i="8" s="1"/>
  <c r="S31" i="8" a="1"/>
  <c r="S31" i="8" s="1"/>
  <c r="S32" i="8" a="1"/>
  <c r="S32" i="8" s="1"/>
  <c r="S33" i="8" a="1"/>
  <c r="S33" i="8" s="1"/>
  <c r="S34" i="8" a="1"/>
  <c r="S34" i="8" s="1"/>
  <c r="S35" i="8" a="1"/>
  <c r="S35" i="8" s="1"/>
  <c r="S36" i="8" a="1"/>
  <c r="S36" i="8" s="1"/>
  <c r="S37" i="8" a="1"/>
  <c r="S37" i="8" s="1"/>
  <c r="S38" i="8" a="1"/>
  <c r="S38" i="8" s="1"/>
  <c r="S39" i="8" a="1"/>
  <c r="S39" i="8" s="1"/>
  <c r="S40" i="8" a="1"/>
  <c r="S40" i="8" s="1"/>
  <c r="S41" i="8" a="1"/>
  <c r="S41" i="8" s="1"/>
  <c r="S42" i="8" a="1"/>
  <c r="S42" i="8" s="1"/>
  <c r="S43" i="8" a="1"/>
  <c r="S43" i="8" s="1"/>
  <c r="S44" i="8" a="1"/>
  <c r="S44" i="8" s="1"/>
  <c r="S45" i="8" a="1"/>
  <c r="S45" i="8" s="1"/>
  <c r="S46" i="8" a="1"/>
  <c r="S46" i="8" s="1"/>
  <c r="S47" i="8" a="1"/>
  <c r="S47" i="8" s="1"/>
  <c r="S48" i="8" a="1"/>
  <c r="S48" i="8" s="1"/>
  <c r="S49" i="8" a="1"/>
  <c r="S49" i="8" s="1"/>
  <c r="S50" i="8" a="1"/>
  <c r="S50" i="8" s="1"/>
  <c r="S51" i="8" a="1"/>
  <c r="S51" i="8" s="1"/>
  <c r="S52" i="8" a="1"/>
  <c r="S52" i="8" s="1"/>
  <c r="S53" i="8" a="1"/>
  <c r="S53" i="8" s="1"/>
  <c r="S54" i="8" a="1"/>
  <c r="S54" i="8" s="1"/>
  <c r="S55" i="8" a="1"/>
  <c r="S55" i="8" s="1"/>
  <c r="S56" i="8" a="1"/>
  <c r="S56" i="8" s="1"/>
  <c r="S57" i="8" a="1"/>
  <c r="S57" i="8" s="1"/>
  <c r="S58" i="8" a="1"/>
  <c r="S58" i="8" s="1"/>
  <c r="S59" i="8" a="1"/>
  <c r="S59" i="8" s="1"/>
  <c r="S60" i="8" a="1"/>
  <c r="S60" i="8" s="1"/>
  <c r="S61" i="8" a="1"/>
  <c r="S61" i="8" s="1"/>
  <c r="S62" i="8" a="1"/>
  <c r="S62" i="8" s="1"/>
  <c r="S63" i="8" a="1"/>
  <c r="S63" i="8" s="1"/>
  <c r="S64" i="8" a="1"/>
  <c r="S64" i="8" s="1"/>
  <c r="S65" i="8" a="1"/>
  <c r="S65" i="8" s="1"/>
  <c r="S66" i="8" a="1"/>
  <c r="S66" i="8" s="1"/>
  <c r="S67" i="8" a="1"/>
  <c r="S67" i="8" s="1"/>
  <c r="S68" i="8" a="1"/>
  <c r="S68" i="8" s="1"/>
  <c r="S69" i="8" a="1"/>
  <c r="S69" i="8" s="1"/>
  <c r="S70" i="8" a="1"/>
  <c r="S70" i="8" s="1"/>
  <c r="S71" i="8" a="1"/>
  <c r="S71" i="8" s="1"/>
  <c r="S72" i="8" a="1"/>
  <c r="S72" i="8" s="1"/>
  <c r="S73" i="8" a="1"/>
  <c r="S73" i="8" s="1"/>
  <c r="S74" i="8" a="1"/>
  <c r="S74" i="8" s="1"/>
  <c r="S75" i="8" a="1"/>
  <c r="S75" i="8" s="1"/>
  <c r="S76" i="8" a="1"/>
  <c r="S76" i="8" s="1"/>
  <c r="S77" i="8" a="1"/>
  <c r="S77" i="8" s="1"/>
  <c r="S78" i="8" a="1"/>
  <c r="S78" i="8" s="1"/>
  <c r="S79" i="8" a="1"/>
  <c r="S79" i="8" s="1"/>
  <c r="S80" i="8" a="1"/>
  <c r="S80" i="8" s="1"/>
  <c r="S81" i="8" a="1"/>
  <c r="S81" i="8" s="1"/>
  <c r="S82" i="8" a="1"/>
  <c r="S82" i="8" s="1"/>
  <c r="S83" i="8" a="1"/>
  <c r="S83" i="8" s="1"/>
  <c r="S84" i="8" a="1"/>
  <c r="S84" i="8" s="1"/>
  <c r="S85" i="8" a="1"/>
  <c r="S85" i="8" s="1"/>
  <c r="S86" i="8" a="1"/>
  <c r="S86" i="8" s="1"/>
  <c r="S87" i="8" a="1"/>
  <c r="S87" i="8" s="1"/>
  <c r="S88" i="8" a="1"/>
  <c r="S88" i="8" s="1"/>
  <c r="S89" i="8" a="1"/>
  <c r="S89" i="8" s="1"/>
  <c r="S90" i="8" a="1"/>
  <c r="S90" i="8" s="1"/>
  <c r="S91" i="8" a="1"/>
  <c r="S91" i="8" s="1"/>
  <c r="S92" i="8" a="1"/>
  <c r="S92" i="8" s="1"/>
  <c r="S93" i="8" a="1"/>
  <c r="S93" i="8" s="1"/>
  <c r="S94" i="8" a="1"/>
  <c r="S94" i="8" s="1"/>
  <c r="S95" i="8" a="1"/>
  <c r="S95" i="8" s="1"/>
  <c r="S96" i="8" a="1"/>
  <c r="S96" i="8" s="1"/>
  <c r="S97" i="8" a="1"/>
  <c r="S97" i="8" s="1"/>
  <c r="S98" i="8" a="1"/>
  <c r="S98" i="8" s="1"/>
  <c r="S99" i="8" a="1"/>
  <c r="S99" i="8" s="1"/>
  <c r="S100" i="8" a="1"/>
  <c r="S100" i="8" s="1"/>
  <c r="S101" i="8" a="1"/>
  <c r="S101" i="8" s="1"/>
  <c r="S102" i="8" a="1"/>
  <c r="S102" i="8" s="1"/>
  <c r="S103" i="8" a="1"/>
  <c r="S103" i="8" s="1"/>
  <c r="S104" i="8" a="1"/>
  <c r="S104" i="8" s="1"/>
  <c r="S105" i="8" a="1"/>
  <c r="S105" i="8" s="1"/>
  <c r="S106" i="8" a="1"/>
  <c r="S106" i="8" s="1"/>
  <c r="S107" i="8" a="1"/>
  <c r="S107" i="8" s="1"/>
  <c r="S108" i="8" a="1"/>
  <c r="S108" i="8" s="1"/>
  <c r="S109" i="8" a="1"/>
  <c r="S109" i="8" s="1"/>
  <c r="S110" i="8" a="1"/>
  <c r="S110" i="8" s="1"/>
  <c r="S111" i="8" a="1"/>
  <c r="S111" i="8" s="1"/>
  <c r="S112" i="8" a="1"/>
  <c r="S112" i="8" s="1"/>
  <c r="S113" i="8" a="1"/>
  <c r="S113" i="8" s="1"/>
  <c r="S114" i="8" a="1"/>
  <c r="S114" i="8" s="1"/>
  <c r="S115" i="8" a="1"/>
  <c r="S115" i="8" s="1"/>
  <c r="S116" i="8" a="1"/>
  <c r="S116" i="8" s="1"/>
  <c r="S117" i="8" a="1"/>
  <c r="S117" i="8" s="1"/>
  <c r="S118" i="8" a="1"/>
  <c r="S118" i="8" s="1"/>
  <c r="S119" i="8" a="1"/>
  <c r="S119" i="8" s="1"/>
  <c r="S120" i="8" a="1"/>
  <c r="S120" i="8" s="1"/>
  <c r="S121" i="8" a="1"/>
  <c r="S121" i="8" s="1"/>
  <c r="S122" i="8" a="1"/>
  <c r="S122" i="8" s="1"/>
  <c r="S123" i="8" a="1"/>
  <c r="S123" i="8" s="1"/>
  <c r="S124" i="8" a="1"/>
  <c r="S124" i="8" s="1"/>
  <c r="S125" i="8" a="1"/>
  <c r="S125" i="8" s="1"/>
  <c r="S126" i="8" a="1"/>
  <c r="S126" i="8" s="1"/>
  <c r="S127" i="8" a="1"/>
  <c r="S127" i="8" s="1"/>
  <c r="S128" i="8" a="1"/>
  <c r="S128" i="8" s="1"/>
  <c r="S129" i="8" a="1"/>
  <c r="S129" i="8" s="1"/>
  <c r="S130" i="8" a="1"/>
  <c r="S130" i="8" s="1"/>
  <c r="S131" i="8" a="1"/>
  <c r="S131" i="8" s="1"/>
  <c r="S132" i="8" a="1"/>
  <c r="S132" i="8" s="1"/>
  <c r="S133" i="8" a="1"/>
  <c r="S133" i="8" s="1"/>
  <c r="S134" i="8" a="1"/>
  <c r="S134" i="8" s="1"/>
  <c r="S135" i="8" a="1"/>
  <c r="S135" i="8" s="1"/>
  <c r="S136" i="8" a="1"/>
  <c r="S136" i="8" s="1"/>
  <c r="S137" i="8" a="1"/>
  <c r="S137" i="8" s="1"/>
  <c r="S138" i="8" a="1"/>
  <c r="S138" i="8" s="1"/>
  <c r="S139" i="8" a="1"/>
  <c r="S139" i="8" s="1"/>
  <c r="S140" i="8" a="1"/>
  <c r="S140" i="8" s="1"/>
  <c r="S141" i="8" a="1"/>
  <c r="S141" i="8" s="1"/>
  <c r="S142" i="8" a="1"/>
  <c r="S142" i="8" s="1"/>
  <c r="S143" i="8" a="1"/>
  <c r="S143" i="8" s="1"/>
  <c r="S144" i="8" a="1"/>
  <c r="S144" i="8" s="1"/>
  <c r="S145" i="8" a="1"/>
  <c r="S145" i="8" s="1"/>
  <c r="S146" i="8" a="1"/>
  <c r="S146" i="8" s="1"/>
  <c r="S147" i="8" a="1"/>
  <c r="S147" i="8" s="1"/>
  <c r="S148" i="8" a="1"/>
  <c r="S148" i="8" s="1"/>
  <c r="S149" i="8" a="1"/>
  <c r="S149" i="8" s="1"/>
  <c r="S150" i="8" a="1"/>
  <c r="S150" i="8" s="1"/>
  <c r="S151" i="8" a="1"/>
  <c r="S151" i="8" s="1"/>
  <c r="S152" i="8" a="1"/>
  <c r="S152" i="8" s="1"/>
  <c r="S153" i="8" a="1"/>
  <c r="S153" i="8" s="1"/>
  <c r="S154" i="8" a="1"/>
  <c r="S154" i="8" s="1"/>
  <c r="S155" i="8" a="1"/>
  <c r="S155" i="8" s="1"/>
  <c r="S156" i="8" a="1"/>
  <c r="S156" i="8" s="1"/>
  <c r="S157" i="8" a="1"/>
  <c r="S157" i="8" s="1"/>
  <c r="S158" i="8" a="1"/>
  <c r="S158" i="8" s="1"/>
  <c r="S159" i="8" a="1"/>
  <c r="S159" i="8" s="1"/>
  <c r="S160" i="8" a="1"/>
  <c r="S160" i="8" s="1"/>
  <c r="S161" i="8" a="1"/>
  <c r="S161" i="8" s="1"/>
  <c r="S162" i="8" a="1"/>
  <c r="S162" i="8" s="1"/>
  <c r="S163" i="8" a="1"/>
  <c r="S163" i="8" s="1"/>
  <c r="S164" i="8" a="1"/>
  <c r="S164" i="8" s="1"/>
  <c r="S165" i="8" a="1"/>
  <c r="S165" i="8" s="1"/>
  <c r="S166" i="8" a="1"/>
  <c r="S166" i="8" s="1"/>
  <c r="S167" i="8" a="1"/>
  <c r="S167" i="8" s="1"/>
  <c r="S168" i="8" a="1"/>
  <c r="S168" i="8" s="1"/>
  <c r="S169" i="8" a="1"/>
  <c r="S169" i="8" s="1"/>
  <c r="S170" i="8" a="1"/>
  <c r="S170" i="8" s="1"/>
  <c r="S171" i="8" a="1"/>
  <c r="S171" i="8" s="1"/>
  <c r="S172" i="8" a="1"/>
  <c r="S172" i="8" s="1"/>
  <c r="S173" i="8" a="1"/>
  <c r="S173" i="8" s="1"/>
  <c r="S174" i="8" a="1"/>
  <c r="S174" i="8" s="1"/>
  <c r="S175" i="8" a="1"/>
  <c r="S175" i="8" s="1"/>
  <c r="S176" i="8" a="1"/>
  <c r="S176" i="8" s="1"/>
  <c r="S177" i="8" a="1"/>
  <c r="S177" i="8" s="1"/>
  <c r="S178" i="8" a="1"/>
  <c r="S178" i="8" s="1"/>
  <c r="S179" i="8" a="1"/>
  <c r="S179" i="8" s="1"/>
  <c r="S180" i="8" a="1"/>
  <c r="S180" i="8" s="1"/>
  <c r="S181" i="8" a="1"/>
  <c r="S181" i="8" s="1"/>
  <c r="S182" i="8" a="1"/>
  <c r="S182" i="8" s="1"/>
  <c r="S183" i="8" a="1"/>
  <c r="S183" i="8" s="1"/>
  <c r="S184" i="8" a="1"/>
  <c r="S184" i="8" s="1"/>
  <c r="S185" i="8" a="1"/>
  <c r="S185" i="8" s="1"/>
  <c r="S186" i="8" a="1"/>
  <c r="S186" i="8" s="1"/>
  <c r="S187" i="8" a="1"/>
  <c r="S187" i="8" s="1"/>
  <c r="S188" i="8" a="1"/>
  <c r="S188" i="8" s="1"/>
  <c r="S189" i="8" a="1"/>
  <c r="S189" i="8" s="1"/>
  <c r="S190" i="8" a="1"/>
  <c r="S190" i="8" s="1"/>
  <c r="S191" i="8" a="1"/>
  <c r="S191" i="8" s="1"/>
  <c r="S192" i="8" a="1"/>
  <c r="S192" i="8" s="1"/>
  <c r="S193" i="8" a="1"/>
  <c r="S193" i="8" s="1"/>
  <c r="S194" i="8" a="1"/>
  <c r="S194" i="8" s="1"/>
  <c r="S195" i="8" a="1"/>
  <c r="S195" i="8" s="1"/>
  <c r="S196" i="8" a="1"/>
  <c r="S196" i="8" s="1"/>
  <c r="S197" i="8" a="1"/>
  <c r="S197" i="8" s="1"/>
  <c r="S198" i="8" a="1"/>
  <c r="S198" i="8" s="1"/>
  <c r="S199" i="8" a="1"/>
  <c r="S199" i="8" s="1"/>
  <c r="S200" i="8" a="1"/>
  <c r="S200" i="8" s="1"/>
  <c r="S201" i="8" a="1"/>
  <c r="S201" i="8" s="1"/>
  <c r="S202" i="8" a="1"/>
  <c r="S202" i="8" s="1"/>
  <c r="S203" i="8" a="1"/>
  <c r="S203" i="8" s="1"/>
  <c r="S204" i="8" a="1"/>
  <c r="S204" i="8" s="1"/>
  <c r="S205" i="8" a="1"/>
  <c r="S205" i="8" s="1"/>
  <c r="S206" i="8" a="1"/>
  <c r="S206" i="8" s="1"/>
  <c r="S207" i="8" a="1"/>
  <c r="S207" i="8" s="1"/>
  <c r="S208" i="8" a="1"/>
  <c r="S208" i="8" s="1"/>
  <c r="S209" i="8" a="1"/>
  <c r="S209" i="8" s="1"/>
  <c r="S210" i="8" a="1"/>
  <c r="S210" i="8" s="1"/>
  <c r="S211" i="8" a="1"/>
  <c r="S211" i="8" s="1"/>
  <c r="S212" i="8" a="1"/>
  <c r="S212" i="8" s="1"/>
  <c r="S213" i="8" a="1"/>
  <c r="S213" i="8" s="1"/>
  <c r="S214" i="8" a="1"/>
  <c r="S214" i="8" s="1"/>
  <c r="S215" i="8" a="1"/>
  <c r="S215" i="8" s="1"/>
  <c r="S216" i="8" a="1"/>
  <c r="S216" i="8" s="1"/>
  <c r="S217" i="8" a="1"/>
  <c r="S217" i="8" s="1"/>
  <c r="S218" i="8" a="1"/>
  <c r="S218" i="8" s="1"/>
  <c r="S219" i="8" a="1"/>
  <c r="S219" i="8" s="1"/>
  <c r="S220" i="8" a="1"/>
  <c r="S220" i="8" s="1"/>
  <c r="S221" i="8" a="1"/>
  <c r="S221" i="8" s="1"/>
  <c r="S222" i="8" a="1"/>
  <c r="S222" i="8" s="1"/>
  <c r="S223" i="8" a="1"/>
  <c r="S223" i="8" s="1"/>
  <c r="S224" i="8" a="1"/>
  <c r="S224" i="8" s="1"/>
  <c r="S225" i="8" a="1"/>
  <c r="S225" i="8" s="1"/>
  <c r="S226" i="8" a="1"/>
  <c r="S226" i="8" s="1"/>
  <c r="S227" i="8" a="1"/>
  <c r="S227" i="8" s="1"/>
  <c r="S228" i="8" a="1"/>
  <c r="S228" i="8" s="1"/>
  <c r="S229" i="8" a="1"/>
  <c r="S229" i="8" s="1"/>
  <c r="S230" i="8" a="1"/>
  <c r="S230" i="8" s="1"/>
  <c r="S231" i="8" a="1"/>
  <c r="S231" i="8" s="1"/>
  <c r="S232" i="8" a="1"/>
  <c r="S232" i="8" s="1"/>
  <c r="S233" i="8" a="1"/>
  <c r="S233" i="8" s="1"/>
  <c r="S234" i="8" a="1"/>
  <c r="S234" i="8" s="1"/>
  <c r="S235" i="8" a="1"/>
  <c r="S235" i="8" s="1"/>
  <c r="S236" i="8" a="1"/>
  <c r="S236" i="8" s="1"/>
  <c r="S237" i="8" a="1"/>
  <c r="S237" i="8" s="1"/>
  <c r="S238" i="8" a="1"/>
  <c r="S238" i="8" s="1"/>
  <c r="S239" i="8" a="1"/>
  <c r="S239" i="8" s="1"/>
  <c r="S240" i="8" a="1"/>
  <c r="S240" i="8" s="1"/>
  <c r="S241" i="8" a="1"/>
  <c r="S241" i="8" s="1"/>
  <c r="S242" i="8" a="1"/>
  <c r="S242" i="8" s="1"/>
  <c r="S243" i="8" a="1"/>
  <c r="S243" i="8" s="1"/>
  <c r="S244" i="8" a="1"/>
  <c r="S244" i="8" s="1"/>
  <c r="S245" i="8" a="1"/>
  <c r="S245" i="8" s="1"/>
  <c r="S246" i="8" a="1"/>
  <c r="S246" i="8" s="1"/>
  <c r="S247" i="8" a="1"/>
  <c r="S247" i="8" s="1"/>
  <c r="S248" i="8" a="1"/>
  <c r="S248" i="8" s="1"/>
  <c r="S249" i="8" a="1"/>
  <c r="S249" i="8" s="1"/>
  <c r="M11" i="8" a="1"/>
  <c r="M11" i="8" s="1"/>
  <c r="M12" i="8" a="1"/>
  <c r="M12" i="8" s="1"/>
  <c r="M13" i="8" a="1"/>
  <c r="M13" i="8" s="1"/>
  <c r="M14" i="8" a="1"/>
  <c r="M14" i="8" s="1"/>
  <c r="M15" i="8" a="1"/>
  <c r="M15" i="8" s="1"/>
  <c r="M16" i="8" a="1"/>
  <c r="M16" i="8" s="1"/>
  <c r="M17" i="8" a="1"/>
  <c r="M17" i="8" s="1"/>
  <c r="M18" i="8" a="1"/>
  <c r="M18" i="8" s="1"/>
  <c r="M19" i="8" a="1"/>
  <c r="M19" i="8" s="1"/>
  <c r="M20" i="8" a="1"/>
  <c r="M20" i="8" s="1"/>
  <c r="M21" i="8" a="1"/>
  <c r="M21" i="8" s="1"/>
  <c r="M22" i="8" a="1"/>
  <c r="M22" i="8" s="1"/>
  <c r="M23" i="8" a="1"/>
  <c r="M23" i="8" s="1"/>
  <c r="M24" i="8" a="1"/>
  <c r="M24" i="8" s="1"/>
  <c r="M25" i="8" a="1"/>
  <c r="M25" i="8" s="1"/>
  <c r="M26" i="8" a="1"/>
  <c r="M26" i="8" s="1"/>
  <c r="M27" i="8" a="1"/>
  <c r="M27" i="8" s="1"/>
  <c r="M28" i="8" a="1"/>
  <c r="M28" i="8" s="1"/>
  <c r="M29" i="8" a="1"/>
  <c r="M29" i="8" s="1"/>
  <c r="M30" i="8" a="1"/>
  <c r="M30" i="8" s="1"/>
  <c r="M31" i="8" a="1"/>
  <c r="M31" i="8" s="1"/>
  <c r="M32" i="8" a="1"/>
  <c r="M32" i="8" s="1"/>
  <c r="M33" i="8" a="1"/>
  <c r="M33" i="8" s="1"/>
  <c r="M34" i="8" a="1"/>
  <c r="M34" i="8" s="1"/>
  <c r="M35" i="8" a="1"/>
  <c r="M35" i="8" s="1"/>
  <c r="M36" i="8" a="1"/>
  <c r="M36" i="8" s="1"/>
  <c r="M37" i="8" a="1"/>
  <c r="M37" i="8" s="1"/>
  <c r="M38" i="8" a="1"/>
  <c r="M38" i="8" s="1"/>
  <c r="M39" i="8" a="1"/>
  <c r="M39" i="8" s="1"/>
  <c r="M40" i="8" a="1"/>
  <c r="M40" i="8" s="1"/>
  <c r="M41" i="8" a="1"/>
  <c r="M41" i="8" s="1"/>
  <c r="M42" i="8" a="1"/>
  <c r="M42" i="8" s="1"/>
  <c r="M43" i="8" a="1"/>
  <c r="M43" i="8" s="1"/>
  <c r="M44" i="8" a="1"/>
  <c r="M44" i="8" s="1"/>
  <c r="M45" i="8" a="1"/>
  <c r="M45" i="8" s="1"/>
  <c r="M46" i="8" a="1"/>
  <c r="M46" i="8" s="1"/>
  <c r="M47" i="8" a="1"/>
  <c r="M47" i="8" s="1"/>
  <c r="M48" i="8" a="1"/>
  <c r="M48" i="8" s="1"/>
  <c r="M49" i="8" a="1"/>
  <c r="M49" i="8" s="1"/>
  <c r="M50" i="8" a="1"/>
  <c r="M50" i="8" s="1"/>
  <c r="M51" i="8" a="1"/>
  <c r="M51" i="8" s="1"/>
  <c r="M52" i="8" a="1"/>
  <c r="M52" i="8" s="1"/>
  <c r="M53" i="8" a="1"/>
  <c r="M53" i="8" s="1"/>
  <c r="M54" i="8" a="1"/>
  <c r="M54" i="8" s="1"/>
  <c r="M55" i="8" a="1"/>
  <c r="M55" i="8" s="1"/>
  <c r="M56" i="8" a="1"/>
  <c r="M56" i="8" s="1"/>
  <c r="M57" i="8" a="1"/>
  <c r="M57" i="8" s="1"/>
  <c r="M58" i="8" a="1"/>
  <c r="M58" i="8" s="1"/>
  <c r="M59" i="8" a="1"/>
  <c r="M59" i="8" s="1"/>
  <c r="M60" i="8" a="1"/>
  <c r="M60" i="8" s="1"/>
  <c r="M61" i="8" a="1"/>
  <c r="M61" i="8" s="1"/>
  <c r="M62" i="8" a="1"/>
  <c r="M62" i="8" s="1"/>
  <c r="M63" i="8" a="1"/>
  <c r="M63" i="8" s="1"/>
  <c r="M64" i="8" a="1"/>
  <c r="M64" i="8" s="1"/>
  <c r="M65" i="8" a="1"/>
  <c r="M65" i="8" s="1"/>
  <c r="M66" i="8" a="1"/>
  <c r="M66" i="8" s="1"/>
  <c r="M67" i="8" a="1"/>
  <c r="M67" i="8" s="1"/>
  <c r="M68" i="8" a="1"/>
  <c r="M68" i="8" s="1"/>
  <c r="M69" i="8" a="1"/>
  <c r="M69" i="8" s="1"/>
  <c r="M70" i="8" a="1"/>
  <c r="M70" i="8" s="1"/>
  <c r="M71" i="8" a="1"/>
  <c r="M71" i="8" s="1"/>
  <c r="M72" i="8" a="1"/>
  <c r="M72" i="8" s="1"/>
  <c r="M73" i="8" a="1"/>
  <c r="M73" i="8" s="1"/>
  <c r="M74" i="8" a="1"/>
  <c r="M74" i="8" s="1"/>
  <c r="M75" i="8" a="1"/>
  <c r="M75" i="8" s="1"/>
  <c r="M76" i="8" a="1"/>
  <c r="M76" i="8" s="1"/>
  <c r="M77" i="8" a="1"/>
  <c r="M77" i="8" s="1"/>
  <c r="M78" i="8" a="1"/>
  <c r="M78" i="8" s="1"/>
  <c r="M79" i="8" a="1"/>
  <c r="M79" i="8" s="1"/>
  <c r="M80" i="8" a="1"/>
  <c r="M80" i="8" s="1"/>
  <c r="M81" i="8" a="1"/>
  <c r="M81" i="8" s="1"/>
  <c r="M82" i="8" a="1"/>
  <c r="M82" i="8" s="1"/>
  <c r="M83" i="8" a="1"/>
  <c r="M83" i="8" s="1"/>
  <c r="M84" i="8" a="1"/>
  <c r="M84" i="8" s="1"/>
  <c r="M85" i="8" a="1"/>
  <c r="M85" i="8" s="1"/>
  <c r="M86" i="8" a="1"/>
  <c r="M86" i="8" s="1"/>
  <c r="M87" i="8" a="1"/>
  <c r="M87" i="8" s="1"/>
  <c r="M88" i="8" a="1"/>
  <c r="M88" i="8" s="1"/>
  <c r="M89" i="8" a="1"/>
  <c r="M89" i="8" s="1"/>
  <c r="M90" i="8" a="1"/>
  <c r="M90" i="8" s="1"/>
  <c r="M91" i="8" a="1"/>
  <c r="M91" i="8" s="1"/>
  <c r="M92" i="8" a="1"/>
  <c r="M92" i="8" s="1"/>
  <c r="M93" i="8" a="1"/>
  <c r="M93" i="8" s="1"/>
  <c r="M94" i="8" a="1"/>
  <c r="M94" i="8" s="1"/>
  <c r="M95" i="8" a="1"/>
  <c r="M95" i="8" s="1"/>
  <c r="M96" i="8" a="1"/>
  <c r="M96" i="8" s="1"/>
  <c r="M97" i="8" a="1"/>
  <c r="M97" i="8" s="1"/>
  <c r="M98" i="8" a="1"/>
  <c r="M98" i="8" s="1"/>
  <c r="M99" i="8" a="1"/>
  <c r="M99" i="8" s="1"/>
  <c r="M100" i="8" a="1"/>
  <c r="M100" i="8" s="1"/>
  <c r="M101" i="8" a="1"/>
  <c r="M101" i="8" s="1"/>
  <c r="M102" i="8" a="1"/>
  <c r="M102" i="8" s="1"/>
  <c r="M103" i="8" a="1"/>
  <c r="M103" i="8" s="1"/>
  <c r="M104" i="8" a="1"/>
  <c r="M104" i="8" s="1"/>
  <c r="M105" i="8" a="1"/>
  <c r="M105" i="8" s="1"/>
  <c r="M106" i="8" a="1"/>
  <c r="M106" i="8" s="1"/>
  <c r="M107" i="8" a="1"/>
  <c r="M107" i="8" s="1"/>
  <c r="M108" i="8" a="1"/>
  <c r="M108" i="8" s="1"/>
  <c r="M109" i="8" a="1"/>
  <c r="M109" i="8" s="1"/>
  <c r="M110" i="8" a="1"/>
  <c r="M110" i="8" s="1"/>
  <c r="M111" i="8" a="1"/>
  <c r="M111" i="8" s="1"/>
  <c r="M112" i="8" a="1"/>
  <c r="M112" i="8" s="1"/>
  <c r="M113" i="8" a="1"/>
  <c r="M113" i="8" s="1"/>
  <c r="M114" i="8" a="1"/>
  <c r="M114" i="8" s="1"/>
  <c r="M115" i="8" a="1"/>
  <c r="M115" i="8" s="1"/>
  <c r="M116" i="8" a="1"/>
  <c r="M116" i="8" s="1"/>
  <c r="M117" i="8" a="1"/>
  <c r="M117" i="8" s="1"/>
  <c r="M118" i="8" a="1"/>
  <c r="M118" i="8" s="1"/>
  <c r="M119" i="8" a="1"/>
  <c r="M119" i="8" s="1"/>
  <c r="M120" i="8" a="1"/>
  <c r="M120" i="8" s="1"/>
  <c r="M121" i="8" a="1"/>
  <c r="M121" i="8" s="1"/>
  <c r="M122" i="8" a="1"/>
  <c r="M122" i="8" s="1"/>
  <c r="M123" i="8" a="1"/>
  <c r="M123" i="8" s="1"/>
  <c r="M124" i="8" a="1"/>
  <c r="M124" i="8" s="1"/>
  <c r="M125" i="8" a="1"/>
  <c r="M125" i="8" s="1"/>
  <c r="M126" i="8" a="1"/>
  <c r="M126" i="8" s="1"/>
  <c r="M127" i="8" a="1"/>
  <c r="M127" i="8" s="1"/>
  <c r="M128" i="8" a="1"/>
  <c r="M128" i="8" s="1"/>
  <c r="M129" i="8" a="1"/>
  <c r="M129" i="8" s="1"/>
  <c r="M130" i="8" a="1"/>
  <c r="M130" i="8" s="1"/>
  <c r="M131" i="8" a="1"/>
  <c r="M131" i="8" s="1"/>
  <c r="M132" i="8" a="1"/>
  <c r="M132" i="8" s="1"/>
  <c r="M133" i="8" a="1"/>
  <c r="M133" i="8" s="1"/>
  <c r="M134" i="8" a="1"/>
  <c r="M134" i="8" s="1"/>
  <c r="M135" i="8" a="1"/>
  <c r="M135" i="8" s="1"/>
  <c r="M136" i="8" a="1"/>
  <c r="M136" i="8" s="1"/>
  <c r="M137" i="8" a="1"/>
  <c r="M137" i="8" s="1"/>
  <c r="M138" i="8" a="1"/>
  <c r="M138" i="8" s="1"/>
  <c r="M139" i="8" a="1"/>
  <c r="M139" i="8" s="1"/>
  <c r="M140" i="8" a="1"/>
  <c r="M140" i="8" s="1"/>
  <c r="M141" i="8" a="1"/>
  <c r="M141" i="8" s="1"/>
  <c r="M142" i="8" a="1"/>
  <c r="M142" i="8" s="1"/>
  <c r="M143" i="8" a="1"/>
  <c r="M143" i="8" s="1"/>
  <c r="M144" i="8" a="1"/>
  <c r="M144" i="8" s="1"/>
  <c r="M145" i="8" a="1"/>
  <c r="M145" i="8" s="1"/>
  <c r="M146" i="8" a="1"/>
  <c r="M146" i="8" s="1"/>
  <c r="M147" i="8" a="1"/>
  <c r="M147" i="8" s="1"/>
  <c r="M148" i="8" a="1"/>
  <c r="M148" i="8" s="1"/>
  <c r="M149" i="8" a="1"/>
  <c r="M149" i="8" s="1"/>
  <c r="M150" i="8" a="1"/>
  <c r="M150" i="8" s="1"/>
  <c r="M151" i="8" a="1"/>
  <c r="M151" i="8" s="1"/>
  <c r="M152" i="8" a="1"/>
  <c r="M152" i="8" s="1"/>
  <c r="M153" i="8" a="1"/>
  <c r="M153" i="8" s="1"/>
  <c r="M154" i="8" a="1"/>
  <c r="M154" i="8" s="1"/>
  <c r="M155" i="8" a="1"/>
  <c r="M155" i="8" s="1"/>
  <c r="M156" i="8" a="1"/>
  <c r="M156" i="8" s="1"/>
  <c r="M157" i="8" a="1"/>
  <c r="M157" i="8" s="1"/>
  <c r="M158" i="8" a="1"/>
  <c r="M158" i="8" s="1"/>
  <c r="M159" i="8" a="1"/>
  <c r="M159" i="8" s="1"/>
  <c r="M160" i="8" a="1"/>
  <c r="M160" i="8" s="1"/>
  <c r="M161" i="8" a="1"/>
  <c r="M161" i="8" s="1"/>
  <c r="M162" i="8" a="1"/>
  <c r="M162" i="8" s="1"/>
  <c r="M163" i="8" a="1"/>
  <c r="M163" i="8" s="1"/>
  <c r="M164" i="8" a="1"/>
  <c r="M164" i="8" s="1"/>
  <c r="M165" i="8" a="1"/>
  <c r="M165" i="8" s="1"/>
  <c r="M166" i="8" a="1"/>
  <c r="M166" i="8" s="1"/>
  <c r="M167" i="8" a="1"/>
  <c r="M167" i="8" s="1"/>
  <c r="M168" i="8" a="1"/>
  <c r="M168" i="8" s="1"/>
  <c r="M169" i="8" a="1"/>
  <c r="M169" i="8" s="1"/>
  <c r="M170" i="8" a="1"/>
  <c r="M170" i="8" s="1"/>
  <c r="M171" i="8" a="1"/>
  <c r="M171" i="8" s="1"/>
  <c r="M172" i="8" a="1"/>
  <c r="M172" i="8" s="1"/>
  <c r="M173" i="8" a="1"/>
  <c r="M173" i="8" s="1"/>
  <c r="M174" i="8" a="1"/>
  <c r="M174" i="8" s="1"/>
  <c r="M175" i="8" a="1"/>
  <c r="M175" i="8" s="1"/>
  <c r="M176" i="8" a="1"/>
  <c r="M176" i="8" s="1"/>
  <c r="M177" i="8" a="1"/>
  <c r="M177" i="8" s="1"/>
  <c r="M178" i="8" a="1"/>
  <c r="M178" i="8" s="1"/>
  <c r="M179" i="8" a="1"/>
  <c r="M179" i="8" s="1"/>
  <c r="M180" i="8" a="1"/>
  <c r="M180" i="8" s="1"/>
  <c r="M181" i="8" a="1"/>
  <c r="M181" i="8" s="1"/>
  <c r="M182" i="8" a="1"/>
  <c r="M182" i="8" s="1"/>
  <c r="M183" i="8" a="1"/>
  <c r="M183" i="8" s="1"/>
  <c r="M184" i="8" a="1"/>
  <c r="M184" i="8" s="1"/>
  <c r="M185" i="8" a="1"/>
  <c r="M185" i="8" s="1"/>
  <c r="M186" i="8" a="1"/>
  <c r="M186" i="8" s="1"/>
  <c r="M187" i="8" a="1"/>
  <c r="M187" i="8" s="1"/>
  <c r="M188" i="8" a="1"/>
  <c r="M188" i="8" s="1"/>
  <c r="M189" i="8" a="1"/>
  <c r="M189" i="8" s="1"/>
  <c r="M190" i="8" a="1"/>
  <c r="M190" i="8" s="1"/>
  <c r="M191" i="8" a="1"/>
  <c r="M191" i="8" s="1"/>
  <c r="M192" i="8" a="1"/>
  <c r="M192" i="8" s="1"/>
  <c r="M193" i="8" a="1"/>
  <c r="M193" i="8" s="1"/>
  <c r="M194" i="8" a="1"/>
  <c r="M194" i="8" s="1"/>
  <c r="M195" i="8" a="1"/>
  <c r="M195" i="8" s="1"/>
  <c r="M196" i="8" a="1"/>
  <c r="M196" i="8" s="1"/>
  <c r="M197" i="8" a="1"/>
  <c r="M197" i="8" s="1"/>
  <c r="M198" i="8" a="1"/>
  <c r="M198" i="8" s="1"/>
  <c r="M199" i="8" a="1"/>
  <c r="M199" i="8" s="1"/>
  <c r="M200" i="8" a="1"/>
  <c r="M200" i="8" s="1"/>
  <c r="M201" i="8" a="1"/>
  <c r="M201" i="8" s="1"/>
  <c r="M202" i="8" a="1"/>
  <c r="M202" i="8" s="1"/>
  <c r="M203" i="8" a="1"/>
  <c r="M203" i="8" s="1"/>
  <c r="M204" i="8" a="1"/>
  <c r="M204" i="8" s="1"/>
  <c r="M205" i="8" a="1"/>
  <c r="M205" i="8" s="1"/>
  <c r="M206" i="8" a="1"/>
  <c r="M206" i="8" s="1"/>
  <c r="M207" i="8" a="1"/>
  <c r="M207" i="8" s="1"/>
  <c r="M208" i="8" a="1"/>
  <c r="M208" i="8" s="1"/>
  <c r="M209" i="8" a="1"/>
  <c r="M209" i="8" s="1"/>
  <c r="M210" i="8" a="1"/>
  <c r="M210" i="8" s="1"/>
  <c r="M211" i="8" a="1"/>
  <c r="M211" i="8" s="1"/>
  <c r="M212" i="8" a="1"/>
  <c r="M212" i="8" s="1"/>
  <c r="M213" i="8" a="1"/>
  <c r="M213" i="8" s="1"/>
  <c r="M214" i="8" a="1"/>
  <c r="M214" i="8" s="1"/>
  <c r="M215" i="8" a="1"/>
  <c r="M215" i="8" s="1"/>
  <c r="M216" i="8" a="1"/>
  <c r="M216" i="8" s="1"/>
  <c r="M217" i="8" a="1"/>
  <c r="M217" i="8" s="1"/>
  <c r="M218" i="8" a="1"/>
  <c r="M218" i="8" s="1"/>
  <c r="M219" i="8" a="1"/>
  <c r="M219" i="8" s="1"/>
  <c r="M220" i="8" a="1"/>
  <c r="M220" i="8" s="1"/>
  <c r="M221" i="8" a="1"/>
  <c r="M221" i="8" s="1"/>
  <c r="M222" i="8" a="1"/>
  <c r="M222" i="8" s="1"/>
  <c r="M223" i="8" a="1"/>
  <c r="M223" i="8" s="1"/>
  <c r="M224" i="8" a="1"/>
  <c r="M224" i="8" s="1"/>
  <c r="M225" i="8" a="1"/>
  <c r="M225" i="8" s="1"/>
  <c r="M226" i="8" a="1"/>
  <c r="M226" i="8" s="1"/>
  <c r="M227" i="8" a="1"/>
  <c r="M227" i="8" s="1"/>
  <c r="M228" i="8" a="1"/>
  <c r="M228" i="8" s="1"/>
  <c r="M229" i="8" a="1"/>
  <c r="M229" i="8" s="1"/>
  <c r="M230" i="8" a="1"/>
  <c r="M230" i="8" s="1"/>
  <c r="M231" i="8" a="1"/>
  <c r="M231" i="8" s="1"/>
  <c r="M232" i="8" a="1"/>
  <c r="M232" i="8" s="1"/>
  <c r="M233" i="8" a="1"/>
  <c r="M233" i="8" s="1"/>
  <c r="M234" i="8" a="1"/>
  <c r="M234" i="8" s="1"/>
  <c r="M235" i="8" a="1"/>
  <c r="M235" i="8" s="1"/>
  <c r="M236" i="8" a="1"/>
  <c r="M236" i="8" s="1"/>
  <c r="M237" i="8" a="1"/>
  <c r="M237" i="8" s="1"/>
  <c r="M238" i="8" a="1"/>
  <c r="M238" i="8" s="1"/>
  <c r="M239" i="8" a="1"/>
  <c r="M239" i="8" s="1"/>
  <c r="M240" i="8" a="1"/>
  <c r="M240" i="8" s="1"/>
  <c r="M241" i="8" a="1"/>
  <c r="M241" i="8" s="1"/>
  <c r="M242" i="8" a="1"/>
  <c r="M242" i="8" s="1"/>
  <c r="M243" i="8" a="1"/>
  <c r="M243" i="8" s="1"/>
  <c r="M244" i="8" a="1"/>
  <c r="M244" i="8" s="1"/>
  <c r="M245" i="8" a="1"/>
  <c r="M245" i="8" s="1"/>
  <c r="M246" i="8" a="1"/>
  <c r="M246" i="8" s="1"/>
  <c r="M247" i="8" a="1"/>
  <c r="M247" i="8" s="1"/>
  <c r="M248" i="8" a="1"/>
  <c r="M248" i="8" s="1"/>
  <c r="M249" i="8" a="1"/>
  <c r="M249" i="8" s="1"/>
  <c r="L11" i="8" a="1"/>
  <c r="L11" i="8" s="1"/>
  <c r="L12" i="8" a="1"/>
  <c r="L12" i="8" s="1"/>
  <c r="L13" i="8" a="1"/>
  <c r="L13" i="8" s="1"/>
  <c r="L14" i="8" a="1"/>
  <c r="L14" i="8" s="1"/>
  <c r="L15" i="8" a="1"/>
  <c r="L15" i="8" s="1"/>
  <c r="L16" i="8" a="1"/>
  <c r="L16" i="8" s="1"/>
  <c r="L17" i="8" a="1"/>
  <c r="L17" i="8" s="1"/>
  <c r="L18" i="8" a="1"/>
  <c r="L18" i="8" s="1"/>
  <c r="L19" i="8" a="1"/>
  <c r="L19" i="8" s="1"/>
  <c r="L20" i="8" a="1"/>
  <c r="L20" i="8" s="1"/>
  <c r="L21" i="8" a="1"/>
  <c r="L21" i="8" s="1"/>
  <c r="L22" i="8" a="1"/>
  <c r="L22" i="8" s="1"/>
  <c r="L23" i="8" a="1"/>
  <c r="L23" i="8" s="1"/>
  <c r="L24" i="8" a="1"/>
  <c r="L24" i="8" s="1"/>
  <c r="L25" i="8" a="1"/>
  <c r="L25" i="8" s="1"/>
  <c r="L26" i="8" a="1"/>
  <c r="L26" i="8" s="1"/>
  <c r="L27" i="8" a="1"/>
  <c r="L27" i="8" s="1"/>
  <c r="L28" i="8" a="1"/>
  <c r="L28" i="8" s="1"/>
  <c r="L29" i="8" a="1"/>
  <c r="L29" i="8" s="1"/>
  <c r="L30" i="8" a="1"/>
  <c r="L30" i="8" s="1"/>
  <c r="L31" i="8" a="1"/>
  <c r="L31" i="8" s="1"/>
  <c r="L32" i="8" a="1"/>
  <c r="L32" i="8" s="1"/>
  <c r="L33" i="8" a="1"/>
  <c r="L33" i="8" s="1"/>
  <c r="L34" i="8" a="1"/>
  <c r="L34" i="8" s="1"/>
  <c r="L35" i="8" a="1"/>
  <c r="L35" i="8" s="1"/>
  <c r="L36" i="8" a="1"/>
  <c r="L36" i="8" s="1"/>
  <c r="L37" i="8" a="1"/>
  <c r="L37" i="8" s="1"/>
  <c r="L38" i="8" a="1"/>
  <c r="L38" i="8" s="1"/>
  <c r="L39" i="8" a="1"/>
  <c r="L39" i="8" s="1"/>
  <c r="L40" i="8" a="1"/>
  <c r="L40" i="8" s="1"/>
  <c r="L41" i="8" a="1"/>
  <c r="L41" i="8" s="1"/>
  <c r="L42" i="8" a="1"/>
  <c r="L42" i="8" s="1"/>
  <c r="L43" i="8" a="1"/>
  <c r="L43" i="8" s="1"/>
  <c r="L44" i="8" a="1"/>
  <c r="L44" i="8" s="1"/>
  <c r="L45" i="8" a="1"/>
  <c r="L45" i="8" s="1"/>
  <c r="L46" i="8" a="1"/>
  <c r="L46" i="8" s="1"/>
  <c r="L47" i="8" a="1"/>
  <c r="L47" i="8" s="1"/>
  <c r="L48" i="8" a="1"/>
  <c r="L48" i="8" s="1"/>
  <c r="L49" i="8" a="1"/>
  <c r="L49" i="8" s="1"/>
  <c r="L50" i="8" a="1"/>
  <c r="L50" i="8" s="1"/>
  <c r="L51" i="8" a="1"/>
  <c r="L51" i="8" s="1"/>
  <c r="L52" i="8" a="1"/>
  <c r="L52" i="8" s="1"/>
  <c r="L53" i="8" a="1"/>
  <c r="L53" i="8" s="1"/>
  <c r="L54" i="8" a="1"/>
  <c r="L54" i="8" s="1"/>
  <c r="L55" i="8" a="1"/>
  <c r="L55" i="8" s="1"/>
  <c r="L56" i="8" a="1"/>
  <c r="L56" i="8" s="1"/>
  <c r="L57" i="8" a="1"/>
  <c r="L57" i="8" s="1"/>
  <c r="L58" i="8" a="1"/>
  <c r="L58" i="8" s="1"/>
  <c r="L59" i="8" a="1"/>
  <c r="L59" i="8" s="1"/>
  <c r="L60" i="8" a="1"/>
  <c r="L60" i="8" s="1"/>
  <c r="L61" i="8" a="1"/>
  <c r="L61" i="8" s="1"/>
  <c r="L62" i="8" a="1"/>
  <c r="L62" i="8" s="1"/>
  <c r="L63" i="8" a="1"/>
  <c r="L63" i="8" s="1"/>
  <c r="L64" i="8" a="1"/>
  <c r="L64" i="8" s="1"/>
  <c r="L65" i="8" a="1"/>
  <c r="L65" i="8" s="1"/>
  <c r="L66" i="8" a="1"/>
  <c r="L66" i="8" s="1"/>
  <c r="L67" i="8" a="1"/>
  <c r="L67" i="8" s="1"/>
  <c r="L68" i="8" a="1"/>
  <c r="L68" i="8" s="1"/>
  <c r="L69" i="8" a="1"/>
  <c r="L69" i="8" s="1"/>
  <c r="L70" i="8" a="1"/>
  <c r="L70" i="8" s="1"/>
  <c r="L71" i="8" a="1"/>
  <c r="L71" i="8" s="1"/>
  <c r="L72" i="8" a="1"/>
  <c r="L72" i="8" s="1"/>
  <c r="L73" i="8" a="1"/>
  <c r="L73" i="8" s="1"/>
  <c r="L74" i="8" a="1"/>
  <c r="L74" i="8" s="1"/>
  <c r="L75" i="8" a="1"/>
  <c r="L75" i="8" s="1"/>
  <c r="L76" i="8" a="1"/>
  <c r="L76" i="8" s="1"/>
  <c r="L77" i="8" a="1"/>
  <c r="L77" i="8" s="1"/>
  <c r="L78" i="8" a="1"/>
  <c r="L78" i="8" s="1"/>
  <c r="L79" i="8" a="1"/>
  <c r="L79" i="8" s="1"/>
  <c r="L80" i="8" a="1"/>
  <c r="L80" i="8" s="1"/>
  <c r="L81" i="8" a="1"/>
  <c r="L81" i="8" s="1"/>
  <c r="L82" i="8" a="1"/>
  <c r="L82" i="8" s="1"/>
  <c r="L83" i="8" a="1"/>
  <c r="L83" i="8" s="1"/>
  <c r="L84" i="8" a="1"/>
  <c r="L84" i="8" s="1"/>
  <c r="L85" i="8" a="1"/>
  <c r="L85" i="8" s="1"/>
  <c r="L86" i="8" a="1"/>
  <c r="L86" i="8" s="1"/>
  <c r="L87" i="8" a="1"/>
  <c r="L87" i="8" s="1"/>
  <c r="L88" i="8" a="1"/>
  <c r="L88" i="8" s="1"/>
  <c r="L89" i="8" a="1"/>
  <c r="L89" i="8" s="1"/>
  <c r="L90" i="8" a="1"/>
  <c r="L90" i="8" s="1"/>
  <c r="L91" i="8" a="1"/>
  <c r="L91" i="8" s="1"/>
  <c r="L92" i="8" a="1"/>
  <c r="L92" i="8" s="1"/>
  <c r="L93" i="8" a="1"/>
  <c r="L93" i="8" s="1"/>
  <c r="L94" i="8" a="1"/>
  <c r="L94" i="8" s="1"/>
  <c r="L95" i="8" a="1"/>
  <c r="L95" i="8" s="1"/>
  <c r="L96" i="8" a="1"/>
  <c r="L96" i="8" s="1"/>
  <c r="L97" i="8" a="1"/>
  <c r="L97" i="8" s="1"/>
  <c r="L98" i="8" a="1"/>
  <c r="L98" i="8" s="1"/>
  <c r="L99" i="8" a="1"/>
  <c r="L99" i="8" s="1"/>
  <c r="L100" i="8" a="1"/>
  <c r="L100" i="8" s="1"/>
  <c r="L101" i="8" a="1"/>
  <c r="L101" i="8" s="1"/>
  <c r="L102" i="8" a="1"/>
  <c r="L102" i="8" s="1"/>
  <c r="L103" i="8" a="1"/>
  <c r="L103" i="8" s="1"/>
  <c r="L104" i="8" a="1"/>
  <c r="L104" i="8" s="1"/>
  <c r="L105" i="8" a="1"/>
  <c r="L105" i="8" s="1"/>
  <c r="L106" i="8" a="1"/>
  <c r="L106" i="8" s="1"/>
  <c r="L107" i="8" a="1"/>
  <c r="L107" i="8" s="1"/>
  <c r="L108" i="8" a="1"/>
  <c r="L108" i="8" s="1"/>
  <c r="L109" i="8" a="1"/>
  <c r="L109" i="8" s="1"/>
  <c r="L110" i="8" a="1"/>
  <c r="L110" i="8" s="1"/>
  <c r="L111" i="8" a="1"/>
  <c r="L111" i="8" s="1"/>
  <c r="L112" i="8" a="1"/>
  <c r="L112" i="8" s="1"/>
  <c r="L113" i="8" a="1"/>
  <c r="L113" i="8" s="1"/>
  <c r="L114" i="8" a="1"/>
  <c r="L114" i="8" s="1"/>
  <c r="L115" i="8" a="1"/>
  <c r="L115" i="8" s="1"/>
  <c r="L116" i="8" a="1"/>
  <c r="L116" i="8" s="1"/>
  <c r="L117" i="8" a="1"/>
  <c r="L117" i="8" s="1"/>
  <c r="L118" i="8" a="1"/>
  <c r="L118" i="8" s="1"/>
  <c r="L119" i="8" a="1"/>
  <c r="L119" i="8" s="1"/>
  <c r="L120" i="8" a="1"/>
  <c r="L120" i="8" s="1"/>
  <c r="L121" i="8" a="1"/>
  <c r="L121" i="8" s="1"/>
  <c r="L122" i="8" a="1"/>
  <c r="L122" i="8" s="1"/>
  <c r="L123" i="8" a="1"/>
  <c r="L123" i="8" s="1"/>
  <c r="L124" i="8" a="1"/>
  <c r="L124" i="8" s="1"/>
  <c r="L125" i="8" a="1"/>
  <c r="L125" i="8" s="1"/>
  <c r="L126" i="8" a="1"/>
  <c r="L126" i="8" s="1"/>
  <c r="L127" i="8" a="1"/>
  <c r="L127" i="8" s="1"/>
  <c r="L128" i="8" a="1"/>
  <c r="L128" i="8" s="1"/>
  <c r="L129" i="8" a="1"/>
  <c r="L129" i="8" s="1"/>
  <c r="L130" i="8" a="1"/>
  <c r="L130" i="8" s="1"/>
  <c r="L131" i="8" a="1"/>
  <c r="L131" i="8" s="1"/>
  <c r="L132" i="8" a="1"/>
  <c r="L132" i="8" s="1"/>
  <c r="L133" i="8" a="1"/>
  <c r="L133" i="8" s="1"/>
  <c r="L134" i="8" a="1"/>
  <c r="L134" i="8" s="1"/>
  <c r="L135" i="8" a="1"/>
  <c r="L135" i="8" s="1"/>
  <c r="L136" i="8" a="1"/>
  <c r="L136" i="8" s="1"/>
  <c r="L137" i="8" a="1"/>
  <c r="L137" i="8" s="1"/>
  <c r="L138" i="8" a="1"/>
  <c r="L138" i="8" s="1"/>
  <c r="L139" i="8" a="1"/>
  <c r="L139" i="8" s="1"/>
  <c r="L140" i="8" a="1"/>
  <c r="L140" i="8" s="1"/>
  <c r="L141" i="8" a="1"/>
  <c r="L141" i="8" s="1"/>
  <c r="L142" i="8" a="1"/>
  <c r="L142" i="8" s="1"/>
  <c r="L143" i="8" a="1"/>
  <c r="L143" i="8" s="1"/>
  <c r="L144" i="8" a="1"/>
  <c r="L144" i="8" s="1"/>
  <c r="L145" i="8" a="1"/>
  <c r="L145" i="8" s="1"/>
  <c r="L146" i="8" a="1"/>
  <c r="L146" i="8" s="1"/>
  <c r="L147" i="8" a="1"/>
  <c r="L147" i="8" s="1"/>
  <c r="L148" i="8" a="1"/>
  <c r="L148" i="8" s="1"/>
  <c r="L149" i="8" a="1"/>
  <c r="L149" i="8" s="1"/>
  <c r="L150" i="8" a="1"/>
  <c r="L150" i="8" s="1"/>
  <c r="L151" i="8" a="1"/>
  <c r="L151" i="8" s="1"/>
  <c r="L152" i="8" a="1"/>
  <c r="L152" i="8" s="1"/>
  <c r="L153" i="8" a="1"/>
  <c r="L153" i="8" s="1"/>
  <c r="L154" i="8" a="1"/>
  <c r="L154" i="8" s="1"/>
  <c r="L155" i="8" a="1"/>
  <c r="L155" i="8" s="1"/>
  <c r="L156" i="8" a="1"/>
  <c r="L156" i="8" s="1"/>
  <c r="L157" i="8" a="1"/>
  <c r="L157" i="8" s="1"/>
  <c r="L158" i="8" a="1"/>
  <c r="L158" i="8" s="1"/>
  <c r="L159" i="8" a="1"/>
  <c r="L159" i="8" s="1"/>
  <c r="L160" i="8" a="1"/>
  <c r="L160" i="8" s="1"/>
  <c r="L161" i="8" a="1"/>
  <c r="L161" i="8" s="1"/>
  <c r="L162" i="8" a="1"/>
  <c r="L162" i="8" s="1"/>
  <c r="L163" i="8" a="1"/>
  <c r="L163" i="8" s="1"/>
  <c r="L164" i="8" a="1"/>
  <c r="L164" i="8" s="1"/>
  <c r="L165" i="8" a="1"/>
  <c r="L165" i="8" s="1"/>
  <c r="L166" i="8" a="1"/>
  <c r="L166" i="8" s="1"/>
  <c r="L167" i="8" a="1"/>
  <c r="L167" i="8" s="1"/>
  <c r="L168" i="8" a="1"/>
  <c r="L168" i="8" s="1"/>
  <c r="L169" i="8" a="1"/>
  <c r="L169" i="8" s="1"/>
  <c r="L170" i="8" a="1"/>
  <c r="L170" i="8" s="1"/>
  <c r="L171" i="8" a="1"/>
  <c r="L171" i="8" s="1"/>
  <c r="L172" i="8" a="1"/>
  <c r="L172" i="8" s="1"/>
  <c r="L173" i="8" a="1"/>
  <c r="L173" i="8" s="1"/>
  <c r="L174" i="8" a="1"/>
  <c r="L174" i="8" s="1"/>
  <c r="L175" i="8" a="1"/>
  <c r="L175" i="8" s="1"/>
  <c r="L176" i="8" a="1"/>
  <c r="L176" i="8" s="1"/>
  <c r="L177" i="8" a="1"/>
  <c r="L177" i="8" s="1"/>
  <c r="L178" i="8" a="1"/>
  <c r="L178" i="8" s="1"/>
  <c r="L179" i="8" a="1"/>
  <c r="L179" i="8" s="1"/>
  <c r="L180" i="8" a="1"/>
  <c r="L180" i="8" s="1"/>
  <c r="L181" i="8" a="1"/>
  <c r="L181" i="8" s="1"/>
  <c r="L182" i="8" a="1"/>
  <c r="L182" i="8" s="1"/>
  <c r="L183" i="8" a="1"/>
  <c r="L183" i="8" s="1"/>
  <c r="L184" i="8" a="1"/>
  <c r="L184" i="8" s="1"/>
  <c r="L185" i="8" a="1"/>
  <c r="L185" i="8" s="1"/>
  <c r="L186" i="8" a="1"/>
  <c r="L186" i="8" s="1"/>
  <c r="L187" i="8" a="1"/>
  <c r="L187" i="8" s="1"/>
  <c r="L188" i="8" a="1"/>
  <c r="L188" i="8" s="1"/>
  <c r="L189" i="8" a="1"/>
  <c r="L189" i="8" s="1"/>
  <c r="L190" i="8" a="1"/>
  <c r="L190" i="8" s="1"/>
  <c r="L191" i="8" a="1"/>
  <c r="L191" i="8" s="1"/>
  <c r="L192" i="8" a="1"/>
  <c r="L192" i="8" s="1"/>
  <c r="L193" i="8" a="1"/>
  <c r="L193" i="8" s="1"/>
  <c r="L194" i="8" a="1"/>
  <c r="L194" i="8" s="1"/>
  <c r="L195" i="8" a="1"/>
  <c r="L195" i="8" s="1"/>
  <c r="L196" i="8" a="1"/>
  <c r="L196" i="8" s="1"/>
  <c r="L197" i="8" a="1"/>
  <c r="L197" i="8" s="1"/>
  <c r="L198" i="8" a="1"/>
  <c r="L198" i="8" s="1"/>
  <c r="L199" i="8" a="1"/>
  <c r="L199" i="8" s="1"/>
  <c r="L200" i="8" a="1"/>
  <c r="L200" i="8" s="1"/>
  <c r="L201" i="8" a="1"/>
  <c r="L201" i="8" s="1"/>
  <c r="L202" i="8" a="1"/>
  <c r="L202" i="8" s="1"/>
  <c r="L203" i="8" a="1"/>
  <c r="L203" i="8" s="1"/>
  <c r="L204" i="8" a="1"/>
  <c r="L204" i="8" s="1"/>
  <c r="L205" i="8" a="1"/>
  <c r="L205" i="8" s="1"/>
  <c r="L206" i="8" a="1"/>
  <c r="L206" i="8" s="1"/>
  <c r="L207" i="8" a="1"/>
  <c r="L207" i="8" s="1"/>
  <c r="L208" i="8" a="1"/>
  <c r="L208" i="8" s="1"/>
  <c r="L209" i="8" a="1"/>
  <c r="L209" i="8" s="1"/>
  <c r="L210" i="8" a="1"/>
  <c r="L210" i="8" s="1"/>
  <c r="L211" i="8" a="1"/>
  <c r="L211" i="8" s="1"/>
  <c r="L212" i="8" a="1"/>
  <c r="L212" i="8" s="1"/>
  <c r="L213" i="8" a="1"/>
  <c r="L213" i="8" s="1"/>
  <c r="L214" i="8" a="1"/>
  <c r="L214" i="8" s="1"/>
  <c r="L215" i="8" a="1"/>
  <c r="L215" i="8" s="1"/>
  <c r="L216" i="8" a="1"/>
  <c r="L216" i="8" s="1"/>
  <c r="L217" i="8" a="1"/>
  <c r="L217" i="8" s="1"/>
  <c r="L218" i="8" a="1"/>
  <c r="L218" i="8" s="1"/>
  <c r="L219" i="8" a="1"/>
  <c r="L219" i="8" s="1"/>
  <c r="L220" i="8" a="1"/>
  <c r="L220" i="8" s="1"/>
  <c r="L221" i="8" a="1"/>
  <c r="L221" i="8" s="1"/>
  <c r="L222" i="8" a="1"/>
  <c r="L222" i="8" s="1"/>
  <c r="L223" i="8" a="1"/>
  <c r="L223" i="8" s="1"/>
  <c r="L224" i="8" a="1"/>
  <c r="L224" i="8" s="1"/>
  <c r="L225" i="8" a="1"/>
  <c r="L225" i="8" s="1"/>
  <c r="L226" i="8" a="1"/>
  <c r="L226" i="8" s="1"/>
  <c r="L227" i="8" a="1"/>
  <c r="L227" i="8" s="1"/>
  <c r="L228" i="8" a="1"/>
  <c r="L228" i="8" s="1"/>
  <c r="L229" i="8" a="1"/>
  <c r="L229" i="8" s="1"/>
  <c r="L230" i="8" a="1"/>
  <c r="L230" i="8" s="1"/>
  <c r="L231" i="8" a="1"/>
  <c r="L231" i="8" s="1"/>
  <c r="L232" i="8" a="1"/>
  <c r="L232" i="8" s="1"/>
  <c r="L233" i="8" a="1"/>
  <c r="L233" i="8" s="1"/>
  <c r="L234" i="8" a="1"/>
  <c r="L234" i="8" s="1"/>
  <c r="L235" i="8" a="1"/>
  <c r="L235" i="8" s="1"/>
  <c r="L236" i="8" a="1"/>
  <c r="L236" i="8" s="1"/>
  <c r="L237" i="8" a="1"/>
  <c r="L237" i="8" s="1"/>
  <c r="L238" i="8" a="1"/>
  <c r="L238" i="8" s="1"/>
  <c r="L239" i="8" a="1"/>
  <c r="L239" i="8" s="1"/>
  <c r="L240" i="8" a="1"/>
  <c r="L240" i="8" s="1"/>
  <c r="L241" i="8" a="1"/>
  <c r="L241" i="8" s="1"/>
  <c r="L242" i="8" a="1"/>
  <c r="L242" i="8" s="1"/>
  <c r="L243" i="8" a="1"/>
  <c r="L243" i="8" s="1"/>
  <c r="L244" i="8" a="1"/>
  <c r="L244" i="8" s="1"/>
  <c r="L245" i="8" a="1"/>
  <c r="L245" i="8" s="1"/>
  <c r="L246" i="8" a="1"/>
  <c r="L246" i="8" s="1"/>
  <c r="L247" i="8" a="1"/>
  <c r="L247" i="8" s="1"/>
  <c r="L248" i="8" a="1"/>
  <c r="L248" i="8" s="1"/>
  <c r="L249" i="8" a="1"/>
  <c r="L249" i="8" s="1"/>
  <c r="K11" i="8" a="1"/>
  <c r="K11" i="8" s="1"/>
  <c r="K12" i="8" a="1"/>
  <c r="K12" i="8" s="1"/>
  <c r="K13" i="8" a="1"/>
  <c r="K13" i="8" s="1"/>
  <c r="K14" i="8" a="1"/>
  <c r="K14" i="8" s="1"/>
  <c r="K15" i="8" a="1"/>
  <c r="K15" i="8" s="1"/>
  <c r="K16" i="8" a="1"/>
  <c r="K16" i="8" s="1"/>
  <c r="K17" i="8" a="1"/>
  <c r="K17" i="8" s="1"/>
  <c r="K18" i="8" a="1"/>
  <c r="K18" i="8" s="1"/>
  <c r="K19" i="8" a="1"/>
  <c r="K19" i="8" s="1"/>
  <c r="K20" i="8" a="1"/>
  <c r="K20" i="8" s="1"/>
  <c r="K21" i="8" a="1"/>
  <c r="K21" i="8" s="1"/>
  <c r="K22" i="8" a="1"/>
  <c r="K22" i="8" s="1"/>
  <c r="K23" i="8" a="1"/>
  <c r="K23" i="8" s="1"/>
  <c r="K24" i="8" a="1"/>
  <c r="K24" i="8" s="1"/>
  <c r="K25" i="8" a="1"/>
  <c r="K25" i="8" s="1"/>
  <c r="K26" i="8" a="1"/>
  <c r="K26" i="8" s="1"/>
  <c r="K27" i="8" a="1"/>
  <c r="K27" i="8" s="1"/>
  <c r="K28" i="8" a="1"/>
  <c r="K28" i="8" s="1"/>
  <c r="K29" i="8" a="1"/>
  <c r="K29" i="8" s="1"/>
  <c r="K30" i="8" a="1"/>
  <c r="K30" i="8" s="1"/>
  <c r="K31" i="8" a="1"/>
  <c r="K31" i="8" s="1"/>
  <c r="K32" i="8" a="1"/>
  <c r="K32" i="8" s="1"/>
  <c r="K33" i="8" a="1"/>
  <c r="K33" i="8" s="1"/>
  <c r="K34" i="8" a="1"/>
  <c r="K34" i="8" s="1"/>
  <c r="K35" i="8" a="1"/>
  <c r="K35" i="8" s="1"/>
  <c r="K36" i="8" a="1"/>
  <c r="K36" i="8" s="1"/>
  <c r="K37" i="8" a="1"/>
  <c r="K37" i="8" s="1"/>
  <c r="K38" i="8" a="1"/>
  <c r="K38" i="8" s="1"/>
  <c r="K39" i="8" a="1"/>
  <c r="K39" i="8" s="1"/>
  <c r="K40" i="8" a="1"/>
  <c r="K40" i="8" s="1"/>
  <c r="K41" i="8" a="1"/>
  <c r="K41" i="8" s="1"/>
  <c r="K42" i="8" a="1"/>
  <c r="K42" i="8" s="1"/>
  <c r="K43" i="8" a="1"/>
  <c r="K43" i="8" s="1"/>
  <c r="K44" i="8" a="1"/>
  <c r="K44" i="8" s="1"/>
  <c r="K45" i="8" a="1"/>
  <c r="K45" i="8" s="1"/>
  <c r="K46" i="8" a="1"/>
  <c r="K46" i="8" s="1"/>
  <c r="K47" i="8" a="1"/>
  <c r="K47" i="8" s="1"/>
  <c r="K48" i="8" a="1"/>
  <c r="K48" i="8" s="1"/>
  <c r="K49" i="8" a="1"/>
  <c r="K49" i="8" s="1"/>
  <c r="K50" i="8" a="1"/>
  <c r="K50" i="8" s="1"/>
  <c r="K51" i="8" a="1"/>
  <c r="K51" i="8" s="1"/>
  <c r="K52" i="8" a="1"/>
  <c r="K52" i="8" s="1"/>
  <c r="K53" i="8" a="1"/>
  <c r="K53" i="8" s="1"/>
  <c r="K54" i="8" a="1"/>
  <c r="K54" i="8" s="1"/>
  <c r="K55" i="8" a="1"/>
  <c r="K55" i="8" s="1"/>
  <c r="K56" i="8" a="1"/>
  <c r="K56" i="8" s="1"/>
  <c r="K57" i="8" a="1"/>
  <c r="K57" i="8" s="1"/>
  <c r="K58" i="8" a="1"/>
  <c r="K58" i="8" s="1"/>
  <c r="K59" i="8" a="1"/>
  <c r="K59" i="8" s="1"/>
  <c r="K60" i="8" a="1"/>
  <c r="K60" i="8" s="1"/>
  <c r="K61" i="8" a="1"/>
  <c r="K61" i="8" s="1"/>
  <c r="K62" i="8" a="1"/>
  <c r="K62" i="8" s="1"/>
  <c r="K63" i="8" a="1"/>
  <c r="K63" i="8" s="1"/>
  <c r="K64" i="8" a="1"/>
  <c r="K64" i="8" s="1"/>
  <c r="K65" i="8" a="1"/>
  <c r="K65" i="8" s="1"/>
  <c r="K66" i="8" a="1"/>
  <c r="K66" i="8" s="1"/>
  <c r="K67" i="8" a="1"/>
  <c r="K67" i="8" s="1"/>
  <c r="K68" i="8" a="1"/>
  <c r="K68" i="8" s="1"/>
  <c r="K69" i="8" a="1"/>
  <c r="K69" i="8" s="1"/>
  <c r="K70" i="8" a="1"/>
  <c r="K70" i="8" s="1"/>
  <c r="K71" i="8" a="1"/>
  <c r="K71" i="8" s="1"/>
  <c r="K72" i="8" a="1"/>
  <c r="K72" i="8" s="1"/>
  <c r="K73" i="8" a="1"/>
  <c r="K73" i="8" s="1"/>
  <c r="K74" i="8" a="1"/>
  <c r="K74" i="8" s="1"/>
  <c r="K75" i="8" a="1"/>
  <c r="K75" i="8" s="1"/>
  <c r="K76" i="8" a="1"/>
  <c r="K76" i="8" s="1"/>
  <c r="K77" i="8" a="1"/>
  <c r="K77" i="8" s="1"/>
  <c r="K78" i="8" a="1"/>
  <c r="K78" i="8" s="1"/>
  <c r="K79" i="8" a="1"/>
  <c r="K79" i="8" s="1"/>
  <c r="K80" i="8" a="1"/>
  <c r="K80" i="8" s="1"/>
  <c r="K81" i="8" a="1"/>
  <c r="K81" i="8" s="1"/>
  <c r="K82" i="8" a="1"/>
  <c r="K82" i="8" s="1"/>
  <c r="K83" i="8" a="1"/>
  <c r="K83" i="8" s="1"/>
  <c r="K84" i="8" a="1"/>
  <c r="K84" i="8" s="1"/>
  <c r="K85" i="8" a="1"/>
  <c r="K85" i="8" s="1"/>
  <c r="K86" i="8" a="1"/>
  <c r="K86" i="8" s="1"/>
  <c r="K87" i="8" a="1"/>
  <c r="K87" i="8" s="1"/>
  <c r="K88" i="8" a="1"/>
  <c r="K88" i="8" s="1"/>
  <c r="K89" i="8" a="1"/>
  <c r="K89" i="8" s="1"/>
  <c r="K90" i="8" a="1"/>
  <c r="K90" i="8" s="1"/>
  <c r="K91" i="8" a="1"/>
  <c r="K91" i="8" s="1"/>
  <c r="K92" i="8" a="1"/>
  <c r="K92" i="8" s="1"/>
  <c r="K93" i="8" a="1"/>
  <c r="K93" i="8" s="1"/>
  <c r="K94" i="8" a="1"/>
  <c r="K94" i="8" s="1"/>
  <c r="K95" i="8" a="1"/>
  <c r="K95" i="8" s="1"/>
  <c r="K96" i="8" a="1"/>
  <c r="K96" i="8" s="1"/>
  <c r="K97" i="8" a="1"/>
  <c r="K97" i="8" s="1"/>
  <c r="K98" i="8" a="1"/>
  <c r="K98" i="8" s="1"/>
  <c r="K99" i="8" a="1"/>
  <c r="K99" i="8" s="1"/>
  <c r="K100" i="8" a="1"/>
  <c r="K100" i="8" s="1"/>
  <c r="K101" i="8" a="1"/>
  <c r="K101" i="8" s="1"/>
  <c r="K102" i="8" a="1"/>
  <c r="K102" i="8" s="1"/>
  <c r="K103" i="8" a="1"/>
  <c r="K103" i="8" s="1"/>
  <c r="K104" i="8" a="1"/>
  <c r="K104" i="8" s="1"/>
  <c r="K105" i="8" a="1"/>
  <c r="K105" i="8" s="1"/>
  <c r="K106" i="8" a="1"/>
  <c r="K106" i="8" s="1"/>
  <c r="K107" i="8" a="1"/>
  <c r="K107" i="8" s="1"/>
  <c r="K108" i="8" a="1"/>
  <c r="K108" i="8" s="1"/>
  <c r="K109" i="8" a="1"/>
  <c r="K109" i="8" s="1"/>
  <c r="K110" i="8" a="1"/>
  <c r="K110" i="8" s="1"/>
  <c r="K111" i="8" a="1"/>
  <c r="K111" i="8" s="1"/>
  <c r="K112" i="8" a="1"/>
  <c r="K112" i="8" s="1"/>
  <c r="K113" i="8" a="1"/>
  <c r="K113" i="8" s="1"/>
  <c r="K114" i="8" a="1"/>
  <c r="K114" i="8" s="1"/>
  <c r="K115" i="8" a="1"/>
  <c r="K115" i="8" s="1"/>
  <c r="K116" i="8" a="1"/>
  <c r="K116" i="8" s="1"/>
  <c r="K117" i="8" a="1"/>
  <c r="K117" i="8" s="1"/>
  <c r="K118" i="8" a="1"/>
  <c r="K118" i="8" s="1"/>
  <c r="K119" i="8" a="1"/>
  <c r="K119" i="8" s="1"/>
  <c r="K120" i="8" a="1"/>
  <c r="K120" i="8" s="1"/>
  <c r="K121" i="8" a="1"/>
  <c r="K121" i="8" s="1"/>
  <c r="K122" i="8" a="1"/>
  <c r="K122" i="8" s="1"/>
  <c r="K123" i="8" a="1"/>
  <c r="K123" i="8" s="1"/>
  <c r="K124" i="8" a="1"/>
  <c r="K124" i="8" s="1"/>
  <c r="K125" i="8" a="1"/>
  <c r="K125" i="8" s="1"/>
  <c r="K126" i="8" a="1"/>
  <c r="K126" i="8" s="1"/>
  <c r="K127" i="8" a="1"/>
  <c r="K127" i="8" s="1"/>
  <c r="K128" i="8" a="1"/>
  <c r="K128" i="8" s="1"/>
  <c r="K129" i="8" a="1"/>
  <c r="K129" i="8" s="1"/>
  <c r="K130" i="8" a="1"/>
  <c r="K130" i="8" s="1"/>
  <c r="K131" i="8" a="1"/>
  <c r="K131" i="8" s="1"/>
  <c r="K132" i="8" a="1"/>
  <c r="K132" i="8" s="1"/>
  <c r="K133" i="8" a="1"/>
  <c r="K133" i="8" s="1"/>
  <c r="K134" i="8" a="1"/>
  <c r="K134" i="8" s="1"/>
  <c r="K135" i="8" a="1"/>
  <c r="K135" i="8" s="1"/>
  <c r="K136" i="8" a="1"/>
  <c r="K136" i="8" s="1"/>
  <c r="K137" i="8" a="1"/>
  <c r="K137" i="8" s="1"/>
  <c r="K138" i="8" a="1"/>
  <c r="K138" i="8" s="1"/>
  <c r="K139" i="8" a="1"/>
  <c r="K139" i="8" s="1"/>
  <c r="K140" i="8" a="1"/>
  <c r="K140" i="8" s="1"/>
  <c r="K141" i="8" a="1"/>
  <c r="K141" i="8" s="1"/>
  <c r="K142" i="8" a="1"/>
  <c r="K142" i="8" s="1"/>
  <c r="K143" i="8" a="1"/>
  <c r="K143" i="8" s="1"/>
  <c r="K144" i="8" a="1"/>
  <c r="K144" i="8" s="1"/>
  <c r="K145" i="8" a="1"/>
  <c r="K145" i="8" s="1"/>
  <c r="K146" i="8" a="1"/>
  <c r="K146" i="8" s="1"/>
  <c r="K147" i="8" a="1"/>
  <c r="K147" i="8" s="1"/>
  <c r="K148" i="8" a="1"/>
  <c r="K148" i="8" s="1"/>
  <c r="K149" i="8" a="1"/>
  <c r="K149" i="8" s="1"/>
  <c r="K150" i="8" a="1"/>
  <c r="K150" i="8" s="1"/>
  <c r="K151" i="8" a="1"/>
  <c r="K151" i="8" s="1"/>
  <c r="K152" i="8" a="1"/>
  <c r="K152" i="8" s="1"/>
  <c r="K153" i="8" a="1"/>
  <c r="K153" i="8" s="1"/>
  <c r="K154" i="8" a="1"/>
  <c r="K154" i="8" s="1"/>
  <c r="K155" i="8" a="1"/>
  <c r="K155" i="8" s="1"/>
  <c r="K156" i="8" a="1"/>
  <c r="K156" i="8" s="1"/>
  <c r="K157" i="8" a="1"/>
  <c r="K157" i="8" s="1"/>
  <c r="K158" i="8" a="1"/>
  <c r="K158" i="8" s="1"/>
  <c r="K159" i="8" a="1"/>
  <c r="K159" i="8" s="1"/>
  <c r="K160" i="8" a="1"/>
  <c r="K160" i="8" s="1"/>
  <c r="K161" i="8" a="1"/>
  <c r="K161" i="8" s="1"/>
  <c r="K162" i="8" a="1"/>
  <c r="K162" i="8" s="1"/>
  <c r="K163" i="8" a="1"/>
  <c r="K163" i="8" s="1"/>
  <c r="K164" i="8" a="1"/>
  <c r="K164" i="8" s="1"/>
  <c r="K165" i="8" a="1"/>
  <c r="K165" i="8" s="1"/>
  <c r="K166" i="8" a="1"/>
  <c r="K166" i="8" s="1"/>
  <c r="K167" i="8" a="1"/>
  <c r="K167" i="8" s="1"/>
  <c r="K168" i="8" a="1"/>
  <c r="K168" i="8" s="1"/>
  <c r="K169" i="8" a="1"/>
  <c r="K169" i="8" s="1"/>
  <c r="K170" i="8" a="1"/>
  <c r="K170" i="8" s="1"/>
  <c r="K171" i="8" a="1"/>
  <c r="K171" i="8" s="1"/>
  <c r="K172" i="8" a="1"/>
  <c r="K172" i="8" s="1"/>
  <c r="K173" i="8" a="1"/>
  <c r="K173" i="8" s="1"/>
  <c r="K174" i="8" a="1"/>
  <c r="K174" i="8" s="1"/>
  <c r="K175" i="8" a="1"/>
  <c r="K175" i="8" s="1"/>
  <c r="K176" i="8" a="1"/>
  <c r="K176" i="8" s="1"/>
  <c r="K177" i="8" a="1"/>
  <c r="K177" i="8" s="1"/>
  <c r="K178" i="8" a="1"/>
  <c r="K178" i="8" s="1"/>
  <c r="K179" i="8" a="1"/>
  <c r="K179" i="8" s="1"/>
  <c r="K180" i="8" a="1"/>
  <c r="K180" i="8" s="1"/>
  <c r="K181" i="8" a="1"/>
  <c r="K181" i="8" s="1"/>
  <c r="K182" i="8" a="1"/>
  <c r="K182" i="8" s="1"/>
  <c r="K183" i="8" a="1"/>
  <c r="K183" i="8" s="1"/>
  <c r="K184" i="8" a="1"/>
  <c r="K184" i="8" s="1"/>
  <c r="K185" i="8" a="1"/>
  <c r="K185" i="8" s="1"/>
  <c r="K186" i="8" a="1"/>
  <c r="K186" i="8" s="1"/>
  <c r="K187" i="8" a="1"/>
  <c r="K187" i="8" s="1"/>
  <c r="K188" i="8" a="1"/>
  <c r="K188" i="8" s="1"/>
  <c r="K189" i="8" a="1"/>
  <c r="K189" i="8" s="1"/>
  <c r="K190" i="8" a="1"/>
  <c r="K190" i="8" s="1"/>
  <c r="K191" i="8" a="1"/>
  <c r="K191" i="8" s="1"/>
  <c r="K192" i="8" a="1"/>
  <c r="K192" i="8" s="1"/>
  <c r="K193" i="8" a="1"/>
  <c r="K193" i="8" s="1"/>
  <c r="K194" i="8" a="1"/>
  <c r="K194" i="8" s="1"/>
  <c r="K195" i="8" a="1"/>
  <c r="K195" i="8" s="1"/>
  <c r="K196" i="8" a="1"/>
  <c r="K196" i="8" s="1"/>
  <c r="K197" i="8" a="1"/>
  <c r="K197" i="8" s="1"/>
  <c r="K198" i="8" a="1"/>
  <c r="K198" i="8" s="1"/>
  <c r="K199" i="8" a="1"/>
  <c r="K199" i="8" s="1"/>
  <c r="K200" i="8" a="1"/>
  <c r="K200" i="8" s="1"/>
  <c r="K201" i="8" a="1"/>
  <c r="K201" i="8" s="1"/>
  <c r="K202" i="8" a="1"/>
  <c r="K202" i="8" s="1"/>
  <c r="K203" i="8" a="1"/>
  <c r="K203" i="8" s="1"/>
  <c r="K204" i="8" a="1"/>
  <c r="K204" i="8" s="1"/>
  <c r="K205" i="8" a="1"/>
  <c r="K205" i="8" s="1"/>
  <c r="K206" i="8" a="1"/>
  <c r="K206" i="8" s="1"/>
  <c r="K207" i="8" a="1"/>
  <c r="K207" i="8" s="1"/>
  <c r="K208" i="8" a="1"/>
  <c r="K208" i="8" s="1"/>
  <c r="K209" i="8" a="1"/>
  <c r="K209" i="8" s="1"/>
  <c r="K210" i="8" a="1"/>
  <c r="K210" i="8" s="1"/>
  <c r="K211" i="8" a="1"/>
  <c r="K211" i="8" s="1"/>
  <c r="K212" i="8" a="1"/>
  <c r="K212" i="8" s="1"/>
  <c r="K213" i="8" a="1"/>
  <c r="K213" i="8" s="1"/>
  <c r="K214" i="8" a="1"/>
  <c r="K214" i="8" s="1"/>
  <c r="K215" i="8" a="1"/>
  <c r="K215" i="8" s="1"/>
  <c r="K216" i="8" a="1"/>
  <c r="K216" i="8" s="1"/>
  <c r="K217" i="8" a="1"/>
  <c r="K217" i="8" s="1"/>
  <c r="K218" i="8" a="1"/>
  <c r="K218" i="8" s="1"/>
  <c r="K219" i="8" a="1"/>
  <c r="K219" i="8" s="1"/>
  <c r="K220" i="8" a="1"/>
  <c r="K220" i="8" s="1"/>
  <c r="K221" i="8" a="1"/>
  <c r="K221" i="8" s="1"/>
  <c r="K222" i="8" a="1"/>
  <c r="K222" i="8" s="1"/>
  <c r="K223" i="8" a="1"/>
  <c r="K223" i="8" s="1"/>
  <c r="K224" i="8" a="1"/>
  <c r="K224" i="8" s="1"/>
  <c r="K225" i="8" a="1"/>
  <c r="K225" i="8" s="1"/>
  <c r="K226" i="8" a="1"/>
  <c r="K226" i="8" s="1"/>
  <c r="K227" i="8" a="1"/>
  <c r="K227" i="8" s="1"/>
  <c r="K228" i="8" a="1"/>
  <c r="K228" i="8" s="1"/>
  <c r="K229" i="8" a="1"/>
  <c r="K229" i="8" s="1"/>
  <c r="K230" i="8" a="1"/>
  <c r="K230" i="8" s="1"/>
  <c r="K231" i="8" a="1"/>
  <c r="K231" i="8" s="1"/>
  <c r="K232" i="8" a="1"/>
  <c r="K232" i="8" s="1"/>
  <c r="K233" i="8" a="1"/>
  <c r="K233" i="8" s="1"/>
  <c r="K234" i="8" a="1"/>
  <c r="K234" i="8" s="1"/>
  <c r="K235" i="8" a="1"/>
  <c r="K235" i="8" s="1"/>
  <c r="K236" i="8" a="1"/>
  <c r="K236" i="8" s="1"/>
  <c r="K237" i="8" a="1"/>
  <c r="K237" i="8" s="1"/>
  <c r="K238" i="8" a="1"/>
  <c r="K238" i="8" s="1"/>
  <c r="K239" i="8" a="1"/>
  <c r="K239" i="8" s="1"/>
  <c r="K240" i="8" a="1"/>
  <c r="K240" i="8" s="1"/>
  <c r="K241" i="8" a="1"/>
  <c r="K241" i="8" s="1"/>
  <c r="K242" i="8" a="1"/>
  <c r="K242" i="8" s="1"/>
  <c r="K243" i="8" a="1"/>
  <c r="K243" i="8" s="1"/>
  <c r="K244" i="8" a="1"/>
  <c r="K244" i="8" s="1"/>
  <c r="K245" i="8" a="1"/>
  <c r="K245" i="8" s="1"/>
  <c r="K246" i="8" a="1"/>
  <c r="K246" i="8" s="1"/>
  <c r="K247" i="8" a="1"/>
  <c r="K247" i="8" s="1"/>
  <c r="K248" i="8" a="1"/>
  <c r="K248" i="8" s="1"/>
  <c r="K249" i="8" a="1"/>
  <c r="K249" i="8" s="1"/>
  <c r="K10" i="8" a="1"/>
  <c r="K10" i="8" s="1"/>
  <c r="L10" i="8" a="1"/>
  <c r="L10" i="8" s="1"/>
  <c r="M10" i="8" a="1"/>
  <c r="M10" i="8" s="1"/>
  <c r="N10" i="8" a="1"/>
  <c r="N10" i="8" s="1"/>
  <c r="O10" i="8" a="1"/>
  <c r="O10" i="8" s="1"/>
  <c r="P10" i="8" a="1"/>
  <c r="P10" i="8" s="1"/>
  <c r="Q10" i="8" a="1"/>
  <c r="Q10" i="8" s="1"/>
  <c r="R10" i="8" a="1"/>
  <c r="R10" i="8" s="1"/>
  <c r="S10" i="8" a="1"/>
  <c r="S10" i="8" s="1"/>
  <c r="T10" i="8" a="1"/>
  <c r="T10" i="8" s="1"/>
  <c r="U10" i="8" a="1"/>
  <c r="U10" i="8" s="1"/>
  <c r="V10" i="8" a="1"/>
  <c r="V10" i="8" s="1"/>
  <c r="B11" i="6" a="1"/>
  <c r="B12" i="6" a="1"/>
  <c r="B21" i="6" a="1"/>
  <c r="B18" i="6" a="1"/>
  <c r="B16" i="6" a="1"/>
  <c r="B15" i="6" a="1"/>
  <c r="B22" i="6" a="1"/>
  <c r="B14" i="6" a="1"/>
  <c r="B19" i="6" a="1"/>
  <c r="B20" i="6" a="1"/>
  <c r="B26" i="6" a="1"/>
  <c r="B17" i="6" a="1"/>
  <c r="B23" i="6" a="1"/>
  <c r="B13" i="6" a="1"/>
  <c r="B28" i="6" a="1"/>
  <c r="B25" i="6" a="1"/>
  <c r="B24" i="6" a="1"/>
  <c r="B27" i="6" a="1"/>
  <c r="B16" i="6" l="1"/>
  <c r="B16" i="10" s="1" a="1"/>
  <c r="B26" i="6"/>
  <c r="B26" i="10" s="1" a="1"/>
  <c r="B22" i="6"/>
  <c r="B22" i="10" s="1" a="1"/>
  <c r="B18" i="6"/>
  <c r="B18" i="10" s="1" a="1"/>
  <c r="B14" i="6"/>
  <c r="B14" i="10" s="1" a="1"/>
  <c r="B28" i="6"/>
  <c r="B28" i="10" s="1" a="1"/>
  <c r="B25" i="6"/>
  <c r="B25" i="10" s="1" a="1"/>
  <c r="B21" i="6"/>
  <c r="B21" i="10" s="1" a="1"/>
  <c r="B17" i="6"/>
  <c r="B17" i="10" s="1" a="1"/>
  <c r="B13" i="6"/>
  <c r="B13" i="10" s="1" a="1"/>
  <c r="B12" i="6"/>
  <c r="B12" i="10" s="1" a="1"/>
  <c r="B24" i="6"/>
  <c r="B24" i="10" s="1" a="1"/>
  <c r="B27" i="6"/>
  <c r="B27" i="10" s="1" a="1"/>
  <c r="B23" i="6"/>
  <c r="B23" i="10" s="1" a="1"/>
  <c r="B19" i="6"/>
  <c r="B19" i="10" s="1" a="1"/>
  <c r="B15" i="6"/>
  <c r="B15" i="10" s="1" a="1"/>
  <c r="B11" i="6"/>
  <c r="B11" i="10" s="1" a="1"/>
  <c r="B20" i="6"/>
  <c r="B20" i="10" s="1" a="1"/>
  <c r="B21" i="10" l="1"/>
  <c r="B25" i="10"/>
  <c r="B19" i="10"/>
  <c r="B23" i="10"/>
  <c r="B28" i="10"/>
  <c r="B18" i="10"/>
  <c r="B14" i="10"/>
  <c r="B12" i="10"/>
  <c r="B22" i="10"/>
  <c r="B27" i="10"/>
  <c r="B24" i="10"/>
  <c r="B20" i="10"/>
  <c r="B13" i="10"/>
  <c r="B26" i="10"/>
  <c r="B15" i="10"/>
  <c r="B11" i="10"/>
  <c r="B17" i="10"/>
  <c r="B16" i="10"/>
  <c r="G16" i="7" l="1" a="1"/>
  <c r="G15" i="7" a="1"/>
  <c r="G14" i="7" a="1"/>
  <c r="G12" i="7" a="1"/>
  <c r="G10" i="7" a="1"/>
  <c r="G13" i="7" a="1"/>
  <c r="G11" i="7" a="1"/>
  <c r="G12" i="7" l="1"/>
  <c r="G13" i="7"/>
  <c r="G11" i="7"/>
  <c r="G10" i="7"/>
  <c r="G16" i="7"/>
  <c r="G15" i="7"/>
  <c r="G14" i="7"/>
  <c r="G9" i="7" a="1"/>
  <c r="B9" i="7" a="1"/>
  <c r="C9" i="7" a="1"/>
  <c r="D9" i="7" a="1"/>
  <c r="F9" i="7" a="1"/>
  <c r="E9" i="7" a="1"/>
  <c r="H9" i="7" a="1"/>
  <c r="I9" i="7" a="1"/>
  <c r="E202" i="6" a="1"/>
  <c r="C45" i="6" a="1"/>
  <c r="C80" i="6" a="1"/>
  <c r="E64" i="6" a="1"/>
  <c r="B87" i="6" a="1"/>
  <c r="E48" i="6" a="1"/>
  <c r="H18" i="6" a="1"/>
  <c r="E173" i="6" a="1"/>
  <c r="E161" i="6" a="1"/>
  <c r="C196" i="6" a="1"/>
  <c r="H92" i="6" a="1"/>
  <c r="C189" i="6" a="1"/>
  <c r="B117" i="6" a="1"/>
  <c r="H16" i="7" a="1"/>
  <c r="C91" i="6" a="1"/>
  <c r="E85" i="6" a="1"/>
  <c r="B192" i="6" a="1"/>
  <c r="B30" i="6" a="1"/>
  <c r="B219" i="6" a="1"/>
  <c r="B144" i="6" a="1"/>
  <c r="C38" i="6" a="1"/>
  <c r="E30" i="6" a="1"/>
  <c r="B88" i="6" a="1"/>
  <c r="B175" i="6" a="1"/>
  <c r="E136" i="6" a="1"/>
  <c r="E190" i="6" a="1"/>
  <c r="B152" i="6" a="1"/>
  <c r="C15" i="7" a="1"/>
  <c r="C26" i="6" a="1"/>
  <c r="B182" i="6" a="1"/>
  <c r="B235" i="6" a="1"/>
  <c r="C119" i="6" a="1"/>
  <c r="B211" i="6" a="1"/>
  <c r="B46" i="6" a="1"/>
  <c r="B194" i="6" a="1"/>
  <c r="E60" i="6" a="1"/>
  <c r="B40" i="6" a="1"/>
  <c r="B109" i="6" a="1"/>
  <c r="B115" i="6" a="1"/>
  <c r="B15" i="7" a="1"/>
  <c r="B200" i="6" a="1"/>
  <c r="C176" i="6" a="1"/>
  <c r="E63" i="6" a="1"/>
  <c r="B123" i="6" a="1"/>
  <c r="C216" i="6" a="1"/>
  <c r="E100" i="6" a="1"/>
  <c r="H125" i="6" a="1"/>
  <c r="C148" i="6" a="1"/>
  <c r="E203" i="6" a="1"/>
  <c r="E212" i="6" a="1"/>
  <c r="E58" i="6" a="1"/>
  <c r="C154" i="6" a="1"/>
  <c r="C209" i="6" a="1"/>
  <c r="B89" i="6" a="1"/>
  <c r="H69" i="6" a="1"/>
  <c r="B81" i="6" a="1"/>
  <c r="C210" i="6" a="1"/>
  <c r="B148" i="6" a="1"/>
  <c r="C86" i="6" a="1"/>
  <c r="E15" i="7" a="1"/>
  <c r="C218" i="6" a="1"/>
  <c r="C142" i="6" a="1"/>
  <c r="B32" i="6" a="1"/>
  <c r="H101" i="6" a="1"/>
  <c r="C219" i="6" a="1"/>
  <c r="E70" i="6" a="1"/>
  <c r="H59" i="6" a="1"/>
  <c r="E95" i="6" a="1"/>
  <c r="E171" i="6" a="1"/>
  <c r="B130" i="6" a="1"/>
  <c r="C178" i="6" a="1"/>
  <c r="C34" i="6" a="1"/>
  <c r="B156" i="6" a="1"/>
  <c r="B13" i="7" a="1"/>
  <c r="E211" i="6" a="1"/>
  <c r="C124" i="6" a="1"/>
  <c r="C247" i="6" a="1"/>
  <c r="C43" i="6" a="1"/>
  <c r="H51" i="6" a="1"/>
  <c r="C236" i="6" a="1"/>
  <c r="E216" i="6" a="1"/>
  <c r="E166" i="6" a="1"/>
  <c r="E39" i="6" a="1"/>
  <c r="C204" i="6" a="1"/>
  <c r="H73" i="6" a="1"/>
  <c r="H87" i="6" a="1"/>
  <c r="E74" i="6" a="1"/>
  <c r="B206" i="6" a="1"/>
  <c r="B72" i="6" a="1"/>
  <c r="E147" i="6" a="1"/>
  <c r="E82" i="6" a="1"/>
  <c r="E152" i="6" a="1"/>
  <c r="E194" i="6" a="1"/>
  <c r="H28" i="6" a="1"/>
  <c r="E193" i="6" a="1"/>
  <c r="C40" i="6" a="1"/>
  <c r="C111" i="6" a="1"/>
  <c r="C155" i="6" a="1"/>
  <c r="C165" i="6" a="1"/>
  <c r="E93" i="6" a="1"/>
  <c r="E236" i="6" a="1"/>
  <c r="C60" i="6" a="1"/>
  <c r="C156" i="6" a="1"/>
  <c r="B36" i="6" a="1"/>
  <c r="E31" i="6" a="1"/>
  <c r="B53" i="6" a="1"/>
  <c r="E94" i="6" a="1"/>
  <c r="E115" i="6" a="1"/>
  <c r="B80" i="6" a="1"/>
  <c r="B187" i="6" a="1"/>
  <c r="C159" i="6" a="1"/>
  <c r="E116" i="6" a="1"/>
  <c r="H29" i="6" a="1"/>
  <c r="B134" i="6" a="1"/>
  <c r="C39" i="6" a="1"/>
  <c r="B179" i="6" a="1"/>
  <c r="H67" i="6" a="1"/>
  <c r="E168" i="6" a="1"/>
  <c r="B229" i="6" a="1"/>
  <c r="B51" i="6" a="1"/>
  <c r="B205" i="6" a="1"/>
  <c r="B237" i="6" a="1"/>
  <c r="C78" i="6" a="1"/>
  <c r="C97" i="6" a="1"/>
  <c r="E102" i="6" a="1"/>
  <c r="H58" i="6" a="1"/>
  <c r="E12" i="6" a="1"/>
  <c r="H22" i="6" a="1"/>
  <c r="F13" i="7" a="1"/>
  <c r="E92" i="6" a="1"/>
  <c r="B102" i="6" a="1"/>
  <c r="C208" i="6" a="1"/>
  <c r="H27" i="6" a="1"/>
  <c r="E88" i="6" a="1"/>
  <c r="B202" i="6" a="1"/>
  <c r="H14" i="6" a="1"/>
  <c r="B93" i="6" a="1"/>
  <c r="H75" i="6" a="1"/>
  <c r="H79" i="6" a="1"/>
  <c r="E129" i="6" a="1"/>
  <c r="E133" i="6" a="1"/>
  <c r="B198" i="6" a="1"/>
  <c r="B138" i="6" a="1"/>
  <c r="H15" i="7" a="1"/>
  <c r="H65" i="6" a="1"/>
  <c r="B104" i="6" a="1"/>
  <c r="H35" i="6" a="1"/>
  <c r="B174" i="6" a="1"/>
  <c r="H96" i="6" a="1"/>
  <c r="B97" i="6" a="1"/>
  <c r="B215" i="6" a="1"/>
  <c r="C179" i="6" a="1"/>
  <c r="H90" i="6" a="1"/>
  <c r="B41" i="6" a="1"/>
  <c r="E73" i="6" a="1"/>
  <c r="E26" i="6" a="1"/>
  <c r="B191" i="6" a="1"/>
  <c r="B10" i="7" a="1"/>
  <c r="C241" i="6" a="1"/>
  <c r="C19" i="6" a="1"/>
  <c r="E42" i="6" a="1"/>
  <c r="C140" i="6" a="1"/>
  <c r="C138" i="6" a="1"/>
  <c r="H47" i="6" a="1"/>
  <c r="E56" i="6" a="1"/>
  <c r="B193" i="6" a="1"/>
  <c r="E234" i="6" a="1"/>
  <c r="B221" i="6" a="1"/>
  <c r="C180" i="6" a="1"/>
  <c r="E204" i="6" a="1"/>
  <c r="B31" i="6" a="1"/>
  <c r="C123" i="6" a="1"/>
  <c r="H46" i="6" a="1"/>
  <c r="H81" i="6" a="1"/>
  <c r="C24" i="6" a="1"/>
  <c r="E176" i="6" a="1"/>
  <c r="B49" i="6" a="1"/>
  <c r="B131" i="6" a="1"/>
  <c r="E118" i="6" a="1"/>
  <c r="C98" i="6" a="1"/>
  <c r="H13" i="6" a="1"/>
  <c r="E157" i="6" a="1"/>
  <c r="H77" i="6" a="1"/>
  <c r="B100" i="6" a="1"/>
  <c r="F14" i="7" a="1"/>
  <c r="E144" i="6" a="1"/>
  <c r="B118" i="6" a="1"/>
  <c r="C109" i="6" a="1"/>
  <c r="E148" i="6" a="1"/>
  <c r="C57" i="6" a="1"/>
  <c r="E71" i="6" a="1"/>
  <c r="E68" i="6" a="1"/>
  <c r="B112" i="6" a="1"/>
  <c r="B34" i="6" a="1"/>
  <c r="C58" i="6" a="1"/>
  <c r="C233" i="6" a="1"/>
  <c r="B39" i="6" a="1"/>
  <c r="I10" i="7" a="1"/>
  <c r="C64" i="6" a="1"/>
  <c r="E182" i="6" a="1"/>
  <c r="E55" i="6" a="1"/>
  <c r="C104" i="6" a="1"/>
  <c r="C173" i="6" a="1"/>
  <c r="E181" i="6" a="1"/>
  <c r="E158" i="6" a="1"/>
  <c r="H126" i="6" a="1"/>
  <c r="B65" i="6" a="1"/>
  <c r="H36" i="6" a="1"/>
  <c r="E200" i="6" a="1"/>
  <c r="C162" i="6" a="1"/>
  <c r="B61" i="6" a="1"/>
  <c r="H13" i="7" a="1"/>
  <c r="H33" i="6" a="1"/>
  <c r="C214" i="6" a="1"/>
  <c r="C68" i="6" a="1"/>
  <c r="B236" i="6" a="1"/>
  <c r="C130" i="6" a="1"/>
  <c r="B85" i="6" a="1"/>
  <c r="C87" i="6" a="1"/>
  <c r="E57" i="6" a="1"/>
  <c r="C217" i="6" a="1"/>
  <c r="B190" i="6" a="1"/>
  <c r="E52" i="6" a="1"/>
  <c r="H54" i="6" a="1"/>
  <c r="E76" i="6" a="1"/>
  <c r="B11" i="7" a="1"/>
  <c r="C88" i="6" a="1"/>
  <c r="E209" i="6" a="1"/>
  <c r="B98" i="6" a="1"/>
  <c r="B204" i="6" a="1"/>
  <c r="C205" i="6" a="1"/>
  <c r="C66" i="6" a="1"/>
  <c r="H10" i="6" a="1"/>
  <c r="E106" i="6" a="1"/>
  <c r="B79" i="6" a="1"/>
  <c r="E232" i="6" a="1"/>
  <c r="B224" i="6" a="1"/>
  <c r="B185" i="6" a="1"/>
  <c r="H206" i="6" a="1"/>
  <c r="H208" i="6" a="1"/>
  <c r="H220" i="6" a="1"/>
  <c r="H166" i="6" a="1"/>
  <c r="H231" i="6" a="1"/>
  <c r="H198" i="6" a="1"/>
  <c r="H190" i="6" a="1"/>
  <c r="H205" i="6" a="1"/>
  <c r="H134" i="6" a="1"/>
  <c r="H192" i="6" a="1"/>
  <c r="H197" i="6" a="1"/>
  <c r="H212" i="6" a="1"/>
  <c r="H237" i="6" a="1"/>
  <c r="H196" i="6" a="1"/>
  <c r="H229" i="6" a="1"/>
  <c r="B244" i="6" a="1"/>
  <c r="H104" i="6" a="1"/>
  <c r="E20" i="6" a="1"/>
  <c r="C160" i="6" a="1"/>
  <c r="C47" i="6" a="1"/>
  <c r="C149" i="6" a="1"/>
  <c r="H20" i="6" a="1"/>
  <c r="C56" i="6" a="1"/>
  <c r="B213" i="6" a="1"/>
  <c r="B158" i="6" a="1"/>
  <c r="E241" i="6" a="1"/>
  <c r="E215" i="6" a="1"/>
  <c r="C183" i="6" a="1"/>
  <c r="E53" i="6" a="1"/>
  <c r="B126" i="6" a="1"/>
  <c r="H105" i="6" a="1"/>
  <c r="B128" i="6" a="1"/>
  <c r="H25" i="6" a="1"/>
  <c r="E62" i="6" a="1"/>
  <c r="B73" i="6" a="1"/>
  <c r="C42" i="6" a="1"/>
  <c r="B212" i="6" a="1"/>
  <c r="C25" i="6" a="1"/>
  <c r="E141" i="6" a="1"/>
  <c r="B63" i="6" a="1"/>
  <c r="H78" i="6" a="1"/>
  <c r="B173" i="6" a="1"/>
  <c r="E172" i="6" a="1"/>
  <c r="B247" i="6" a="1"/>
  <c r="C194" i="6" a="1"/>
  <c r="C228" i="6" a="1"/>
  <c r="E23" i="6" a="1"/>
  <c r="C35" i="6" a="1"/>
  <c r="C129" i="6" a="1"/>
  <c r="D15" i="7" a="1"/>
  <c r="E75" i="6" a="1"/>
  <c r="E80" i="6" a="1"/>
  <c r="C131" i="6" a="1"/>
  <c r="B38" i="6" a="1"/>
  <c r="B186" i="6" a="1"/>
  <c r="C117" i="6" a="1"/>
  <c r="C177" i="6" a="1"/>
  <c r="H42" i="6" a="1"/>
  <c r="E162" i="6" a="1"/>
  <c r="B113" i="6" a="1"/>
  <c r="C32" i="6" a="1"/>
  <c r="F11" i="7" a="1"/>
  <c r="H124" i="6" a="1"/>
  <c r="C20" i="6" a="1"/>
  <c r="E145" i="6" a="1"/>
  <c r="E37" i="6" a="1"/>
  <c r="E59" i="6" a="1"/>
  <c r="E72" i="6" a="1"/>
  <c r="B35" i="6" a="1"/>
  <c r="C201" i="6" a="1"/>
  <c r="E40" i="6" a="1"/>
  <c r="E245" i="6" a="1"/>
  <c r="E177" i="6" a="1"/>
  <c r="E233" i="6" a="1"/>
  <c r="E165" i="6" a="1"/>
  <c r="E137" i="6" a="1"/>
  <c r="C116" i="6" a="1"/>
  <c r="E47" i="6" a="1"/>
  <c r="B50" i="6" a="1"/>
  <c r="C67" i="6" a="1"/>
  <c r="H64" i="6" a="1"/>
  <c r="B105" i="6" a="1"/>
  <c r="E135" i="6" a="1"/>
  <c r="H108" i="6" a="1"/>
  <c r="B151" i="6" a="1"/>
  <c r="B162" i="6" a="1"/>
  <c r="B218" i="6" a="1"/>
  <c r="B216" i="6" a="1"/>
  <c r="C128" i="6" a="1"/>
  <c r="E90" i="6" a="1"/>
  <c r="E140" i="6" a="1"/>
  <c r="C127" i="6" a="1"/>
  <c r="B56" i="6" a="1"/>
  <c r="B203" i="6" a="1"/>
  <c r="C102" i="6" a="1"/>
  <c r="E117" i="6" a="1"/>
  <c r="C99" i="6" a="1"/>
  <c r="H203" i="6" a="1"/>
  <c r="H224" i="6" a="1"/>
  <c r="H133" i="6" a="1"/>
  <c r="H242" i="6" a="1"/>
  <c r="H142" i="6" a="1"/>
  <c r="H230" i="6" a="1"/>
  <c r="H248" i="6" a="1"/>
  <c r="H195" i="6" a="1"/>
  <c r="H214" i="6" a="1"/>
  <c r="H130" i="6" a="1"/>
  <c r="H189" i="6" a="1"/>
  <c r="H204" i="6" a="1"/>
  <c r="H152" i="6" a="1"/>
  <c r="H236" i="6" a="1"/>
  <c r="H219" i="6" a="1"/>
  <c r="H202" i="6" a="1"/>
  <c r="H218" i="6" a="1"/>
  <c r="H232" i="6" a="1"/>
  <c r="H161" i="6" a="1"/>
  <c r="H184" i="6" a="1"/>
  <c r="H201" i="6" a="1"/>
  <c r="H182" i="6" a="1"/>
  <c r="H132" i="6" a="1"/>
  <c r="H162" i="6" a="1"/>
  <c r="H200" i="6" a="1"/>
  <c r="C16" i="7" a="1"/>
  <c r="E45" i="6" a="1"/>
  <c r="H89" i="6" a="1"/>
  <c r="B149" i="6" a="1"/>
  <c r="B119" i="6" a="1"/>
  <c r="B62" i="6" a="1"/>
  <c r="B83" i="6" a="1"/>
  <c r="C65" i="6" a="1"/>
  <c r="E101" i="6" a="1"/>
  <c r="C49" i="6" a="1"/>
  <c r="E33" i="6" a="1"/>
  <c r="E132" i="6" a="1"/>
  <c r="E217" i="6" a="1"/>
  <c r="E207" i="6" a="1"/>
  <c r="E244" i="6" a="1"/>
  <c r="B165" i="6" a="1"/>
  <c r="H31" i="6" a="1"/>
  <c r="H98" i="6" a="1"/>
  <c r="H102" i="6" a="1"/>
  <c r="B142" i="6" a="1"/>
  <c r="B225" i="6" a="1"/>
  <c r="H71" i="6" a="1"/>
  <c r="C198" i="6" a="1"/>
  <c r="B116" i="6" a="1"/>
  <c r="C37" i="6" a="1"/>
  <c r="H34" i="6" a="1"/>
  <c r="E79" i="6" a="1"/>
  <c r="B141" i="6" a="1"/>
  <c r="E155" i="6" a="1"/>
  <c r="B233" i="6" a="1"/>
  <c r="H14" i="7" a="1"/>
  <c r="B231" i="6" a="1"/>
  <c r="B172" i="6" a="1"/>
  <c r="B95" i="6" a="1"/>
  <c r="E44" i="6" a="1"/>
  <c r="E78" i="6" a="1"/>
  <c r="E113" i="6" a="1"/>
  <c r="C105" i="6" a="1"/>
  <c r="B197" i="6" a="1"/>
  <c r="B210" i="6" a="1"/>
  <c r="C36" i="6" a="1"/>
  <c r="H57" i="6" a="1"/>
  <c r="H10" i="7" a="1"/>
  <c r="B238" i="6" a="1"/>
  <c r="E213" i="6" a="1"/>
  <c r="H40" i="6" a="1"/>
  <c r="C52" i="6" a="1"/>
  <c r="E89" i="6" a="1"/>
  <c r="B188" i="6" a="1"/>
  <c r="B114" i="6" a="1"/>
  <c r="B171" i="6" a="1"/>
  <c r="E126" i="6" a="1"/>
  <c r="B107" i="6" a="1"/>
  <c r="E183" i="6" a="1"/>
  <c r="C12" i="7" a="1"/>
  <c r="B245" i="6" a="1"/>
  <c r="C92" i="6" a="1"/>
  <c r="E32" i="6" a="1"/>
  <c r="B150" i="6" a="1"/>
  <c r="C13" i="6" a="1"/>
  <c r="B243" i="6" a="1"/>
  <c r="C186" i="6" a="1"/>
  <c r="C242" i="6" a="1"/>
  <c r="H127" i="6" a="1"/>
  <c r="E198" i="6" a="1"/>
  <c r="C94" i="6" a="1"/>
  <c r="E138" i="6" a="1"/>
  <c r="H41" i="6" a="1"/>
  <c r="C83" i="6" a="1"/>
  <c r="C202" i="6" a="1"/>
  <c r="C133" i="6" a="1"/>
  <c r="C17" i="6" a="1"/>
  <c r="E189" i="6" a="1"/>
  <c r="E237" i="6" a="1"/>
  <c r="E83" i="6" a="1"/>
  <c r="B169" i="6" a="1"/>
  <c r="C213" i="6" a="1"/>
  <c r="C101" i="6" a="1"/>
  <c r="H139" i="6" a="1"/>
  <c r="H191" i="6" a="1"/>
  <c r="H180" i="6" a="1"/>
  <c r="H225" i="6" a="1"/>
  <c r="H226" i="6" a="1"/>
  <c r="H234" i="6" a="1"/>
  <c r="H244" i="6" a="1"/>
  <c r="H150" i="6" a="1"/>
  <c r="H136" i="6" a="1"/>
  <c r="H221" i="6" a="1"/>
  <c r="H167" i="6" a="1"/>
  <c r="D10" i="7" a="1"/>
  <c r="C246" i="6" a="1"/>
  <c r="B154" i="6" a="1"/>
  <c r="B209" i="6" a="1"/>
  <c r="C190" i="6" a="1"/>
  <c r="C188" i="6" a="1"/>
  <c r="B181" i="6" a="1"/>
  <c r="H103" i="6" a="1"/>
  <c r="C41" i="6" a="1"/>
  <c r="C231" i="6" a="1"/>
  <c r="C215" i="6" a="1"/>
  <c r="E139" i="6" a="1"/>
  <c r="B33" i="6" a="1"/>
  <c r="E81" i="6" a="1"/>
  <c r="B145" i="6" a="1"/>
  <c r="B249" i="6" a="1"/>
  <c r="B177" i="6" a="1"/>
  <c r="C136" i="6" a="1"/>
  <c r="B59" i="6" a="1"/>
  <c r="C48" i="6" a="1"/>
  <c r="E109" i="6" a="1"/>
  <c r="E22" i="6" a="1"/>
  <c r="E246" i="6" a="1"/>
  <c r="C75" i="6" a="1"/>
  <c r="C95" i="6" a="1"/>
  <c r="E46" i="6" a="1"/>
  <c r="B146" i="6" a="1"/>
  <c r="H56" i="6" a="1"/>
  <c r="C113" i="6" a="1"/>
  <c r="C21" i="6" a="1"/>
  <c r="H12" i="7" a="1"/>
  <c r="B75" i="6" a="1"/>
  <c r="E122" i="6" a="1"/>
  <c r="H66" i="6" a="1"/>
  <c r="C152" i="6" a="1"/>
  <c r="B234" i="6" a="1"/>
  <c r="E192" i="6" a="1"/>
  <c r="B246" i="6" a="1"/>
  <c r="E108" i="6" a="1"/>
  <c r="C69" i="6" a="1"/>
  <c r="C11" i="6" a="1"/>
  <c r="C220" i="6" a="1"/>
  <c r="B14" i="7" a="1"/>
  <c r="E43" i="6" a="1"/>
  <c r="B111" i="6" a="1"/>
  <c r="C184" i="6" a="1"/>
  <c r="C225" i="6" a="1"/>
  <c r="C103" i="6" a="1"/>
  <c r="C28" i="6" a="1"/>
  <c r="C169" i="6" a="1"/>
  <c r="H52" i="6" a="1"/>
  <c r="C44" i="6" a="1"/>
  <c r="B110" i="6" a="1"/>
  <c r="E160" i="6" a="1"/>
  <c r="F15" i="7" a="1"/>
  <c r="C13" i="7" a="1"/>
  <c r="H88" i="6" a="1"/>
  <c r="E107" i="6" a="1"/>
  <c r="E149" i="6" a="1"/>
  <c r="C181" i="6" a="1"/>
  <c r="B122" i="6" a="1"/>
  <c r="B69" i="6" a="1"/>
  <c r="E86" i="6" a="1"/>
  <c r="H111" i="6" a="1"/>
  <c r="H55" i="6" a="1"/>
  <c r="C170" i="6" a="1"/>
  <c r="H99" i="6" a="1"/>
  <c r="E175" i="6" a="1"/>
  <c r="E226" i="6" a="1"/>
  <c r="C122" i="6" a="1"/>
  <c r="E98" i="6" a="1"/>
  <c r="C175" i="6" a="1"/>
  <c r="B127" i="6" a="1"/>
  <c r="C235" i="6" a="1"/>
  <c r="E221" i="6" a="1"/>
  <c r="B201" i="6" a="1"/>
  <c r="C81" i="6" a="1"/>
  <c r="E16" i="7" a="1"/>
  <c r="H243" i="6" a="1"/>
  <c r="H183" i="6" a="1"/>
  <c r="H194" i="6" a="1"/>
  <c r="H177" i="6" a="1"/>
  <c r="H159" i="6" a="1"/>
  <c r="H146" i="6" a="1"/>
  <c r="H154" i="6" a="1"/>
  <c r="H215" i="6" a="1"/>
  <c r="H216" i="6" a="1"/>
  <c r="H172" i="6" a="1"/>
  <c r="H145" i="6" a="1"/>
  <c r="E10" i="7" a="1"/>
  <c r="C79" i="6" a="1"/>
  <c r="E121" i="6" a="1"/>
  <c r="E120" i="6" a="1"/>
  <c r="B66" i="6" a="1"/>
  <c r="C100" i="6" a="1"/>
  <c r="E10" i="6" a="1"/>
  <c r="B167" i="6" a="1"/>
  <c r="B208" i="6" a="1"/>
  <c r="C164" i="6" a="1"/>
  <c r="E18" i="6" a="1"/>
  <c r="H49" i="6" a="1"/>
  <c r="E67" i="6" a="1"/>
  <c r="B68" i="6" a="1"/>
  <c r="C96" i="6" a="1"/>
  <c r="C85" i="6" a="1"/>
  <c r="E13" i="6" a="1"/>
  <c r="B92" i="6" a="1"/>
  <c r="E159" i="6" a="1"/>
  <c r="E178" i="6" a="1"/>
  <c r="E205" i="6" a="1"/>
  <c r="B170" i="6" a="1"/>
  <c r="E134" i="6" a="1"/>
  <c r="E146" i="6" a="1"/>
  <c r="B232" i="6" a="1"/>
  <c r="C192" i="6" a="1"/>
  <c r="C62" i="6" a="1"/>
  <c r="C73" i="6" a="1"/>
  <c r="B90" i="6" a="1"/>
  <c r="E41" i="6" a="1"/>
  <c r="F16" i="7" a="1"/>
  <c r="C74" i="6" a="1"/>
  <c r="E130" i="6" a="1"/>
  <c r="H119" i="6" a="1"/>
  <c r="H74" i="6" a="1"/>
  <c r="B160" i="6" a="1"/>
  <c r="H50" i="6" a="1"/>
  <c r="E65" i="6" a="1"/>
  <c r="C230" i="6" a="1"/>
  <c r="C144" i="6" a="1"/>
  <c r="C16" i="6" a="1"/>
  <c r="E164" i="6" a="1"/>
  <c r="F10" i="7" a="1"/>
  <c r="E143" i="6" a="1"/>
  <c r="E170" i="6" a="1"/>
  <c r="C70" i="6" a="1"/>
  <c r="B99" i="6" a="1"/>
  <c r="H43" i="6" a="1"/>
  <c r="B29" i="6" a="1"/>
  <c r="B120" i="6" a="1"/>
  <c r="B214" i="6" a="1"/>
  <c r="B137" i="6" a="1"/>
  <c r="H76" i="6" a="1"/>
  <c r="B163" i="6" a="1"/>
  <c r="C14" i="7" a="1"/>
  <c r="D11" i="7" a="1"/>
  <c r="E248" i="6" a="1"/>
  <c r="E104" i="6" a="1"/>
  <c r="E24" i="6" a="1"/>
  <c r="E131" i="6" a="1"/>
  <c r="B101" i="6" a="1"/>
  <c r="E123" i="6" a="1"/>
  <c r="B82" i="6" a="1"/>
  <c r="E224" i="6" a="1"/>
  <c r="B239" i="6" a="1"/>
  <c r="E69" i="6" a="1"/>
  <c r="B103" i="6" a="1"/>
  <c r="H109" i="6" a="1"/>
  <c r="E35" i="6" a="1"/>
  <c r="H84" i="6" a="1"/>
  <c r="C63" i="6" a="1"/>
  <c r="H70" i="6" a="1"/>
  <c r="C108" i="6" a="1"/>
  <c r="C248" i="6" a="1"/>
  <c r="B77" i="6" a="1"/>
  <c r="E91" i="6" a="1"/>
  <c r="H116" i="6" a="1"/>
  <c r="H210" i="6" a="1"/>
  <c r="H149" i="6" a="1"/>
  <c r="H153" i="6" a="1"/>
  <c r="H181" i="6" a="1"/>
  <c r="H209" i="6" a="1"/>
  <c r="H171" i="6" a="1"/>
  <c r="H185" i="6" a="1"/>
  <c r="H211" i="6" a="1"/>
  <c r="H168" i="6" a="1"/>
  <c r="H155" i="6" a="1"/>
  <c r="H246" i="6" a="1"/>
  <c r="E119" i="6" a="1"/>
  <c r="E214" i="6" a="1"/>
  <c r="H82" i="6" a="1"/>
  <c r="C139" i="6" a="1"/>
  <c r="E167" i="6" a="1"/>
  <c r="C33" i="6" a="1"/>
  <c r="H48" i="6" a="1"/>
  <c r="C244" i="6" a="1"/>
  <c r="E19" i="6" a="1"/>
  <c r="H11" i="7" a="1"/>
  <c r="C221" i="6" a="1"/>
  <c r="E199" i="6" a="1"/>
  <c r="H94" i="6" a="1"/>
  <c r="B199" i="6" a="1"/>
  <c r="E210" i="6" a="1"/>
  <c r="C163" i="6" a="1"/>
  <c r="B108" i="6" a="1"/>
  <c r="E29" i="6" a="1"/>
  <c r="C134" i="6" a="1"/>
  <c r="E13" i="7" a="1"/>
  <c r="C27" i="6" a="1"/>
  <c r="H62" i="6" a="1"/>
  <c r="B94" i="6" a="1"/>
  <c r="C76" i="6" a="1"/>
  <c r="H120" i="6" a="1"/>
  <c r="C71" i="6" a="1"/>
  <c r="B140" i="6" a="1"/>
  <c r="E156" i="6" a="1"/>
  <c r="B161" i="6" a="1"/>
  <c r="C153" i="6" a="1"/>
  <c r="B16" i="7" a="1"/>
  <c r="C222" i="6" a="1"/>
  <c r="B91" i="6" a="1"/>
  <c r="C151" i="6" a="1"/>
  <c r="B207" i="6" a="1"/>
  <c r="C61" i="6" a="1"/>
  <c r="C107" i="6" a="1"/>
  <c r="C226" i="6" a="1"/>
  <c r="B67" i="6" a="1"/>
  <c r="E38" i="6" a="1"/>
  <c r="H60" i="6" a="1"/>
  <c r="H30" i="6" a="1"/>
  <c r="C10" i="7" a="1"/>
  <c r="E96" i="6" a="1"/>
  <c r="C120" i="6" a="1"/>
  <c r="B241" i="6" a="1"/>
  <c r="E218" i="6" a="1"/>
  <c r="B52" i="6" a="1"/>
  <c r="B189" i="6" a="1"/>
  <c r="E235" i="6" a="1"/>
  <c r="C115" i="6" a="1"/>
  <c r="H114" i="6" a="1"/>
  <c r="C114" i="6" a="1"/>
  <c r="E87" i="6" a="1"/>
  <c r="D14" i="7" a="1"/>
  <c r="E142" i="6" a="1"/>
  <c r="E49" i="6" a="1"/>
  <c r="C126" i="6" a="1"/>
  <c r="E54" i="6" a="1"/>
  <c r="E228" i="6" a="1"/>
  <c r="B240" i="6" a="1"/>
  <c r="B132" i="6" a="1"/>
  <c r="C150" i="6" a="1"/>
  <c r="E34" i="6" a="1"/>
  <c r="E25" i="6" a="1"/>
  <c r="C172" i="6" a="1"/>
  <c r="C121" i="6" a="1"/>
  <c r="B178" i="6" a="1"/>
  <c r="C245" i="6" a="1"/>
  <c r="C135" i="6" a="1"/>
  <c r="C238" i="6" a="1"/>
  <c r="E179" i="6" a="1"/>
  <c r="E208" i="6" a="1"/>
  <c r="E127" i="6" a="1"/>
  <c r="B155" i="6" a="1"/>
  <c r="H123" i="6" a="1"/>
  <c r="C195" i="6" a="1"/>
  <c r="H239" i="6" a="1"/>
  <c r="H144" i="6" a="1"/>
  <c r="H173" i="6" a="1"/>
  <c r="H148" i="6" a="1"/>
  <c r="H199" i="6" a="1"/>
  <c r="H213" i="6" a="1"/>
  <c r="H163" i="6" a="1"/>
  <c r="H188" i="6" a="1"/>
  <c r="H165" i="6" a="1"/>
  <c r="H151" i="6" a="1"/>
  <c r="H158" i="6" a="1"/>
  <c r="H247" i="6" a="1"/>
  <c r="C234" i="6" a="1"/>
  <c r="H23" i="6" a="1"/>
  <c r="E154" i="6" a="1"/>
  <c r="E229" i="6" a="1"/>
  <c r="C243" i="6" a="1"/>
  <c r="C143" i="6" a="1"/>
  <c r="B70" i="6" a="1"/>
  <c r="B135" i="6" a="1"/>
  <c r="B76" i="6" a="1"/>
  <c r="E14" i="7" a="1"/>
  <c r="E84" i="6" a="1"/>
  <c r="B42" i="6" a="1"/>
  <c r="H128" i="6" a="1"/>
  <c r="C31" i="6" a="1"/>
  <c r="C191" i="6" a="1"/>
  <c r="C125" i="6" a="1"/>
  <c r="E174" i="6" a="1"/>
  <c r="C223" i="6" a="1"/>
  <c r="H97" i="6" a="1"/>
  <c r="E11" i="7" a="1"/>
  <c r="B227" i="6" a="1"/>
  <c r="B228" i="6" a="1"/>
  <c r="C227" i="6" a="1"/>
  <c r="E238" i="6" a="1"/>
  <c r="B143" i="6" a="1"/>
  <c r="C207" i="6" a="1"/>
  <c r="E186" i="6" a="1"/>
  <c r="H19" i="6" a="1"/>
  <c r="C157" i="6" a="1"/>
  <c r="H113" i="6" a="1"/>
  <c r="B64" i="6" a="1"/>
  <c r="H45" i="6" a="1"/>
  <c r="C146" i="6" a="1"/>
  <c r="C193" i="6" a="1"/>
  <c r="E240" i="6" a="1"/>
  <c r="B136" i="6" a="1"/>
  <c r="B133" i="6" a="1"/>
  <c r="H38" i="6" a="1"/>
  <c r="C187" i="6" a="1"/>
  <c r="E105" i="6" a="1"/>
  <c r="E243" i="6" a="1"/>
  <c r="E169" i="6" a="1"/>
  <c r="E231" i="6" a="1"/>
  <c r="E51" i="6" a="1"/>
  <c r="E151" i="6" a="1"/>
  <c r="B74" i="6" a="1"/>
  <c r="C14" i="6" a="1"/>
  <c r="E197" i="6" a="1"/>
  <c r="C232" i="6" a="1"/>
  <c r="C167" i="6" a="1"/>
  <c r="E150" i="6" a="1"/>
  <c r="B184" i="6" a="1"/>
  <c r="B220" i="6" a="1"/>
  <c r="H80" i="6" a="1"/>
  <c r="B222" i="6" a="1"/>
  <c r="C46" i="6" a="1"/>
  <c r="E163" i="6" a="1"/>
  <c r="H32" i="6" a="1"/>
  <c r="E222" i="6" a="1"/>
  <c r="C77" i="6" a="1"/>
  <c r="C84" i="6" a="1"/>
  <c r="H44" i="6" a="1"/>
  <c r="H91" i="6" a="1"/>
  <c r="B217" i="6" a="1"/>
  <c r="C145" i="6" a="1"/>
  <c r="E112" i="6" a="1"/>
  <c r="C106" i="6" a="1"/>
  <c r="C30" i="6" a="1"/>
  <c r="B166" i="6" a="1"/>
  <c r="B54" i="6" a="1"/>
  <c r="H24" i="6" a="1"/>
  <c r="E77" i="6" a="1"/>
  <c r="H63" i="6" a="1"/>
  <c r="E220" i="6" a="1"/>
  <c r="E125" i="6" a="1"/>
  <c r="C166" i="6" a="1"/>
  <c r="B168" i="6" a="1"/>
  <c r="H169" i="6" a="1"/>
  <c r="H235" i="6" a="1"/>
  <c r="H178" i="6" a="1"/>
  <c r="H240" i="6" a="1"/>
  <c r="H174" i="6" a="1"/>
  <c r="H179" i="6" a="1"/>
  <c r="H186" i="6" a="1"/>
  <c r="H164" i="6" a="1"/>
  <c r="E184" i="6" a="1"/>
  <c r="H106" i="6" a="1"/>
  <c r="H129" i="6" a="1"/>
  <c r="E103" i="6" a="1"/>
  <c r="C112" i="6" a="1"/>
  <c r="B124" i="6" a="1"/>
  <c r="C206" i="6" a="1"/>
  <c r="B226" i="6" a="1"/>
  <c r="C29" i="6" a="1"/>
  <c r="H26" i="6" a="1"/>
  <c r="H72" i="6" a="1"/>
  <c r="E242" i="6" a="1"/>
  <c r="E61" i="6" a="1"/>
  <c r="C158" i="6" a="1"/>
  <c r="B196" i="6" a="1"/>
  <c r="H53" i="6" a="1"/>
  <c r="E14" i="6" a="1"/>
  <c r="C118" i="6" a="1"/>
  <c r="E230" i="6" a="1"/>
  <c r="B12" i="7" a="1"/>
  <c r="B45" i="6" a="1"/>
  <c r="E227" i="6" a="1"/>
  <c r="C22" i="6" a="1"/>
  <c r="C72" i="6" a="1"/>
  <c r="E247" i="6" a="1"/>
  <c r="H61" i="6" a="1"/>
  <c r="B44" i="6" a="1"/>
  <c r="B129" i="6" a="1"/>
  <c r="E97" i="6" a="1"/>
  <c r="H110" i="6" a="1"/>
  <c r="E50" i="6" a="1"/>
  <c r="E21" i="6" a="1"/>
  <c r="H83" i="6" a="1"/>
  <c r="H21" i="6" a="1"/>
  <c r="B43" i="6" a="1"/>
  <c r="C59" i="6" a="1"/>
  <c r="B106" i="6" a="1"/>
  <c r="C249" i="6" a="1"/>
  <c r="B57" i="6" a="1"/>
  <c r="B195" i="6" a="1"/>
  <c r="B121" i="6" a="1"/>
  <c r="E223" i="6" a="1"/>
  <c r="E12" i="7" a="1"/>
  <c r="C212" i="6" a="1"/>
  <c r="H117" i="6" a="1"/>
  <c r="B58" i="6" a="1"/>
  <c r="E128" i="6" a="1"/>
  <c r="C93" i="6" a="1"/>
  <c r="H86" i="6" a="1"/>
  <c r="E239" i="6" a="1"/>
  <c r="C10" i="6" a="1"/>
  <c r="C203" i="6" a="1"/>
  <c r="B139" i="6" a="1"/>
  <c r="C185" i="6" a="1"/>
  <c r="E114" i="6" a="1"/>
  <c r="D16" i="7" a="1"/>
  <c r="B248" i="6" a="1"/>
  <c r="E17" i="6" a="1"/>
  <c r="B60" i="6" a="1"/>
  <c r="B147" i="6" a="1"/>
  <c r="H118" i="6" a="1"/>
  <c r="H115" i="6" a="1"/>
  <c r="C137" i="6" a="1"/>
  <c r="E111" i="6" a="1"/>
  <c r="H121" i="6" a="1"/>
  <c r="B125" i="6" a="1"/>
  <c r="B157" i="6" a="1"/>
  <c r="E180" i="6" a="1"/>
  <c r="C50" i="6" a="1"/>
  <c r="E110" i="6" a="1"/>
  <c r="H11" i="6" a="1"/>
  <c r="E201" i="6" a="1"/>
  <c r="H15" i="6" a="1"/>
  <c r="E185" i="6" a="1"/>
  <c r="H95" i="6" a="1"/>
  <c r="C53" i="6" a="1"/>
  <c r="C174" i="6" a="1"/>
  <c r="H143" i="6" a="1"/>
  <c r="H238" i="6" a="1"/>
  <c r="H227" i="6" a="1"/>
  <c r="H157" i="6" a="1"/>
  <c r="H147" i="6" a="1"/>
  <c r="H223" i="6" a="1"/>
  <c r="H39" i="6" a="1"/>
  <c r="E188" i="6" a="1"/>
  <c r="B176" i="6" a="1"/>
  <c r="C141" i="6" a="1"/>
  <c r="B242" i="6" a="1"/>
  <c r="C224" i="6" a="1"/>
  <c r="C18" i="6" a="1"/>
  <c r="H12" i="6" a="1"/>
  <c r="C132" i="6" a="1"/>
  <c r="C168" i="6" a="1"/>
  <c r="E219" i="6" a="1"/>
  <c r="C182" i="6" a="1"/>
  <c r="C171" i="6" a="1"/>
  <c r="C89" i="6" a="1"/>
  <c r="C240" i="6" a="1"/>
  <c r="C229" i="6" a="1"/>
  <c r="B96" i="6" a="1"/>
  <c r="H122" i="6" a="1"/>
  <c r="B47" i="6" a="1"/>
  <c r="B37" i="6" a="1"/>
  <c r="H68" i="6" a="1"/>
  <c r="E66" i="6" a="1"/>
  <c r="C12" i="6" a="1"/>
  <c r="E206" i="6" a="1"/>
  <c r="C110" i="6" a="1"/>
  <c r="C51" i="6" a="1"/>
  <c r="E191" i="6" a="1"/>
  <c r="E15" i="6" a="1"/>
  <c r="H16" i="6" a="1"/>
  <c r="C197" i="6" a="1"/>
  <c r="B230" i="6" a="1"/>
  <c r="C237" i="6" a="1"/>
  <c r="B78" i="6" a="1"/>
  <c r="E99" i="6" a="1"/>
  <c r="C239" i="6" a="1"/>
  <c r="C147" i="6" a="1"/>
  <c r="E11" i="6" a="1"/>
  <c r="H37" i="6" a="1"/>
  <c r="H93" i="6" a="1"/>
  <c r="E27" i="6" a="1"/>
  <c r="B84" i="6" a="1"/>
  <c r="F12" i="7" a="1"/>
  <c r="C90" i="6" a="1"/>
  <c r="C211" i="6" a="1"/>
  <c r="H112" i="6" a="1"/>
  <c r="C54" i="6" a="1"/>
  <c r="B153" i="6" a="1"/>
  <c r="B164" i="6" a="1"/>
  <c r="E225" i="6" a="1"/>
  <c r="H85" i="6" a="1"/>
  <c r="B159" i="6" a="1"/>
  <c r="E124" i="6" a="1"/>
  <c r="B48" i="6" a="1"/>
  <c r="E16" i="6" a="1"/>
  <c r="C82" i="6" a="1"/>
  <c r="B86" i="6" a="1"/>
  <c r="C23" i="6" a="1"/>
  <c r="E187" i="6" a="1"/>
  <c r="C199" i="6" a="1"/>
  <c r="H107" i="6" a="1"/>
  <c r="C200" i="6" a="1"/>
  <c r="B183" i="6" a="1"/>
  <c r="B71" i="6" a="1"/>
  <c r="E249" i="6" a="1"/>
  <c r="E153" i="6" a="1"/>
  <c r="C161" i="6" a="1"/>
  <c r="E36" i="6" a="1"/>
  <c r="C15" i="6" a="1"/>
  <c r="B223" i="6" a="1"/>
  <c r="C55" i="6" a="1"/>
  <c r="E196" i="6" a="1"/>
  <c r="E28" i="6" a="1"/>
  <c r="B180" i="6" a="1"/>
  <c r="H100" i="6" a="1"/>
  <c r="E195" i="6" a="1"/>
  <c r="H17" i="6" a="1"/>
  <c r="B55" i="6" a="1"/>
  <c r="H135" i="6" a="1"/>
  <c r="H249" i="6" a="1"/>
  <c r="H175" i="6" a="1"/>
  <c r="H176" i="6" a="1"/>
  <c r="H245" i="6" a="1"/>
  <c r="H193" i="6" a="1"/>
  <c r="H217" i="6" a="1"/>
  <c r="H137" i="6" a="1"/>
  <c r="H222" i="6" a="1"/>
  <c r="H140" i="6" a="1"/>
  <c r="H156" i="6" a="1"/>
  <c r="H131" i="6" a="1"/>
  <c r="H228" i="6" a="1"/>
  <c r="H138" i="6" a="1"/>
  <c r="H187" i="6" a="1"/>
  <c r="H160" i="6" a="1"/>
  <c r="H233" i="6" a="1"/>
  <c r="H241" i="6" a="1"/>
  <c r="H141" i="6" a="1"/>
  <c r="H170" i="6" a="1"/>
  <c r="H207" i="6" a="1"/>
  <c r="D13" i="7" a="1"/>
  <c r="C11" i="7" a="1"/>
  <c r="H207" i="6" l="1"/>
  <c r="H170" i="6"/>
  <c r="H141" i="6"/>
  <c r="H241" i="6"/>
  <c r="H233" i="6"/>
  <c r="H160" i="6"/>
  <c r="H187" i="6"/>
  <c r="H138" i="6"/>
  <c r="H228" i="6"/>
  <c r="H131" i="6"/>
  <c r="H156" i="6"/>
  <c r="H140" i="6"/>
  <c r="H222" i="6"/>
  <c r="H137" i="6"/>
  <c r="H217" i="6"/>
  <c r="H193" i="6"/>
  <c r="H245" i="6"/>
  <c r="H176" i="6"/>
  <c r="H175" i="6"/>
  <c r="H249" i="6"/>
  <c r="H135" i="6"/>
  <c r="B55" i="6"/>
  <c r="B55" i="10" s="1" a="1"/>
  <c r="H17" i="6"/>
  <c r="E195" i="6"/>
  <c r="H100" i="6"/>
  <c r="B180" i="6"/>
  <c r="E28" i="6"/>
  <c r="E196" i="6"/>
  <c r="C55" i="6"/>
  <c r="C55" i="10" s="1" a="1"/>
  <c r="B223" i="6"/>
  <c r="B223" i="10" s="1" a="1"/>
  <c r="C15" i="6"/>
  <c r="C15" i="10" s="1" a="1"/>
  <c r="E36" i="6"/>
  <c r="C161" i="6"/>
  <c r="C161" i="10" s="1" a="1"/>
  <c r="E153" i="6"/>
  <c r="E249" i="6"/>
  <c r="B71" i="6"/>
  <c r="B71" i="10" s="1" a="1"/>
  <c r="B183" i="6"/>
  <c r="B183" i="10" s="1" a="1"/>
  <c r="C200" i="6"/>
  <c r="C200" i="10" s="1" a="1"/>
  <c r="H107" i="6"/>
  <c r="C199" i="6"/>
  <c r="C199" i="10" s="1" a="1"/>
  <c r="E187" i="6"/>
  <c r="C23" i="6"/>
  <c r="C23" i="10" s="1" a="1"/>
  <c r="B86" i="6"/>
  <c r="B86" i="10" s="1" a="1"/>
  <c r="C82" i="6"/>
  <c r="C82" i="10" s="1" a="1"/>
  <c r="E16" i="6"/>
  <c r="B48" i="6"/>
  <c r="B48" i="10" s="1" a="1"/>
  <c r="E124" i="6"/>
  <c r="B159" i="6"/>
  <c r="B159" i="10" s="1" a="1"/>
  <c r="H85" i="6"/>
  <c r="E225" i="6"/>
  <c r="B164" i="6"/>
  <c r="B164" i="10" s="1" a="1"/>
  <c r="B153" i="6"/>
  <c r="B153" i="10" s="1" a="1"/>
  <c r="C54" i="6"/>
  <c r="C54" i="10" s="1" a="1"/>
  <c r="H112" i="6"/>
  <c r="C211" i="6"/>
  <c r="C211" i="10" s="1" a="1"/>
  <c r="C90" i="6"/>
  <c r="C90" i="10" s="1" a="1"/>
  <c r="F12" i="7"/>
  <c r="B84" i="6"/>
  <c r="B84" i="10" s="1" a="1"/>
  <c r="E27" i="6"/>
  <c r="H93" i="6"/>
  <c r="H37" i="6"/>
  <c r="E11" i="6"/>
  <c r="C147" i="6"/>
  <c r="C147" i="10" s="1" a="1"/>
  <c r="C239" i="6"/>
  <c r="C239" i="10" s="1" a="1"/>
  <c r="E99" i="6"/>
  <c r="B78" i="6"/>
  <c r="C237" i="6"/>
  <c r="C237" i="10" s="1" a="1"/>
  <c r="B230" i="6"/>
  <c r="B230" i="10" s="1" a="1"/>
  <c r="C197" i="6"/>
  <c r="C197" i="10" s="1" a="1"/>
  <c r="H16" i="6"/>
  <c r="E15" i="6"/>
  <c r="E191" i="6"/>
  <c r="C51" i="6"/>
  <c r="C51" i="10" s="1" a="1"/>
  <c r="C110" i="6"/>
  <c r="C110" i="10" s="1" a="1"/>
  <c r="E206" i="6"/>
  <c r="C12" i="6"/>
  <c r="C12" i="10" s="1" a="1"/>
  <c r="E66" i="6"/>
  <c r="H68" i="6"/>
  <c r="B37" i="6"/>
  <c r="B37" i="10" s="1" a="1"/>
  <c r="B47" i="6"/>
  <c r="B47" i="10" s="1" a="1"/>
  <c r="H122" i="6"/>
  <c r="B96" i="6"/>
  <c r="B96" i="10" s="1" a="1"/>
  <c r="C229" i="6"/>
  <c r="C229" i="10" s="1" a="1"/>
  <c r="C240" i="6"/>
  <c r="C240" i="10" s="1" a="1"/>
  <c r="C89" i="6"/>
  <c r="C89" i="10" s="1" a="1"/>
  <c r="C171" i="6"/>
  <c r="C171" i="10" s="1" a="1"/>
  <c r="C182" i="6"/>
  <c r="C182" i="10" s="1" a="1"/>
  <c r="E219" i="6"/>
  <c r="C168" i="6"/>
  <c r="C168" i="10" s="1" a="1"/>
  <c r="C132" i="6"/>
  <c r="C132" i="10" s="1" a="1"/>
  <c r="H12" i="6"/>
  <c r="C18" i="6"/>
  <c r="C18" i="10" s="1" a="1"/>
  <c r="C224" i="6"/>
  <c r="C224" i="10" s="1" a="1"/>
  <c r="B242" i="6"/>
  <c r="C141" i="6"/>
  <c r="C141" i="10" s="1" a="1"/>
  <c r="B176" i="6"/>
  <c r="B176" i="10" s="1" a="1"/>
  <c r="E188" i="6"/>
  <c r="H39" i="6"/>
  <c r="H223" i="6"/>
  <c r="H147" i="6"/>
  <c r="H157" i="6"/>
  <c r="H227" i="6"/>
  <c r="H238" i="6"/>
  <c r="H143" i="6"/>
  <c r="C174" i="6"/>
  <c r="C174" i="10" s="1" a="1"/>
  <c r="C53" i="6"/>
  <c r="H95" i="6"/>
  <c r="E185" i="6"/>
  <c r="H15" i="6"/>
  <c r="E201" i="6"/>
  <c r="H11" i="6"/>
  <c r="E110" i="6"/>
  <c r="C50" i="6"/>
  <c r="C50" i="10" s="1" a="1"/>
  <c r="E180" i="6"/>
  <c r="B157" i="6"/>
  <c r="B157" i="10" s="1" a="1"/>
  <c r="B125" i="6"/>
  <c r="B125" i="10" s="1" a="1"/>
  <c r="H121" i="6"/>
  <c r="E111" i="6"/>
  <c r="C137" i="6"/>
  <c r="C137" i="10" s="1" a="1"/>
  <c r="H115" i="6"/>
  <c r="H118" i="6"/>
  <c r="B147" i="6"/>
  <c r="B147" i="10" s="1" a="1"/>
  <c r="B60" i="6"/>
  <c r="B60" i="10" s="1" a="1"/>
  <c r="E17" i="6"/>
  <c r="B248" i="6"/>
  <c r="B248" i="10" s="1" a="1"/>
  <c r="D16" i="7"/>
  <c r="E114" i="6"/>
  <c r="C185" i="6"/>
  <c r="C185" i="10" s="1" a="1"/>
  <c r="B139" i="6"/>
  <c r="B139" i="10" s="1" a="1"/>
  <c r="C203" i="6"/>
  <c r="C203" i="10" s="1" a="1"/>
  <c r="C10" i="6"/>
  <c r="C10" i="10" s="1" a="1"/>
  <c r="E239" i="6"/>
  <c r="H86" i="6"/>
  <c r="C93" i="6"/>
  <c r="C93" i="10" s="1" a="1"/>
  <c r="E128" i="6"/>
  <c r="B58" i="6"/>
  <c r="B58" i="10" s="1" a="1"/>
  <c r="H117" i="6"/>
  <c r="C212" i="6"/>
  <c r="E12" i="7"/>
  <c r="E223" i="6"/>
  <c r="B121" i="6"/>
  <c r="B121" i="10" s="1" a="1"/>
  <c r="B195" i="6"/>
  <c r="B195" i="10" s="1" a="1"/>
  <c r="B57" i="6"/>
  <c r="B57" i="10" s="1" a="1"/>
  <c r="C249" i="6"/>
  <c r="C249" i="10" s="1" a="1"/>
  <c r="B106" i="6"/>
  <c r="B106" i="10" s="1" a="1"/>
  <c r="C59" i="6"/>
  <c r="C59" i="10" s="1" a="1"/>
  <c r="B43" i="6"/>
  <c r="B43" i="10" s="1" a="1"/>
  <c r="H21" i="6"/>
  <c r="H83" i="6"/>
  <c r="E21" i="6"/>
  <c r="E50" i="6"/>
  <c r="H110" i="6"/>
  <c r="E97" i="6"/>
  <c r="B129" i="6"/>
  <c r="B129" i="10" s="1" a="1"/>
  <c r="B44" i="6"/>
  <c r="B44" i="10" s="1" a="1"/>
  <c r="H61" i="6"/>
  <c r="E247" i="6"/>
  <c r="C72" i="6"/>
  <c r="C72" i="10" s="1" a="1"/>
  <c r="C22" i="6"/>
  <c r="C22" i="10" s="1" a="1"/>
  <c r="E227" i="6"/>
  <c r="B45" i="6"/>
  <c r="B45" i="10" s="1" a="1"/>
  <c r="B12" i="7"/>
  <c r="E230" i="6"/>
  <c r="C118" i="6"/>
  <c r="C118" i="10" s="1" a="1"/>
  <c r="E14" i="6"/>
  <c r="H53" i="6"/>
  <c r="B196" i="6"/>
  <c r="B196" i="10" s="1" a="1"/>
  <c r="C158" i="6"/>
  <c r="C158" i="10" s="1" a="1"/>
  <c r="E61" i="6"/>
  <c r="E242" i="6"/>
  <c r="H72" i="6"/>
  <c r="H26" i="6"/>
  <c r="C29" i="6"/>
  <c r="C29" i="10" s="1" a="1"/>
  <c r="B226" i="6"/>
  <c r="B226" i="10" s="1" a="1"/>
  <c r="C206" i="6"/>
  <c r="C206" i="10" s="1" a="1"/>
  <c r="B124" i="6"/>
  <c r="B124" i="10" s="1" a="1"/>
  <c r="C112" i="6"/>
  <c r="C112" i="10" s="1" a="1"/>
  <c r="E103" i="6"/>
  <c r="H129" i="6"/>
  <c r="H106" i="6"/>
  <c r="E184" i="6"/>
  <c r="H164" i="6"/>
  <c r="H186" i="6"/>
  <c r="H179" i="6"/>
  <c r="H174" i="6"/>
  <c r="H240" i="6"/>
  <c r="H178" i="6"/>
  <c r="H235" i="6"/>
  <c r="H169" i="6"/>
  <c r="B168" i="6"/>
  <c r="B168" i="10" s="1" a="1"/>
  <c r="C166" i="6"/>
  <c r="C166" i="10" s="1" a="1"/>
  <c r="E125" i="6"/>
  <c r="E220" i="6"/>
  <c r="H63" i="6"/>
  <c r="E77" i="6"/>
  <c r="H24" i="6"/>
  <c r="B54" i="6"/>
  <c r="B54" i="10" s="1" a="1"/>
  <c r="B166" i="6"/>
  <c r="B166" i="10" s="1" a="1"/>
  <c r="C30" i="6"/>
  <c r="C30" i="10" s="1" a="1"/>
  <c r="C106" i="6"/>
  <c r="C106" i="10" s="1" a="1"/>
  <c r="E112" i="6"/>
  <c r="C145" i="6"/>
  <c r="C145" i="10" s="1" a="1"/>
  <c r="B217" i="6"/>
  <c r="B217" i="10" s="1" a="1"/>
  <c r="H91" i="6"/>
  <c r="H44" i="6"/>
  <c r="C84" i="6"/>
  <c r="C84" i="10" s="1" a="1"/>
  <c r="C77" i="6"/>
  <c r="C77" i="10" s="1" a="1"/>
  <c r="E222" i="6"/>
  <c r="H32" i="6"/>
  <c r="E163" i="6"/>
  <c r="C46" i="6"/>
  <c r="C46" i="10" s="1" a="1"/>
  <c r="B222" i="6"/>
  <c r="B222" i="10" s="1" a="1"/>
  <c r="H80" i="6"/>
  <c r="B220" i="6"/>
  <c r="B220" i="10" s="1" a="1"/>
  <c r="B184" i="6"/>
  <c r="B184" i="10" s="1" a="1"/>
  <c r="E150" i="6"/>
  <c r="C167" i="6"/>
  <c r="C167" i="10" s="1" a="1"/>
  <c r="C232" i="6"/>
  <c r="E197" i="6"/>
  <c r="C14" i="6"/>
  <c r="C14" i="10" s="1" a="1"/>
  <c r="B74" i="6"/>
  <c r="B74" i="10" s="1" a="1"/>
  <c r="E151" i="6"/>
  <c r="E51" i="6"/>
  <c r="E231" i="6"/>
  <c r="E169" i="6"/>
  <c r="E243" i="6"/>
  <c r="E105" i="6"/>
  <c r="C187" i="6"/>
  <c r="C187" i="10" s="1" a="1"/>
  <c r="H38" i="6"/>
  <c r="B133" i="6"/>
  <c r="B136" i="6"/>
  <c r="B136" i="10" s="1" a="1"/>
  <c r="E240" i="6"/>
  <c r="C193" i="6"/>
  <c r="C193" i="10" s="1" a="1"/>
  <c r="C146" i="6"/>
  <c r="C146" i="10" s="1" a="1"/>
  <c r="H45" i="6"/>
  <c r="B64" i="6"/>
  <c r="B64" i="10" s="1" a="1"/>
  <c r="H113" i="6"/>
  <c r="C157" i="6"/>
  <c r="C157" i="10" s="1" a="1"/>
  <c r="H19" i="6"/>
  <c r="E186" i="6"/>
  <c r="C207" i="6"/>
  <c r="B143" i="6"/>
  <c r="B143" i="10" s="1" a="1"/>
  <c r="E238" i="6"/>
  <c r="C227" i="6"/>
  <c r="C227" i="10" s="1" a="1"/>
  <c r="B228" i="6"/>
  <c r="B228" i="10" s="1" a="1"/>
  <c r="B227" i="6"/>
  <c r="B227" i="10" s="1" a="1"/>
  <c r="E11" i="7"/>
  <c r="H97" i="6"/>
  <c r="C223" i="6"/>
  <c r="C223" i="10" s="1" a="1"/>
  <c r="E174" i="6"/>
  <c r="C125" i="6"/>
  <c r="C125" i="10" s="1" a="1"/>
  <c r="C191" i="6"/>
  <c r="C191" i="10" s="1" a="1"/>
  <c r="C31" i="6"/>
  <c r="C31" i="10" s="1" a="1"/>
  <c r="H128" i="6"/>
  <c r="B42" i="6"/>
  <c r="B42" i="10" s="1" a="1"/>
  <c r="E84" i="6"/>
  <c r="E14" i="7"/>
  <c r="B76" i="6"/>
  <c r="B76" i="10" s="1" a="1"/>
  <c r="B135" i="6"/>
  <c r="B135" i="10" s="1" a="1"/>
  <c r="B70" i="6"/>
  <c r="B70" i="10" s="1" a="1"/>
  <c r="C143" i="6"/>
  <c r="C143" i="10" s="1" a="1"/>
  <c r="C243" i="6"/>
  <c r="C243" i="10" s="1" a="1"/>
  <c r="E229" i="6"/>
  <c r="E154" i="6"/>
  <c r="H23" i="6"/>
  <c r="C234" i="6"/>
  <c r="H247" i="6"/>
  <c r="H158" i="6"/>
  <c r="H151" i="6"/>
  <c r="H165" i="6"/>
  <c r="H188" i="6"/>
  <c r="H163" i="6"/>
  <c r="H213" i="6"/>
  <c r="H199" i="6"/>
  <c r="H148" i="6"/>
  <c r="H173" i="6"/>
  <c r="H144" i="6"/>
  <c r="H239" i="6"/>
  <c r="C195" i="6"/>
  <c r="C195" i="10" s="1" a="1"/>
  <c r="H123" i="6"/>
  <c r="B155" i="6"/>
  <c r="B155" i="10" s="1" a="1"/>
  <c r="E127" i="6"/>
  <c r="E208" i="6"/>
  <c r="E179" i="6"/>
  <c r="C238" i="6"/>
  <c r="C238" i="10" s="1" a="1"/>
  <c r="C135" i="6"/>
  <c r="C135" i="10" s="1" a="1"/>
  <c r="C245" i="6"/>
  <c r="C245" i="10" s="1" a="1"/>
  <c r="B178" i="6"/>
  <c r="B178" i="10" s="1" a="1"/>
  <c r="C121" i="6"/>
  <c r="C121" i="10" s="1" a="1"/>
  <c r="C172" i="6"/>
  <c r="C172" i="10" s="1" a="1"/>
  <c r="E25" i="6"/>
  <c r="E34" i="6"/>
  <c r="C150" i="6"/>
  <c r="C150" i="10" s="1" a="1"/>
  <c r="B132" i="6"/>
  <c r="B132" i="10" s="1" a="1"/>
  <c r="B240" i="6"/>
  <c r="B240" i="10" s="1" a="1"/>
  <c r="E228" i="6"/>
  <c r="E54" i="6"/>
  <c r="C126" i="6"/>
  <c r="C126" i="10" s="1" a="1"/>
  <c r="E49" i="6"/>
  <c r="E142" i="6"/>
  <c r="D14" i="7"/>
  <c r="E87" i="6"/>
  <c r="C114" i="6"/>
  <c r="C114" i="10" s="1" a="1"/>
  <c r="H114" i="6"/>
  <c r="C115" i="6"/>
  <c r="C115" i="10" s="1" a="1"/>
  <c r="E235" i="6"/>
  <c r="B189" i="6"/>
  <c r="B189" i="10" s="1" a="1"/>
  <c r="B52" i="6"/>
  <c r="B52" i="10" s="1" a="1"/>
  <c r="E218" i="6"/>
  <c r="B241" i="6"/>
  <c r="B241" i="10" s="1" a="1"/>
  <c r="C120" i="6"/>
  <c r="C120" i="10" s="1" a="1"/>
  <c r="E96" i="6"/>
  <c r="C10" i="7"/>
  <c r="H30" i="6"/>
  <c r="H60" i="6"/>
  <c r="E38" i="6"/>
  <c r="B67" i="6"/>
  <c r="B67" i="10" s="1" a="1"/>
  <c r="C226" i="6"/>
  <c r="C226" i="10" s="1" a="1"/>
  <c r="C107" i="6"/>
  <c r="C107" i="10" s="1" a="1"/>
  <c r="C61" i="6"/>
  <c r="C61" i="10" s="1" a="1"/>
  <c r="B207" i="6"/>
  <c r="B207" i="10" s="1" a="1"/>
  <c r="C151" i="6"/>
  <c r="C151" i="10" s="1" a="1"/>
  <c r="B91" i="6"/>
  <c r="B91" i="10" s="1" a="1"/>
  <c r="C222" i="6"/>
  <c r="C222" i="10" s="1" a="1"/>
  <c r="B16" i="7"/>
  <c r="C153" i="6"/>
  <c r="C153" i="10" s="1" a="1"/>
  <c r="B161" i="6"/>
  <c r="B161" i="10" s="1" a="1"/>
  <c r="E156" i="6"/>
  <c r="B140" i="6"/>
  <c r="B140" i="10" s="1" a="1"/>
  <c r="C71" i="6"/>
  <c r="C71" i="10" s="1" a="1"/>
  <c r="H120" i="6"/>
  <c r="C76" i="6"/>
  <c r="C76" i="10" s="1" a="1"/>
  <c r="B94" i="6"/>
  <c r="B94" i="10" s="1" a="1"/>
  <c r="H62" i="6"/>
  <c r="C27" i="6"/>
  <c r="C27" i="10" s="1" a="1"/>
  <c r="E13" i="7"/>
  <c r="C134" i="6"/>
  <c r="C134" i="10" s="1" a="1"/>
  <c r="E29" i="6"/>
  <c r="B108" i="6"/>
  <c r="B108" i="10" s="1" a="1"/>
  <c r="C163" i="6"/>
  <c r="C163" i="10" s="1" a="1"/>
  <c r="E210" i="6"/>
  <c r="B199" i="6"/>
  <c r="B199" i="10" s="1" a="1"/>
  <c r="H94" i="6"/>
  <c r="E199" i="6"/>
  <c r="C221" i="6"/>
  <c r="C221" i="10" s="1" a="1"/>
  <c r="H11" i="7"/>
  <c r="E19" i="6"/>
  <c r="C244" i="6"/>
  <c r="C244" i="10" s="1" a="1"/>
  <c r="H48" i="6"/>
  <c r="C33" i="6"/>
  <c r="C33" i="10" s="1" a="1"/>
  <c r="E167" i="6"/>
  <c r="C139" i="6"/>
  <c r="C139" i="10" s="1" a="1"/>
  <c r="H82" i="6"/>
  <c r="E214" i="6"/>
  <c r="E119" i="6"/>
  <c r="H246" i="6"/>
  <c r="H155" i="6"/>
  <c r="H168" i="6"/>
  <c r="H211" i="6"/>
  <c r="H185" i="6"/>
  <c r="H171" i="6"/>
  <c r="H209" i="6"/>
  <c r="H181" i="6"/>
  <c r="H153" i="6"/>
  <c r="H149" i="6"/>
  <c r="H210" i="6"/>
  <c r="H116" i="6"/>
  <c r="E91" i="6"/>
  <c r="B77" i="6"/>
  <c r="B77" i="10" s="1" a="1"/>
  <c r="C248" i="6"/>
  <c r="C108" i="6"/>
  <c r="C108" i="10" s="1" a="1"/>
  <c r="H70" i="6"/>
  <c r="C63" i="6"/>
  <c r="C63" i="10" s="1" a="1"/>
  <c r="H84" i="6"/>
  <c r="E35" i="6"/>
  <c r="H109" i="6"/>
  <c r="B103" i="6"/>
  <c r="B103" i="10" s="1" a="1"/>
  <c r="E69" i="6"/>
  <c r="B239" i="6"/>
  <c r="B239" i="10" s="1" a="1"/>
  <c r="E224" i="6"/>
  <c r="B82" i="6"/>
  <c r="B82" i="10" s="1" a="1"/>
  <c r="E123" i="6"/>
  <c r="B101" i="6"/>
  <c r="B101" i="10" s="1" a="1"/>
  <c r="E131" i="6"/>
  <c r="E24" i="6"/>
  <c r="E104" i="6"/>
  <c r="E248" i="6"/>
  <c r="D11" i="7"/>
  <c r="C14" i="7"/>
  <c r="B163" i="6"/>
  <c r="B163" i="10" s="1" a="1"/>
  <c r="H76" i="6"/>
  <c r="B137" i="6"/>
  <c r="B137" i="10" s="1" a="1"/>
  <c r="B214" i="6"/>
  <c r="B214" i="10" s="1" a="1"/>
  <c r="B120" i="6"/>
  <c r="B120" i="10" s="1" a="1"/>
  <c r="B29" i="6"/>
  <c r="B29" i="10" s="1" a="1"/>
  <c r="H43" i="6"/>
  <c r="B99" i="6"/>
  <c r="C70" i="6"/>
  <c r="C70" i="10" s="1" a="1"/>
  <c r="E170" i="6"/>
  <c r="E143" i="6"/>
  <c r="F10" i="7"/>
  <c r="E164" i="6"/>
  <c r="C16" i="6"/>
  <c r="C16" i="10" s="1" a="1"/>
  <c r="C144" i="6"/>
  <c r="C144" i="10" s="1" a="1"/>
  <c r="C230" i="6"/>
  <c r="C230" i="10" s="1" a="1"/>
  <c r="E65" i="6"/>
  <c r="H50" i="6"/>
  <c r="B160" i="6"/>
  <c r="B160" i="10" s="1" a="1"/>
  <c r="H74" i="6"/>
  <c r="H119" i="6"/>
  <c r="E130" i="6"/>
  <c r="C74" i="6"/>
  <c r="C74" i="10" s="1" a="1"/>
  <c r="F16" i="7"/>
  <c r="E41" i="6"/>
  <c r="B90" i="6"/>
  <c r="B90" i="10" s="1" a="1"/>
  <c r="C73" i="6"/>
  <c r="C73" i="10" s="1" a="1"/>
  <c r="C62" i="6"/>
  <c r="C62" i="10" s="1" a="1"/>
  <c r="C192" i="6"/>
  <c r="C192" i="10" s="1" a="1"/>
  <c r="B232" i="6"/>
  <c r="B232" i="10" s="1" a="1"/>
  <c r="E146" i="6"/>
  <c r="E134" i="6"/>
  <c r="B170" i="6"/>
  <c r="B170" i="10" s="1" a="1"/>
  <c r="E205" i="6"/>
  <c r="E178" i="6"/>
  <c r="E159" i="6"/>
  <c r="B92" i="6"/>
  <c r="B92" i="10" s="1" a="1"/>
  <c r="E13" i="6"/>
  <c r="C85" i="6"/>
  <c r="C85" i="10" s="1" a="1"/>
  <c r="C96" i="6"/>
  <c r="C96" i="10" s="1" a="1"/>
  <c r="B68" i="6"/>
  <c r="B68" i="10" s="1" a="1"/>
  <c r="E67" i="6"/>
  <c r="H49" i="6"/>
  <c r="E18" i="6"/>
  <c r="C164" i="6"/>
  <c r="C164" i="10" s="1" a="1"/>
  <c r="B208" i="6"/>
  <c r="B208" i="10" s="1" a="1"/>
  <c r="B167" i="6"/>
  <c r="B167" i="10" s="1" a="1"/>
  <c r="E10" i="6"/>
  <c r="C100" i="6"/>
  <c r="C100" i="10" s="1" a="1"/>
  <c r="B66" i="6"/>
  <c r="B66" i="10" s="1" a="1"/>
  <c r="E120" i="6"/>
  <c r="E121" i="6"/>
  <c r="C79" i="6"/>
  <c r="C79" i="10" s="1" a="1"/>
  <c r="E10" i="7"/>
  <c r="H145" i="6"/>
  <c r="H172" i="6"/>
  <c r="H216" i="6"/>
  <c r="H215" i="6"/>
  <c r="H154" i="6"/>
  <c r="H146" i="6"/>
  <c r="H159" i="6"/>
  <c r="H177" i="6"/>
  <c r="H194" i="6"/>
  <c r="H183" i="6"/>
  <c r="H243" i="6"/>
  <c r="E16" i="7"/>
  <c r="C81" i="6"/>
  <c r="C81" i="10" s="1" a="1"/>
  <c r="B201" i="6"/>
  <c r="B201" i="10" s="1" a="1"/>
  <c r="E221" i="6"/>
  <c r="C235" i="6"/>
  <c r="C235" i="10" s="1" a="1"/>
  <c r="B127" i="6"/>
  <c r="B127" i="10" s="1" a="1"/>
  <c r="C175" i="6"/>
  <c r="C175" i="10" s="1" a="1"/>
  <c r="E98" i="6"/>
  <c r="C122" i="6"/>
  <c r="C122" i="10" s="1" a="1"/>
  <c r="E226" i="6"/>
  <c r="E175" i="6"/>
  <c r="H99" i="6"/>
  <c r="C170" i="6"/>
  <c r="C170" i="10" s="1" a="1"/>
  <c r="H55" i="6"/>
  <c r="H111" i="6"/>
  <c r="E86" i="6"/>
  <c r="B69" i="6"/>
  <c r="B69" i="10" s="1" a="1"/>
  <c r="B122" i="6"/>
  <c r="B122" i="10" s="1" a="1"/>
  <c r="C181" i="6"/>
  <c r="C181" i="10" s="1" a="1"/>
  <c r="E149" i="6"/>
  <c r="E107" i="6"/>
  <c r="H88" i="6"/>
  <c r="C13" i="7"/>
  <c r="F15" i="7"/>
  <c r="E160" i="6"/>
  <c r="B110" i="6"/>
  <c r="B110" i="10" s="1" a="1"/>
  <c r="C44" i="6"/>
  <c r="C44" i="10" s="1" a="1"/>
  <c r="H52" i="6"/>
  <c r="C169" i="6"/>
  <c r="C169" i="10" s="1" a="1"/>
  <c r="C28" i="6"/>
  <c r="C28" i="10" s="1" a="1"/>
  <c r="C103" i="6"/>
  <c r="C103" i="10" s="1" a="1"/>
  <c r="C225" i="6"/>
  <c r="C225" i="10" s="1" a="1"/>
  <c r="C184" i="6"/>
  <c r="C184" i="10" s="1" a="1"/>
  <c r="B111" i="6"/>
  <c r="B111" i="10" s="1" a="1"/>
  <c r="E43" i="6"/>
  <c r="B14" i="7"/>
  <c r="C220" i="6"/>
  <c r="C220" i="10" s="1" a="1"/>
  <c r="C11" i="6"/>
  <c r="C11" i="10" s="1" a="1"/>
  <c r="C69" i="6"/>
  <c r="C69" i="10" s="1" a="1"/>
  <c r="E108" i="6"/>
  <c r="B246" i="6"/>
  <c r="B246" i="10" s="1" a="1"/>
  <c r="E192" i="6"/>
  <c r="B234" i="6"/>
  <c r="B234" i="10" s="1" a="1"/>
  <c r="C152" i="6"/>
  <c r="C152" i="10" s="1" a="1"/>
  <c r="H66" i="6"/>
  <c r="E122" i="6"/>
  <c r="B75" i="6"/>
  <c r="B75" i="10" s="1" a="1"/>
  <c r="H12" i="7"/>
  <c r="C21" i="6"/>
  <c r="C21" i="10" s="1" a="1"/>
  <c r="C113" i="6"/>
  <c r="C113" i="10" s="1" a="1"/>
  <c r="H56" i="6"/>
  <c r="B146" i="6"/>
  <c r="B146" i="10" s="1" a="1"/>
  <c r="E46" i="6"/>
  <c r="C95" i="6"/>
  <c r="C95" i="10" s="1" a="1"/>
  <c r="C75" i="6"/>
  <c r="C75" i="10" s="1" a="1"/>
  <c r="E246" i="6"/>
  <c r="E22" i="6"/>
  <c r="E109" i="6"/>
  <c r="C48" i="6"/>
  <c r="C48" i="10" s="1" a="1"/>
  <c r="B59" i="6"/>
  <c r="B59" i="10" s="1" a="1"/>
  <c r="C136" i="6"/>
  <c r="C136" i="10" s="1" a="1"/>
  <c r="B177" i="6"/>
  <c r="B177" i="10" s="1" a="1"/>
  <c r="B249" i="6"/>
  <c r="B249" i="10" s="1" a="1"/>
  <c r="B145" i="6"/>
  <c r="B145" i="10" s="1" a="1"/>
  <c r="E81" i="6"/>
  <c r="B33" i="6"/>
  <c r="B33" i="10" s="1" a="1"/>
  <c r="E139" i="6"/>
  <c r="C215" i="6"/>
  <c r="C215" i="10" s="1" a="1"/>
  <c r="C231" i="6"/>
  <c r="C231" i="10" s="1" a="1"/>
  <c r="C41" i="6"/>
  <c r="C41" i="10" s="1" a="1"/>
  <c r="H103" i="6"/>
  <c r="B181" i="6"/>
  <c r="B181" i="10" s="1" a="1"/>
  <c r="C188" i="6"/>
  <c r="C188" i="10" s="1" a="1"/>
  <c r="C190" i="6"/>
  <c r="C190" i="10" s="1" a="1"/>
  <c r="B209" i="6"/>
  <c r="B209" i="10" s="1" a="1"/>
  <c r="B154" i="6"/>
  <c r="B154" i="10" s="1" a="1"/>
  <c r="C246" i="6"/>
  <c r="C246" i="10" s="1" a="1"/>
  <c r="D10" i="7"/>
  <c r="H167" i="6"/>
  <c r="H221" i="6"/>
  <c r="H136" i="6"/>
  <c r="H150" i="6"/>
  <c r="H244" i="6"/>
  <c r="H234" i="6"/>
  <c r="H226" i="6"/>
  <c r="H225" i="6"/>
  <c r="H180" i="6"/>
  <c r="H191" i="6"/>
  <c r="H139" i="6"/>
  <c r="C101" i="6"/>
  <c r="C101" i="10" s="1" a="1"/>
  <c r="C213" i="6"/>
  <c r="C213" i="10" s="1" a="1"/>
  <c r="B169" i="6"/>
  <c r="B169" i="10" s="1" a="1"/>
  <c r="E83" i="6"/>
  <c r="E237" i="6"/>
  <c r="E189" i="6"/>
  <c r="C17" i="6"/>
  <c r="C17" i="10" s="1" a="1"/>
  <c r="C133" i="6"/>
  <c r="C133" i="10" s="1" a="1"/>
  <c r="C202" i="6"/>
  <c r="C202" i="10" s="1" a="1"/>
  <c r="C83" i="6"/>
  <c r="C83" i="10" s="1" a="1"/>
  <c r="H41" i="6"/>
  <c r="E138" i="6"/>
  <c r="C94" i="6"/>
  <c r="C94" i="10" s="1" a="1"/>
  <c r="E198" i="6"/>
  <c r="H127" i="6"/>
  <c r="C242" i="6"/>
  <c r="C242" i="10" s="1" a="1"/>
  <c r="C186" i="6"/>
  <c r="C186" i="10" s="1" a="1"/>
  <c r="B243" i="6"/>
  <c r="B243" i="10" s="1" a="1"/>
  <c r="C13" i="6"/>
  <c r="C13" i="10" s="1" a="1"/>
  <c r="B150" i="6"/>
  <c r="B150" i="10" s="1" a="1"/>
  <c r="E32" i="6"/>
  <c r="C92" i="6"/>
  <c r="C92" i="10" s="1" a="1"/>
  <c r="B245" i="6"/>
  <c r="B245" i="10" s="1" a="1"/>
  <c r="C12" i="7"/>
  <c r="E183" i="6"/>
  <c r="B107" i="6"/>
  <c r="B107" i="10" s="1" a="1"/>
  <c r="E126" i="6"/>
  <c r="B171" i="6"/>
  <c r="B171" i="10" s="1" a="1"/>
  <c r="B114" i="6"/>
  <c r="B114" i="10" s="1" a="1"/>
  <c r="B188" i="6"/>
  <c r="B188" i="10" s="1" a="1"/>
  <c r="E89" i="6"/>
  <c r="C52" i="6"/>
  <c r="C52" i="10" s="1" a="1"/>
  <c r="H40" i="6"/>
  <c r="E213" i="6"/>
  <c r="B238" i="6"/>
  <c r="B238" i="10" s="1" a="1"/>
  <c r="H10" i="7"/>
  <c r="H57" i="6"/>
  <c r="C36" i="6"/>
  <c r="C36" i="10" s="1" a="1"/>
  <c r="B210" i="6"/>
  <c r="B210" i="10" s="1" a="1"/>
  <c r="B197" i="6"/>
  <c r="B197" i="10" s="1" a="1"/>
  <c r="C105" i="6"/>
  <c r="C105" i="10" s="1" a="1"/>
  <c r="E113" i="6"/>
  <c r="E78" i="6"/>
  <c r="E44" i="6"/>
  <c r="B95" i="6"/>
  <c r="B95" i="10" s="1" a="1"/>
  <c r="B172" i="6"/>
  <c r="B172" i="10" s="1" a="1"/>
  <c r="B231" i="6"/>
  <c r="B231" i="10" s="1" a="1"/>
  <c r="H14" i="7"/>
  <c r="B233" i="6"/>
  <c r="B233" i="10" s="1" a="1"/>
  <c r="E155" i="6"/>
  <c r="B141" i="6"/>
  <c r="B141" i="10" s="1" a="1"/>
  <c r="E79" i="6"/>
  <c r="H34" i="6"/>
  <c r="C37" i="6"/>
  <c r="C37" i="10" s="1" a="1"/>
  <c r="B116" i="6"/>
  <c r="B116" i="10" s="1" a="1"/>
  <c r="C198" i="6"/>
  <c r="C198" i="10" s="1" a="1"/>
  <c r="H71" i="6"/>
  <c r="B225" i="6"/>
  <c r="B225" i="10" s="1" a="1"/>
  <c r="B142" i="6"/>
  <c r="B142" i="10" s="1" a="1"/>
  <c r="H102" i="6"/>
  <c r="H98" i="6"/>
  <c r="H31" i="6"/>
  <c r="B165" i="6"/>
  <c r="B165" i="10" s="1" a="1"/>
  <c r="E244" i="6"/>
  <c r="E207" i="6"/>
  <c r="E217" i="6"/>
  <c r="E132" i="6"/>
  <c r="E33" i="6"/>
  <c r="C49" i="6"/>
  <c r="C49" i="10" s="1" a="1"/>
  <c r="E101" i="6"/>
  <c r="C65" i="6"/>
  <c r="C65" i="10" s="1" a="1"/>
  <c r="B83" i="6"/>
  <c r="B83" i="10" s="1" a="1"/>
  <c r="B62" i="6"/>
  <c r="B62" i="10" s="1" a="1"/>
  <c r="B119" i="6"/>
  <c r="B119" i="10" s="1" a="1"/>
  <c r="B149" i="6"/>
  <c r="B149" i="10" s="1" a="1"/>
  <c r="H89" i="6"/>
  <c r="E45" i="6"/>
  <c r="C16" i="7"/>
  <c r="H200" i="6"/>
  <c r="H162" i="6"/>
  <c r="H132" i="6"/>
  <c r="H182" i="6"/>
  <c r="H201" i="6"/>
  <c r="H184" i="6"/>
  <c r="H161" i="6"/>
  <c r="H232" i="6"/>
  <c r="H218" i="6"/>
  <c r="H202" i="6"/>
  <c r="H219" i="6"/>
  <c r="H236" i="6"/>
  <c r="H152" i="6"/>
  <c r="H204" i="6"/>
  <c r="H189" i="6"/>
  <c r="H130" i="6"/>
  <c r="H214" i="6"/>
  <c r="H195" i="6"/>
  <c r="H248" i="6"/>
  <c r="H230" i="6"/>
  <c r="H142" i="6"/>
  <c r="H242" i="6"/>
  <c r="H133" i="6"/>
  <c r="H224" i="6"/>
  <c r="H203" i="6"/>
  <c r="C99" i="6"/>
  <c r="C99" i="10" s="1" a="1"/>
  <c r="E117" i="6"/>
  <c r="C102" i="6"/>
  <c r="C102" i="10" s="1" a="1"/>
  <c r="B203" i="6"/>
  <c r="B203" i="10" s="1" a="1"/>
  <c r="B56" i="6"/>
  <c r="B56" i="10" s="1" a="1"/>
  <c r="C127" i="6"/>
  <c r="C127" i="10" s="1" a="1"/>
  <c r="E140" i="6"/>
  <c r="E90" i="6"/>
  <c r="C128" i="6"/>
  <c r="C128" i="10" s="1" a="1"/>
  <c r="B216" i="6"/>
  <c r="B216" i="10" s="1" a="1"/>
  <c r="B218" i="6"/>
  <c r="B218" i="10" s="1" a="1"/>
  <c r="B162" i="6"/>
  <c r="B162" i="10" s="1" a="1"/>
  <c r="B151" i="6"/>
  <c r="B151" i="10" s="1" a="1"/>
  <c r="H108" i="6"/>
  <c r="E135" i="6"/>
  <c r="B105" i="6"/>
  <c r="B105" i="10" s="1" a="1"/>
  <c r="H64" i="6"/>
  <c r="C67" i="6"/>
  <c r="C67" i="10" s="1" a="1"/>
  <c r="B50" i="6"/>
  <c r="B50" i="10" s="1" a="1"/>
  <c r="E47" i="6"/>
  <c r="C116" i="6"/>
  <c r="C116" i="10" s="1" a="1"/>
  <c r="E137" i="6"/>
  <c r="E165" i="6"/>
  <c r="E233" i="6"/>
  <c r="E177" i="6"/>
  <c r="E245" i="6"/>
  <c r="E40" i="6"/>
  <c r="C201" i="6"/>
  <c r="C201" i="10" s="1" a="1"/>
  <c r="B35" i="6"/>
  <c r="B35" i="10" s="1" a="1"/>
  <c r="E72" i="6"/>
  <c r="E59" i="6"/>
  <c r="E37" i="6"/>
  <c r="E145" i="6"/>
  <c r="C20" i="6"/>
  <c r="C20" i="10" s="1" a="1"/>
  <c r="H124" i="6"/>
  <c r="F11" i="7"/>
  <c r="C32" i="6"/>
  <c r="C32" i="10" s="1" a="1"/>
  <c r="B113" i="6"/>
  <c r="B113" i="10" s="1" a="1"/>
  <c r="E162" i="6"/>
  <c r="H42" i="6"/>
  <c r="C177" i="6"/>
  <c r="C177" i="10" s="1" a="1"/>
  <c r="C117" i="6"/>
  <c r="C117" i="10" s="1" a="1"/>
  <c r="B186" i="6"/>
  <c r="B186" i="10" s="1" a="1"/>
  <c r="B38" i="6"/>
  <c r="B38" i="10" s="1" a="1"/>
  <c r="C131" i="6"/>
  <c r="C131" i="10" s="1" a="1"/>
  <c r="E80" i="6"/>
  <c r="E75" i="6"/>
  <c r="D15" i="7"/>
  <c r="C129" i="6"/>
  <c r="C129" i="10" s="1" a="1"/>
  <c r="C35" i="6"/>
  <c r="C35" i="10" s="1" a="1"/>
  <c r="E23" i="6"/>
  <c r="C228" i="6"/>
  <c r="C228" i="10" s="1" a="1"/>
  <c r="C194" i="6"/>
  <c r="C194" i="10" s="1" a="1"/>
  <c r="B247" i="6"/>
  <c r="B247" i="10" s="1" a="1"/>
  <c r="E172" i="6"/>
  <c r="B173" i="6"/>
  <c r="B173" i="10" s="1" a="1"/>
  <c r="H78" i="6"/>
  <c r="B63" i="6"/>
  <c r="B63" i="10" s="1" a="1"/>
  <c r="E141" i="6"/>
  <c r="C25" i="6"/>
  <c r="C25" i="10" s="1" a="1"/>
  <c r="B212" i="6"/>
  <c r="B212" i="10" s="1" a="1"/>
  <c r="C42" i="6"/>
  <c r="C42" i="10" s="1" a="1"/>
  <c r="B73" i="6"/>
  <c r="B73" i="10" s="1" a="1"/>
  <c r="E62" i="6"/>
  <c r="H25" i="6"/>
  <c r="B128" i="6"/>
  <c r="B128" i="10" s="1" a="1"/>
  <c r="H105" i="6"/>
  <c r="B126" i="6"/>
  <c r="B126" i="10" s="1" a="1"/>
  <c r="E53" i="6"/>
  <c r="C183" i="6"/>
  <c r="C183" i="10" s="1" a="1"/>
  <c r="E215" i="6"/>
  <c r="E241" i="6"/>
  <c r="B158" i="6"/>
  <c r="B158" i="10" s="1" a="1"/>
  <c r="B213" i="6"/>
  <c r="B213" i="10" s="1" a="1"/>
  <c r="C56" i="6"/>
  <c r="C56" i="10" s="1" a="1"/>
  <c r="H20" i="6"/>
  <c r="C149" i="6"/>
  <c r="C149" i="10" s="1" a="1"/>
  <c r="C47" i="6"/>
  <c r="C47" i="10" s="1" a="1"/>
  <c r="C160" i="6"/>
  <c r="C160" i="10" s="1" a="1"/>
  <c r="E20" i="6"/>
  <c r="H104" i="6"/>
  <c r="B244" i="6"/>
  <c r="B244" i="10" s="1" a="1"/>
  <c r="H229" i="6"/>
  <c r="H196" i="6"/>
  <c r="H237" i="6"/>
  <c r="H212" i="6"/>
  <c r="H197" i="6"/>
  <c r="H192" i="6"/>
  <c r="H134" i="6"/>
  <c r="H205" i="6"/>
  <c r="H190" i="6"/>
  <c r="H198" i="6"/>
  <c r="H231" i="6"/>
  <c r="H166" i="6"/>
  <c r="H220" i="6"/>
  <c r="H208" i="6"/>
  <c r="H206" i="6"/>
  <c r="B185" i="6"/>
  <c r="B185" i="10" s="1" a="1"/>
  <c r="B224" i="6"/>
  <c r="B224" i="10" s="1" a="1"/>
  <c r="E232" i="6"/>
  <c r="B79" i="6"/>
  <c r="B79" i="10" s="1" a="1"/>
  <c r="E106" i="6"/>
  <c r="H10" i="6"/>
  <c r="C66" i="6"/>
  <c r="C66" i="10" s="1" a="1"/>
  <c r="C205" i="6"/>
  <c r="C205" i="10" s="1" a="1"/>
  <c r="B204" i="6"/>
  <c r="B204" i="10" s="1" a="1"/>
  <c r="B98" i="6"/>
  <c r="B98" i="10" s="1" a="1"/>
  <c r="E209" i="6"/>
  <c r="C88" i="6"/>
  <c r="C88" i="10" s="1" a="1"/>
  <c r="B11" i="7"/>
  <c r="E76" i="6"/>
  <c r="H54" i="6"/>
  <c r="E52" i="6"/>
  <c r="B190" i="6"/>
  <c r="B190" i="10" s="1" a="1"/>
  <c r="C217" i="6"/>
  <c r="E57" i="6"/>
  <c r="C87" i="6"/>
  <c r="C87" i="10" s="1" a="1"/>
  <c r="B85" i="6"/>
  <c r="B85" i="10" s="1" a="1"/>
  <c r="C130" i="6"/>
  <c r="C130" i="10" s="1" a="1"/>
  <c r="B236" i="6"/>
  <c r="B236" i="10" s="1" a="1"/>
  <c r="C68" i="6"/>
  <c r="C68" i="10" s="1" a="1"/>
  <c r="C214" i="6"/>
  <c r="C214" i="10" s="1" a="1"/>
  <c r="H33" i="6"/>
  <c r="H13" i="7"/>
  <c r="B61" i="6"/>
  <c r="B61" i="10" s="1" a="1"/>
  <c r="C162" i="6"/>
  <c r="C162" i="10" s="1" a="1"/>
  <c r="E200" i="6"/>
  <c r="H36" i="6"/>
  <c r="B65" i="6"/>
  <c r="B65" i="10" s="1" a="1"/>
  <c r="H126" i="6"/>
  <c r="E158" i="6"/>
  <c r="E181" i="6"/>
  <c r="C173" i="6"/>
  <c r="C173" i="10" s="1" a="1"/>
  <c r="C104" i="6"/>
  <c r="C104" i="10" s="1" a="1"/>
  <c r="E55" i="6"/>
  <c r="E182" i="6"/>
  <c r="C64" i="6"/>
  <c r="C64" i="10" s="1" a="1"/>
  <c r="I10" i="7"/>
  <c r="B39" i="6"/>
  <c r="B39" i="10" s="1" a="1"/>
  <c r="C233" i="6"/>
  <c r="C233" i="10" s="1" a="1"/>
  <c r="C58" i="6"/>
  <c r="C58" i="10" s="1" a="1"/>
  <c r="B34" i="6"/>
  <c r="B34" i="10" s="1" a="1"/>
  <c r="B112" i="6"/>
  <c r="B112" i="10" s="1" a="1"/>
  <c r="E68" i="6"/>
  <c r="E71" i="6"/>
  <c r="C57" i="6"/>
  <c r="C57" i="10" s="1" a="1"/>
  <c r="E148" i="6"/>
  <c r="C109" i="6"/>
  <c r="C109" i="10" s="1" a="1"/>
  <c r="B118" i="6"/>
  <c r="B118" i="10" s="1" a="1"/>
  <c r="E144" i="6"/>
  <c r="F14" i="7"/>
  <c r="B100" i="6"/>
  <c r="B100" i="10" s="1" a="1"/>
  <c r="H77" i="6"/>
  <c r="E157" i="6"/>
  <c r="H13" i="6"/>
  <c r="C98" i="6"/>
  <c r="C98" i="10" s="1" a="1"/>
  <c r="E118" i="6"/>
  <c r="B131" i="6"/>
  <c r="B131" i="10" s="1" a="1"/>
  <c r="B49" i="6"/>
  <c r="B49" i="10" s="1" a="1"/>
  <c r="E176" i="6"/>
  <c r="C24" i="6"/>
  <c r="C24" i="10" s="1" a="1"/>
  <c r="H81" i="6"/>
  <c r="H46" i="6"/>
  <c r="C123" i="6"/>
  <c r="C123" i="10" s="1" a="1"/>
  <c r="B31" i="6"/>
  <c r="B31" i="10" s="1" a="1"/>
  <c r="E204" i="6"/>
  <c r="C180" i="6"/>
  <c r="C180" i="10" s="1" a="1"/>
  <c r="B221" i="6"/>
  <c r="B221" i="10" s="1" a="1"/>
  <c r="E234" i="6"/>
  <c r="B193" i="6"/>
  <c r="B193" i="10" s="1" a="1"/>
  <c r="E56" i="6"/>
  <c r="H47" i="6"/>
  <c r="C138" i="6"/>
  <c r="C138" i="10" s="1" a="1"/>
  <c r="C140" i="6"/>
  <c r="C140" i="10" s="1" a="1"/>
  <c r="E42" i="6"/>
  <c r="C19" i="6"/>
  <c r="C19" i="10" s="1" a="1"/>
  <c r="C241" i="6"/>
  <c r="C241" i="10" s="1" a="1"/>
  <c r="B10" i="7"/>
  <c r="B191" i="6"/>
  <c r="B191" i="10" s="1" a="1"/>
  <c r="E26" i="6"/>
  <c r="E73" i="6"/>
  <c r="B41" i="6"/>
  <c r="B41" i="10" s="1" a="1"/>
  <c r="H90" i="6"/>
  <c r="C179" i="6"/>
  <c r="C179" i="10" s="1" a="1"/>
  <c r="B215" i="6"/>
  <c r="B215" i="10" s="1" a="1"/>
  <c r="B97" i="6"/>
  <c r="B97" i="10" s="1" a="1"/>
  <c r="H96" i="6"/>
  <c r="B174" i="6"/>
  <c r="B174" i="10" s="1" a="1"/>
  <c r="H35" i="6"/>
  <c r="B104" i="6"/>
  <c r="B104" i="10" s="1" a="1"/>
  <c r="H65" i="6"/>
  <c r="H15" i="7"/>
  <c r="B138" i="6"/>
  <c r="B138" i="10" s="1" a="1"/>
  <c r="B198" i="6"/>
  <c r="B198" i="10" s="1" a="1"/>
  <c r="E133" i="6"/>
  <c r="E129" i="6"/>
  <c r="H79" i="6"/>
  <c r="H75" i="6"/>
  <c r="B93" i="6"/>
  <c r="B93" i="10" s="1" a="1"/>
  <c r="H14" i="6"/>
  <c r="B202" i="6"/>
  <c r="B202" i="10" s="1" a="1"/>
  <c r="E88" i="6"/>
  <c r="H27" i="6"/>
  <c r="C208" i="6"/>
  <c r="C208" i="10" s="1" a="1"/>
  <c r="B102" i="6"/>
  <c r="B102" i="10" s="1" a="1"/>
  <c r="E92" i="6"/>
  <c r="F13" i="7"/>
  <c r="H22" i="6"/>
  <c r="E12" i="6"/>
  <c r="H58" i="6"/>
  <c r="E102" i="6"/>
  <c r="C97" i="6"/>
  <c r="C97" i="10" s="1" a="1"/>
  <c r="C78" i="6"/>
  <c r="C78" i="10" s="1" a="1"/>
  <c r="B237" i="6"/>
  <c r="B237" i="10" s="1" a="1"/>
  <c r="B205" i="6"/>
  <c r="B205" i="10" s="1" a="1"/>
  <c r="B51" i="6"/>
  <c r="B51" i="10" s="1" a="1"/>
  <c r="B229" i="6"/>
  <c r="B229" i="10" s="1" a="1"/>
  <c r="E168" i="6"/>
  <c r="H67" i="6"/>
  <c r="B179" i="6"/>
  <c r="B179" i="10" s="1" a="1"/>
  <c r="C39" i="6"/>
  <c r="C39" i="10" s="1" a="1"/>
  <c r="B134" i="6"/>
  <c r="B134" i="10" s="1" a="1"/>
  <c r="H29" i="6"/>
  <c r="E116" i="6"/>
  <c r="C159" i="6"/>
  <c r="C159" i="10" s="1" a="1"/>
  <c r="B187" i="6"/>
  <c r="B187" i="10" s="1" a="1"/>
  <c r="B80" i="6"/>
  <c r="B80" i="10" s="1" a="1"/>
  <c r="E115" i="6"/>
  <c r="E94" i="6"/>
  <c r="B53" i="6"/>
  <c r="B53" i="10" s="1" a="1"/>
  <c r="E31" i="6"/>
  <c r="B36" i="6"/>
  <c r="B36" i="10" s="1" a="1"/>
  <c r="C156" i="6"/>
  <c r="C156" i="10" s="1" a="1"/>
  <c r="C60" i="6"/>
  <c r="C60" i="10" s="1" a="1"/>
  <c r="E236" i="6"/>
  <c r="E93" i="6"/>
  <c r="C165" i="6"/>
  <c r="C165" i="10" s="1" a="1"/>
  <c r="C155" i="6"/>
  <c r="C155" i="10" s="1" a="1"/>
  <c r="C111" i="6"/>
  <c r="C111" i="10" s="1" a="1"/>
  <c r="C40" i="6"/>
  <c r="C40" i="10" s="1" a="1"/>
  <c r="E193" i="6"/>
  <c r="H28" i="6"/>
  <c r="E194" i="6"/>
  <c r="E152" i="6"/>
  <c r="E82" i="6"/>
  <c r="E147" i="6"/>
  <c r="B72" i="6"/>
  <c r="B72" i="10" s="1" a="1"/>
  <c r="B206" i="6"/>
  <c r="B206" i="10" s="1" a="1"/>
  <c r="E74" i="6"/>
  <c r="H87" i="6"/>
  <c r="H73" i="6"/>
  <c r="C204" i="6"/>
  <c r="C204" i="10" s="1" a="1"/>
  <c r="E39" i="6"/>
  <c r="E166" i="6"/>
  <c r="E216" i="6"/>
  <c r="C236" i="6"/>
  <c r="C236" i="10" s="1" a="1"/>
  <c r="H51" i="6"/>
  <c r="C43" i="6"/>
  <c r="C43" i="10" s="1" a="1"/>
  <c r="C247" i="6"/>
  <c r="C247" i="10" s="1" a="1"/>
  <c r="C124" i="6"/>
  <c r="C124" i="10" s="1" a="1"/>
  <c r="E211" i="6"/>
  <c r="B13" i="7"/>
  <c r="B156" i="6"/>
  <c r="B156" i="10" s="1" a="1"/>
  <c r="C34" i="6"/>
  <c r="C34" i="10" s="1" a="1"/>
  <c r="C178" i="6"/>
  <c r="C178" i="10" s="1" a="1"/>
  <c r="B130" i="6"/>
  <c r="B130" i="10" s="1" a="1"/>
  <c r="E171" i="6"/>
  <c r="E95" i="6"/>
  <c r="H59" i="6"/>
  <c r="E70" i="6"/>
  <c r="C219" i="6"/>
  <c r="C219" i="10" s="1" a="1"/>
  <c r="H101" i="6"/>
  <c r="B32" i="6"/>
  <c r="B32" i="10" s="1" a="1"/>
  <c r="C142" i="6"/>
  <c r="C142" i="10" s="1" a="1"/>
  <c r="C218" i="6"/>
  <c r="C218" i="10" s="1" a="1"/>
  <c r="E15" i="7"/>
  <c r="C86" i="6"/>
  <c r="C86" i="10" s="1" a="1"/>
  <c r="B148" i="6"/>
  <c r="B148" i="10" s="1" a="1"/>
  <c r="C210" i="6"/>
  <c r="C210" i="10" s="1" a="1"/>
  <c r="B81" i="6"/>
  <c r="B81" i="10" s="1" a="1"/>
  <c r="H69" i="6"/>
  <c r="B89" i="6"/>
  <c r="B89" i="10" s="1" a="1"/>
  <c r="C209" i="6"/>
  <c r="C209" i="10" s="1" a="1"/>
  <c r="C154" i="6"/>
  <c r="C154" i="10" s="1" a="1"/>
  <c r="E58" i="6"/>
  <c r="E212" i="6"/>
  <c r="E203" i="6"/>
  <c r="C148" i="6"/>
  <c r="C148" i="10" s="1" a="1"/>
  <c r="H125" i="6"/>
  <c r="E100" i="6"/>
  <c r="C216" i="6"/>
  <c r="C216" i="10" s="1" a="1"/>
  <c r="B123" i="6"/>
  <c r="B123" i="10" s="1" a="1"/>
  <c r="E63" i="6"/>
  <c r="C176" i="6"/>
  <c r="C176" i="10" s="1" a="1"/>
  <c r="B200" i="6"/>
  <c r="B200" i="10" s="1" a="1"/>
  <c r="B15" i="7"/>
  <c r="B115" i="6"/>
  <c r="B115" i="10" s="1" a="1"/>
  <c r="B109" i="6"/>
  <c r="B109" i="10" s="1" a="1"/>
  <c r="B40" i="6"/>
  <c r="B40" i="10" s="1" a="1"/>
  <c r="E60" i="6"/>
  <c r="B194" i="6"/>
  <c r="B194" i="10" s="1" a="1"/>
  <c r="B46" i="6"/>
  <c r="B46" i="10" s="1" a="1"/>
  <c r="B211" i="6"/>
  <c r="B211" i="10" s="1" a="1"/>
  <c r="C119" i="6"/>
  <c r="C119" i="10" s="1" a="1"/>
  <c r="B235" i="6"/>
  <c r="B235" i="10" s="1" a="1"/>
  <c r="B182" i="6"/>
  <c r="B182" i="10" s="1" a="1"/>
  <c r="C26" i="6"/>
  <c r="C26" i="10" s="1" a="1"/>
  <c r="C15" i="7"/>
  <c r="B152" i="6"/>
  <c r="B152" i="10" s="1" a="1"/>
  <c r="E190" i="6"/>
  <c r="E136" i="6"/>
  <c r="B175" i="6"/>
  <c r="B175" i="10" s="1" a="1"/>
  <c r="B88" i="6"/>
  <c r="B88" i="10" s="1" a="1"/>
  <c r="E30" i="6"/>
  <c r="C38" i="6"/>
  <c r="C38" i="10" s="1" a="1"/>
  <c r="B144" i="6"/>
  <c r="B144" i="10" s="1" a="1"/>
  <c r="B219" i="6"/>
  <c r="B219" i="10" s="1" a="1"/>
  <c r="B30" i="6"/>
  <c r="B30" i="10" s="1" a="1"/>
  <c r="B192" i="6"/>
  <c r="B192" i="10" s="1" a="1"/>
  <c r="E85" i="6"/>
  <c r="C91" i="6"/>
  <c r="C91" i="10" s="1" a="1"/>
  <c r="H16" i="7"/>
  <c r="B117" i="6"/>
  <c r="B117" i="10" s="1" a="1"/>
  <c r="C189" i="6"/>
  <c r="C189" i="10" s="1" a="1"/>
  <c r="H92" i="6"/>
  <c r="C196" i="6"/>
  <c r="C196" i="10" s="1" a="1"/>
  <c r="E161" i="6"/>
  <c r="E173" i="6"/>
  <c r="H18" i="6"/>
  <c r="E48" i="6"/>
  <c r="B87" i="6"/>
  <c r="B87" i="10" s="1" a="1"/>
  <c r="E64" i="6"/>
  <c r="C80" i="6"/>
  <c r="C80" i="10" s="1" a="1"/>
  <c r="C45" i="6"/>
  <c r="C45" i="10" s="1" a="1"/>
  <c r="E202" i="6"/>
  <c r="C11" i="7"/>
  <c r="C9" i="7"/>
  <c r="I9" i="7"/>
  <c r="H9" i="7"/>
  <c r="D13" i="7"/>
  <c r="B9" i="7"/>
  <c r="E9" i="7"/>
  <c r="G9" i="7"/>
  <c r="D9" i="7"/>
  <c r="F9" i="7"/>
  <c r="C207" i="10" a="1"/>
  <c r="C217" i="10" a="1"/>
  <c r="B180" i="10" a="1"/>
  <c r="B78" i="10" a="1"/>
  <c r="C53" i="10" a="1"/>
  <c r="C212" i="10" a="1"/>
  <c r="C232" i="10" a="1"/>
  <c r="C234" i="10" a="1"/>
  <c r="C248" i="10" a="1"/>
  <c r="B242" i="10" a="1"/>
  <c r="B133" i="10" a="1"/>
  <c r="B99" i="10" a="1"/>
  <c r="B200" i="10" l="1"/>
  <c r="B156" i="10"/>
  <c r="B49" i="10"/>
  <c r="B73" i="10"/>
  <c r="B172" i="10"/>
  <c r="C36" i="10"/>
  <c r="B72" i="10"/>
  <c r="C219" i="10"/>
  <c r="B93" i="10"/>
  <c r="B205" i="10"/>
  <c r="B192" i="10"/>
  <c r="C130" i="10"/>
  <c r="C210" i="10"/>
  <c r="B112" i="10"/>
  <c r="B211" i="10"/>
  <c r="C111" i="10"/>
  <c r="C180" i="10"/>
  <c r="C160" i="10"/>
  <c r="C37" i="10"/>
  <c r="B188" i="10"/>
  <c r="C173" i="10"/>
  <c r="C149" i="10"/>
  <c r="B35" i="10"/>
  <c r="B182" i="10"/>
  <c r="B109" i="10"/>
  <c r="B89" i="10"/>
  <c r="C142" i="10"/>
  <c r="B130" i="10"/>
  <c r="C43" i="10"/>
  <c r="C60" i="10"/>
  <c r="B187" i="10"/>
  <c r="B198" i="10"/>
  <c r="B97" i="10"/>
  <c r="B193" i="10"/>
  <c r="C57" i="10"/>
  <c r="C214" i="10"/>
  <c r="C165" i="10"/>
  <c r="B102" i="10"/>
  <c r="C91" i="10"/>
  <c r="B88" i="10"/>
  <c r="B115" i="10"/>
  <c r="C80" i="10"/>
  <c r="B194" i="10"/>
  <c r="C138" i="10"/>
  <c r="C58" i="10"/>
  <c r="B212" i="10"/>
  <c r="B235" i="10"/>
  <c r="B175" i="10"/>
  <c r="C119" i="10"/>
  <c r="C148" i="10"/>
  <c r="B81" i="10"/>
  <c r="B249" i="10"/>
  <c r="B75" i="10"/>
  <c r="C103" i="10"/>
  <c r="C175" i="10"/>
  <c r="B99" i="10"/>
  <c r="C63" i="10"/>
  <c r="B67" i="10"/>
  <c r="C238" i="10"/>
  <c r="C31" i="10"/>
  <c r="B74" i="10"/>
  <c r="B54" i="10"/>
  <c r="C29" i="10"/>
  <c r="B121" i="10"/>
  <c r="B248" i="10"/>
  <c r="C89" i="10"/>
  <c r="C197" i="10"/>
  <c r="C54" i="10"/>
  <c r="B183" i="10"/>
  <c r="C92" i="10"/>
  <c r="C75" i="10"/>
  <c r="C69" i="10"/>
  <c r="C96" i="10"/>
  <c r="C230" i="10"/>
  <c r="B82" i="10"/>
  <c r="B94" i="10"/>
  <c r="C150" i="10"/>
  <c r="C143" i="10"/>
  <c r="B228" i="10"/>
  <c r="C224" i="10"/>
  <c r="C45" i="10"/>
  <c r="C39" i="10"/>
  <c r="B61" i="10"/>
  <c r="B79" i="10"/>
  <c r="C32" i="10"/>
  <c r="B56" i="10"/>
  <c r="B171" i="10"/>
  <c r="B150" i="10"/>
  <c r="C246" i="10"/>
  <c r="C231" i="10"/>
  <c r="C136" i="10"/>
  <c r="C220" i="10"/>
  <c r="C169" i="10"/>
  <c r="C170" i="10"/>
  <c r="B152" i="10"/>
  <c r="C86" i="10"/>
  <c r="B31" i="10"/>
  <c r="C87" i="10"/>
  <c r="C194" i="10"/>
  <c r="C116" i="10"/>
  <c r="B144" i="10"/>
  <c r="C154" i="10"/>
  <c r="C204" i="10"/>
  <c r="C97" i="10"/>
  <c r="B174" i="10"/>
  <c r="C98" i="10"/>
  <c r="C25" i="10"/>
  <c r="B219" i="10"/>
  <c r="C78" i="10"/>
  <c r="B118" i="10"/>
  <c r="C88" i="10"/>
  <c r="C131" i="10"/>
  <c r="B151" i="10"/>
  <c r="C189" i="10"/>
  <c r="B123" i="10"/>
  <c r="C124" i="10"/>
  <c r="B179" i="10"/>
  <c r="C208" i="10"/>
  <c r="C123" i="10"/>
  <c r="C109" i="10"/>
  <c r="C233" i="10"/>
  <c r="B126" i="10"/>
  <c r="C228" i="10"/>
  <c r="B190" i="10"/>
  <c r="B204" i="10"/>
  <c r="B185" i="10"/>
  <c r="B244" i="10"/>
  <c r="B213" i="10"/>
  <c r="B128" i="10"/>
  <c r="B63" i="10"/>
  <c r="C35" i="10"/>
  <c r="C117" i="10"/>
  <c r="C20" i="10"/>
  <c r="C67" i="10"/>
  <c r="B216" i="10"/>
  <c r="B62" i="10"/>
  <c r="B233" i="10"/>
  <c r="C105" i="10"/>
  <c r="C186" i="10"/>
  <c r="C202" i="10"/>
  <c r="C101" i="10"/>
  <c r="C190" i="10"/>
  <c r="B33" i="10"/>
  <c r="C113" i="10"/>
  <c r="B111" i="10"/>
  <c r="B110" i="10"/>
  <c r="B122" i="10"/>
  <c r="C81" i="10"/>
  <c r="C73" i="10"/>
  <c r="B160" i="10"/>
  <c r="B137" i="10"/>
  <c r="C139" i="10"/>
  <c r="C61" i="10"/>
  <c r="B178" i="10"/>
  <c r="C106" i="10"/>
  <c r="B124" i="10"/>
  <c r="C158" i="10"/>
  <c r="C249" i="10"/>
  <c r="B58" i="10"/>
  <c r="C185" i="10"/>
  <c r="B176" i="10"/>
  <c r="B47" i="10"/>
  <c r="C239" i="10"/>
  <c r="C90" i="10"/>
  <c r="B159" i="10"/>
  <c r="C199" i="10"/>
  <c r="B32" i="10"/>
  <c r="C178" i="10"/>
  <c r="C156" i="10"/>
  <c r="C159" i="10"/>
  <c r="B229" i="10"/>
  <c r="B202" i="10"/>
  <c r="B138" i="10"/>
  <c r="B215" i="10"/>
  <c r="C241" i="10"/>
  <c r="C24" i="10"/>
  <c r="C64" i="10"/>
  <c r="B65" i="10"/>
  <c r="C68" i="10"/>
  <c r="C205" i="10"/>
  <c r="B158" i="10"/>
  <c r="C129" i="10"/>
  <c r="C177" i="10"/>
  <c r="C128" i="10"/>
  <c r="C99" i="10"/>
  <c r="B83" i="10"/>
  <c r="C198" i="10"/>
  <c r="B197" i="10"/>
  <c r="C52" i="10"/>
  <c r="C242" i="10"/>
  <c r="C133" i="10"/>
  <c r="C188" i="10"/>
  <c r="C21" i="10"/>
  <c r="B246" i="10"/>
  <c r="C184" i="10"/>
  <c r="B69" i="10"/>
  <c r="C122" i="10"/>
  <c r="B66" i="10"/>
  <c r="B90" i="10"/>
  <c r="B101" i="10"/>
  <c r="C27" i="10"/>
  <c r="B161" i="10"/>
  <c r="C107" i="10"/>
  <c r="C120" i="10"/>
  <c r="C114" i="10"/>
  <c r="B240" i="10"/>
  <c r="C245" i="10"/>
  <c r="C195" i="10"/>
  <c r="B42" i="10"/>
  <c r="B136" i="10"/>
  <c r="B184" i="10"/>
  <c r="C77" i="10"/>
  <c r="C30" i="10"/>
  <c r="C166" i="10"/>
  <c r="C206" i="10"/>
  <c r="B196" i="10"/>
  <c r="C22" i="10"/>
  <c r="B57" i="10"/>
  <c r="C137" i="10"/>
  <c r="C141" i="10"/>
  <c r="C182" i="10"/>
  <c r="B37" i="10"/>
  <c r="C147" i="10"/>
  <c r="C211" i="10"/>
  <c r="C15" i="10"/>
  <c r="C34" i="10"/>
  <c r="C236" i="10"/>
  <c r="B206" i="10"/>
  <c r="C40" i="10"/>
  <c r="B36" i="10"/>
  <c r="B51" i="10"/>
  <c r="C179" i="10"/>
  <c r="C19" i="10"/>
  <c r="B221" i="10"/>
  <c r="B100" i="10"/>
  <c r="B236" i="10"/>
  <c r="C66" i="10"/>
  <c r="B173" i="10"/>
  <c r="B105" i="10"/>
  <c r="C65" i="10"/>
  <c r="B165" i="10"/>
  <c r="B116" i="10"/>
  <c r="B231" i="10"/>
  <c r="B210" i="10"/>
  <c r="B245" i="10"/>
  <c r="C17" i="10"/>
  <c r="B181" i="10"/>
  <c r="B145" i="10"/>
  <c r="C225" i="10"/>
  <c r="C100" i="10"/>
  <c r="B68" i="10"/>
  <c r="B170" i="10"/>
  <c r="C70" i="10"/>
  <c r="B163" i="10"/>
  <c r="C33" i="10"/>
  <c r="B199" i="10"/>
  <c r="C153" i="10"/>
  <c r="C226" i="10"/>
  <c r="B241" i="10"/>
  <c r="B132" i="10"/>
  <c r="C135" i="10"/>
  <c r="C243" i="10"/>
  <c r="B227" i="10"/>
  <c r="C157" i="10"/>
  <c r="B133" i="10"/>
  <c r="B220" i="10"/>
  <c r="C84" i="10"/>
  <c r="B166" i="10"/>
  <c r="B168" i="10"/>
  <c r="B226" i="10"/>
  <c r="C72" i="10"/>
  <c r="B195" i="10"/>
  <c r="C93" i="10"/>
  <c r="B242" i="10"/>
  <c r="C171" i="10"/>
  <c r="B48" i="10"/>
  <c r="C200" i="10"/>
  <c r="B223" i="10"/>
  <c r="B55" i="10"/>
  <c r="C55" i="10"/>
  <c r="C196" i="10"/>
  <c r="B30" i="10"/>
  <c r="B46" i="10"/>
  <c r="C176" i="10"/>
  <c r="B148" i="10"/>
  <c r="C155" i="10"/>
  <c r="B53" i="10"/>
  <c r="B134" i="10"/>
  <c r="B237" i="10"/>
  <c r="B104" i="10"/>
  <c r="B41" i="10"/>
  <c r="C140" i="10"/>
  <c r="B131" i="10"/>
  <c r="B34" i="10"/>
  <c r="C104" i="10"/>
  <c r="C162" i="10"/>
  <c r="B85" i="10"/>
  <c r="C47" i="10"/>
  <c r="C183" i="10"/>
  <c r="C42" i="10"/>
  <c r="B247" i="10"/>
  <c r="B113" i="10"/>
  <c r="C127" i="10"/>
  <c r="C49" i="10"/>
  <c r="B95" i="10"/>
  <c r="B114" i="10"/>
  <c r="C94" i="10"/>
  <c r="C41" i="10"/>
  <c r="B177" i="10"/>
  <c r="C95" i="10"/>
  <c r="C11" i="10"/>
  <c r="C28" i="10"/>
  <c r="B127" i="10"/>
  <c r="B167" i="10"/>
  <c r="C85" i="10"/>
  <c r="C74" i="10"/>
  <c r="C144" i="10"/>
  <c r="C244" i="10"/>
  <c r="C163" i="10"/>
  <c r="C76" i="10"/>
  <c r="C222" i="10"/>
  <c r="B52" i="10"/>
  <c r="B70" i="10"/>
  <c r="C191" i="10"/>
  <c r="C227" i="10"/>
  <c r="B64" i="10"/>
  <c r="C187" i="10"/>
  <c r="C14" i="10"/>
  <c r="B222" i="10"/>
  <c r="C118" i="10"/>
  <c r="B125" i="10"/>
  <c r="C18" i="10"/>
  <c r="C240" i="10"/>
  <c r="C12" i="10"/>
  <c r="B230" i="10"/>
  <c r="B153" i="10"/>
  <c r="C82" i="10"/>
  <c r="B71" i="10"/>
  <c r="C235" i="10"/>
  <c r="B208" i="10"/>
  <c r="B232" i="10"/>
  <c r="C16" i="10"/>
  <c r="B29" i="10"/>
  <c r="B239" i="10"/>
  <c r="C108" i="10"/>
  <c r="B108" i="10"/>
  <c r="B91" i="10"/>
  <c r="B189" i="10"/>
  <c r="B135" i="10"/>
  <c r="C125" i="10"/>
  <c r="C46" i="10"/>
  <c r="B217" i="10"/>
  <c r="B44" i="10"/>
  <c r="B43" i="10"/>
  <c r="C10" i="10"/>
  <c r="B60" i="10"/>
  <c r="B157" i="10"/>
  <c r="C229" i="10"/>
  <c r="C237" i="10"/>
  <c r="B164" i="10"/>
  <c r="B86" i="10"/>
  <c r="B38" i="10"/>
  <c r="C201" i="10"/>
  <c r="B162" i="10"/>
  <c r="B203" i="10"/>
  <c r="B149" i="10"/>
  <c r="B142" i="10"/>
  <c r="B141" i="10"/>
  <c r="B238" i="10"/>
  <c r="C13" i="10"/>
  <c r="B169" i="10"/>
  <c r="B154" i="10"/>
  <c r="C215" i="10"/>
  <c r="B59" i="10"/>
  <c r="B146" i="10"/>
  <c r="C152" i="10"/>
  <c r="C79" i="10"/>
  <c r="C164" i="10"/>
  <c r="B92" i="10"/>
  <c r="C192" i="10"/>
  <c r="B120" i="10"/>
  <c r="C248" i="10"/>
  <c r="C71" i="10"/>
  <c r="C151" i="10"/>
  <c r="C126" i="10"/>
  <c r="C172" i="10"/>
  <c r="C234" i="10"/>
  <c r="B76" i="10"/>
  <c r="B143" i="10"/>
  <c r="C146" i="10"/>
  <c r="C232" i="10"/>
  <c r="C145" i="10"/>
  <c r="B129" i="10"/>
  <c r="C59" i="10"/>
  <c r="C212" i="10"/>
  <c r="C203" i="10"/>
  <c r="B147" i="10"/>
  <c r="C53" i="10"/>
  <c r="C132" i="10"/>
  <c r="B96" i="10"/>
  <c r="C110" i="10"/>
  <c r="B78" i="10"/>
  <c r="B84" i="10"/>
  <c r="C23" i="10"/>
  <c r="B180" i="10"/>
  <c r="B87" i="10"/>
  <c r="B117" i="10"/>
  <c r="C38" i="10"/>
  <c r="C26" i="10"/>
  <c r="B40" i="10"/>
  <c r="C216" i="10"/>
  <c r="C209" i="10"/>
  <c r="C218" i="10"/>
  <c r="C247" i="10"/>
  <c r="B80" i="10"/>
  <c r="B191" i="10"/>
  <c r="B39" i="10"/>
  <c r="C217" i="10"/>
  <c r="B98" i="10"/>
  <c r="B224" i="10"/>
  <c r="C56" i="10"/>
  <c r="B186" i="10"/>
  <c r="B50" i="10"/>
  <c r="B218" i="10"/>
  <c r="C102" i="10"/>
  <c r="B119" i="10"/>
  <c r="B225" i="10"/>
  <c r="B107" i="10"/>
  <c r="B243" i="10"/>
  <c r="C83" i="10"/>
  <c r="C213" i="10"/>
  <c r="B209" i="10"/>
  <c r="C48" i="10"/>
  <c r="B234" i="10"/>
  <c r="C44" i="10"/>
  <c r="C181" i="10"/>
  <c r="B201" i="10"/>
  <c r="C62" i="10"/>
  <c r="B214" i="10"/>
  <c r="B103" i="10"/>
  <c r="B77" i="10"/>
  <c r="C221" i="10"/>
  <c r="C134" i="10"/>
  <c r="B140" i="10"/>
  <c r="B207" i="10"/>
  <c r="C115" i="10"/>
  <c r="C121" i="10"/>
  <c r="B155" i="10"/>
  <c r="C223" i="10"/>
  <c r="C207" i="10"/>
  <c r="C193" i="10"/>
  <c r="C167" i="10"/>
  <c r="C112" i="10"/>
  <c r="B45" i="10"/>
  <c r="B106" i="10"/>
  <c r="B139" i="10"/>
  <c r="C50" i="10"/>
  <c r="C174" i="10"/>
  <c r="C168" i="10"/>
  <c r="C51" i="10"/>
  <c r="C161" i="10"/>
  <c r="G156" i="7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G194" i="7" l="1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D58" i="7" a="1"/>
  <c r="C117" i="7" a="1"/>
  <c r="E66" i="7" a="1"/>
  <c r="I70" i="7" a="1"/>
  <c r="C17" i="7" a="1"/>
  <c r="I61" i="7" a="1"/>
  <c r="I32" i="7" a="1"/>
  <c r="E31" i="7" a="1"/>
  <c r="I28" i="7" a="1"/>
  <c r="E79" i="7" a="1"/>
  <c r="B71" i="7" a="1"/>
  <c r="D70" i="7" a="1"/>
  <c r="H125" i="7" a="1"/>
  <c r="H68" i="7" a="1"/>
  <c r="F64" i="7" a="1"/>
  <c r="E102" i="7" a="1"/>
  <c r="F48" i="7" a="1"/>
  <c r="F106" i="7" a="1"/>
  <c r="C90" i="7" a="1"/>
  <c r="I53" i="7" a="1"/>
  <c r="C80" i="7" a="1"/>
  <c r="B48" i="7" a="1"/>
  <c r="C118" i="7" a="1"/>
  <c r="I100" i="7" a="1"/>
  <c r="C32" i="7" a="1"/>
  <c r="C23" i="7" a="1"/>
  <c r="C77" i="7" a="1"/>
  <c r="I68" i="7" a="1"/>
  <c r="B24" i="7" a="1"/>
  <c r="I77" i="7" a="1"/>
  <c r="I82" i="7" a="1"/>
  <c r="H108" i="7" a="1"/>
  <c r="I44" i="7" a="1"/>
  <c r="B17" i="7" a="1"/>
  <c r="E99" i="7" a="1"/>
  <c r="H112" i="7" a="1"/>
  <c r="F44" i="7" a="1"/>
  <c r="E97" i="7" a="1"/>
  <c r="E46" i="7" a="1"/>
  <c r="I115" i="7" a="1"/>
  <c r="H45" i="7" a="1"/>
  <c r="F19" i="7" a="1"/>
  <c r="E128" i="7" a="1"/>
  <c r="E63" i="7" a="1"/>
  <c r="C105" i="7" a="1"/>
  <c r="F77" i="7" a="1"/>
  <c r="C58" i="7" a="1"/>
  <c r="D55" i="7" a="1"/>
  <c r="B41" i="7" a="1"/>
  <c r="B68" i="7" a="1"/>
  <c r="B28" i="7" a="1"/>
  <c r="F25" i="7" a="1"/>
  <c r="H116" i="7" a="1"/>
  <c r="E50" i="7" a="1"/>
  <c r="D74" i="7" a="1"/>
  <c r="F46" i="7" a="1"/>
  <c r="F32" i="7" a="1"/>
  <c r="E35" i="7" a="1"/>
  <c r="E58" i="7" a="1"/>
  <c r="D28" i="7" a="1"/>
  <c r="I63" i="7" a="1"/>
  <c r="B40" i="7" a="1"/>
  <c r="C116" i="7" a="1"/>
  <c r="B30" i="7" a="1"/>
  <c r="B114" i="7" a="1"/>
  <c r="E104" i="7" a="1"/>
  <c r="B39" i="7" a="1"/>
  <c r="B67" i="7" a="1"/>
  <c r="F104" i="7" a="1"/>
  <c r="I21" i="7" a="1"/>
  <c r="I13" i="7" a="1"/>
  <c r="F27" i="7" a="1"/>
  <c r="E94" i="7" a="1"/>
  <c r="D35" i="7" a="1"/>
  <c r="I71" i="7" a="1"/>
  <c r="F20" i="7" a="1"/>
  <c r="E111" i="7" a="1"/>
  <c r="C62" i="7" a="1"/>
  <c r="E107" i="7" a="1"/>
  <c r="E60" i="7" a="1"/>
  <c r="F42" i="7" a="1"/>
  <c r="F66" i="7" a="1"/>
  <c r="H59" i="7" a="1"/>
  <c r="D129" i="7" a="1"/>
  <c r="B104" i="7" a="1"/>
  <c r="H93" i="7" a="1"/>
  <c r="I86" i="7" a="1"/>
  <c r="C19" i="7" a="1"/>
  <c r="F59" i="7" a="1"/>
  <c r="H100" i="7" a="1"/>
  <c r="D118" i="7" a="1"/>
  <c r="B56" i="7" a="1"/>
  <c r="E24" i="7" a="1"/>
  <c r="I60" i="7" a="1"/>
  <c r="C45" i="7" a="1"/>
  <c r="E51" i="7" a="1"/>
  <c r="D24" i="7" a="1"/>
  <c r="I54" i="7" a="1"/>
  <c r="B35" i="7" a="1"/>
  <c r="C78" i="7" a="1"/>
  <c r="E25" i="7" a="1"/>
  <c r="F29" i="7" a="1"/>
  <c r="F23" i="7" a="1"/>
  <c r="F67" i="7" a="1"/>
  <c r="B111" i="7" a="1"/>
  <c r="I120" i="7" a="1"/>
  <c r="D100" i="7" a="1"/>
  <c r="F65" i="7" a="1"/>
  <c r="H66" i="7" a="1"/>
  <c r="C100" i="7" a="1"/>
  <c r="C109" i="7" a="1"/>
  <c r="E122" i="7" a="1"/>
  <c r="C129" i="7" a="1"/>
  <c r="F89" i="7" a="1"/>
  <c r="D114" i="7" a="1"/>
  <c r="H110" i="7" a="1"/>
  <c r="C110" i="7" a="1"/>
  <c r="D32" i="7" a="1"/>
  <c r="I35" i="7" a="1"/>
  <c r="F57" i="7" a="1"/>
  <c r="F22" i="7" a="1"/>
  <c r="D82" i="7" a="1"/>
  <c r="E125" i="7" a="1"/>
  <c r="I117" i="7" a="1"/>
  <c r="H90" i="7" a="1"/>
  <c r="B103" i="7" a="1"/>
  <c r="F53" i="7" a="1"/>
  <c r="H126" i="7" a="1"/>
  <c r="C41" i="7" a="1"/>
  <c r="D128" i="7" a="1"/>
  <c r="D30" i="7" a="1"/>
  <c r="I40" i="7" a="1"/>
  <c r="B101" i="7" a="1"/>
  <c r="C73" i="7" a="1"/>
  <c r="F61" i="7" a="1"/>
  <c r="I76" i="7" a="1"/>
  <c r="H101" i="7" a="1"/>
  <c r="D108" i="7" a="1"/>
  <c r="C119" i="7" a="1"/>
  <c r="E105" i="7" a="1"/>
  <c r="C112" i="7" a="1"/>
  <c r="D102" i="7" a="1"/>
  <c r="E71" i="7" a="1"/>
  <c r="D75" i="7" a="1"/>
  <c r="B34" i="7" a="1"/>
  <c r="E26" i="7" a="1"/>
  <c r="B46" i="7" a="1"/>
  <c r="D105" i="7" a="1"/>
  <c r="D73" i="7" a="1"/>
  <c r="E76" i="7" a="1"/>
  <c r="H72" i="7" a="1"/>
  <c r="E129" i="7" a="1"/>
  <c r="D17" i="7" a="1"/>
  <c r="H128" i="7" a="1"/>
  <c r="E52" i="7" a="1"/>
  <c r="C111" i="7" a="1"/>
  <c r="I84" i="7" a="1"/>
  <c r="I67" i="7" a="1"/>
  <c r="D77" i="7" a="1"/>
  <c r="E57" i="7" a="1"/>
  <c r="I30" i="7" a="1"/>
  <c r="B54" i="7" a="1"/>
  <c r="E118" i="7" a="1"/>
  <c r="C83" i="7" a="1"/>
  <c r="I52" i="7" a="1"/>
  <c r="E55" i="7" a="1"/>
  <c r="H123" i="7" a="1"/>
  <c r="I74" i="7" a="1"/>
  <c r="I122" i="7" a="1"/>
  <c r="B59" i="7" a="1"/>
  <c r="B125" i="7" a="1"/>
  <c r="I108" i="7" a="1"/>
  <c r="I11" i="7" a="1"/>
  <c r="C53" i="7" a="1"/>
  <c r="C22" i="7" a="1"/>
  <c r="E65" i="7" a="1"/>
  <c r="B90" i="7" a="1"/>
  <c r="B50" i="7" a="1"/>
  <c r="C93" i="7" a="1"/>
  <c r="E85" i="7" a="1"/>
  <c r="F37" i="7" a="1"/>
  <c r="D79" i="7" a="1"/>
  <c r="I85" i="7" a="1"/>
  <c r="B91" i="7" a="1"/>
  <c r="C124" i="7" a="1"/>
  <c r="H74" i="7" a="1"/>
  <c r="C57" i="7" a="1"/>
  <c r="I62" i="7" a="1"/>
  <c r="C79" i="7" a="1"/>
  <c r="D23" i="7" a="1"/>
  <c r="F31" i="7" a="1"/>
  <c r="I75" i="7" a="1"/>
  <c r="I41" i="7" a="1"/>
  <c r="D42" i="7" a="1"/>
  <c r="C60" i="7" a="1"/>
  <c r="E106" i="7" a="1"/>
  <c r="D31" i="7" a="1"/>
  <c r="C37" i="7" a="1"/>
  <c r="C106" i="7" a="1"/>
  <c r="H79" i="7" a="1"/>
  <c r="B87" i="7" a="1"/>
  <c r="D51" i="7" a="1"/>
  <c r="B93" i="7" a="1"/>
  <c r="H31" i="7" a="1"/>
  <c r="E121" i="7" a="1"/>
  <c r="E92" i="7" a="1"/>
  <c r="D95" i="7" a="1"/>
  <c r="H69" i="7" a="1"/>
  <c r="I43" i="7" a="1"/>
  <c r="D126" i="7" a="1"/>
  <c r="H119" i="7" a="1"/>
  <c r="C24" i="7" a="1"/>
  <c r="E39" i="7" a="1"/>
  <c r="C69" i="7" a="1"/>
  <c r="E20" i="7" a="1"/>
  <c r="E78" i="7" a="1"/>
  <c r="H60" i="7" a="1"/>
  <c r="D37" i="7" a="1"/>
  <c r="H71" i="7" a="1"/>
  <c r="C89" i="7" a="1"/>
  <c r="H107" i="7" a="1"/>
  <c r="H55" i="7" a="1"/>
  <c r="I121" i="7" a="1"/>
  <c r="E49" i="7" a="1"/>
  <c r="H57" i="7" a="1"/>
  <c r="I51" i="7" a="1"/>
  <c r="E88" i="7" a="1"/>
  <c r="I116" i="7" a="1"/>
  <c r="D50" i="7" a="1"/>
  <c r="F73" i="7" a="1"/>
  <c r="I98" i="7" a="1"/>
  <c r="H50" i="7" a="1"/>
  <c r="C122" i="7" a="1"/>
  <c r="H19" i="7" a="1"/>
  <c r="D91" i="7" a="1"/>
  <c r="B116" i="7" a="1"/>
  <c r="C97" i="7" a="1"/>
  <c r="B95" i="7" a="1"/>
  <c r="D117" i="7" a="1"/>
  <c r="C123" i="7" a="1"/>
  <c r="B113" i="7" a="1"/>
  <c r="H114" i="7" a="1"/>
  <c r="D67" i="7" a="1"/>
  <c r="C42" i="7" a="1"/>
  <c r="B65" i="7" a="1"/>
  <c r="D89" i="7" a="1"/>
  <c r="F100" i="7" a="1"/>
  <c r="F122" i="7" a="1"/>
  <c r="H99" i="7" a="1"/>
  <c r="C75" i="7" a="1"/>
  <c r="I128" i="7" a="1"/>
  <c r="D39" i="7" a="1"/>
  <c r="H124" i="7" a="1"/>
  <c r="D123" i="7" a="1"/>
  <c r="C21" i="7" a="1"/>
  <c r="D21" i="7" a="1"/>
  <c r="D20" i="7" a="1"/>
  <c r="B85" i="7" a="1"/>
  <c r="H83" i="7" a="1"/>
  <c r="C28" i="7" a="1"/>
  <c r="H78" i="7" a="1"/>
  <c r="F124" i="7" a="1"/>
  <c r="H32" i="7" a="1"/>
  <c r="I20" i="7" a="1"/>
  <c r="D81" i="7" a="1"/>
  <c r="E87" i="7" a="1"/>
  <c r="B52" i="7" a="1"/>
  <c r="D113" i="7" a="1"/>
  <c r="E113" i="7" a="1"/>
  <c r="B72" i="7" a="1"/>
  <c r="F126" i="7" a="1"/>
  <c r="F98" i="7" a="1"/>
  <c r="C43" i="7" a="1"/>
  <c r="F36" i="7" a="1"/>
  <c r="F81" i="7" a="1"/>
  <c r="F119" i="7" a="1"/>
  <c r="H43" i="7" a="1"/>
  <c r="I96" i="7" a="1"/>
  <c r="H48" i="7" a="1"/>
  <c r="E17" i="7" a="1"/>
  <c r="B88" i="7" a="1"/>
  <c r="C39" i="7" a="1"/>
  <c r="I59" i="7" a="1"/>
  <c r="D33" i="7" a="1"/>
  <c r="B126" i="7" a="1"/>
  <c r="H51" i="7" a="1"/>
  <c r="H82" i="7" a="1"/>
  <c r="I119" i="7" a="1"/>
  <c r="D121" i="7" a="1"/>
  <c r="C50" i="7" a="1"/>
  <c r="D44" i="7" a="1"/>
  <c r="C114" i="7" a="1"/>
  <c r="C30" i="7" a="1"/>
  <c r="D45" i="7" a="1"/>
  <c r="F39" i="7" a="1"/>
  <c r="C86" i="7" a="1"/>
  <c r="H81" i="7" a="1"/>
  <c r="F107" i="7" a="1"/>
  <c r="C51" i="7" a="1"/>
  <c r="H94" i="7" a="1"/>
  <c r="C44" i="7" a="1"/>
  <c r="F35" i="7" a="1"/>
  <c r="D52" i="7" a="1"/>
  <c r="C76" i="7" a="1"/>
  <c r="F105" i="7" a="1"/>
  <c r="B31" i="7" a="1"/>
  <c r="I48" i="7" a="1"/>
  <c r="B49" i="7" a="1"/>
  <c r="I111" i="7" a="1"/>
  <c r="D34" i="7" a="1"/>
  <c r="I88" i="7" a="1"/>
  <c r="H98" i="7" a="1"/>
  <c r="F28" i="7" a="1"/>
  <c r="D94" i="7" a="1"/>
  <c r="I55" i="7" a="1"/>
  <c r="D22" i="7" a="1"/>
  <c r="D19" i="7" a="1"/>
  <c r="B77" i="7" a="1"/>
  <c r="C68" i="7" a="1"/>
  <c r="F110" i="7" a="1"/>
  <c r="F50" i="7" a="1"/>
  <c r="C56" i="7" a="1"/>
  <c r="F56" i="7" a="1"/>
  <c r="H23" i="7" a="1"/>
  <c r="F115" i="7" a="1"/>
  <c r="B21" i="7" a="1"/>
  <c r="B129" i="7" a="1"/>
  <c r="I127" i="7" a="1"/>
  <c r="H21" i="7" a="1"/>
  <c r="I42" i="7" a="1"/>
  <c r="F54" i="7" a="1"/>
  <c r="C126" i="7" a="1"/>
  <c r="E69" i="7" a="1"/>
  <c r="C95" i="7" a="1"/>
  <c r="C18" i="7" a="1"/>
  <c r="E28" i="7" a="1"/>
  <c r="B62" i="7" a="1"/>
  <c r="D68" i="7" a="1"/>
  <c r="E75" i="7" a="1"/>
  <c r="I65" i="7" a="1"/>
  <c r="B51" i="7" a="1"/>
  <c r="I45" i="7" a="1"/>
  <c r="I19" i="7" a="1"/>
  <c r="H49" i="7" a="1"/>
  <c r="B36" i="7" a="1"/>
  <c r="E40" i="7" a="1"/>
  <c r="E18" i="7" a="1"/>
  <c r="F17" i="7" a="1"/>
  <c r="H67" i="7" a="1"/>
  <c r="H96" i="7" a="1"/>
  <c r="F34" i="7" a="1"/>
  <c r="D38" i="7" a="1"/>
  <c r="B20" i="7" a="1"/>
  <c r="H104" i="7" a="1"/>
  <c r="F120" i="7" a="1"/>
  <c r="C85" i="7" a="1"/>
  <c r="B57" i="7" a="1"/>
  <c r="H56" i="7" a="1"/>
  <c r="D87" i="7" a="1"/>
  <c r="I34" i="7" a="1"/>
  <c r="E19" i="7" a="1"/>
  <c r="I29" i="7" a="1"/>
  <c r="I113" i="7" a="1"/>
  <c r="H33" i="7" a="1"/>
  <c r="F117" i="7" a="1"/>
  <c r="I92" i="7" a="1"/>
  <c r="H86" i="7" a="1"/>
  <c r="B106" i="7" a="1"/>
  <c r="E84" i="7" a="1"/>
  <c r="C31" i="7" a="1"/>
  <c r="D107" i="7" a="1"/>
  <c r="H52" i="7" a="1"/>
  <c r="H92" i="7" a="1"/>
  <c r="I24" i="7" a="1"/>
  <c r="F49" i="7" a="1"/>
  <c r="H37" i="7" a="1"/>
  <c r="H111" i="7" a="1"/>
  <c r="H63" i="7" a="1"/>
  <c r="E23" i="7" a="1"/>
  <c r="H85" i="7" a="1"/>
  <c r="D47" i="7" a="1"/>
  <c r="C59" i="7" a="1"/>
  <c r="F109" i="7" a="1"/>
  <c r="D26" i="7" a="1"/>
  <c r="I46" i="7" a="1"/>
  <c r="I58" i="7" a="1"/>
  <c r="C98" i="7" a="1"/>
  <c r="F93" i="7" a="1"/>
  <c r="E89" i="7" a="1"/>
  <c r="H76" i="7" a="1"/>
  <c r="C38" i="7" a="1"/>
  <c r="F62" i="7" a="1"/>
  <c r="B73" i="7" a="1"/>
  <c r="B82" i="7" a="1"/>
  <c r="F90" i="7" a="1"/>
  <c r="F102" i="7" a="1"/>
  <c r="F99" i="7" a="1"/>
  <c r="B120" i="7" a="1"/>
  <c r="H47" i="7" a="1"/>
  <c r="E44" i="7" a="1"/>
  <c r="C127" i="7" a="1"/>
  <c r="C84" i="7" a="1"/>
  <c r="D54" i="7" a="1"/>
  <c r="C55" i="7" a="1"/>
  <c r="B27" i="7" a="1"/>
  <c r="E115" i="7" a="1"/>
  <c r="I105" i="7" a="1"/>
  <c r="F88" i="7" a="1"/>
  <c r="D71" i="7" a="1"/>
  <c r="B58" i="7" a="1"/>
  <c r="F43" i="7" a="1"/>
  <c r="H118" i="7" a="1"/>
  <c r="F94" i="7" a="1"/>
  <c r="D66" i="7" a="1"/>
  <c r="C67" i="7" a="1"/>
  <c r="I114" i="7" a="1"/>
  <c r="H115" i="7" a="1"/>
  <c r="D104" i="7" a="1"/>
  <c r="B124" i="7" a="1"/>
  <c r="D69" i="7" a="1"/>
  <c r="I101" i="7" a="1"/>
  <c r="F76" i="7" a="1"/>
  <c r="D86" i="7" a="1"/>
  <c r="H42" i="7" a="1"/>
  <c r="B96" i="7" a="1"/>
  <c r="I118" i="7" a="1"/>
  <c r="E70" i="7" a="1"/>
  <c r="D116" i="7" a="1"/>
  <c r="F74" i="7" a="1"/>
  <c r="D27" i="7" a="1"/>
  <c r="B107" i="7" a="1"/>
  <c r="H113" i="7" a="1"/>
  <c r="F21" i="7" a="1"/>
  <c r="F97" i="7" a="1"/>
  <c r="H122" i="7" a="1"/>
  <c r="H105" i="7" a="1"/>
  <c r="I95" i="7" a="1"/>
  <c r="H54" i="7" a="1"/>
  <c r="F26" i="7" a="1"/>
  <c r="B86" i="7" a="1"/>
  <c r="D40" i="7" a="1"/>
  <c r="I90" i="7" a="1"/>
  <c r="B76" i="7" a="1"/>
  <c r="I15" i="7" a="1"/>
  <c r="E37" i="7" a="1"/>
  <c r="F116" i="7" a="1"/>
  <c r="H29" i="7" a="1"/>
  <c r="F47" i="7" a="1"/>
  <c r="I50" i="7" a="1"/>
  <c r="I99" i="7" a="1"/>
  <c r="D109" i="7" a="1"/>
  <c r="B75" i="7" a="1"/>
  <c r="I14" i="7" a="1"/>
  <c r="I33" i="7" a="1"/>
  <c r="D92" i="7" a="1"/>
  <c r="E74" i="7" a="1"/>
  <c r="I123" i="7" a="1"/>
  <c r="C92" i="7" a="1"/>
  <c r="E109" i="7" a="1"/>
  <c r="I17" i="7" a="1"/>
  <c r="F70" i="7" a="1"/>
  <c r="F38" i="7" a="1"/>
  <c r="D56" i="7" a="1"/>
  <c r="B99" i="7" a="1"/>
  <c r="C40" i="7" a="1"/>
  <c r="F41" i="7" a="1"/>
  <c r="D46" i="7" a="1"/>
  <c r="D43" i="7" a="1"/>
  <c r="B79" i="7" a="1"/>
  <c r="C72" i="7" a="1"/>
  <c r="B81" i="7" a="1"/>
  <c r="E77" i="7" a="1"/>
  <c r="C33" i="7" a="1"/>
  <c r="I89" i="7" a="1"/>
  <c r="D62" i="7" a="1"/>
  <c r="F92" i="7" a="1"/>
  <c r="E117" i="7" a="1"/>
  <c r="H20" i="7" a="1"/>
  <c r="B63" i="7" a="1"/>
  <c r="C120" i="7" a="1"/>
  <c r="H41" i="7" a="1"/>
  <c r="C63" i="7" a="1"/>
  <c r="I125" i="7" a="1"/>
  <c r="E83" i="7" a="1"/>
  <c r="C74" i="7" a="1"/>
  <c r="D112" i="7" a="1"/>
  <c r="E120" i="7" a="1"/>
  <c r="E82" i="7" a="1"/>
  <c r="H34" i="7" a="1"/>
  <c r="C36" i="7" a="1"/>
  <c r="E126" i="7" a="1"/>
  <c r="F71" i="7" a="1"/>
  <c r="I26" i="7" a="1"/>
  <c r="D25" i="7" a="1"/>
  <c r="C87" i="7" a="1"/>
  <c r="F114" i="7" a="1"/>
  <c r="D83" i="7" a="1"/>
  <c r="C27" i="7" a="1"/>
  <c r="F24" i="7" a="1"/>
  <c r="B127" i="7" a="1"/>
  <c r="H84" i="7" a="1"/>
  <c r="F30" i="7" a="1"/>
  <c r="B44" i="7" a="1"/>
  <c r="F111" i="7" a="1"/>
  <c r="H65" i="7" a="1"/>
  <c r="D85" i="7" a="1"/>
  <c r="I69" i="7" a="1"/>
  <c r="B128" i="7" a="1"/>
  <c r="B18" i="7" a="1"/>
  <c r="D111" i="7" a="1"/>
  <c r="I102" i="7" a="1"/>
  <c r="C115" i="7" a="1"/>
  <c r="D103" i="7" a="1"/>
  <c r="I109" i="7" a="1"/>
  <c r="I56" i="7" a="1"/>
  <c r="F123" i="7" a="1"/>
  <c r="F52" i="7" a="1"/>
  <c r="C125" i="7" a="1"/>
  <c r="B23" i="7" a="1"/>
  <c r="B37" i="7" a="1"/>
  <c r="H87" i="7" a="1"/>
  <c r="I38" i="7" a="1"/>
  <c r="F60" i="7" a="1"/>
  <c r="E123" i="7" a="1"/>
  <c r="E61" i="7" a="1"/>
  <c r="C54" i="7" a="1"/>
  <c r="F83" i="7" a="1"/>
  <c r="H44" i="7" a="1"/>
  <c r="B83" i="7" a="1"/>
  <c r="E110" i="7" a="1"/>
  <c r="C26" i="7" a="1"/>
  <c r="H24" i="7" a="1"/>
  <c r="I16" i="7" a="1"/>
  <c r="I72" i="7" a="1"/>
  <c r="B70" i="7" a="1"/>
  <c r="I112" i="7" a="1"/>
  <c r="D97" i="7" a="1"/>
  <c r="C103" i="7" a="1"/>
  <c r="B108" i="7" a="1"/>
  <c r="D63" i="7" a="1"/>
  <c r="B78" i="7" a="1"/>
  <c r="H89" i="7" a="1"/>
  <c r="H117" i="7" a="1"/>
  <c r="D115" i="7" a="1"/>
  <c r="F84" i="7" a="1"/>
  <c r="E127" i="7" a="1"/>
  <c r="C65" i="7" a="1"/>
  <c r="E54" i="7" a="1"/>
  <c r="I27" i="7" a="1"/>
  <c r="F33" i="7" a="1"/>
  <c r="H103" i="7" a="1"/>
  <c r="D12" i="7" a="1"/>
  <c r="E119" i="7" a="1"/>
  <c r="H109" i="7" a="1"/>
  <c r="I94" i="7" a="1"/>
  <c r="B74" i="7" a="1"/>
  <c r="E47" i="7" a="1"/>
  <c r="D59" i="7" a="1"/>
  <c r="E64" i="7" a="1"/>
  <c r="H102" i="7" a="1"/>
  <c r="C101" i="7" a="1"/>
  <c r="D36" i="7" a="1"/>
  <c r="C107" i="7" a="1"/>
  <c r="I97" i="7" a="1"/>
  <c r="B61" i="7" a="1"/>
  <c r="C29" i="7" a="1"/>
  <c r="E21" i="7" a="1"/>
  <c r="E101" i="7" a="1"/>
  <c r="E100" i="7" a="1"/>
  <c r="B38" i="7" a="1"/>
  <c r="E27" i="7" a="1"/>
  <c r="C128" i="7" a="1"/>
  <c r="F72" i="7" a="1"/>
  <c r="C108" i="7" a="1"/>
  <c r="B110" i="7" a="1"/>
  <c r="F75" i="7" a="1"/>
  <c r="B19" i="7" a="1"/>
  <c r="H58" i="7" a="1"/>
  <c r="E68" i="7" a="1"/>
  <c r="H121" i="7" a="1"/>
  <c r="B42" i="7" a="1"/>
  <c r="I124" i="7" a="1"/>
  <c r="D29" i="7" a="1"/>
  <c r="E116" i="7" a="1"/>
  <c r="I57" i="7" a="1"/>
  <c r="B122" i="7" a="1"/>
  <c r="H62" i="7" a="1"/>
  <c r="H27" i="7" a="1"/>
  <c r="F85" i="7" a="1"/>
  <c r="B45" i="7" a="1"/>
  <c r="E34" i="7" a="1"/>
  <c r="B64" i="7" a="1"/>
  <c r="F86" i="7" a="1"/>
  <c r="F125" i="7" a="1"/>
  <c r="B92" i="7" a="1"/>
  <c r="H38" i="7" a="1"/>
  <c r="C49" i="7" a="1"/>
  <c r="C52" i="7" a="1"/>
  <c r="B32" i="7" a="1"/>
  <c r="F87" i="7" a="1"/>
  <c r="F128" i="7" a="1"/>
  <c r="B115" i="7" a="1"/>
  <c r="D98" i="7" a="1"/>
  <c r="H46" i="7" a="1"/>
  <c r="D106" i="7" a="1"/>
  <c r="E73" i="7" a="1"/>
  <c r="B66" i="7" a="1"/>
  <c r="B80" i="7" a="1"/>
  <c r="D84" i="7" a="1"/>
  <c r="F95" i="7" a="1"/>
  <c r="H75" i="7" a="1"/>
  <c r="I31" i="7" a="1"/>
  <c r="B53" i="7" a="1"/>
  <c r="I23" i="7" a="1"/>
  <c r="I18" i="7" a="1"/>
  <c r="D88" i="7" a="1"/>
  <c r="E48" i="7" a="1"/>
  <c r="H88" i="7" a="1"/>
  <c r="E42" i="7" a="1"/>
  <c r="F129" i="7" a="1"/>
  <c r="F118" i="7" a="1"/>
  <c r="D64" i="7" a="1"/>
  <c r="C46" i="7" a="1"/>
  <c r="C82" i="7" a="1"/>
  <c r="B26" i="7" a="1"/>
  <c r="I93" i="7" a="1"/>
  <c r="H53" i="7" a="1"/>
  <c r="F79" i="7" a="1"/>
  <c r="B94" i="7" a="1"/>
  <c r="D18" i="7" a="1"/>
  <c r="E103" i="7" a="1"/>
  <c r="C35" i="7" a="1"/>
  <c r="B84" i="7" a="1"/>
  <c r="H25" i="7" a="1"/>
  <c r="E45" i="7" a="1"/>
  <c r="D61" i="7" a="1"/>
  <c r="D101" i="7" a="1"/>
  <c r="E93" i="7" a="1"/>
  <c r="H39" i="7" a="1"/>
  <c r="H73" i="7" a="1"/>
  <c r="F127" i="7" a="1"/>
  <c r="D48" i="7" a="1"/>
  <c r="D41" i="7" a="1"/>
  <c r="I87" i="7" a="1"/>
  <c r="I36" i="7" a="1"/>
  <c r="C48" i="7" a="1"/>
  <c r="H36" i="7" a="1"/>
  <c r="H127" i="7" a="1"/>
  <c r="H18" i="7" a="1"/>
  <c r="E62" i="7" a="1"/>
  <c r="C121" i="7" a="1"/>
  <c r="F82" i="7" a="1"/>
  <c r="D127" i="7" a="1"/>
  <c r="H80" i="7" a="1"/>
  <c r="B100" i="7" a="1"/>
  <c r="I81" i="7" a="1"/>
  <c r="H95" i="7" a="1"/>
  <c r="H77" i="7" a="1"/>
  <c r="E72" i="7" a="1"/>
  <c r="F40" i="7" a="1"/>
  <c r="H91" i="7" a="1"/>
  <c r="E32" i="7" a="1"/>
  <c r="E112" i="7" a="1"/>
  <c r="D125" i="7" a="1"/>
  <c r="F80" i="7" a="1"/>
  <c r="H97" i="7" a="1"/>
  <c r="C20" i="7" a="1"/>
  <c r="F51" i="7" a="1"/>
  <c r="C96" i="7" a="1"/>
  <c r="E36" i="7" a="1"/>
  <c r="F68" i="7" a="1"/>
  <c r="E124" i="7" a="1"/>
  <c r="D99" i="7" a="1"/>
  <c r="E30" i="7" a="1"/>
  <c r="E90" i="7" a="1"/>
  <c r="E86" i="7" a="1"/>
  <c r="F18" i="7" a="1"/>
  <c r="D93" i="7" a="1"/>
  <c r="B47" i="7" a="1"/>
  <c r="E43" i="7" a="1"/>
  <c r="H17" i="7" a="1"/>
  <c r="B117" i="7" a="1"/>
  <c r="F63" i="7" a="1"/>
  <c r="I66" i="7" a="1"/>
  <c r="E59" i="7" a="1"/>
  <c r="C113" i="7" a="1"/>
  <c r="I64" i="7" a="1"/>
  <c r="I22" i="7" a="1"/>
  <c r="B22" i="7" a="1"/>
  <c r="C99" i="7" a="1"/>
  <c r="D53" i="7" a="1"/>
  <c r="F121" i="7" a="1"/>
  <c r="E98" i="7" a="1"/>
  <c r="F96" i="7" a="1"/>
  <c r="F69" i="7" a="1"/>
  <c r="C34" i="7" a="1"/>
  <c r="E91" i="7" a="1"/>
  <c r="E56" i="7" a="1"/>
  <c r="I106" i="7" a="1"/>
  <c r="I49" i="7" a="1"/>
  <c r="D122" i="7" a="1"/>
  <c r="I80" i="7" a="1"/>
  <c r="E67" i="7" a="1"/>
  <c r="I79" i="7" a="1"/>
  <c r="B98" i="7" a="1"/>
  <c r="D90" i="7" a="1"/>
  <c r="I103" i="7" a="1"/>
  <c r="H30" i="7" a="1"/>
  <c r="C102" i="7" a="1"/>
  <c r="C88" i="7" a="1"/>
  <c r="H28" i="7" a="1"/>
  <c r="I37" i="7" a="1"/>
  <c r="D120" i="7" a="1"/>
  <c r="B123" i="7" a="1"/>
  <c r="E95" i="7" a="1"/>
  <c r="C61" i="7" a="1"/>
  <c r="F45" i="7" a="1"/>
  <c r="E80" i="7" a="1"/>
  <c r="F103" i="7" a="1"/>
  <c r="C91" i="7" a="1"/>
  <c r="C47" i="7" a="1"/>
  <c r="H64" i="7" a="1"/>
  <c r="I129" i="7" a="1"/>
  <c r="B121" i="7" a="1"/>
  <c r="I73" i="7" a="1"/>
  <c r="E53" i="7" a="1"/>
  <c r="D110" i="7" a="1"/>
  <c r="E38" i="7" a="1"/>
  <c r="B112" i="7" a="1"/>
  <c r="I91" i="7" a="1"/>
  <c r="I110" i="7" a="1"/>
  <c r="B109" i="7" a="1"/>
  <c r="C70" i="7" a="1"/>
  <c r="F112" i="7" a="1"/>
  <c r="I47" i="7" a="1"/>
  <c r="H70" i="7" a="1"/>
  <c r="E81" i="7" a="1"/>
  <c r="C25" i="7" a="1"/>
  <c r="D96" i="7" a="1"/>
  <c r="I126" i="7" a="1"/>
  <c r="F78" i="7" a="1"/>
  <c r="I107" i="7" a="1"/>
  <c r="D65" i="7" a="1"/>
  <c r="B29" i="7" a="1"/>
  <c r="F108" i="7" a="1"/>
  <c r="D49" i="7" a="1"/>
  <c r="B105" i="7" a="1"/>
  <c r="I25" i="7" a="1"/>
  <c r="H26" i="7" a="1"/>
  <c r="E22" i="7" a="1"/>
  <c r="B33" i="7" a="1"/>
  <c r="D57" i="7" a="1"/>
  <c r="C71" i="7" a="1"/>
  <c r="C81" i="7" a="1"/>
  <c r="D72" i="7" a="1"/>
  <c r="B25" i="7" a="1"/>
  <c r="E33" i="7" a="1"/>
  <c r="F55" i="7" a="1"/>
  <c r="B89" i="7" a="1"/>
  <c r="D119" i="7" a="1"/>
  <c r="C66" i="7" a="1"/>
  <c r="I83" i="7" a="1"/>
  <c r="C104" i="7" a="1"/>
  <c r="D76" i="7" a="1"/>
  <c r="I104" i="7" a="1"/>
  <c r="E114" i="7" a="1"/>
  <c r="H40" i="7" a="1"/>
  <c r="D80" i="7" a="1"/>
  <c r="H35" i="7" a="1"/>
  <c r="B69" i="7" a="1"/>
  <c r="B97" i="7" a="1"/>
  <c r="D78" i="7" a="1"/>
  <c r="F58" i="7" a="1"/>
  <c r="B43" i="7" a="1"/>
  <c r="B102" i="7" a="1"/>
  <c r="F91" i="7" a="1"/>
  <c r="F113" i="7" a="1"/>
  <c r="B55" i="7" a="1"/>
  <c r="D60" i="7" a="1"/>
  <c r="B119" i="7" a="1"/>
  <c r="B118" i="7" a="1"/>
  <c r="H120" i="7" a="1"/>
  <c r="B60" i="7" a="1"/>
  <c r="E96" i="7" a="1"/>
  <c r="D124" i="7" a="1"/>
  <c r="H61" i="7" a="1"/>
  <c r="E29" i="7" a="1"/>
  <c r="C94" i="7" a="1"/>
  <c r="H106" i="7" a="1"/>
  <c r="H22" i="7" a="1"/>
  <c r="H129" i="7" a="1"/>
  <c r="C64" i="7" a="1"/>
  <c r="I39" i="7" a="1"/>
  <c r="F101" i="7" a="1"/>
  <c r="I12" i="7" a="1"/>
  <c r="E41" i="7" a="1"/>
  <c r="E108" i="7" a="1"/>
  <c r="I78" i="7" a="1"/>
  <c r="D68" i="7" l="1"/>
  <c r="I51" i="7"/>
  <c r="D108" i="7"/>
  <c r="D93" i="7"/>
  <c r="C86" i="7"/>
  <c r="E41" i="7"/>
  <c r="H107" i="7"/>
  <c r="F52" i="7"/>
  <c r="B44" i="7"/>
  <c r="E104" i="7"/>
  <c r="H81" i="7"/>
  <c r="F108" i="7"/>
  <c r="I85" i="7"/>
  <c r="C129" i="7"/>
  <c r="I18" i="7"/>
  <c r="E57" i="7"/>
  <c r="H126" i="7"/>
  <c r="H20" i="7"/>
  <c r="E69" i="7"/>
  <c r="E34" i="7"/>
  <c r="D106" i="7"/>
  <c r="H33" i="7"/>
  <c r="C35" i="7"/>
  <c r="I111" i="7"/>
  <c r="B101" i="7"/>
  <c r="F59" i="7"/>
  <c r="B18" i="7"/>
  <c r="B38" i="7"/>
  <c r="H92" i="7"/>
  <c r="F27" i="7"/>
  <c r="I117" i="7"/>
  <c r="I32" i="7"/>
  <c r="F73" i="7"/>
  <c r="E72" i="7"/>
  <c r="H129" i="7"/>
  <c r="H29" i="7"/>
  <c r="H34" i="7"/>
  <c r="H78" i="7"/>
  <c r="E61" i="7"/>
  <c r="F98" i="7"/>
  <c r="F118" i="7"/>
  <c r="D65" i="7"/>
  <c r="E101" i="7"/>
  <c r="C104" i="7"/>
  <c r="F56" i="7"/>
  <c r="E88" i="7"/>
  <c r="B102" i="7"/>
  <c r="I52" i="7"/>
  <c r="F102" i="7"/>
  <c r="E68" i="7"/>
  <c r="H109" i="7"/>
  <c r="D90" i="7"/>
  <c r="H95" i="7"/>
  <c r="I12" i="7"/>
  <c r="E102" i="7"/>
  <c r="C112" i="7"/>
  <c r="I38" i="7"/>
  <c r="C26" i="7"/>
  <c r="H122" i="7"/>
  <c r="I91" i="7"/>
  <c r="E117" i="7"/>
  <c r="C64" i="7"/>
  <c r="E91" i="7"/>
  <c r="D92" i="7"/>
  <c r="I78" i="7"/>
  <c r="C24" i="7"/>
  <c r="C100" i="7"/>
  <c r="B94" i="7"/>
  <c r="E79" i="7"/>
  <c r="B48" i="7"/>
  <c r="C109" i="7"/>
  <c r="E35" i="7"/>
  <c r="E24" i="7"/>
  <c r="I23" i="7"/>
  <c r="H125" i="7"/>
  <c r="H45" i="7"/>
  <c r="F82" i="7"/>
  <c r="E27" i="7"/>
  <c r="I119" i="7"/>
  <c r="D119" i="7"/>
  <c r="D57" i="7"/>
  <c r="I113" i="7"/>
  <c r="D70" i="7"/>
  <c r="H99" i="7"/>
  <c r="H114" i="7"/>
  <c r="D86" i="7"/>
  <c r="H65" i="7"/>
  <c r="I65" i="7"/>
  <c r="H96" i="7"/>
  <c r="C93" i="7"/>
  <c r="F95" i="7"/>
  <c r="F113" i="7"/>
  <c r="H84" i="7"/>
  <c r="C98" i="7"/>
  <c r="H63" i="7"/>
  <c r="E82" i="7"/>
  <c r="I71" i="7"/>
  <c r="B96" i="7"/>
  <c r="D56" i="7"/>
  <c r="H119" i="7"/>
  <c r="E76" i="7"/>
  <c r="C52" i="7"/>
  <c r="F64" i="7"/>
  <c r="H123" i="7"/>
  <c r="F100" i="7"/>
  <c r="C39" i="7"/>
  <c r="D126" i="7"/>
  <c r="F99" i="7"/>
  <c r="C117" i="7"/>
  <c r="D72" i="7"/>
  <c r="B117" i="7"/>
  <c r="F80" i="7"/>
  <c r="I87" i="7"/>
  <c r="B31" i="7"/>
  <c r="E51" i="7"/>
  <c r="F48" i="7"/>
  <c r="D55" i="7"/>
  <c r="I43" i="7"/>
  <c r="F41" i="7"/>
  <c r="I89" i="7"/>
  <c r="D105" i="7"/>
  <c r="E84" i="7"/>
  <c r="D112" i="7"/>
  <c r="D121" i="7"/>
  <c r="C97" i="7"/>
  <c r="I11" i="7"/>
  <c r="I53" i="7"/>
  <c r="E71" i="7"/>
  <c r="D60" i="7"/>
  <c r="E20" i="7"/>
  <c r="H61" i="7"/>
  <c r="I77" i="7"/>
  <c r="B83" i="7"/>
  <c r="I114" i="7"/>
  <c r="F71" i="7"/>
  <c r="E47" i="7"/>
  <c r="H22" i="7"/>
  <c r="D85" i="7"/>
  <c r="D19" i="7"/>
  <c r="D88" i="7"/>
  <c r="E33" i="7"/>
  <c r="B40" i="7"/>
  <c r="H113" i="7"/>
  <c r="E52" i="7"/>
  <c r="F107" i="7"/>
  <c r="F94" i="7"/>
  <c r="E93" i="7"/>
  <c r="E26" i="7"/>
  <c r="H82" i="7"/>
  <c r="D116" i="7"/>
  <c r="E29" i="7"/>
  <c r="D18" i="7"/>
  <c r="E43" i="7"/>
  <c r="I21" i="7"/>
  <c r="E50" i="7"/>
  <c r="C80" i="7"/>
  <c r="F70" i="7"/>
  <c r="F37" i="7"/>
  <c r="B41" i="7"/>
  <c r="B122" i="7"/>
  <c r="H76" i="7"/>
  <c r="C127" i="7"/>
  <c r="D120" i="7"/>
  <c r="F123" i="7"/>
  <c r="H43" i="7"/>
  <c r="B55" i="7"/>
  <c r="I57" i="7"/>
  <c r="F78" i="7"/>
  <c r="F121" i="7"/>
  <c r="I95" i="7"/>
  <c r="E59" i="7"/>
  <c r="H36" i="7"/>
  <c r="H112" i="7"/>
  <c r="C44" i="7"/>
  <c r="E99" i="7"/>
  <c r="D51" i="7"/>
  <c r="I14" i="7"/>
  <c r="F63" i="7"/>
  <c r="B45" i="7"/>
  <c r="F43" i="7"/>
  <c r="F126" i="7"/>
  <c r="D62" i="7"/>
  <c r="E21" i="7"/>
  <c r="D33" i="7"/>
  <c r="E126" i="7"/>
  <c r="D29" i="7"/>
  <c r="D34" i="7"/>
  <c r="E92" i="7"/>
  <c r="B129" i="7"/>
  <c r="C31" i="7"/>
  <c r="D31" i="7"/>
  <c r="C55" i="7"/>
  <c r="D36" i="7"/>
  <c r="E64" i="7"/>
  <c r="E83" i="7"/>
  <c r="I49" i="7"/>
  <c r="F83" i="7"/>
  <c r="E114" i="7"/>
  <c r="I56" i="7"/>
  <c r="H37" i="7"/>
  <c r="D96" i="7"/>
  <c r="I127" i="7"/>
  <c r="E58" i="7"/>
  <c r="I30" i="7"/>
  <c r="D52" i="7"/>
  <c r="H25" i="7"/>
  <c r="D122" i="7"/>
  <c r="C27" i="7"/>
  <c r="B68" i="7"/>
  <c r="H30" i="7"/>
  <c r="B51" i="7"/>
  <c r="E55" i="7"/>
  <c r="B75" i="7"/>
  <c r="E66" i="7"/>
  <c r="E90" i="7"/>
  <c r="I44" i="7"/>
  <c r="H120" i="7"/>
  <c r="E123" i="7"/>
  <c r="D50" i="7"/>
  <c r="E19" i="7"/>
  <c r="H53" i="7"/>
  <c r="I29" i="7"/>
  <c r="C45" i="7"/>
  <c r="H60" i="7"/>
  <c r="B91" i="7"/>
  <c r="H57" i="7"/>
  <c r="H97" i="7"/>
  <c r="D102" i="7"/>
  <c r="D103" i="7"/>
  <c r="H58" i="7"/>
  <c r="C48" i="7"/>
  <c r="E54" i="7"/>
  <c r="F54" i="7"/>
  <c r="H72" i="7"/>
  <c r="D41" i="7"/>
  <c r="E74" i="7"/>
  <c r="C68" i="7"/>
  <c r="H116" i="7"/>
  <c r="D22" i="7"/>
  <c r="I73" i="7"/>
  <c r="E42" i="7"/>
  <c r="D80" i="7"/>
  <c r="I37" i="7"/>
  <c r="C66" i="7"/>
  <c r="D82" i="7"/>
  <c r="B126" i="7"/>
  <c r="B58" i="7"/>
  <c r="I50" i="7"/>
  <c r="F66" i="7"/>
  <c r="B104" i="7"/>
  <c r="D59" i="7"/>
  <c r="D94" i="7"/>
  <c r="B111" i="7"/>
  <c r="H31" i="7"/>
  <c r="E85" i="7"/>
  <c r="E111" i="7"/>
  <c r="D47" i="7"/>
  <c r="F51" i="7"/>
  <c r="E87" i="7"/>
  <c r="E75" i="7"/>
  <c r="D98" i="7"/>
  <c r="H90" i="7"/>
  <c r="I102" i="7"/>
  <c r="H24" i="7"/>
  <c r="E127" i="7"/>
  <c r="B54" i="7"/>
  <c r="E103" i="7"/>
  <c r="F111" i="7"/>
  <c r="D74" i="7"/>
  <c r="F44" i="7"/>
  <c r="H83" i="7"/>
  <c r="C19" i="7"/>
  <c r="C43" i="7"/>
  <c r="E60" i="7"/>
  <c r="H101" i="7"/>
  <c r="I41" i="7"/>
  <c r="E129" i="7"/>
  <c r="C94" i="7"/>
  <c r="D100" i="7"/>
  <c r="I82" i="7"/>
  <c r="E112" i="7"/>
  <c r="F40" i="7"/>
  <c r="I107" i="7"/>
  <c r="H103" i="7"/>
  <c r="D12" i="7"/>
  <c r="I34" i="7"/>
  <c r="I106" i="7"/>
  <c r="I97" i="7"/>
  <c r="F117" i="7"/>
  <c r="F53" i="7"/>
  <c r="B93" i="7"/>
  <c r="C36" i="7"/>
  <c r="C37" i="7"/>
  <c r="F104" i="7"/>
  <c r="F21" i="7"/>
  <c r="C61" i="7"/>
  <c r="E108" i="7"/>
  <c r="F79" i="7"/>
  <c r="E45" i="7"/>
  <c r="D64" i="7"/>
  <c r="D61" i="7"/>
  <c r="F119" i="7"/>
  <c r="E28" i="7"/>
  <c r="B90" i="7"/>
  <c r="E48" i="7"/>
  <c r="D38" i="7"/>
  <c r="F86" i="7"/>
  <c r="D124" i="7"/>
  <c r="H67" i="7"/>
  <c r="I99" i="7"/>
  <c r="I72" i="7"/>
  <c r="D30" i="7"/>
  <c r="F90" i="7"/>
  <c r="F84" i="7"/>
  <c r="H111" i="7"/>
  <c r="I64" i="7"/>
  <c r="C72" i="7"/>
  <c r="H56" i="7"/>
  <c r="D66" i="7"/>
  <c r="F62" i="7"/>
  <c r="D97" i="7"/>
  <c r="I76" i="7"/>
  <c r="I47" i="7"/>
  <c r="E30" i="7"/>
  <c r="D91" i="7"/>
  <c r="E62" i="7"/>
  <c r="C91" i="7"/>
  <c r="H68" i="7"/>
  <c r="B123" i="7"/>
  <c r="B30" i="7"/>
  <c r="B17" i="7"/>
  <c r="I60" i="7"/>
  <c r="D46" i="7"/>
  <c r="D129" i="7"/>
  <c r="I35" i="7"/>
  <c r="I125" i="7"/>
  <c r="I46" i="7"/>
  <c r="B36" i="7"/>
  <c r="D32" i="7"/>
  <c r="I15" i="7"/>
  <c r="H87" i="7"/>
  <c r="I25" i="7"/>
  <c r="D42" i="7"/>
  <c r="D17" i="7"/>
  <c r="H79" i="7"/>
  <c r="F55" i="7"/>
  <c r="I27" i="7"/>
  <c r="I63" i="7"/>
  <c r="E56" i="7"/>
  <c r="I118" i="7"/>
  <c r="H38" i="7"/>
  <c r="F109" i="7"/>
  <c r="I22" i="7"/>
  <c r="I115" i="7"/>
  <c r="E53" i="7"/>
  <c r="F20" i="7"/>
  <c r="E96" i="7"/>
  <c r="F127" i="7"/>
  <c r="E31" i="7"/>
  <c r="B77" i="7"/>
  <c r="I48" i="7"/>
  <c r="D123" i="7"/>
  <c r="E36" i="7"/>
  <c r="H110" i="7"/>
  <c r="E46" i="7"/>
  <c r="I110" i="7"/>
  <c r="F88" i="7"/>
  <c r="F58" i="7"/>
  <c r="C99" i="7"/>
  <c r="B113" i="7"/>
  <c r="H23" i="7"/>
  <c r="I36" i="7"/>
  <c r="B47" i="7"/>
  <c r="F128" i="7"/>
  <c r="H32" i="7"/>
  <c r="C125" i="7"/>
  <c r="F31" i="7"/>
  <c r="E106" i="7"/>
  <c r="I16" i="7"/>
  <c r="D73" i="7"/>
  <c r="E17" i="7"/>
  <c r="E38" i="7"/>
  <c r="D76" i="7"/>
  <c r="H74" i="7"/>
  <c r="F68" i="7"/>
  <c r="F76" i="7"/>
  <c r="E40" i="7"/>
  <c r="F28" i="7"/>
  <c r="I124" i="7"/>
  <c r="E109" i="7"/>
  <c r="I108" i="7"/>
  <c r="E73" i="7"/>
  <c r="D111" i="7"/>
  <c r="E89" i="7"/>
  <c r="H108" i="7"/>
  <c r="D128" i="7"/>
  <c r="I20" i="7"/>
  <c r="I84" i="7"/>
  <c r="H77" i="7"/>
  <c r="F112" i="7"/>
  <c r="F34" i="7"/>
  <c r="D113" i="7"/>
  <c r="B63" i="7"/>
  <c r="I55" i="7"/>
  <c r="B46" i="7"/>
  <c r="D45" i="7"/>
  <c r="C77" i="7"/>
  <c r="F114" i="7"/>
  <c r="I129" i="7"/>
  <c r="B19" i="7"/>
  <c r="F45" i="7"/>
  <c r="C67" i="7"/>
  <c r="B62" i="7"/>
  <c r="D58" i="7"/>
  <c r="C69" i="7"/>
  <c r="I13" i="7"/>
  <c r="F74" i="7"/>
  <c r="F47" i="7"/>
  <c r="B50" i="7"/>
  <c r="C38" i="7"/>
  <c r="F22" i="7"/>
  <c r="B86" i="7"/>
  <c r="H106" i="7"/>
  <c r="C32" i="7"/>
  <c r="I94" i="7"/>
  <c r="E22" i="7"/>
  <c r="B79" i="7"/>
  <c r="E98" i="7"/>
  <c r="H42" i="7"/>
  <c r="H104" i="7"/>
  <c r="H98" i="7"/>
  <c r="D20" i="7"/>
  <c r="H21" i="7"/>
  <c r="D71" i="7"/>
  <c r="D79" i="7"/>
  <c r="I33" i="7"/>
  <c r="F57" i="7"/>
  <c r="B23" i="7"/>
  <c r="B80" i="7"/>
  <c r="D75" i="7"/>
  <c r="I58" i="7"/>
  <c r="F33" i="7"/>
  <c r="F122" i="7"/>
  <c r="B27" i="7"/>
  <c r="E37" i="7"/>
  <c r="E81" i="7"/>
  <c r="I121" i="7"/>
  <c r="H86" i="7"/>
  <c r="H75" i="7"/>
  <c r="C81" i="7"/>
  <c r="E86" i="7"/>
  <c r="C107" i="7"/>
  <c r="F23" i="7"/>
  <c r="B26" i="7"/>
  <c r="I45" i="7"/>
  <c r="B95" i="7"/>
  <c r="C118" i="7"/>
  <c r="B72" i="7"/>
  <c r="H128" i="7"/>
  <c r="I126" i="7"/>
  <c r="C85" i="7"/>
  <c r="B127" i="7"/>
  <c r="C60" i="7"/>
  <c r="B78" i="7"/>
  <c r="H17" i="7"/>
  <c r="D21" i="7"/>
  <c r="D26" i="7"/>
  <c r="B21" i="7"/>
  <c r="I98" i="7"/>
  <c r="F77" i="7"/>
  <c r="I101" i="7"/>
  <c r="H93" i="7"/>
  <c r="C22" i="7"/>
  <c r="H18" i="7"/>
  <c r="I116" i="7"/>
  <c r="E70" i="7"/>
  <c r="D25" i="7"/>
  <c r="F50" i="7"/>
  <c r="F75" i="7"/>
  <c r="F101" i="7"/>
  <c r="I70" i="7"/>
  <c r="B105" i="7"/>
  <c r="B22" i="7"/>
  <c r="C124" i="7"/>
  <c r="D118" i="7"/>
  <c r="H49" i="7"/>
  <c r="C71" i="7"/>
  <c r="B124" i="7"/>
  <c r="I24" i="7"/>
  <c r="F103" i="7"/>
  <c r="F17" i="7"/>
  <c r="C126" i="7"/>
  <c r="D77" i="7"/>
  <c r="I66" i="7"/>
  <c r="H102" i="7"/>
  <c r="F125" i="7"/>
  <c r="E124" i="7"/>
  <c r="D78" i="7"/>
  <c r="I28" i="7"/>
  <c r="F129" i="7"/>
  <c r="E32" i="7"/>
  <c r="B34" i="7"/>
  <c r="C123" i="7"/>
  <c r="I40" i="7"/>
  <c r="C29" i="7"/>
  <c r="B67" i="7"/>
  <c r="B66" i="7"/>
  <c r="H59" i="7"/>
  <c r="B57" i="7"/>
  <c r="F87" i="7"/>
  <c r="H127" i="7"/>
  <c r="I19" i="7"/>
  <c r="D67" i="7"/>
  <c r="H94" i="7"/>
  <c r="H89" i="7"/>
  <c r="C59" i="7"/>
  <c r="D43" i="7"/>
  <c r="B29" i="7"/>
  <c r="D39" i="7"/>
  <c r="H50" i="7"/>
  <c r="H115" i="7"/>
  <c r="F35" i="7"/>
  <c r="D83" i="7"/>
  <c r="C65" i="7"/>
  <c r="C113" i="7"/>
  <c r="H100" i="7"/>
  <c r="E80" i="7"/>
  <c r="C102" i="7"/>
  <c r="H71" i="7"/>
  <c r="H124" i="7"/>
  <c r="C78" i="7"/>
  <c r="F120" i="7"/>
  <c r="F42" i="7"/>
  <c r="E113" i="7"/>
  <c r="B97" i="7"/>
  <c r="H41" i="7"/>
  <c r="B119" i="7"/>
  <c r="C92" i="7"/>
  <c r="C23" i="7"/>
  <c r="F72" i="7"/>
  <c r="C110" i="7"/>
  <c r="D49" i="7"/>
  <c r="B39" i="7"/>
  <c r="B53" i="7"/>
  <c r="E44" i="7"/>
  <c r="C111" i="7"/>
  <c r="B85" i="7"/>
  <c r="I92" i="7"/>
  <c r="C87" i="7"/>
  <c r="C83" i="7"/>
  <c r="C51" i="7"/>
  <c r="H35" i="7"/>
  <c r="E110" i="7"/>
  <c r="B125" i="7"/>
  <c r="D87" i="7"/>
  <c r="D99" i="7"/>
  <c r="F30" i="7"/>
  <c r="C89" i="7"/>
  <c r="E23" i="7"/>
  <c r="F89" i="7"/>
  <c r="F105" i="7"/>
  <c r="H47" i="7"/>
  <c r="C84" i="7"/>
  <c r="H88" i="7"/>
  <c r="C106" i="7"/>
  <c r="I39" i="7"/>
  <c r="C73" i="7"/>
  <c r="C62" i="7"/>
  <c r="H105" i="7"/>
  <c r="H73" i="7"/>
  <c r="D117" i="7"/>
  <c r="H55" i="7"/>
  <c r="I109" i="7"/>
  <c r="B128" i="7"/>
  <c r="I123" i="7"/>
  <c r="B107" i="7"/>
  <c r="E116" i="7"/>
  <c r="F25" i="7"/>
  <c r="D37" i="7"/>
  <c r="C103" i="7"/>
  <c r="I96" i="7"/>
  <c r="C34" i="7"/>
  <c r="F85" i="7"/>
  <c r="D95" i="7"/>
  <c r="H40" i="7"/>
  <c r="D109" i="7"/>
  <c r="I86" i="7"/>
  <c r="E95" i="7"/>
  <c r="B60" i="7"/>
  <c r="C74" i="7"/>
  <c r="B59" i="7"/>
  <c r="I68" i="7"/>
  <c r="D125" i="7"/>
  <c r="D115" i="7"/>
  <c r="D44" i="7"/>
  <c r="I67" i="7"/>
  <c r="E125" i="7"/>
  <c r="F124" i="7"/>
  <c r="B103" i="7"/>
  <c r="B109" i="7"/>
  <c r="C21" i="7"/>
  <c r="C82" i="7"/>
  <c r="D69" i="7"/>
  <c r="C49" i="7"/>
  <c r="C101" i="7"/>
  <c r="C114" i="7"/>
  <c r="H39" i="7"/>
  <c r="B65" i="7"/>
  <c r="H26" i="7"/>
  <c r="C30" i="7"/>
  <c r="B92" i="7"/>
  <c r="B24" i="7"/>
  <c r="C119" i="7"/>
  <c r="I69" i="7"/>
  <c r="B28" i="7"/>
  <c r="E49" i="7"/>
  <c r="I80" i="7"/>
  <c r="I122" i="7"/>
  <c r="B37" i="7"/>
  <c r="B49" i="7"/>
  <c r="B56" i="7"/>
  <c r="C20" i="7"/>
  <c r="B70" i="7"/>
  <c r="C108" i="7"/>
  <c r="E119" i="7"/>
  <c r="F46" i="7"/>
  <c r="F91" i="7"/>
  <c r="D53" i="7"/>
  <c r="H64" i="7"/>
  <c r="E107" i="7"/>
  <c r="H69" i="7"/>
  <c r="B73" i="7"/>
  <c r="B71" i="7"/>
  <c r="E128" i="7"/>
  <c r="E115" i="7"/>
  <c r="I75" i="7"/>
  <c r="E105" i="7"/>
  <c r="E94" i="7"/>
  <c r="C46" i="7"/>
  <c r="I61" i="7"/>
  <c r="F65" i="7"/>
  <c r="F81" i="7"/>
  <c r="C88" i="7"/>
  <c r="C120" i="7"/>
  <c r="B76" i="7"/>
  <c r="C18" i="7"/>
  <c r="E122" i="7"/>
  <c r="B81" i="7"/>
  <c r="B120" i="7"/>
  <c r="C116" i="7"/>
  <c r="C63" i="7"/>
  <c r="B35" i="7"/>
  <c r="C96" i="7"/>
  <c r="H70" i="7"/>
  <c r="I74" i="7"/>
  <c r="F106" i="7"/>
  <c r="B87" i="7"/>
  <c r="F93" i="7"/>
  <c r="F60" i="7"/>
  <c r="D48" i="7"/>
  <c r="D23" i="7"/>
  <c r="E18" i="7"/>
  <c r="B100" i="7"/>
  <c r="B108" i="7"/>
  <c r="B64" i="7"/>
  <c r="C50" i="7"/>
  <c r="B69" i="7"/>
  <c r="B42" i="7"/>
  <c r="H85" i="7"/>
  <c r="E63" i="7"/>
  <c r="F19" i="7"/>
  <c r="F61" i="7"/>
  <c r="F39" i="7"/>
  <c r="F24" i="7"/>
  <c r="D114" i="7"/>
  <c r="D27" i="7"/>
  <c r="C47" i="7"/>
  <c r="D24" i="7"/>
  <c r="F36" i="7"/>
  <c r="D127" i="7"/>
  <c r="H46" i="7"/>
  <c r="I128" i="7"/>
  <c r="E97" i="7"/>
  <c r="B74" i="7"/>
  <c r="E120" i="7"/>
  <c r="E25" i="7"/>
  <c r="F26" i="7"/>
  <c r="B114" i="7"/>
  <c r="H52" i="7"/>
  <c r="C40" i="7"/>
  <c r="C28" i="7"/>
  <c r="I42" i="7"/>
  <c r="C53" i="7"/>
  <c r="B82" i="7"/>
  <c r="C33" i="7"/>
  <c r="C57" i="7"/>
  <c r="C41" i="7"/>
  <c r="F32" i="7"/>
  <c r="I120" i="7"/>
  <c r="B115" i="7"/>
  <c r="F115" i="7"/>
  <c r="E78" i="7"/>
  <c r="E67" i="7"/>
  <c r="C56" i="7"/>
  <c r="F92" i="7"/>
  <c r="C76" i="7"/>
  <c r="H54" i="7"/>
  <c r="I31" i="7"/>
  <c r="D40" i="7"/>
  <c r="H19" i="7"/>
  <c r="E100" i="7"/>
  <c r="B88" i="7"/>
  <c r="C121" i="7"/>
  <c r="B32" i="7"/>
  <c r="C70" i="7"/>
  <c r="I100" i="7"/>
  <c r="E121" i="7"/>
  <c r="H117" i="7"/>
  <c r="C75" i="7"/>
  <c r="H118" i="7"/>
  <c r="B121" i="7"/>
  <c r="F97" i="7"/>
  <c r="D89" i="7"/>
  <c r="I90" i="7"/>
  <c r="D107" i="7"/>
  <c r="F18" i="7"/>
  <c r="B99" i="7"/>
  <c r="I103" i="7"/>
  <c r="E39" i="7"/>
  <c r="F69" i="7"/>
  <c r="F110" i="7"/>
  <c r="B84" i="7"/>
  <c r="I112" i="7"/>
  <c r="B52" i="7"/>
  <c r="I79" i="7"/>
  <c r="H66" i="7"/>
  <c r="C58" i="7"/>
  <c r="C105" i="7"/>
  <c r="B110" i="7"/>
  <c r="C17" i="7"/>
  <c r="C79" i="7"/>
  <c r="D54" i="7"/>
  <c r="H121" i="7"/>
  <c r="F38" i="7"/>
  <c r="B116" i="7"/>
  <c r="H27" i="7"/>
  <c r="H48" i="7"/>
  <c r="F49" i="7"/>
  <c r="C25" i="7"/>
  <c r="D110" i="7"/>
  <c r="D84" i="7"/>
  <c r="D101" i="7"/>
  <c r="H44" i="7"/>
  <c r="C54" i="7"/>
  <c r="B61" i="7"/>
  <c r="I26" i="7"/>
  <c r="I81" i="7"/>
  <c r="I62" i="7"/>
  <c r="I59" i="7"/>
  <c r="B106" i="7"/>
  <c r="B25" i="7"/>
  <c r="E118" i="7"/>
  <c r="E77" i="7"/>
  <c r="C122" i="7"/>
  <c r="D35" i="7"/>
  <c r="I93" i="7"/>
  <c r="F96" i="7"/>
  <c r="B33" i="7"/>
  <c r="H51" i="7"/>
  <c r="B20" i="7"/>
  <c r="C90" i="7"/>
  <c r="C42" i="7"/>
  <c r="C115" i="7"/>
  <c r="I88" i="7"/>
  <c r="D28" i="7"/>
  <c r="F116" i="7"/>
  <c r="I17" i="7"/>
  <c r="F67" i="7"/>
  <c r="D63" i="7"/>
  <c r="D104" i="7"/>
  <c r="B112" i="7"/>
  <c r="H28" i="7"/>
  <c r="H62" i="7"/>
  <c r="I83" i="7"/>
  <c r="E65" i="7"/>
  <c r="I54" i="7"/>
  <c r="I105" i="7"/>
  <c r="H91" i="7"/>
  <c r="B89" i="7"/>
  <c r="B118" i="7"/>
  <c r="B43" i="7"/>
  <c r="B98" i="7"/>
  <c r="C128" i="7"/>
  <c r="C95" i="7"/>
  <c r="H80" i="7"/>
  <c r="I104" i="7"/>
  <c r="F29" i="7"/>
  <c r="D81" i="7"/>
  <c r="C158" i="7" a="1"/>
  <c r="C154" i="7" a="1"/>
  <c r="C221" i="7" a="1"/>
  <c r="B197" i="7" a="1"/>
  <c r="C138" i="7" a="1"/>
  <c r="E214" i="7" a="1"/>
  <c r="E158" i="7" a="1"/>
  <c r="E187" i="7" a="1"/>
  <c r="B184" i="7" a="1"/>
  <c r="E205" i="7" a="1"/>
  <c r="B149" i="7" a="1"/>
  <c r="E202" i="7" a="1"/>
  <c r="C191" i="7" a="1"/>
  <c r="B223" i="7" a="1"/>
  <c r="C135" i="7" a="1"/>
  <c r="B206" i="7" a="1"/>
  <c r="E171" i="7" a="1"/>
  <c r="C168" i="7" a="1"/>
  <c r="E216" i="7" a="1"/>
  <c r="C180" i="7" a="1"/>
  <c r="C184" i="7" a="1"/>
  <c r="C218" i="7" a="1"/>
  <c r="E186" i="7" a="1"/>
  <c r="E146" i="7" a="1"/>
  <c r="E223" i="7" a="1"/>
  <c r="E236" i="7" a="1"/>
  <c r="C137" i="7" a="1"/>
  <c r="B221" i="7" a="1"/>
  <c r="B152" i="7" a="1"/>
  <c r="B182" i="7" a="1"/>
  <c r="C230" i="7" a="1"/>
  <c r="B226" i="7" a="1"/>
  <c r="E207" i="7" a="1"/>
  <c r="B171" i="7" a="1"/>
  <c r="E229" i="7" a="1"/>
  <c r="E200" i="7" a="1"/>
  <c r="B233" i="7" a="1"/>
  <c r="B201" i="7" a="1"/>
  <c r="C171" i="7" a="1"/>
  <c r="B232" i="7" a="1"/>
  <c r="C228" i="7" a="1"/>
  <c r="B185" i="7" a="1"/>
  <c r="C175" i="7" a="1"/>
  <c r="B240" i="7" a="1"/>
  <c r="B204" i="7" a="1"/>
  <c r="I145" i="7" a="1"/>
  <c r="I245" i="7" a="1"/>
  <c r="I143" i="7" a="1"/>
  <c r="I229" i="7" a="1"/>
  <c r="I239" i="7" a="1"/>
  <c r="I164" i="7" a="1"/>
  <c r="I204" i="7" a="1"/>
  <c r="I173" i="7" a="1"/>
  <c r="I137" i="7" a="1"/>
  <c r="I195" i="7" a="1"/>
  <c r="I158" i="7" a="1"/>
  <c r="I233" i="7" a="1"/>
  <c r="I210" i="7" a="1"/>
  <c r="I215" i="7" a="1"/>
  <c r="B244" i="7" a="1"/>
  <c r="B155" i="7" a="1"/>
  <c r="B242" i="7" a="1"/>
  <c r="C203" i="7" a="1"/>
  <c r="B189" i="7" a="1"/>
  <c r="B167" i="7" a="1"/>
  <c r="E145" i="7" a="1"/>
  <c r="E147" i="7" a="1"/>
  <c r="C132" i="7" a="1"/>
  <c r="I178" i="7" a="1"/>
  <c r="I179" i="7" a="1"/>
  <c r="I241" i="7" a="1"/>
  <c r="I152" i="7" a="1"/>
  <c r="I212" i="7" a="1"/>
  <c r="I209" i="7" a="1"/>
  <c r="I207" i="7" a="1"/>
  <c r="I171" i="7" a="1"/>
  <c r="I146" i="7" a="1"/>
  <c r="B215" i="7" a="1"/>
  <c r="I176" i="7" a="1"/>
  <c r="I136" i="7" a="1"/>
  <c r="I132" i="7" a="1"/>
  <c r="I192" i="7" a="1"/>
  <c r="I186" i="7" a="1"/>
  <c r="I170" i="7" a="1"/>
  <c r="I216" i="7" a="1"/>
  <c r="I213" i="7" a="1"/>
  <c r="B150" i="7" a="1"/>
  <c r="I165" i="7" a="1"/>
  <c r="I135" i="7" a="1"/>
  <c r="B214" i="7" a="1"/>
  <c r="B157" i="7" a="1"/>
  <c r="E212" i="7" a="1"/>
  <c r="B192" i="7" a="1"/>
  <c r="C174" i="7" a="1"/>
  <c r="B138" i="7" a="1"/>
  <c r="B137" i="7" a="1"/>
  <c r="C208" i="7" a="1"/>
  <c r="E179" i="7" a="1"/>
  <c r="E154" i="7" a="1"/>
  <c r="C249" i="7" a="1"/>
  <c r="E139" i="7" a="1"/>
  <c r="B160" i="7" a="1"/>
  <c r="C188" i="7" a="1"/>
  <c r="C219" i="7" a="1"/>
  <c r="C233" i="7" a="1"/>
  <c r="C185" i="7" a="1"/>
  <c r="E190" i="7" a="1"/>
  <c r="C164" i="7" a="1"/>
  <c r="C134" i="7" a="1"/>
  <c r="C206" i="7" a="1"/>
  <c r="E203" i="7" a="1"/>
  <c r="B198" i="7" a="1"/>
  <c r="E156" i="7" a="1"/>
  <c r="B249" i="7" a="1"/>
  <c r="E218" i="7" a="1"/>
  <c r="E138" i="7" a="1"/>
  <c r="E213" i="7" a="1"/>
  <c r="C177" i="7" a="1"/>
  <c r="E132" i="7" a="1"/>
  <c r="B237" i="7" a="1"/>
  <c r="B191" i="7" a="1"/>
  <c r="I160" i="7" a="1"/>
  <c r="I196" i="7" a="1"/>
  <c r="I148" i="7" a="1"/>
  <c r="E155" i="7" a="1"/>
  <c r="B196" i="7" a="1"/>
  <c r="I130" i="7" a="1"/>
  <c r="I197" i="7" a="1"/>
  <c r="I140" i="7" a="1"/>
  <c r="I175" i="7" a="1"/>
  <c r="B248" i="7" a="1"/>
  <c r="I184" i="7" a="1"/>
  <c r="I224" i="7" a="1"/>
  <c r="C211" i="7" a="1"/>
  <c r="I180" i="7" a="1"/>
  <c r="I139" i="7" a="1"/>
  <c r="I159" i="7" a="1"/>
  <c r="I248" i="7" a="1"/>
  <c r="I181" i="7" a="1"/>
  <c r="I138" i="7" a="1"/>
  <c r="I157" i="7" a="1"/>
  <c r="B208" i="7" a="1"/>
  <c r="B181" i="7" a="1"/>
  <c r="C145" i="7" a="1"/>
  <c r="B145" i="7" a="1"/>
  <c r="C200" i="7" a="1"/>
  <c r="E238" i="7" a="1"/>
  <c r="B162" i="7" a="1"/>
  <c r="E135" i="7" a="1"/>
  <c r="C172" i="7" a="1"/>
  <c r="B158" i="7" a="1"/>
  <c r="C131" i="7" a="1"/>
  <c r="C153" i="7" a="1"/>
  <c r="C136" i="7" a="1"/>
  <c r="B246" i="7" a="1"/>
  <c r="E185" i="7" a="1"/>
  <c r="E184" i="7" a="1"/>
  <c r="C201" i="7" a="1"/>
  <c r="B228" i="7" a="1"/>
  <c r="B199" i="7" a="1"/>
  <c r="E137" i="7" a="1"/>
  <c r="E242" i="7" a="1"/>
  <c r="C246" i="7" a="1"/>
  <c r="C205" i="7" a="1"/>
  <c r="E245" i="7" a="1"/>
  <c r="C198" i="7" a="1"/>
  <c r="C195" i="7" a="1"/>
  <c r="E232" i="7" a="1"/>
  <c r="E143" i="7" a="1"/>
  <c r="E219" i="7" a="1"/>
  <c r="B180" i="7" a="1"/>
  <c r="B241" i="7" a="1"/>
  <c r="B154" i="7" a="1"/>
  <c r="C210" i="7" a="1"/>
  <c r="C240" i="7" a="1"/>
  <c r="C215" i="7" a="1"/>
  <c r="B193" i="7" a="1"/>
  <c r="E148" i="7" a="1"/>
  <c r="C140" i="7" a="1"/>
  <c r="B216" i="7" a="1"/>
  <c r="B212" i="7" a="1"/>
  <c r="B159" i="7" a="1"/>
  <c r="E215" i="7" a="1"/>
  <c r="I199" i="7" a="1"/>
  <c r="I131" i="7" a="1"/>
  <c r="I240" i="7" a="1"/>
  <c r="I144" i="7" a="1"/>
  <c r="C178" i="7" a="1"/>
  <c r="I177" i="7" a="1"/>
  <c r="I214" i="7" a="1"/>
  <c r="I194" i="7" a="1"/>
  <c r="I155" i="7" a="1"/>
  <c r="I225" i="7" a="1"/>
  <c r="I162" i="7" a="1"/>
  <c r="I242" i="7" a="1"/>
  <c r="I133" i="7" a="1"/>
  <c r="I134" i="7" a="1"/>
  <c r="E225" i="7" a="1"/>
  <c r="E183" i="7" a="1"/>
  <c r="B203" i="7" a="1"/>
  <c r="B140" i="7" a="1"/>
  <c r="E151" i="7" a="1"/>
  <c r="E191" i="7" a="1"/>
  <c r="B131" i="7" a="1"/>
  <c r="B174" i="7" a="1"/>
  <c r="B227" i="7" a="1"/>
  <c r="E228" i="7" a="1"/>
  <c r="E244" i="7" a="1"/>
  <c r="B169" i="7" a="1"/>
  <c r="C182" i="7" a="1"/>
  <c r="B141" i="7" a="1"/>
  <c r="E196" i="7" a="1"/>
  <c r="E204" i="7" a="1"/>
  <c r="B225" i="7" a="1"/>
  <c r="B144" i="7" a="1"/>
  <c r="B168" i="7" a="1"/>
  <c r="E220" i="7" a="1"/>
  <c r="E142" i="7" a="1"/>
  <c r="C156" i="7" a="1"/>
  <c r="B148" i="7" a="1"/>
  <c r="E173" i="7" a="1"/>
  <c r="C187" i="7" a="1"/>
  <c r="C197" i="7" a="1"/>
  <c r="E226" i="7" a="1"/>
  <c r="C199" i="7" a="1"/>
  <c r="C220" i="7" a="1"/>
  <c r="B175" i="7" a="1"/>
  <c r="C241" i="7" a="1"/>
  <c r="C234" i="7" a="1"/>
  <c r="B136" i="7" a="1"/>
  <c r="C236" i="7" a="1"/>
  <c r="B245" i="7" a="1"/>
  <c r="C196" i="7" a="1"/>
  <c r="C229" i="7" a="1"/>
  <c r="E162" i="7" a="1"/>
  <c r="C173" i="7" a="1"/>
  <c r="B209" i="7" a="1"/>
  <c r="C149" i="7" a="1"/>
  <c r="I231" i="7" a="1"/>
  <c r="I221" i="7" a="1"/>
  <c r="I183" i="7" a="1"/>
  <c r="I156" i="7" a="1"/>
  <c r="I208" i="7" a="1"/>
  <c r="I247" i="7" a="1"/>
  <c r="I228" i="7" a="1"/>
  <c r="I191" i="7" a="1"/>
  <c r="I227" i="7" a="1"/>
  <c r="B166" i="7" a="1"/>
  <c r="E199" i="7" a="1"/>
  <c r="E209" i="7" a="1"/>
  <c r="C227" i="7" a="1"/>
  <c r="E149" i="7" a="1"/>
  <c r="C133" i="7" a="1"/>
  <c r="E134" i="7" a="1"/>
  <c r="E188" i="7" a="1"/>
  <c r="B211" i="7" a="1"/>
  <c r="C160" i="7" a="1"/>
  <c r="B147" i="7" a="1"/>
  <c r="B213" i="7" a="1"/>
  <c r="E168" i="7" a="1"/>
  <c r="E198" i="7" a="1"/>
  <c r="B187" i="7" a="1"/>
  <c r="C167" i="7" a="1"/>
  <c r="B151" i="7" a="1"/>
  <c r="C186" i="7" a="1"/>
  <c r="C143" i="7" a="1"/>
  <c r="B178" i="7" a="1"/>
  <c r="C159" i="7" a="1"/>
  <c r="E217" i="7" a="1"/>
  <c r="E161" i="7" a="1"/>
  <c r="C130" i="7" a="1"/>
  <c r="E241" i="7" a="1"/>
  <c r="B236" i="7" a="1"/>
  <c r="C214" i="7" a="1"/>
  <c r="B139" i="7" a="1"/>
  <c r="B247" i="7" a="1"/>
  <c r="C141" i="7" a="1"/>
  <c r="E189" i="7" a="1"/>
  <c r="B235" i="7" a="1"/>
  <c r="C148" i="7" a="1"/>
  <c r="C142" i="7" a="1"/>
  <c r="E178" i="7" a="1"/>
  <c r="B134" i="7" a="1"/>
  <c r="E174" i="7" a="1"/>
  <c r="C242" i="7" a="1"/>
  <c r="E197" i="7" a="1"/>
  <c r="B142" i="7" a="1"/>
  <c r="C223" i="7" a="1"/>
  <c r="B234" i="7" a="1"/>
  <c r="C248" i="7" a="1"/>
  <c r="I211" i="7" a="1"/>
  <c r="I219" i="7" a="1"/>
  <c r="I218" i="7" a="1"/>
  <c r="I230" i="7" a="1"/>
  <c r="I236" i="7" a="1"/>
  <c r="I198" i="7" a="1"/>
  <c r="I182" i="7" a="1"/>
  <c r="E177" i="7" a="1"/>
  <c r="C204" i="7" a="1"/>
  <c r="C222" i="7" a="1"/>
  <c r="C169" i="7" a="1"/>
  <c r="B200" i="7" a="1"/>
  <c r="C243" i="7" a="1"/>
  <c r="E231" i="7" a="1"/>
  <c r="E210" i="7" a="1"/>
  <c r="C224" i="7" a="1"/>
  <c r="E182" i="7" a="1"/>
  <c r="E163" i="7" a="1"/>
  <c r="C146" i="7" a="1"/>
  <c r="E130" i="7" a="1"/>
  <c r="E192" i="7" a="1"/>
  <c r="C150" i="7" a="1"/>
  <c r="E237" i="7" a="1"/>
  <c r="C225" i="7" a="1"/>
  <c r="C165" i="7" a="1"/>
  <c r="E235" i="7" a="1"/>
  <c r="E233" i="7" a="1"/>
  <c r="C232" i="7" a="1"/>
  <c r="E193" i="7" a="1"/>
  <c r="B220" i="7" a="1"/>
  <c r="E136" i="7" a="1"/>
  <c r="E133" i="7" a="1"/>
  <c r="B186" i="7" a="1"/>
  <c r="C183" i="7" a="1"/>
  <c r="E141" i="7" a="1"/>
  <c r="B218" i="7" a="1"/>
  <c r="B143" i="7" a="1"/>
  <c r="C189" i="7" a="1"/>
  <c r="B194" i="7" a="1"/>
  <c r="C190" i="7" a="1"/>
  <c r="C155" i="7" a="1"/>
  <c r="B238" i="7" a="1"/>
  <c r="C244" i="7" a="1"/>
  <c r="B202" i="7" a="1"/>
  <c r="B156" i="7" a="1"/>
  <c r="E165" i="7" a="1"/>
  <c r="C217" i="7" a="1"/>
  <c r="B210" i="7" a="1"/>
  <c r="B177" i="7" a="1"/>
  <c r="B164" i="7" a="1"/>
  <c r="C238" i="7" a="1"/>
  <c r="I174" i="7" a="1"/>
  <c r="I203" i="7" a="1"/>
  <c r="I151" i="7" a="1"/>
  <c r="E224" i="7" a="1"/>
  <c r="C144" i="7" a="1"/>
  <c r="C207" i="7" a="1"/>
  <c r="B170" i="7" a="1"/>
  <c r="E227" i="7" a="1"/>
  <c r="E140" i="7" a="1"/>
  <c r="E172" i="7" a="1"/>
  <c r="E152" i="7" a="1"/>
  <c r="C226" i="7" a="1"/>
  <c r="B243" i="7" a="1"/>
  <c r="C193" i="7" a="1"/>
  <c r="E170" i="7" a="1"/>
  <c r="C170" i="7" a="1"/>
  <c r="C213" i="7" a="1"/>
  <c r="C239" i="7" a="1"/>
  <c r="E176" i="7" a="1"/>
  <c r="B176" i="7" a="1"/>
  <c r="C157" i="7" a="1"/>
  <c r="B161" i="7" a="1"/>
  <c r="B173" i="7" a="1"/>
  <c r="C245" i="7" a="1"/>
  <c r="E144" i="7" a="1"/>
  <c r="C192" i="7" a="1"/>
  <c r="E195" i="7" a="1"/>
  <c r="C162" i="7" a="1"/>
  <c r="B224" i="7" a="1"/>
  <c r="C209" i="7" a="1"/>
  <c r="E175" i="7" a="1"/>
  <c r="E222" i="7" a="1"/>
  <c r="E248" i="7" a="1"/>
  <c r="E150" i="7" a="1"/>
  <c r="B183" i="7" a="1"/>
  <c r="E239" i="7" a="1"/>
  <c r="B179" i="7" a="1"/>
  <c r="B195" i="7" a="1"/>
  <c r="C152" i="7" a="1"/>
  <c r="E247" i="7" a="1"/>
  <c r="E159" i="7" a="1"/>
  <c r="B239" i="7" a="1"/>
  <c r="C179" i="7" a="1"/>
  <c r="E160" i="7" a="1"/>
  <c r="B153" i="7" a="1"/>
  <c r="B229" i="7" a="1"/>
  <c r="B219" i="7" a="1"/>
  <c r="I201" i="7" a="1"/>
  <c r="I234" i="7" a="1"/>
  <c r="I189" i="7" a="1"/>
  <c r="E180" i="7" a="1"/>
  <c r="B230" i="7" a="1"/>
  <c r="E181" i="7" a="1"/>
  <c r="B135" i="7" a="1"/>
  <c r="C202" i="7" a="1"/>
  <c r="C147" i="7" a="1"/>
  <c r="E249" i="7" a="1"/>
  <c r="B165" i="7" a="1"/>
  <c r="B217" i="7" a="1"/>
  <c r="C176" i="7" a="1"/>
  <c r="C181" i="7" a="1"/>
  <c r="C231" i="7" a="1"/>
  <c r="E230" i="7" a="1"/>
  <c r="E211" i="7" a="1"/>
  <c r="B205" i="7" a="1"/>
  <c r="B130" i="7" a="1"/>
  <c r="E194" i="7" a="1"/>
  <c r="B172" i="7" a="1"/>
  <c r="B132" i="7" a="1"/>
  <c r="B146" i="7" a="1"/>
  <c r="E166" i="7" a="1"/>
  <c r="C247" i="7" a="1"/>
  <c r="B207" i="7" a="1"/>
  <c r="E206" i="7" a="1"/>
  <c r="E157" i="7" a="1"/>
  <c r="C161" i="7" a="1"/>
  <c r="E240" i="7" a="1"/>
  <c r="C166" i="7" a="1"/>
  <c r="C194" i="7" a="1"/>
  <c r="C237" i="7" a="1"/>
  <c r="E131" i="7" a="1"/>
  <c r="B231" i="7" a="1"/>
  <c r="E164" i="7" a="1"/>
  <c r="E208" i="7" a="1"/>
  <c r="E167" i="7" a="1"/>
  <c r="C212" i="7" a="1"/>
  <c r="C163" i="7" a="1"/>
  <c r="E243" i="7" a="1"/>
  <c r="B133" i="7" a="1"/>
  <c r="E153" i="7" a="1"/>
  <c r="E221" i="7" a="1"/>
  <c r="B163" i="7" a="1"/>
  <c r="B190" i="7" a="1"/>
  <c r="B188" i="7" a="1"/>
  <c r="E169" i="7" a="1"/>
  <c r="I154" i="7" a="1"/>
  <c r="I206" i="7" a="1"/>
  <c r="I226" i="7" a="1"/>
  <c r="I235" i="7" a="1"/>
  <c r="I244" i="7" a="1"/>
  <c r="I163" i="7" a="1"/>
  <c r="I205" i="7" a="1"/>
  <c r="I220" i="7" a="1"/>
  <c r="I243" i="7" a="1"/>
  <c r="I147" i="7" a="1"/>
  <c r="I161" i="7" a="1"/>
  <c r="I223" i="7" a="1"/>
  <c r="I169" i="7" a="1"/>
  <c r="I202" i="7" a="1"/>
  <c r="I153" i="7" a="1"/>
  <c r="I200" i="7" a="1"/>
  <c r="E246" i="7" a="1"/>
  <c r="C216" i="7" a="1"/>
  <c r="C139" i="7" a="1"/>
  <c r="E201" i="7" a="1"/>
  <c r="I142" i="7" a="1"/>
  <c r="I193" i="7" a="1"/>
  <c r="I237" i="7" a="1"/>
  <c r="I249" i="7" a="1"/>
  <c r="I172" i="7" a="1"/>
  <c r="I168" i="7" a="1"/>
  <c r="I232" i="7" a="1"/>
  <c r="E234" i="7" a="1"/>
  <c r="I190" i="7" a="1"/>
  <c r="I150" i="7" a="1"/>
  <c r="I188" i="7" a="1"/>
  <c r="C151" i="7" a="1"/>
  <c r="I141" i="7" a="1"/>
  <c r="I222" i="7" a="1"/>
  <c r="I167" i="7" a="1"/>
  <c r="B222" i="7" a="1"/>
  <c r="I217" i="7" a="1"/>
  <c r="I246" i="7" a="1"/>
  <c r="C235" i="7" a="1"/>
  <c r="I238" i="7" a="1"/>
  <c r="I149" i="7" a="1"/>
  <c r="I185" i="7" a="1"/>
  <c r="I187" i="7" a="1"/>
  <c r="I166" i="7" a="1"/>
  <c r="B153" i="7" l="1"/>
  <c r="I145" i="7"/>
  <c r="E220" i="7"/>
  <c r="B137" i="7"/>
  <c r="B243" i="7"/>
  <c r="E131" i="7"/>
  <c r="B218" i="7"/>
  <c r="C219" i="7"/>
  <c r="E170" i="7"/>
  <c r="B174" i="7"/>
  <c r="I236" i="7"/>
  <c r="E175" i="7"/>
  <c r="I249" i="7"/>
  <c r="C188" i="7"/>
  <c r="E191" i="7"/>
  <c r="E243" i="7"/>
  <c r="I228" i="7"/>
  <c r="C215" i="7"/>
  <c r="B135" i="7"/>
  <c r="B147" i="7"/>
  <c r="B167" i="7"/>
  <c r="B227" i="7"/>
  <c r="B150" i="7"/>
  <c r="I132" i="7"/>
  <c r="E207" i="7"/>
  <c r="E193" i="7"/>
  <c r="B209" i="7"/>
  <c r="I211" i="7"/>
  <c r="B177" i="7"/>
  <c r="E219" i="7"/>
  <c r="E145" i="7"/>
  <c r="B207" i="7"/>
  <c r="E179" i="7"/>
  <c r="I184" i="7"/>
  <c r="B173" i="7"/>
  <c r="E239" i="7"/>
  <c r="I189" i="7"/>
  <c r="B176" i="7"/>
  <c r="I194" i="7"/>
  <c r="E176" i="7"/>
  <c r="B214" i="7"/>
  <c r="E230" i="7"/>
  <c r="I238" i="7"/>
  <c r="C157" i="7"/>
  <c r="C147" i="7"/>
  <c r="I190" i="7"/>
  <c r="I217" i="7"/>
  <c r="E178" i="7"/>
  <c r="I207" i="7"/>
  <c r="I244" i="7"/>
  <c r="C181" i="7"/>
  <c r="E173" i="7"/>
  <c r="C212" i="7"/>
  <c r="I240" i="7"/>
  <c r="C172" i="7"/>
  <c r="E233" i="7"/>
  <c r="C167" i="7"/>
  <c r="I214" i="7"/>
  <c r="C224" i="7"/>
  <c r="C177" i="7"/>
  <c r="C216" i="7"/>
  <c r="B238" i="7"/>
  <c r="C173" i="7"/>
  <c r="E205" i="7"/>
  <c r="B195" i="7"/>
  <c r="C209" i="7"/>
  <c r="C179" i="7"/>
  <c r="B237" i="7"/>
  <c r="I234" i="7"/>
  <c r="E229" i="7"/>
  <c r="B156" i="7"/>
  <c r="I148" i="7"/>
  <c r="I140" i="7"/>
  <c r="I162" i="7"/>
  <c r="C130" i="7"/>
  <c r="E137" i="7"/>
  <c r="E223" i="7"/>
  <c r="I218" i="7"/>
  <c r="C242" i="7"/>
  <c r="E181" i="7"/>
  <c r="B168" i="7"/>
  <c r="C154" i="7"/>
  <c r="C198" i="7"/>
  <c r="B170" i="7"/>
  <c r="I187" i="7"/>
  <c r="C134" i="7"/>
  <c r="I143" i="7"/>
  <c r="B157" i="7"/>
  <c r="C195" i="7"/>
  <c r="I166" i="7"/>
  <c r="I193" i="7"/>
  <c r="I208" i="7"/>
  <c r="C246" i="7"/>
  <c r="C197" i="7"/>
  <c r="C248" i="7"/>
  <c r="I130" i="7"/>
  <c r="E225" i="7"/>
  <c r="E144" i="7"/>
  <c r="B242" i="7"/>
  <c r="I175" i="7"/>
  <c r="I201" i="7"/>
  <c r="I206" i="7"/>
  <c r="I196" i="7"/>
  <c r="E201" i="7"/>
  <c r="I219" i="7"/>
  <c r="C174" i="7"/>
  <c r="E143" i="7"/>
  <c r="B211" i="7"/>
  <c r="I131" i="7"/>
  <c r="I171" i="7"/>
  <c r="E195" i="7"/>
  <c r="I223" i="7"/>
  <c r="C235" i="7"/>
  <c r="C178" i="7"/>
  <c r="I233" i="7"/>
  <c r="E194" i="7"/>
  <c r="E148" i="7"/>
  <c r="I246" i="7"/>
  <c r="I156" i="7"/>
  <c r="B169" i="7"/>
  <c r="I151" i="7"/>
  <c r="I241" i="7"/>
  <c r="E139" i="7"/>
  <c r="I160" i="7"/>
  <c r="I224" i="7"/>
  <c r="I141" i="7"/>
  <c r="E238" i="7"/>
  <c r="B159" i="7"/>
  <c r="I150" i="7"/>
  <c r="B199" i="7"/>
  <c r="E184" i="7"/>
  <c r="I153" i="7"/>
  <c r="E203" i="7"/>
  <c r="I179" i="7"/>
  <c r="C149" i="7"/>
  <c r="I170" i="7"/>
  <c r="I205" i="7"/>
  <c r="E153" i="7"/>
  <c r="B136" i="7"/>
  <c r="I209" i="7"/>
  <c r="E160" i="7"/>
  <c r="E188" i="7"/>
  <c r="E189" i="7"/>
  <c r="E133" i="7"/>
  <c r="C249" i="7"/>
  <c r="E138" i="7"/>
  <c r="I167" i="7"/>
  <c r="B196" i="7"/>
  <c r="C237" i="7"/>
  <c r="E217" i="7"/>
  <c r="E155" i="7"/>
  <c r="E157" i="7"/>
  <c r="B161" i="7"/>
  <c r="I146" i="7"/>
  <c r="B230" i="7"/>
  <c r="I161" i="7"/>
  <c r="E190" i="7"/>
  <c r="E218" i="7"/>
  <c r="I227" i="7"/>
  <c r="E162" i="7"/>
  <c r="B216" i="7"/>
  <c r="E168" i="7"/>
  <c r="E171" i="7"/>
  <c r="E236" i="7"/>
  <c r="E216" i="7"/>
  <c r="C231" i="7"/>
  <c r="B235" i="7"/>
  <c r="I182" i="7"/>
  <c r="I213" i="7"/>
  <c r="B222" i="7"/>
  <c r="B139" i="7"/>
  <c r="C144" i="7"/>
  <c r="E156" i="7"/>
  <c r="B179" i="7"/>
  <c r="I183" i="7"/>
  <c r="C199" i="7"/>
  <c r="I230" i="7"/>
  <c r="C211" i="7"/>
  <c r="I200" i="7"/>
  <c r="E210" i="7"/>
  <c r="B144" i="7"/>
  <c r="I203" i="7"/>
  <c r="B181" i="7"/>
  <c r="C169" i="7"/>
  <c r="C150" i="7"/>
  <c r="C203" i="7"/>
  <c r="B140" i="7"/>
  <c r="B229" i="7"/>
  <c r="E134" i="7"/>
  <c r="E154" i="7"/>
  <c r="I149" i="7"/>
  <c r="I159" i="7"/>
  <c r="B221" i="7"/>
  <c r="B149" i="7"/>
  <c r="E249" i="7"/>
  <c r="C139" i="7"/>
  <c r="I177" i="7"/>
  <c r="E177" i="7"/>
  <c r="C189" i="7"/>
  <c r="B223" i="7"/>
  <c r="B197" i="7"/>
  <c r="I225" i="7"/>
  <c r="I172" i="7"/>
  <c r="E202" i="7"/>
  <c r="I242" i="7"/>
  <c r="E224" i="7"/>
  <c r="C162" i="7"/>
  <c r="C244" i="7"/>
  <c r="B203" i="7"/>
  <c r="C133" i="7"/>
  <c r="E228" i="7"/>
  <c r="E196" i="7"/>
  <c r="B231" i="7"/>
  <c r="E142" i="7"/>
  <c r="B193" i="7"/>
  <c r="E211" i="7"/>
  <c r="C160" i="7"/>
  <c r="I247" i="7"/>
  <c r="I152" i="7"/>
  <c r="E212" i="7"/>
  <c r="I235" i="7"/>
  <c r="C245" i="7"/>
  <c r="B163" i="7"/>
  <c r="C241" i="7"/>
  <c r="I164" i="7"/>
  <c r="E140" i="7"/>
  <c r="C226" i="7"/>
  <c r="C186" i="7"/>
  <c r="E149" i="7"/>
  <c r="B192" i="7"/>
  <c r="E167" i="7"/>
  <c r="B189" i="7"/>
  <c r="I158" i="7"/>
  <c r="I147" i="7"/>
  <c r="C232" i="7"/>
  <c r="B182" i="7"/>
  <c r="E135" i="7"/>
  <c r="I232" i="7"/>
  <c r="I222" i="7"/>
  <c r="E242" i="7"/>
  <c r="B148" i="7"/>
  <c r="I144" i="7"/>
  <c r="C184" i="7"/>
  <c r="E180" i="7"/>
  <c r="B198" i="7"/>
  <c r="C193" i="7"/>
  <c r="E192" i="7"/>
  <c r="I198" i="7"/>
  <c r="B215" i="7"/>
  <c r="E226" i="7"/>
  <c r="B202" i="7"/>
  <c r="C152" i="7"/>
  <c r="E244" i="7"/>
  <c r="E183" i="7"/>
  <c r="B132" i="7"/>
  <c r="C240" i="7"/>
  <c r="B178" i="7"/>
  <c r="C145" i="7"/>
  <c r="C228" i="7"/>
  <c r="C156" i="7"/>
  <c r="B152" i="7"/>
  <c r="B130" i="7"/>
  <c r="C176" i="7"/>
  <c r="C217" i="7"/>
  <c r="I245" i="7"/>
  <c r="I221" i="7"/>
  <c r="I174" i="7"/>
  <c r="B145" i="7"/>
  <c r="C194" i="7"/>
  <c r="B131" i="7"/>
  <c r="C201" i="7"/>
  <c r="B165" i="7"/>
  <c r="E187" i="7"/>
  <c r="E132" i="7"/>
  <c r="C204" i="7"/>
  <c r="E221" i="7"/>
  <c r="B244" i="7"/>
  <c r="B160" i="7"/>
  <c r="E141" i="7"/>
  <c r="E152" i="7"/>
  <c r="C207" i="7"/>
  <c r="B205" i="7"/>
  <c r="E231" i="7"/>
  <c r="I202" i="7"/>
  <c r="I154" i="7"/>
  <c r="B213" i="7"/>
  <c r="E197" i="7"/>
  <c r="E136" i="7"/>
  <c r="B154" i="7"/>
  <c r="E237" i="7"/>
  <c r="C158" i="7"/>
  <c r="B158" i="7"/>
  <c r="I168" i="7"/>
  <c r="C208" i="7"/>
  <c r="B183" i="7"/>
  <c r="E198" i="7"/>
  <c r="E161" i="7"/>
  <c r="C205" i="7"/>
  <c r="I155" i="7"/>
  <c r="B188" i="7"/>
  <c r="C220" i="7"/>
  <c r="C137" i="7"/>
  <c r="B151" i="7"/>
  <c r="I239" i="7"/>
  <c r="C175" i="7"/>
  <c r="B210" i="7"/>
  <c r="C170" i="7"/>
  <c r="E169" i="7"/>
  <c r="B248" i="7"/>
  <c r="C221" i="7"/>
  <c r="B204" i="7"/>
  <c r="E204" i="7"/>
  <c r="B245" i="7"/>
  <c r="B146" i="7"/>
  <c r="E158" i="7"/>
  <c r="B141" i="7"/>
  <c r="C222" i="7"/>
  <c r="I192" i="7"/>
  <c r="I157" i="7"/>
  <c r="C214" i="7"/>
  <c r="I133" i="7"/>
  <c r="B175" i="7"/>
  <c r="B171" i="7"/>
  <c r="E166" i="7"/>
  <c r="B212" i="7"/>
  <c r="E222" i="7"/>
  <c r="C196" i="7"/>
  <c r="C190" i="7"/>
  <c r="C141" i="7"/>
  <c r="E164" i="7"/>
  <c r="I215" i="7"/>
  <c r="I139" i="7"/>
  <c r="E165" i="7"/>
  <c r="I185" i="7"/>
  <c r="B184" i="7"/>
  <c r="E185" i="7"/>
  <c r="E234" i="7"/>
  <c r="E213" i="7"/>
  <c r="C229" i="7"/>
  <c r="E208" i="7"/>
  <c r="I231" i="7"/>
  <c r="I195" i="7"/>
  <c r="C218" i="7"/>
  <c r="B225" i="7"/>
  <c r="I176" i="7"/>
  <c r="I136" i="7"/>
  <c r="C135" i="7"/>
  <c r="C233" i="7"/>
  <c r="I180" i="7"/>
  <c r="E227" i="7"/>
  <c r="E209" i="7"/>
  <c r="I163" i="7"/>
  <c r="E241" i="7"/>
  <c r="B162" i="7"/>
  <c r="E248" i="7"/>
  <c r="E199" i="7"/>
  <c r="E150" i="7"/>
  <c r="I138" i="7"/>
  <c r="I191" i="7"/>
  <c r="C247" i="7"/>
  <c r="I134" i="7"/>
  <c r="I226" i="7"/>
  <c r="C182" i="7"/>
  <c r="I197" i="7"/>
  <c r="I135" i="7"/>
  <c r="C143" i="7"/>
  <c r="B228" i="7"/>
  <c r="C191" i="7"/>
  <c r="I212" i="7"/>
  <c r="C155" i="7"/>
  <c r="C138" i="7"/>
  <c r="C239" i="7"/>
  <c r="C236" i="7"/>
  <c r="C132" i="7"/>
  <c r="C163" i="7"/>
  <c r="B187" i="7"/>
  <c r="B246" i="7"/>
  <c r="E163" i="7"/>
  <c r="C223" i="7"/>
  <c r="C159" i="7"/>
  <c r="E174" i="7"/>
  <c r="B206" i="7"/>
  <c r="C234" i="7"/>
  <c r="C180" i="7"/>
  <c r="C153" i="7"/>
  <c r="I137" i="7"/>
  <c r="E232" i="7"/>
  <c r="C146" i="7"/>
  <c r="C210" i="7"/>
  <c r="B239" i="7"/>
  <c r="C192" i="7"/>
  <c r="I165" i="7"/>
  <c r="C151" i="7"/>
  <c r="B249" i="7"/>
  <c r="B186" i="7"/>
  <c r="E206" i="7"/>
  <c r="B194" i="7"/>
  <c r="I220" i="7"/>
  <c r="B208" i="7"/>
  <c r="I173" i="7"/>
  <c r="B142" i="7"/>
  <c r="C187" i="7"/>
  <c r="E247" i="7"/>
  <c r="E246" i="7"/>
  <c r="I210" i="7"/>
  <c r="E151" i="7"/>
  <c r="C213" i="7"/>
  <c r="B138" i="7"/>
  <c r="B180" i="7"/>
  <c r="C140" i="7"/>
  <c r="C171" i="7"/>
  <c r="I243" i="7"/>
  <c r="C230" i="7"/>
  <c r="B143" i="7"/>
  <c r="C238" i="7"/>
  <c r="C185" i="7"/>
  <c r="C168" i="7"/>
  <c r="B190" i="7"/>
  <c r="B219" i="7"/>
  <c r="B220" i="7"/>
  <c r="B247" i="7"/>
  <c r="I142" i="7"/>
  <c r="B224" i="7"/>
  <c r="E130" i="7"/>
  <c r="I229" i="7"/>
  <c r="E215" i="7"/>
  <c r="B200" i="7"/>
  <c r="B133" i="7"/>
  <c r="B185" i="7"/>
  <c r="C131" i="7"/>
  <c r="B134" i="7"/>
  <c r="C200" i="7"/>
  <c r="E200" i="7"/>
  <c r="C166" i="7"/>
  <c r="E146" i="7"/>
  <c r="B201" i="7"/>
  <c r="C183" i="7"/>
  <c r="E172" i="7"/>
  <c r="B166" i="7"/>
  <c r="I204" i="7"/>
  <c r="C206" i="7"/>
  <c r="I248" i="7"/>
  <c r="C142" i="7"/>
  <c r="C136" i="7"/>
  <c r="B155" i="7"/>
  <c r="C243" i="7"/>
  <c r="E182" i="7"/>
  <c r="I188" i="7"/>
  <c r="C227" i="7"/>
  <c r="E186" i="7"/>
  <c r="I181" i="7"/>
  <c r="C202" i="7"/>
  <c r="B236" i="7"/>
  <c r="I169" i="7"/>
  <c r="I178" i="7"/>
  <c r="E240" i="7"/>
  <c r="E147" i="7"/>
  <c r="C165" i="7"/>
  <c r="C164" i="7"/>
  <c r="I186" i="7"/>
  <c r="C161" i="7"/>
  <c r="B164" i="7"/>
  <c r="I237" i="7"/>
  <c r="B232" i="7"/>
  <c r="C148" i="7"/>
  <c r="B172" i="7"/>
  <c r="I199" i="7"/>
  <c r="E235" i="7"/>
  <c r="C225" i="7"/>
  <c r="E159" i="7"/>
  <c r="E214" i="7"/>
  <c r="B240" i="7"/>
  <c r="B191" i="7"/>
  <c r="B241" i="7"/>
  <c r="B226" i="7"/>
  <c r="I216" i="7"/>
  <c r="E245" i="7"/>
  <c r="B233" i="7"/>
  <c r="B234" i="7"/>
  <c r="B217" i="7"/>
  <c r="D236" i="7" l="1" a="1"/>
  <c r="H167" i="7" a="1"/>
  <c r="F225" i="7" a="1"/>
  <c r="D185" i="7" a="1"/>
  <c r="F139" i="7" a="1"/>
  <c r="D198" i="7" a="1"/>
  <c r="D153" i="7" a="1"/>
  <c r="H8" i="7" a="1"/>
  <c r="H234" i="7" a="1"/>
  <c r="H135" i="7" a="1"/>
  <c r="C275" i="7" a="1"/>
  <c r="H250" i="7" a="1"/>
  <c r="F176" i="7" a="1"/>
  <c r="D249" i="7" a="1"/>
  <c r="F181" i="7" a="1"/>
  <c r="E277" i="7" a="1"/>
  <c r="F137" i="7" a="1"/>
  <c r="F215" i="7" a="1"/>
  <c r="F265" i="7" a="1"/>
  <c r="I288" i="7" a="1"/>
  <c r="F150" i="7" a="1"/>
  <c r="C290" i="7" a="1"/>
  <c r="H163" i="7" a="1"/>
  <c r="F168" i="7" a="1"/>
  <c r="F242" i="7" a="1"/>
  <c r="H170" i="7" a="1"/>
  <c r="D284" i="7" a="1"/>
  <c r="D226" i="7" a="1"/>
  <c r="E299" i="7" a="1"/>
  <c r="F213" i="7" a="1"/>
  <c r="F163" i="7" a="1"/>
  <c r="F132" i="7" a="1"/>
  <c r="H287" i="7" a="1"/>
  <c r="I254" i="7" a="1"/>
  <c r="F147" i="7" a="1"/>
  <c r="H279" i="7" a="1"/>
  <c r="D204" i="7" a="1"/>
  <c r="D176" i="7" a="1"/>
  <c r="H252" i="7" a="1"/>
  <c r="D210" i="7" a="1"/>
  <c r="H246" i="7" a="1"/>
  <c r="C251" i="7" a="1"/>
  <c r="B287" i="7" a="1"/>
  <c r="F3" i="7" a="1"/>
  <c r="H211" i="7" a="1"/>
  <c r="F188" i="7" a="1"/>
  <c r="D277" i="7" a="1"/>
  <c r="B255" i="7" a="1"/>
  <c r="F156" i="7" a="1"/>
  <c r="D133" i="7" a="1"/>
  <c r="C265" i="7" a="1"/>
  <c r="F276" i="7" a="1"/>
  <c r="C283" i="7" a="1"/>
  <c r="H140" i="7" a="1"/>
  <c r="C300" i="7" a="1"/>
  <c r="D182" i="7" a="1"/>
  <c r="D280" i="7" a="1"/>
  <c r="H275" i="7" a="1"/>
  <c r="F285" i="7" a="1"/>
  <c r="D293" i="7" a="1"/>
  <c r="B276" i="7" a="1"/>
  <c r="F199" i="7" a="1"/>
  <c r="F234" i="7" a="1"/>
  <c r="H280" i="7" a="1"/>
  <c r="C297" i="7" a="1"/>
  <c r="E265" i="7" a="1"/>
  <c r="I265" i="7" a="1"/>
  <c r="F200" i="7" a="1"/>
  <c r="B269" i="7" a="1"/>
  <c r="F211" i="7" a="1"/>
  <c r="D194" i="7" a="1"/>
  <c r="F287" i="7" a="1"/>
  <c r="H272" i="7" a="1"/>
  <c r="H159" i="7" a="1"/>
  <c r="H160" i="7" a="1"/>
  <c r="D187" i="7" a="1"/>
  <c r="D294" i="7" a="1"/>
  <c r="D190" i="7" a="1"/>
  <c r="B281" i="7" a="1"/>
  <c r="D193" i="7" a="1"/>
  <c r="H182" i="7" a="1"/>
  <c r="D206" i="7" a="1"/>
  <c r="D208" i="7" a="1"/>
  <c r="I271" i="7" a="1"/>
  <c r="D159" i="7" a="1"/>
  <c r="F6" i="7" a="1"/>
  <c r="C282" i="7" a="1"/>
  <c r="C285" i="7" a="1"/>
  <c r="E280" i="7" a="1"/>
  <c r="I285" i="7" a="1"/>
  <c r="F296" i="7" a="1"/>
  <c r="D199" i="7" a="1"/>
  <c r="D295" i="7" a="1"/>
  <c r="C299" i="7" a="1"/>
  <c r="D258" i="7" a="1"/>
  <c r="D298" i="7" a="1"/>
  <c r="H150" i="7" a="1"/>
  <c r="D248" i="7" a="1"/>
  <c r="D223" i="7" a="1"/>
  <c r="H131" i="7" a="1"/>
  <c r="I292" i="7" a="1"/>
  <c r="H165" i="7" a="1"/>
  <c r="H225" i="7" a="1"/>
  <c r="E273" i="7" a="1"/>
  <c r="F158" i="7" a="1"/>
  <c r="E3" i="7" a="1"/>
  <c r="F229" i="7" a="1"/>
  <c r="I263" i="7" a="1"/>
  <c r="D254" i="7" a="1"/>
  <c r="F230" i="7" a="1"/>
  <c r="F233" i="7" a="1"/>
  <c r="D244" i="7" a="1"/>
  <c r="D169" i="7" a="1"/>
  <c r="B251" i="7" a="1"/>
  <c r="C278" i="7" a="1"/>
  <c r="E4" i="7" a="1"/>
  <c r="E269" i="7" a="1"/>
  <c r="F178" i="7" a="1"/>
  <c r="F189" i="7" a="1"/>
  <c r="E6" i="7" a="1"/>
  <c r="I2" i="7" a="1"/>
  <c r="H268" i="7" a="1"/>
  <c r="D269" i="7" a="1"/>
  <c r="H158" i="7" a="1"/>
  <c r="C267" i="7" a="1"/>
  <c r="C293" i="7" a="1"/>
  <c r="B296" i="7" a="1"/>
  <c r="F260" i="7" a="1"/>
  <c r="C270" i="7" a="1"/>
  <c r="F273" i="7" a="1"/>
  <c r="H179" i="7" a="1"/>
  <c r="H186" i="7" a="1"/>
  <c r="H239" i="7" a="1"/>
  <c r="H217" i="7" a="1"/>
  <c r="F271" i="7" a="1"/>
  <c r="E258" i="7" a="1"/>
  <c r="F208" i="7" a="1"/>
  <c r="C269" i="7" a="1"/>
  <c r="F161" i="7" a="1"/>
  <c r="H183" i="7" a="1"/>
  <c r="I261" i="7" a="1"/>
  <c r="D270" i="7" a="1"/>
  <c r="H161" i="7" a="1"/>
  <c r="H218" i="7" a="1"/>
  <c r="H201" i="7" a="1"/>
  <c r="F223" i="7" a="1"/>
  <c r="D8" i="7" a="1"/>
  <c r="H285" i="7" a="1"/>
  <c r="E263" i="7" a="1"/>
  <c r="H281" i="7" a="1"/>
  <c r="D178" i="7" a="1"/>
  <c r="E5" i="7" a="1"/>
  <c r="F131" i="7" a="1"/>
  <c r="C273" i="7" a="1"/>
  <c r="D132" i="7" a="1"/>
  <c r="B257" i="7" a="1"/>
  <c r="F184" i="7" a="1"/>
  <c r="H229" i="7" a="1"/>
  <c r="H144" i="7" a="1"/>
  <c r="E282" i="7" a="1"/>
  <c r="I3" i="7" a="1"/>
  <c r="B258" i="7" a="1"/>
  <c r="F157" i="7" a="1"/>
  <c r="I294" i="7" a="1"/>
  <c r="H273" i="7" a="1"/>
  <c r="D256" i="7" a="1"/>
  <c r="D260" i="7" a="1"/>
  <c r="B256" i="7" a="1"/>
  <c r="D287" i="7" a="1"/>
  <c r="B285" i="7" a="1"/>
  <c r="F245" i="7" a="1"/>
  <c r="H226" i="7" a="1"/>
  <c r="F214" i="7" a="1"/>
  <c r="F269" i="7" a="1"/>
  <c r="F244" i="7" a="1"/>
  <c r="F277" i="7" a="1"/>
  <c r="F154" i="7" a="1"/>
  <c r="F186" i="7" a="1"/>
  <c r="H136" i="7" a="1"/>
  <c r="F187" i="7" a="1"/>
  <c r="F201" i="7" a="1"/>
  <c r="F272" i="7" a="1"/>
  <c r="H196" i="7" a="1"/>
  <c r="I4" i="7" a="1"/>
  <c r="D174" i="7" a="1"/>
  <c r="D179" i="7" a="1"/>
  <c r="F170" i="7" a="1"/>
  <c r="B254" i="7" a="1"/>
  <c r="D143" i="7" a="1"/>
  <c r="F219" i="7" a="1"/>
  <c r="D268" i="7" a="1"/>
  <c r="H288" i="7" a="1"/>
  <c r="F216" i="7" a="1"/>
  <c r="F254" i="7" a="1"/>
  <c r="D242" i="7" a="1"/>
  <c r="D163" i="7" a="1"/>
  <c r="D273" i="7" a="1"/>
  <c r="F167" i="7" a="1"/>
  <c r="H295" i="7" a="1"/>
  <c r="C250" i="7" a="1"/>
  <c r="F146" i="7" a="1"/>
  <c r="H151" i="7" a="1"/>
  <c r="E278" i="7" a="1"/>
  <c r="I287" i="7" a="1"/>
  <c r="F169" i="7" a="1"/>
  <c r="F212" i="7" a="1"/>
  <c r="H177" i="7" a="1"/>
  <c r="H258" i="7" a="1"/>
  <c r="H265" i="7" a="1"/>
  <c r="F165" i="7" a="1"/>
  <c r="H6" i="7" a="1"/>
  <c r="F179" i="7" a="1"/>
  <c r="C271" i="7" a="1"/>
  <c r="B268" i="7" a="1"/>
  <c r="C274" i="7" a="1"/>
  <c r="H237" i="7" a="1"/>
  <c r="I6" i="7" a="1"/>
  <c r="D139" i="7" a="1"/>
  <c r="H146" i="7" a="1"/>
  <c r="D175" i="7" a="1"/>
  <c r="F256" i="7" a="1"/>
  <c r="D195" i="7" a="1"/>
  <c r="D225" i="7" a="1"/>
  <c r="F7" i="7" a="1"/>
  <c r="C259" i="7" a="1"/>
  <c r="F182" i="7" a="1"/>
  <c r="E255" i="7" a="1"/>
  <c r="I274" i="7" a="1"/>
  <c r="B6" i="7" a="1"/>
  <c r="F160" i="7" a="1"/>
  <c r="F270" i="7" a="1"/>
  <c r="D188" i="7" a="1"/>
  <c r="F239" i="7" a="1"/>
  <c r="D189" i="7" a="1"/>
  <c r="E266" i="7" a="1"/>
  <c r="I253" i="7" a="1"/>
  <c r="C255" i="7" a="1"/>
  <c r="F246" i="7" a="1"/>
  <c r="F195" i="7" a="1"/>
  <c r="H166" i="7" a="1"/>
  <c r="F228" i="7" a="1"/>
  <c r="H244" i="7" a="1"/>
  <c r="I291" i="7" a="1"/>
  <c r="C284" i="7" a="1"/>
  <c r="D264" i="7" a="1"/>
  <c r="H148" i="7" a="1"/>
  <c r="D137" i="7" a="1"/>
  <c r="C292" i="7" a="1"/>
  <c r="B261" i="7" a="1"/>
  <c r="E284" i="7" a="1"/>
  <c r="I299" i="7" a="1"/>
  <c r="C277" i="7" a="1"/>
  <c r="D299" i="7" a="1"/>
  <c r="D221" i="7" a="1"/>
  <c r="I256" i="7" a="1"/>
  <c r="E296" i="7" a="1"/>
  <c r="F166" i="7" a="1"/>
  <c r="D6" i="7" a="1"/>
  <c r="D212" i="7" a="1"/>
  <c r="B250" i="7" a="1"/>
  <c r="H174" i="7" a="1"/>
  <c r="F243" i="7" a="1"/>
  <c r="F282" i="7" a="1"/>
  <c r="D220" i="7" a="1"/>
  <c r="F207" i="7" a="1"/>
  <c r="D152" i="7" a="1"/>
  <c r="E253" i="7" a="1"/>
  <c r="H251" i="7" a="1"/>
  <c r="C4" i="7" a="1"/>
  <c r="D290" i="7" a="1"/>
  <c r="F8" i="7" a="1"/>
  <c r="H156" i="7" a="1"/>
  <c r="B280" i="7" a="1"/>
  <c r="H212" i="7" a="1"/>
  <c r="D164" i="7" a="1"/>
  <c r="H259" i="7" a="1"/>
  <c r="E271" i="7" a="1"/>
  <c r="F274" i="7" a="1"/>
  <c r="C289" i="7" a="1"/>
  <c r="H189" i="7" a="1"/>
  <c r="E281" i="7" a="1"/>
  <c r="E283" i="7" a="1"/>
  <c r="D154" i="7" a="1"/>
  <c r="F135" i="7" a="1"/>
  <c r="I8" i="7" a="1"/>
  <c r="B288" i="7" a="1"/>
  <c r="F258" i="7" a="1"/>
  <c r="D252" i="7" a="1"/>
  <c r="F241" i="7" a="1"/>
  <c r="B271" i="7" a="1"/>
  <c r="D227" i="7" a="1"/>
  <c r="F155" i="7" a="1"/>
  <c r="F290" i="7" a="1"/>
  <c r="F286" i="7" a="1"/>
  <c r="H168" i="7" a="1"/>
  <c r="D239" i="7" a="1"/>
  <c r="E274" i="7" a="1"/>
  <c r="H209" i="7" a="1"/>
  <c r="D296" i="7" a="1"/>
  <c r="H245" i="7" a="1"/>
  <c r="D165" i="7" a="1"/>
  <c r="B260" i="7" a="1"/>
  <c r="E297" i="7" a="1"/>
  <c r="E250" i="7" a="1"/>
  <c r="B286" i="7" a="1"/>
  <c r="F210" i="7" a="1"/>
  <c r="I278" i="7" a="1"/>
  <c r="H264" i="7" a="1"/>
  <c r="D213" i="7" a="1"/>
  <c r="F203" i="7" a="1"/>
  <c r="C286" i="7" a="1"/>
  <c r="I273" i="7" a="1"/>
  <c r="F220" i="7" a="1"/>
  <c r="D162" i="7" a="1"/>
  <c r="D155" i="7" a="1"/>
  <c r="I286" i="7" a="1"/>
  <c r="E262" i="7" a="1"/>
  <c r="F174" i="7" a="1"/>
  <c r="F238" i="7" a="1"/>
  <c r="F206" i="7" a="1"/>
  <c r="E276" i="7" a="1"/>
  <c r="H253" i="7" a="1"/>
  <c r="H249" i="7" a="1"/>
  <c r="D251" i="7" a="1"/>
  <c r="H153" i="7" a="1"/>
  <c r="H162" i="7" a="1"/>
  <c r="D150" i="7" a="1"/>
  <c r="H299" i="7" a="1"/>
  <c r="C254" i="7" a="1"/>
  <c r="H300" i="7" a="1"/>
  <c r="H134" i="7" a="1"/>
  <c r="D201" i="7" a="1"/>
  <c r="D134" i="7" a="1"/>
  <c r="I275" i="7" a="1"/>
  <c r="E300" i="7" a="1"/>
  <c r="H224" i="7" a="1"/>
  <c r="D4" i="7" a="1"/>
  <c r="I268" i="7" a="1"/>
  <c r="I262" i="7" a="1"/>
  <c r="B266" i="7" a="1"/>
  <c r="D170" i="7" a="1"/>
  <c r="I279" i="7" a="1"/>
  <c r="F268" i="7" a="1"/>
  <c r="F133" i="7" a="1"/>
  <c r="C262" i="7" a="1"/>
  <c r="F295" i="7" a="1"/>
  <c r="C257" i="7" a="1"/>
  <c r="D222" i="7" a="1"/>
  <c r="H277" i="7" a="1"/>
  <c r="F253" i="7" a="1"/>
  <c r="B298" i="7" a="1"/>
  <c r="D161" i="7" a="1"/>
  <c r="B283" i="7" a="1"/>
  <c r="D180" i="7" a="1"/>
  <c r="I270" i="7" a="1"/>
  <c r="D211" i="7" a="1"/>
  <c r="H181" i="7" a="1"/>
  <c r="E2" i="7" a="1"/>
  <c r="I289" i="7" a="1"/>
  <c r="I300" i="7" a="1"/>
  <c r="D255" i="7" a="1"/>
  <c r="E268" i="7" a="1"/>
  <c r="I298" i="7" a="1"/>
  <c r="B265" i="7" a="1"/>
  <c r="D297" i="7" a="1"/>
  <c r="B278" i="7" a="1"/>
  <c r="E261" i="7" a="1"/>
  <c r="F148" i="7" a="1"/>
  <c r="D167" i="7" a="1"/>
  <c r="H216" i="7" a="1"/>
  <c r="B293" i="7" a="1"/>
  <c r="D267" i="7" a="1"/>
  <c r="H132" i="7" a="1"/>
  <c r="E260" i="7" a="1"/>
  <c r="H152" i="7" a="1"/>
  <c r="H219" i="7" a="1"/>
  <c r="D166" i="7" a="1"/>
  <c r="B300" i="7" a="1"/>
  <c r="D168" i="7" a="1"/>
  <c r="D232" i="7" a="1"/>
  <c r="D229" i="7" a="1"/>
  <c r="F237" i="7" a="1"/>
  <c r="H155" i="7" a="1"/>
  <c r="F263" i="7" a="1"/>
  <c r="H5" i="7" a="1"/>
  <c r="C295" i="7" a="1"/>
  <c r="C260" i="7" a="1"/>
  <c r="H169" i="7" a="1"/>
  <c r="F198" i="7" a="1"/>
  <c r="F297" i="7" a="1"/>
  <c r="D205" i="7" a="1"/>
  <c r="F299" i="7" a="1"/>
  <c r="F280" i="7" a="1"/>
  <c r="H138" i="7" a="1"/>
  <c r="B294" i="7" a="1"/>
  <c r="H192" i="7" a="1"/>
  <c r="I259" i="7" a="1"/>
  <c r="H214" i="7" a="1"/>
  <c r="H223" i="7" a="1"/>
  <c r="D202" i="7" a="1"/>
  <c r="D217" i="7" a="1"/>
  <c r="H230" i="7" a="1"/>
  <c r="F159" i="7" a="1"/>
  <c r="B284" i="7" a="1"/>
  <c r="E259" i="7" a="1"/>
  <c r="D140" i="7" a="1"/>
  <c r="B2" i="7" a="1"/>
  <c r="H194" i="7" a="1"/>
  <c r="D184" i="7" a="1"/>
  <c r="F294" i="7" a="1"/>
  <c r="I266" i="7" a="1"/>
  <c r="F240" i="7" a="1"/>
  <c r="D250" i="7" a="1"/>
  <c r="E275" i="7" a="1"/>
  <c r="I258" i="7" a="1"/>
  <c r="H289" i="7" a="1"/>
  <c r="F194" i="7" a="1"/>
  <c r="D243" i="7" a="1"/>
  <c r="E292" i="7" a="1"/>
  <c r="H269" i="7" a="1"/>
  <c r="H197" i="7" a="1"/>
  <c r="C294" i="7" a="1"/>
  <c r="H185" i="7" a="1"/>
  <c r="I269" i="7" a="1"/>
  <c r="B270" i="7" a="1"/>
  <c r="H184" i="7" a="1"/>
  <c r="H210" i="7" a="1"/>
  <c r="H215" i="7" a="1"/>
  <c r="B291" i="7" a="1"/>
  <c r="F262" i="7" a="1"/>
  <c r="D279" i="7" a="1"/>
  <c r="D218" i="7" a="1"/>
  <c r="E291" i="7" a="1"/>
  <c r="H278" i="7" a="1"/>
  <c r="I7" i="7" a="1"/>
  <c r="E270" i="7" a="1"/>
  <c r="H137" i="7" a="1"/>
  <c r="D288" i="7" a="1"/>
  <c r="F164" i="7" a="1"/>
  <c r="D135" i="7" a="1"/>
  <c r="H262" i="7" a="1"/>
  <c r="B253" i="7" a="1"/>
  <c r="H172" i="7" a="1"/>
  <c r="E279" i="7" a="1"/>
  <c r="H294" i="7" a="1"/>
  <c r="D240" i="7" a="1"/>
  <c r="F298" i="7" a="1"/>
  <c r="H7" i="7" a="1"/>
  <c r="E264" i="7" a="1"/>
  <c r="F162" i="7" a="1"/>
  <c r="H195" i="7" a="1"/>
  <c r="F136" i="7" a="1"/>
  <c r="H296" i="7" a="1"/>
  <c r="H193" i="7" a="1"/>
  <c r="C8" i="7" a="1"/>
  <c r="F218" i="7" a="1"/>
  <c r="F255" i="7" a="1"/>
  <c r="C268" i="7" a="1"/>
  <c r="I264" i="7" a="1"/>
  <c r="H241" i="7" a="1"/>
  <c r="H173" i="7" a="1"/>
  <c r="H298" i="7" a="1"/>
  <c r="H292" i="7" a="1"/>
  <c r="I284" i="7" a="1"/>
  <c r="I283" i="7" a="1"/>
  <c r="C279" i="7" a="1"/>
  <c r="H227" i="7" a="1"/>
  <c r="C298" i="7" a="1"/>
  <c r="D259" i="7" a="1"/>
  <c r="D261" i="7" a="1"/>
  <c r="H231" i="7" a="1"/>
  <c r="E287" i="7" a="1"/>
  <c r="D172" i="7" a="1"/>
  <c r="F193" i="7" a="1"/>
  <c r="C266" i="7" a="1"/>
  <c r="F177" i="7" a="1"/>
  <c r="E272" i="7" a="1"/>
  <c r="D2" i="7" a="1"/>
  <c r="D233" i="7" a="1"/>
  <c r="D136" i="7" a="1"/>
  <c r="H4" i="7" a="1"/>
  <c r="B273" i="7" a="1"/>
  <c r="C276" i="7" a="1"/>
  <c r="F217" i="7" a="1"/>
  <c r="B8" i="7" a="1"/>
  <c r="D145" i="7" a="1"/>
  <c r="D158" i="7" a="1"/>
  <c r="F236" i="7" a="1"/>
  <c r="H282" i="7" a="1"/>
  <c r="D286" i="7" a="1"/>
  <c r="F227" i="7" a="1"/>
  <c r="D289" i="7" a="1"/>
  <c r="H204" i="7" a="1"/>
  <c r="F248" i="7" a="1"/>
  <c r="F257" i="7" a="1"/>
  <c r="F251" i="7" a="1"/>
  <c r="H290" i="7" a="1"/>
  <c r="D200" i="7" a="1"/>
  <c r="F149" i="7" a="1"/>
  <c r="C7" i="7" a="1"/>
  <c r="D5" i="7" a="1"/>
  <c r="H208" i="7" a="1"/>
  <c r="C280" i="7" a="1"/>
  <c r="F281" i="7" a="1"/>
  <c r="H143" i="7" a="1"/>
  <c r="H257" i="7" a="1"/>
  <c r="H254" i="7" a="1"/>
  <c r="F292" i="7" a="1"/>
  <c r="D271" i="7" a="1"/>
  <c r="H142" i="7" a="1"/>
  <c r="F293" i="7" a="1"/>
  <c r="B295" i="7" a="1"/>
  <c r="F226" i="7" a="1"/>
  <c r="H145" i="7" a="1"/>
  <c r="H200" i="7" a="1"/>
  <c r="D151" i="7" a="1"/>
  <c r="E285" i="7" a="1"/>
  <c r="F275" i="7" a="1"/>
  <c r="B297" i="7" a="1"/>
  <c r="B289" i="7" a="1"/>
  <c r="F288" i="7" a="1"/>
  <c r="H243" i="7" a="1"/>
  <c r="F279" i="7" a="1"/>
  <c r="H157" i="7" a="1"/>
  <c r="D177" i="7" a="1"/>
  <c r="F180" i="7" a="1"/>
  <c r="H274" i="7" a="1"/>
  <c r="H220" i="7" a="1"/>
  <c r="F235" i="7" a="1"/>
  <c r="H164" i="7" a="1"/>
  <c r="I296" i="7" a="1"/>
  <c r="H203" i="7" a="1"/>
  <c r="F284" i="7" a="1"/>
  <c r="B5" i="7" a="1"/>
  <c r="D285" i="7" a="1"/>
  <c r="H207" i="7" a="1"/>
  <c r="D142" i="7" a="1"/>
  <c r="D262" i="7" a="1"/>
  <c r="I267" i="7" a="1"/>
  <c r="F153" i="7" a="1"/>
  <c r="F142" i="7" a="1"/>
  <c r="C2" i="7" a="1"/>
  <c r="F278" i="7" a="1"/>
  <c r="I297" i="7" a="1"/>
  <c r="F151" i="7" a="1"/>
  <c r="D241" i="7" a="1"/>
  <c r="B272" i="7" a="1"/>
  <c r="H235" i="7" a="1"/>
  <c r="F144" i="7" a="1"/>
  <c r="D157" i="7" a="1"/>
  <c r="H286" i="7" a="1"/>
  <c r="H270" i="7" a="1"/>
  <c r="C261" i="7" a="1"/>
  <c r="F266" i="7" a="1"/>
  <c r="C3" i="7" a="1"/>
  <c r="C272" i="7" a="1"/>
  <c r="B292" i="7" a="1"/>
  <c r="D160" i="7" a="1"/>
  <c r="H255" i="7" a="1"/>
  <c r="C256" i="7" a="1"/>
  <c r="F221" i="7" a="1"/>
  <c r="B279" i="7" a="1"/>
  <c r="E257" i="7" a="1"/>
  <c r="D196" i="7" a="1"/>
  <c r="I5" i="7" a="1"/>
  <c r="H171" i="7" a="1"/>
  <c r="I281" i="7" a="1"/>
  <c r="B299" i="7" a="1"/>
  <c r="F145" i="7" a="1"/>
  <c r="F247" i="7" a="1"/>
  <c r="F209" i="7" a="1"/>
  <c r="C252" i="7" a="1"/>
  <c r="C253" i="7" a="1"/>
  <c r="H276" i="7" a="1"/>
  <c r="I255" i="7" a="1"/>
  <c r="I260" i="7" a="1"/>
  <c r="H205" i="7" a="1"/>
  <c r="C288" i="7" a="1"/>
  <c r="D257" i="7" a="1"/>
  <c r="H198" i="7" a="1"/>
  <c r="D197" i="7" a="1"/>
  <c r="B277" i="7" a="1"/>
  <c r="H222" i="7" a="1"/>
  <c r="H263" i="7" a="1"/>
  <c r="H147" i="7" a="1"/>
  <c r="F152" i="7" a="1"/>
  <c r="I290" i="7" a="1"/>
  <c r="E293" i="7" a="1"/>
  <c r="D278" i="7" a="1"/>
  <c r="C264" i="7" a="1"/>
  <c r="H236" i="7" a="1"/>
  <c r="E286" i="7" a="1"/>
  <c r="F231" i="7" a="1"/>
  <c r="D230" i="7" a="1"/>
  <c r="F267" i="7" a="1"/>
  <c r="C6" i="7" a="1"/>
  <c r="F141" i="7" a="1"/>
  <c r="D173" i="7" a="1"/>
  <c r="D253" i="7" a="1"/>
  <c r="D215" i="7" a="1"/>
  <c r="D144" i="7" a="1"/>
  <c r="H260" i="7" a="1"/>
  <c r="H130" i="7" a="1"/>
  <c r="H247" i="7" a="1"/>
  <c r="F261" i="7" a="1"/>
  <c r="E290" i="7" a="1"/>
  <c r="D300" i="7" a="1"/>
  <c r="B290" i="7" a="1"/>
  <c r="I250" i="7" a="1"/>
  <c r="D130" i="7" a="1"/>
  <c r="E7" i="7" a="1"/>
  <c r="H178" i="7" a="1"/>
  <c r="F259" i="7" a="1"/>
  <c r="D3" i="7" a="1"/>
  <c r="H284" i="7" a="1"/>
  <c r="D149" i="7" a="1"/>
  <c r="F249" i="7" a="1"/>
  <c r="H228" i="7" a="1"/>
  <c r="D291" i="7" a="1"/>
  <c r="E254" i="7" a="1"/>
  <c r="D186" i="7" a="1"/>
  <c r="D191" i="7" a="1"/>
  <c r="D263" i="7" a="1"/>
  <c r="I295" i="7" a="1"/>
  <c r="D7" i="7" a="1"/>
  <c r="E288" i="7" a="1"/>
  <c r="H261" i="7" a="1"/>
  <c r="B4" i="7" a="1"/>
  <c r="E256" i="7" a="1"/>
  <c r="D231" i="7" a="1"/>
  <c r="H232" i="7" a="1"/>
  <c r="D238" i="7" a="1"/>
  <c r="F252" i="7" a="1"/>
  <c r="H271" i="7" a="1"/>
  <c r="H297" i="7" a="1"/>
  <c r="I272" i="7" a="1"/>
  <c r="B267" i="7" a="1"/>
  <c r="I280" i="7" a="1"/>
  <c r="I251" i="7" a="1"/>
  <c r="E267" i="7" a="1"/>
  <c r="F134" i="7" a="1"/>
  <c r="D203" i="7" a="1"/>
  <c r="I282" i="7" a="1"/>
  <c r="H256" i="7" a="1"/>
  <c r="D275" i="7" a="1"/>
  <c r="H141" i="7" a="1"/>
  <c r="F224" i="7" a="1"/>
  <c r="D183" i="7" a="1"/>
  <c r="I293" i="7" a="1"/>
  <c r="D207" i="7" a="1"/>
  <c r="D156" i="7" a="1"/>
  <c r="D283" i="7" a="1"/>
  <c r="F232" i="7" a="1"/>
  <c r="H180" i="7" a="1"/>
  <c r="F250" i="7" a="1"/>
  <c r="B3" i="7" a="1"/>
  <c r="D281" i="7" a="1"/>
  <c r="H248" i="7" a="1"/>
  <c r="F191" i="7" a="1"/>
  <c r="H293" i="7" a="1"/>
  <c r="H175" i="7" a="1"/>
  <c r="D246" i="7" a="1"/>
  <c r="C258" i="7" a="1"/>
  <c r="I277" i="7" a="1"/>
  <c r="F130" i="7" a="1"/>
  <c r="H238" i="7" a="1"/>
  <c r="H202" i="7" a="1"/>
  <c r="F4" i="7" a="1"/>
  <c r="B252" i="7" a="1"/>
  <c r="H191" i="7" a="1"/>
  <c r="B259" i="7" a="1"/>
  <c r="F205" i="7" a="1"/>
  <c r="D266" i="7" a="1"/>
  <c r="D245" i="7" a="1"/>
  <c r="E252" i="7" a="1"/>
  <c r="D147" i="7" a="1"/>
  <c r="B7" i="7" a="1"/>
  <c r="H176" i="7" a="1"/>
  <c r="F289" i="7" a="1"/>
  <c r="F190" i="7" a="1"/>
  <c r="F291" i="7" a="1"/>
  <c r="D131" i="7" a="1"/>
  <c r="H266" i="7" a="1"/>
  <c r="F175" i="7" a="1"/>
  <c r="D209" i="7" a="1"/>
  <c r="I276" i="7" a="1"/>
  <c r="D192" i="7" a="1"/>
  <c r="F197" i="7" a="1"/>
  <c r="D141" i="7" a="1"/>
  <c r="D276" i="7" a="1"/>
  <c r="D216" i="7" a="1"/>
  <c r="B282" i="7" a="1"/>
  <c r="D292" i="7" a="1"/>
  <c r="H213" i="7" a="1"/>
  <c r="D224" i="7" a="1"/>
  <c r="F173" i="7" a="1"/>
  <c r="E8" i="7" a="1"/>
  <c r="C263" i="7" a="1"/>
  <c r="B274" i="7" a="1"/>
  <c r="D214" i="7" a="1"/>
  <c r="H154" i="7" a="1"/>
  <c r="H199" i="7" a="1"/>
  <c r="H2" i="7" a="1"/>
  <c r="B263" i="7" a="1"/>
  <c r="F283" i="7" a="1"/>
  <c r="I252" i="7" a="1"/>
  <c r="C287" i="7" a="1"/>
  <c r="D235" i="7" a="1"/>
  <c r="F183" i="7" a="1"/>
  <c r="D148" i="7" a="1"/>
  <c r="H291" i="7" a="1"/>
  <c r="D274" i="7" a="1"/>
  <c r="F185" i="7" a="1"/>
  <c r="F204" i="7" a="1"/>
  <c r="H3" i="7" a="1"/>
  <c r="F140" i="7" a="1"/>
  <c r="F143" i="7" a="1"/>
  <c r="H267" i="7" a="1"/>
  <c r="H187" i="7" a="1"/>
  <c r="H149" i="7" a="1"/>
  <c r="D282" i="7" a="1"/>
  <c r="H221" i="7" a="1"/>
  <c r="H283" i="7" a="1"/>
  <c r="H190" i="7" a="1"/>
  <c r="D181" i="7" a="1"/>
  <c r="B275" i="7" a="1"/>
  <c r="D138" i="7" a="1"/>
  <c r="F171" i="7" a="1"/>
  <c r="F5" i="7" a="1"/>
  <c r="C291" i="7" a="1"/>
  <c r="I257" i="7" a="1"/>
  <c r="D228" i="7" a="1"/>
  <c r="E294" i="7" a="1"/>
  <c r="E251" i="7" a="1"/>
  <c r="C281" i="7" a="1"/>
  <c r="F222" i="7" a="1"/>
  <c r="D272" i="7" a="1"/>
  <c r="D234" i="7" a="1"/>
  <c r="H188" i="7" a="1"/>
  <c r="D265" i="7" a="1"/>
  <c r="F196" i="7" a="1"/>
  <c r="H242" i="7" a="1"/>
  <c r="D171" i="7" a="1"/>
  <c r="D219" i="7" a="1"/>
  <c r="F172" i="7" a="1"/>
  <c r="B262" i="7" a="1"/>
  <c r="E289" i="7" a="1"/>
  <c r="F2" i="7" a="1"/>
  <c r="B264" i="7" a="1"/>
  <c r="E295" i="7" a="1"/>
  <c r="E298" i="7" a="1"/>
  <c r="H206" i="7" a="1"/>
  <c r="D247" i="7" a="1"/>
  <c r="D146" i="7" a="1"/>
  <c r="F138" i="7" a="1"/>
  <c r="C5" i="7" a="1"/>
  <c r="H233" i="7" a="1"/>
  <c r="H133" i="7" a="1"/>
  <c r="F300" i="7" a="1"/>
  <c r="D237" i="7" a="1"/>
  <c r="F192" i="7" a="1"/>
  <c r="C296" i="7" a="1"/>
  <c r="F202" i="7" a="1"/>
  <c r="H139" i="7" a="1"/>
  <c r="F264" i="7" a="1"/>
  <c r="H240" i="7" a="1"/>
  <c r="H240" i="7" l="1"/>
  <c r="F264" i="7"/>
  <c r="H139" i="7"/>
  <c r="F202" i="7"/>
  <c r="C296" i="7"/>
  <c r="F192" i="7"/>
  <c r="D237" i="7"/>
  <c r="F300" i="7"/>
  <c r="H133" i="7"/>
  <c r="H233" i="7"/>
  <c r="C5" i="7"/>
  <c r="F138" i="7"/>
  <c r="D146" i="7"/>
  <c r="D247" i="7"/>
  <c r="H206" i="7"/>
  <c r="E298" i="7"/>
  <c r="E295" i="7"/>
  <c r="B264" i="7"/>
  <c r="F2" i="7"/>
  <c r="E289" i="7"/>
  <c r="B262" i="7"/>
  <c r="F172" i="7"/>
  <c r="D219" i="7"/>
  <c r="D171" i="7"/>
  <c r="H242" i="7"/>
  <c r="F196" i="7"/>
  <c r="D265" i="7"/>
  <c r="H188" i="7"/>
  <c r="D234" i="7"/>
  <c r="D272" i="7"/>
  <c r="F222" i="7"/>
  <c r="C281" i="7"/>
  <c r="E251" i="7"/>
  <c r="E294" i="7"/>
  <c r="D228" i="7"/>
  <c r="I257" i="7"/>
  <c r="C291" i="7"/>
  <c r="F5" i="7"/>
  <c r="F171" i="7"/>
  <c r="D138" i="7"/>
  <c r="B275" i="7"/>
  <c r="D181" i="7"/>
  <c r="H190" i="7"/>
  <c r="H283" i="7"/>
  <c r="H221" i="7"/>
  <c r="D282" i="7"/>
  <c r="H149" i="7"/>
  <c r="H187" i="7"/>
  <c r="H267" i="7"/>
  <c r="F143" i="7"/>
  <c r="F140" i="7"/>
  <c r="H3" i="7"/>
  <c r="F204" i="7"/>
  <c r="F185" i="7"/>
  <c r="D274" i="7"/>
  <c r="H291" i="7"/>
  <c r="D148" i="7"/>
  <c r="F183" i="7"/>
  <c r="D235" i="7"/>
  <c r="C287" i="7"/>
  <c r="I252" i="7"/>
  <c r="F283" i="7"/>
  <c r="B263" i="7"/>
  <c r="H2" i="7"/>
  <c r="H199" i="7"/>
  <c r="H154" i="7"/>
  <c r="D214" i="7"/>
  <c r="B274" i="7"/>
  <c r="C263" i="7"/>
  <c r="E8" i="7"/>
  <c r="F173" i="7"/>
  <c r="D224" i="7"/>
  <c r="H213" i="7"/>
  <c r="D292" i="7"/>
  <c r="B282" i="7"/>
  <c r="D216" i="7"/>
  <c r="D276" i="7"/>
  <c r="D141" i="7"/>
  <c r="F197" i="7"/>
  <c r="D192" i="7"/>
  <c r="I276" i="7"/>
  <c r="D209" i="7"/>
  <c r="F175" i="7"/>
  <c r="H266" i="7"/>
  <c r="D131" i="7"/>
  <c r="F291" i="7"/>
  <c r="F190" i="7"/>
  <c r="F289" i="7"/>
  <c r="H176" i="7"/>
  <c r="B7" i="7"/>
  <c r="D147" i="7"/>
  <c r="E252" i="7"/>
  <c r="D245" i="7"/>
  <c r="D266" i="7"/>
  <c r="F205" i="7"/>
  <c r="B259" i="7"/>
  <c r="H191" i="7"/>
  <c r="B252" i="7"/>
  <c r="F4" i="7"/>
  <c r="H202" i="7"/>
  <c r="H238" i="7"/>
  <c r="F130" i="7"/>
  <c r="I277" i="7"/>
  <c r="C258" i="7"/>
  <c r="D246" i="7"/>
  <c r="H175" i="7"/>
  <c r="H293" i="7"/>
  <c r="F191" i="7"/>
  <c r="H248" i="7"/>
  <c r="D281" i="7"/>
  <c r="B3" i="7"/>
  <c r="F250" i="7"/>
  <c r="H180" i="7"/>
  <c r="F232" i="7"/>
  <c r="D283" i="7"/>
  <c r="D156" i="7"/>
  <c r="D207" i="7"/>
  <c r="I293" i="7"/>
  <c r="D183" i="7"/>
  <c r="F224" i="7"/>
  <c r="H141" i="7"/>
  <c r="D275" i="7"/>
  <c r="H256" i="7"/>
  <c r="I282" i="7"/>
  <c r="D203" i="7"/>
  <c r="F134" i="7"/>
  <c r="E267" i="7"/>
  <c r="I251" i="7"/>
  <c r="I280" i="7"/>
  <c r="B267" i="7"/>
  <c r="I272" i="7"/>
  <c r="H297" i="7"/>
  <c r="H271" i="7"/>
  <c r="F252" i="7"/>
  <c r="D238" i="7"/>
  <c r="H232" i="7"/>
  <c r="D231" i="7"/>
  <c r="E256" i="7"/>
  <c r="B4" i="7"/>
  <c r="H261" i="7"/>
  <c r="E288" i="7"/>
  <c r="D7" i="7"/>
  <c r="I295" i="7"/>
  <c r="D263" i="7"/>
  <c r="D191" i="7"/>
  <c r="D186" i="7"/>
  <c r="E254" i="7"/>
  <c r="D291" i="7"/>
  <c r="H228" i="7"/>
  <c r="F249" i="7"/>
  <c r="D149" i="7"/>
  <c r="H284" i="7"/>
  <c r="D3" i="7"/>
  <c r="F259" i="7"/>
  <c r="H178" i="7"/>
  <c r="E7" i="7"/>
  <c r="D130" i="7"/>
  <c r="I250" i="7"/>
  <c r="B290" i="7"/>
  <c r="D300" i="7"/>
  <c r="E290" i="7"/>
  <c r="F261" i="7"/>
  <c r="H247" i="7"/>
  <c r="H130" i="7"/>
  <c r="H260" i="7"/>
  <c r="D144" i="7"/>
  <c r="D215" i="7"/>
  <c r="D253" i="7"/>
  <c r="D173" i="7"/>
  <c r="F141" i="7"/>
  <c r="C6" i="7"/>
  <c r="F267" i="7"/>
  <c r="D230" i="7"/>
  <c r="F231" i="7"/>
  <c r="E286" i="7"/>
  <c r="H236" i="7"/>
  <c r="C264" i="7"/>
  <c r="D278" i="7"/>
  <c r="E293" i="7"/>
  <c r="I290" i="7"/>
  <c r="F152" i="7"/>
  <c r="H147" i="7"/>
  <c r="H263" i="7"/>
  <c r="H222" i="7"/>
  <c r="B277" i="7"/>
  <c r="D197" i="7"/>
  <c r="H198" i="7"/>
  <c r="D257" i="7"/>
  <c r="C288" i="7"/>
  <c r="H205" i="7"/>
  <c r="I260" i="7"/>
  <c r="I255" i="7"/>
  <c r="H276" i="7"/>
  <c r="C253" i="7"/>
  <c r="C252" i="7"/>
  <c r="F209" i="7"/>
  <c r="F247" i="7"/>
  <c r="F145" i="7"/>
  <c r="B299" i="7"/>
  <c r="I281" i="7"/>
  <c r="H171" i="7"/>
  <c r="I5" i="7"/>
  <c r="D196" i="7"/>
  <c r="E257" i="7"/>
  <c r="B279" i="7"/>
  <c r="F221" i="7"/>
  <c r="C256" i="7"/>
  <c r="H255" i="7"/>
  <c r="D160" i="7"/>
  <c r="B292" i="7"/>
  <c r="C272" i="7"/>
  <c r="C3" i="7"/>
  <c r="F266" i="7"/>
  <c r="C261" i="7"/>
  <c r="H270" i="7"/>
  <c r="H286" i="7"/>
  <c r="D157" i="7"/>
  <c r="F144" i="7"/>
  <c r="H235" i="7"/>
  <c r="B272" i="7"/>
  <c r="D241" i="7"/>
  <c r="F151" i="7"/>
  <c r="I297" i="7"/>
  <c r="F278" i="7"/>
  <c r="C2" i="7"/>
  <c r="F142" i="7"/>
  <c r="F153" i="7"/>
  <c r="I267" i="7"/>
  <c r="D262" i="7"/>
  <c r="D142" i="7"/>
  <c r="H207" i="7"/>
  <c r="D285" i="7"/>
  <c r="B5" i="7"/>
  <c r="F284" i="7"/>
  <c r="H203" i="7"/>
  <c r="I296" i="7"/>
  <c r="H164" i="7"/>
  <c r="F235" i="7"/>
  <c r="H220" i="7"/>
  <c r="H274" i="7"/>
  <c r="F180" i="7"/>
  <c r="D177" i="7"/>
  <c r="H157" i="7"/>
  <c r="F279" i="7"/>
  <c r="H243" i="7"/>
  <c r="F288" i="7"/>
  <c r="B289" i="7"/>
  <c r="B297" i="7"/>
  <c r="F275" i="7"/>
  <c r="E285" i="7"/>
  <c r="D151" i="7"/>
  <c r="H200" i="7"/>
  <c r="H145" i="7"/>
  <c r="F226" i="7"/>
  <c r="B295" i="7"/>
  <c r="F293" i="7"/>
  <c r="H142" i="7"/>
  <c r="D271" i="7"/>
  <c r="F292" i="7"/>
  <c r="H254" i="7"/>
  <c r="H257" i="7"/>
  <c r="H143" i="7"/>
  <c r="F281" i="7"/>
  <c r="C280" i="7"/>
  <c r="H208" i="7"/>
  <c r="D5" i="7"/>
  <c r="C7" i="7"/>
  <c r="F149" i="7"/>
  <c r="D200" i="7"/>
  <c r="H290" i="7"/>
  <c r="F251" i="7"/>
  <c r="F257" i="7"/>
  <c r="F248" i="7"/>
  <c r="H204" i="7"/>
  <c r="D289" i="7"/>
  <c r="F227" i="7"/>
  <c r="D286" i="7"/>
  <c r="H282" i="7"/>
  <c r="F236" i="7"/>
  <c r="D158" i="7"/>
  <c r="D145" i="7"/>
  <c r="B8" i="7"/>
  <c r="F217" i="7"/>
  <c r="C276" i="7"/>
  <c r="B273" i="7"/>
  <c r="H4" i="7"/>
  <c r="D136" i="7"/>
  <c r="D233" i="7"/>
  <c r="D2" i="7"/>
  <c r="E272" i="7"/>
  <c r="F177" i="7"/>
  <c r="C266" i="7"/>
  <c r="F193" i="7"/>
  <c r="D172" i="7"/>
  <c r="E287" i="7"/>
  <c r="H231" i="7"/>
  <c r="D261" i="7"/>
  <c r="D259" i="7"/>
  <c r="C298" i="7"/>
  <c r="H227" i="7"/>
  <c r="C279" i="7"/>
  <c r="I283" i="7"/>
  <c r="I284" i="7"/>
  <c r="H292" i="7"/>
  <c r="H298" i="7"/>
  <c r="H173" i="7"/>
  <c r="H241" i="7"/>
  <c r="I264" i="7"/>
  <c r="C268" i="7"/>
  <c r="F255" i="7"/>
  <c r="F218" i="7"/>
  <c r="C8" i="7"/>
  <c r="H193" i="7"/>
  <c r="H296" i="7"/>
  <c r="F136" i="7"/>
  <c r="H195" i="7"/>
  <c r="F162" i="7"/>
  <c r="E264" i="7"/>
  <c r="H7" i="7"/>
  <c r="F298" i="7"/>
  <c r="D240" i="7"/>
  <c r="H294" i="7"/>
  <c r="E279" i="7"/>
  <c r="H172" i="7"/>
  <c r="B253" i="7"/>
  <c r="H262" i="7"/>
  <c r="D135" i="7"/>
  <c r="F164" i="7"/>
  <c r="D288" i="7"/>
  <c r="H137" i="7"/>
  <c r="E270" i="7"/>
  <c r="I7" i="7"/>
  <c r="H278" i="7"/>
  <c r="E291" i="7"/>
  <c r="D218" i="7"/>
  <c r="D279" i="7"/>
  <c r="F262" i="7"/>
  <c r="B291" i="7"/>
  <c r="H215" i="7"/>
  <c r="H210" i="7"/>
  <c r="H184" i="7"/>
  <c r="B270" i="7"/>
  <c r="I269" i="7"/>
  <c r="H185" i="7"/>
  <c r="C294" i="7"/>
  <c r="H197" i="7"/>
  <c r="H269" i="7"/>
  <c r="E292" i="7"/>
  <c r="D243" i="7"/>
  <c r="F194" i="7"/>
  <c r="H289" i="7"/>
  <c r="I258" i="7"/>
  <c r="E275" i="7"/>
  <c r="D250" i="7"/>
  <c r="F240" i="7"/>
  <c r="I266" i="7"/>
  <c r="F294" i="7"/>
  <c r="D184" i="7"/>
  <c r="H194" i="7"/>
  <c r="B2" i="7"/>
  <c r="D140" i="7"/>
  <c r="E259" i="7"/>
  <c r="B284" i="7"/>
  <c r="F159" i="7"/>
  <c r="H230" i="7"/>
  <c r="D217" i="7"/>
  <c r="D202" i="7"/>
  <c r="H223" i="7"/>
  <c r="H214" i="7"/>
  <c r="I259" i="7"/>
  <c r="H192" i="7"/>
  <c r="B294" i="7"/>
  <c r="H138" i="7"/>
  <c r="F280" i="7"/>
  <c r="F299" i="7"/>
  <c r="D205" i="7"/>
  <c r="F297" i="7"/>
  <c r="F198" i="7"/>
  <c r="H169" i="7"/>
  <c r="C260" i="7"/>
  <c r="C295" i="7"/>
  <c r="H5" i="7"/>
  <c r="F263" i="7"/>
  <c r="H155" i="7"/>
  <c r="F237" i="7"/>
  <c r="D229" i="7"/>
  <c r="D232" i="7"/>
  <c r="D168" i="7"/>
  <c r="B300" i="7"/>
  <c r="D166" i="7"/>
  <c r="H219" i="7"/>
  <c r="H152" i="7"/>
  <c r="E260" i="7"/>
  <c r="H132" i="7"/>
  <c r="D267" i="7"/>
  <c r="B293" i="7"/>
  <c r="H216" i="7"/>
  <c r="D167" i="7"/>
  <c r="F148" i="7"/>
  <c r="E261" i="7"/>
  <c r="B278" i="7"/>
  <c r="D297" i="7"/>
  <c r="B265" i="7"/>
  <c r="I298" i="7"/>
  <c r="E268" i="7"/>
  <c r="D255" i="7"/>
  <c r="I300" i="7"/>
  <c r="I289" i="7"/>
  <c r="E2" i="7"/>
  <c r="H181" i="7"/>
  <c r="D211" i="7"/>
  <c r="I270" i="7"/>
  <c r="D180" i="7"/>
  <c r="B283" i="7"/>
  <c r="D161" i="7"/>
  <c r="B298" i="7"/>
  <c r="F253" i="7"/>
  <c r="H277" i="7"/>
  <c r="D222" i="7"/>
  <c r="C257" i="7"/>
  <c r="F295" i="7"/>
  <c r="C262" i="7"/>
  <c r="F133" i="7"/>
  <c r="F268" i="7"/>
  <c r="I279" i="7"/>
  <c r="D170" i="7"/>
  <c r="B266" i="7"/>
  <c r="I262" i="7"/>
  <c r="I268" i="7"/>
  <c r="D4" i="7"/>
  <c r="H224" i="7"/>
  <c r="E300" i="7"/>
  <c r="I275" i="7"/>
  <c r="D134" i="7"/>
  <c r="D201" i="7"/>
  <c r="H134" i="7"/>
  <c r="H300" i="7"/>
  <c r="C254" i="7"/>
  <c r="H299" i="7"/>
  <c r="D150" i="7"/>
  <c r="H162" i="7"/>
  <c r="H153" i="7"/>
  <c r="D251" i="7"/>
  <c r="H249" i="7"/>
  <c r="H253" i="7"/>
  <c r="E276" i="7"/>
  <c r="F206" i="7"/>
  <c r="F238" i="7"/>
  <c r="F174" i="7"/>
  <c r="E262" i="7"/>
  <c r="I286" i="7"/>
  <c r="D155" i="7"/>
  <c r="D162" i="7"/>
  <c r="F220" i="7"/>
  <c r="I273" i="7"/>
  <c r="C286" i="7"/>
  <c r="F203" i="7"/>
  <c r="D213" i="7"/>
  <c r="H264" i="7"/>
  <c r="I278" i="7"/>
  <c r="F210" i="7"/>
  <c r="B286" i="7"/>
  <c r="E250" i="7"/>
  <c r="E297" i="7"/>
  <c r="B260" i="7"/>
  <c r="D165" i="7"/>
  <c r="H245" i="7"/>
  <c r="D296" i="7"/>
  <c r="H209" i="7"/>
  <c r="E274" i="7"/>
  <c r="D239" i="7"/>
  <c r="H168" i="7"/>
  <c r="F286" i="7"/>
  <c r="F290" i="7"/>
  <c r="F155" i="7"/>
  <c r="D227" i="7"/>
  <c r="B271" i="7"/>
  <c r="F241" i="7"/>
  <c r="D252" i="7"/>
  <c r="F258" i="7"/>
  <c r="B288" i="7"/>
  <c r="I8" i="7"/>
  <c r="F135" i="7"/>
  <c r="D154" i="7"/>
  <c r="E283" i="7"/>
  <c r="E281" i="7"/>
  <c r="H189" i="7"/>
  <c r="C289" i="7"/>
  <c r="F274" i="7"/>
  <c r="E271" i="7"/>
  <c r="H259" i="7"/>
  <c r="D164" i="7"/>
  <c r="H212" i="7"/>
  <c r="B280" i="7"/>
  <c r="H156" i="7"/>
  <c r="F8" i="7"/>
  <c r="D290" i="7"/>
  <c r="C4" i="7"/>
  <c r="H251" i="7"/>
  <c r="E253" i="7"/>
  <c r="D152" i="7"/>
  <c r="F207" i="7"/>
  <c r="D220" i="7"/>
  <c r="F282" i="7"/>
  <c r="F243" i="7"/>
  <c r="H174" i="7"/>
  <c r="B250" i="7"/>
  <c r="D212" i="7"/>
  <c r="D6" i="7"/>
  <c r="F166" i="7"/>
  <c r="E296" i="7"/>
  <c r="I256" i="7"/>
  <c r="D221" i="7"/>
  <c r="D299" i="7"/>
  <c r="C277" i="7"/>
  <c r="I299" i="7"/>
  <c r="E284" i="7"/>
  <c r="B261" i="7"/>
  <c r="C292" i="7"/>
  <c r="D137" i="7"/>
  <c r="H148" i="7"/>
  <c r="D264" i="7"/>
  <c r="C284" i="7"/>
  <c r="I291" i="7"/>
  <c r="H244" i="7"/>
  <c r="F228" i="7"/>
  <c r="H166" i="7"/>
  <c r="F195" i="7"/>
  <c r="F246" i="7"/>
  <c r="C255" i="7"/>
  <c r="I253" i="7"/>
  <c r="E266" i="7"/>
  <c r="D189" i="7"/>
  <c r="F239" i="7"/>
  <c r="D188" i="7"/>
  <c r="F270" i="7"/>
  <c r="F160" i="7"/>
  <c r="B6" i="7"/>
  <c r="I274" i="7"/>
  <c r="E255" i="7"/>
  <c r="F182" i="7"/>
  <c r="C259" i="7"/>
  <c r="F7" i="7"/>
  <c r="D225" i="7"/>
  <c r="D195" i="7"/>
  <c r="F256" i="7"/>
  <c r="D175" i="7"/>
  <c r="H146" i="7"/>
  <c r="D139" i="7"/>
  <c r="I6" i="7"/>
  <c r="H237" i="7"/>
  <c r="C274" i="7"/>
  <c r="B268" i="7"/>
  <c r="C271" i="7"/>
  <c r="F179" i="7"/>
  <c r="H6" i="7"/>
  <c r="F165" i="7"/>
  <c r="H265" i="7"/>
  <c r="H258" i="7"/>
  <c r="H177" i="7"/>
  <c r="F212" i="7"/>
  <c r="F169" i="7"/>
  <c r="I287" i="7"/>
  <c r="E278" i="7"/>
  <c r="H151" i="7"/>
  <c r="F146" i="7"/>
  <c r="C250" i="7"/>
  <c r="H295" i="7"/>
  <c r="F167" i="7"/>
  <c r="D273" i="7"/>
  <c r="D163" i="7"/>
  <c r="D242" i="7"/>
  <c r="F254" i="7"/>
  <c r="F216" i="7"/>
  <c r="H288" i="7"/>
  <c r="D268" i="7"/>
  <c r="F219" i="7"/>
  <c r="D143" i="7"/>
  <c r="B254" i="7"/>
  <c r="F170" i="7"/>
  <c r="D179" i="7"/>
  <c r="D174" i="7"/>
  <c r="I4" i="7"/>
  <c r="H196" i="7"/>
  <c r="F272" i="7"/>
  <c r="F201" i="7"/>
  <c r="F187" i="7"/>
  <c r="H136" i="7"/>
  <c r="F186" i="7"/>
  <c r="F154" i="7"/>
  <c r="F277" i="7"/>
  <c r="F244" i="7"/>
  <c r="F269" i="7"/>
  <c r="F214" i="7"/>
  <c r="H226" i="7"/>
  <c r="F245" i="7"/>
  <c r="B285" i="7"/>
  <c r="D287" i="7"/>
  <c r="B256" i="7"/>
  <c r="D260" i="7"/>
  <c r="D256" i="7"/>
  <c r="H273" i="7"/>
  <c r="I294" i="7"/>
  <c r="F157" i="7"/>
  <c r="B258" i="7"/>
  <c r="I3" i="7"/>
  <c r="E282" i="7"/>
  <c r="H144" i="7"/>
  <c r="H229" i="7"/>
  <c r="F184" i="7"/>
  <c r="B257" i="7"/>
  <c r="D132" i="7"/>
  <c r="C273" i="7"/>
  <c r="F131" i="7"/>
  <c r="E5" i="7"/>
  <c r="D178" i="7"/>
  <c r="H281" i="7"/>
  <c r="E263" i="7"/>
  <c r="H285" i="7"/>
  <c r="D8" i="7"/>
  <c r="F223" i="7"/>
  <c r="H201" i="7"/>
  <c r="H218" i="7"/>
  <c r="H161" i="7"/>
  <c r="D270" i="7"/>
  <c r="I261" i="7"/>
  <c r="H183" i="7"/>
  <c r="F161" i="7"/>
  <c r="C269" i="7"/>
  <c r="F208" i="7"/>
  <c r="E258" i="7"/>
  <c r="F271" i="7"/>
  <c r="H217" i="7"/>
  <c r="H239" i="7"/>
  <c r="H186" i="7"/>
  <c r="H179" i="7"/>
  <c r="F273" i="7"/>
  <c r="C270" i="7"/>
  <c r="F260" i="7"/>
  <c r="B296" i="7"/>
  <c r="C293" i="7"/>
  <c r="C267" i="7"/>
  <c r="H158" i="7"/>
  <c r="D269" i="7"/>
  <c r="H268" i="7"/>
  <c r="I2" i="7"/>
  <c r="E6" i="7"/>
  <c r="F189" i="7"/>
  <c r="F178" i="7"/>
  <c r="E269" i="7"/>
  <c r="E4" i="7"/>
  <c r="C278" i="7"/>
  <c r="B251" i="7"/>
  <c r="D169" i="7"/>
  <c r="D244" i="7"/>
  <c r="F233" i="7"/>
  <c r="F230" i="7"/>
  <c r="D254" i="7"/>
  <c r="I263" i="7"/>
  <c r="F229" i="7"/>
  <c r="E3" i="7"/>
  <c r="F158" i="7"/>
  <c r="E273" i="7"/>
  <c r="H225" i="7"/>
  <c r="H165" i="7"/>
  <c r="I292" i="7"/>
  <c r="H131" i="7"/>
  <c r="D223" i="7"/>
  <c r="D248" i="7"/>
  <c r="H150" i="7"/>
  <c r="D298" i="7"/>
  <c r="D258" i="7"/>
  <c r="C299" i="7"/>
  <c r="D295" i="7"/>
  <c r="D199" i="7"/>
  <c r="F296" i="7"/>
  <c r="I285" i="7"/>
  <c r="E280" i="7"/>
  <c r="C285" i="7"/>
  <c r="C282" i="7"/>
  <c r="F6" i="7"/>
  <c r="D159" i="7"/>
  <c r="I271" i="7"/>
  <c r="D208" i="7"/>
  <c r="D206" i="7"/>
  <c r="H182" i="7"/>
  <c r="D193" i="7"/>
  <c r="B281" i="7"/>
  <c r="D190" i="7"/>
  <c r="D294" i="7"/>
  <c r="D187" i="7"/>
  <c r="H160" i="7"/>
  <c r="H159" i="7"/>
  <c r="H272" i="7"/>
  <c r="F287" i="7"/>
  <c r="D194" i="7"/>
  <c r="F211" i="7"/>
  <c r="B269" i="7"/>
  <c r="F200" i="7"/>
  <c r="I265" i="7"/>
  <c r="E265" i="7"/>
  <c r="C297" i="7"/>
  <c r="H280" i="7"/>
  <c r="F234" i="7"/>
  <c r="F199" i="7"/>
  <c r="B276" i="7"/>
  <c r="D293" i="7"/>
  <c r="F285" i="7"/>
  <c r="H275" i="7"/>
  <c r="D280" i="7"/>
  <c r="D182" i="7"/>
  <c r="C300" i="7"/>
  <c r="H140" i="7"/>
  <c r="C283" i="7"/>
  <c r="F276" i="7"/>
  <c r="C265" i="7"/>
  <c r="D133" i="7"/>
  <c r="F156" i="7"/>
  <c r="B255" i="7"/>
  <c r="D277" i="7"/>
  <c r="F188" i="7"/>
  <c r="H211" i="7"/>
  <c r="F3" i="7"/>
  <c r="B287" i="7"/>
  <c r="C251" i="7"/>
  <c r="H246" i="7"/>
  <c r="D210" i="7"/>
  <c r="H252" i="7"/>
  <c r="D176" i="7"/>
  <c r="D204" i="7"/>
  <c r="H279" i="7"/>
  <c r="F147" i="7"/>
  <c r="I254" i="7"/>
  <c r="H287" i="7"/>
  <c r="F132" i="7"/>
  <c r="F163" i="7"/>
  <c r="F213" i="7"/>
  <c r="E299" i="7"/>
  <c r="D226" i="7"/>
  <c r="D284" i="7"/>
  <c r="H170" i="7"/>
  <c r="F242" i="7"/>
  <c r="F168" i="7"/>
  <c r="H163" i="7"/>
  <c r="C290" i="7"/>
  <c r="F150" i="7"/>
  <c r="I288" i="7"/>
  <c r="F265" i="7"/>
  <c r="F215" i="7"/>
  <c r="F137" i="7"/>
  <c r="E277" i="7"/>
  <c r="F181" i="7"/>
  <c r="D249" i="7"/>
  <c r="F176" i="7"/>
  <c r="H250" i="7"/>
  <c r="C275" i="7"/>
  <c r="H135" i="7"/>
  <c r="H234" i="7"/>
  <c r="H8" i="7"/>
  <c r="D153" i="7"/>
  <c r="D198" i="7"/>
  <c r="F139" i="7"/>
  <c r="D185" i="7"/>
  <c r="F225" i="7"/>
  <c r="H167" i="7"/>
  <c r="D23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<sst xmlns="http://schemas.openxmlformats.org/spreadsheetml/2006/main" count="1114" uniqueCount="75">
  <si>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</si>
  <si>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</si>
  <si>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</si>
  <si>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</si>
  <si>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</si>
  <si>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</si>
  <si>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</si>
  <si>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</si>
  <si>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</si>
  <si>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</si>
  <si>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</si>
  <si>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</si>
  <si>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</si>
  <si>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</si>
  <si>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</si>
  <si>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</si>
  <si>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</si>
  <si>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</si>
  <si>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</si>
  <si>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</si>
  <si>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</si>
  <si>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NVARCHAR(255)</t>
  </si>
  <si>
    <t>NVARCHAR(20)</t>
  </si>
  <si>
    <t>DATE</t>
  </si>
  <si>
    <t>DECIMAL(13,4) [Percentage]</t>
  </si>
  <si>
    <t>DECIMAL(13,2)</t>
  </si>
  <si>
    <t>Yes</t>
  </si>
  <si>
    <t>range_start</t>
  </si>
  <si>
    <t>range_stop</t>
  </si>
  <si>
    <t>project_active_start</t>
  </si>
  <si>
    <t>project_inactive_end</t>
  </si>
  <si>
    <t>relate_document</t>
  </si>
  <si>
    <t>relate_range_start_05</t>
  </si>
  <si>
    <t>relate_range_stop_05</t>
  </si>
  <si>
    <t>B10</t>
  </si>
  <si>
    <t>V?</t>
  </si>
  <si>
    <t>05. Progress</t>
  </si>
  <si>
    <t>D?</t>
  </si>
  <si>
    <t>col_number</t>
  </si>
  <si>
    <t>Overall Project</t>
  </si>
  <si>
    <t>Month # 1</t>
  </si>
  <si>
    <t>Month # 2</t>
  </si>
  <si>
    <t>Month # 3</t>
  </si>
  <si>
    <t>Month # 4</t>
  </si>
  <si>
    <t>Month # 5</t>
  </si>
  <si>
    <t>Month # 6</t>
  </si>
  <si>
    <t>Month # 7</t>
  </si>
  <si>
    <t>Month # 8</t>
  </si>
  <si>
    <t>Month # 9</t>
  </si>
  <si>
    <t>Month # 10</t>
  </si>
  <si>
    <t>Month # 11</t>
  </si>
  <si>
    <t>Month # 12</t>
  </si>
  <si>
    <t>Month # 13</t>
  </si>
  <si>
    <t>Month # 14</t>
  </si>
  <si>
    <t>Month # 15</t>
  </si>
  <si>
    <t>Month # 16</t>
  </si>
  <si>
    <t>Month # 17</t>
  </si>
  <si>
    <t>Month # 18</t>
  </si>
  <si>
    <t>Month # 19</t>
  </si>
  <si>
    <t>Month # 20</t>
  </si>
  <si>
    <t>Month # 21</t>
  </si>
  <si>
    <t>Month # 22</t>
  </si>
  <si>
    <t>Month # 23</t>
  </si>
  <si>
    <t>Month # 24</t>
  </si>
  <si>
    <t>Engineering</t>
  </si>
  <si>
    <t>Procurement</t>
  </si>
  <si>
    <t>Construction</t>
  </si>
  <si>
    <t>Project Management</t>
  </si>
  <si>
    <t>HUC</t>
  </si>
  <si>
    <t>N/A</t>
  </si>
  <si>
    <t>Service to NSE</t>
  </si>
  <si>
    <t>Subcontract Work to NSE</t>
  </si>
  <si>
    <t>Punch List Work</t>
  </si>
  <si>
    <t>Warranty Claim</t>
  </si>
  <si>
    <t>5. Progress-Edited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</si>
</sst>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quotePrefix="1" applyBorder="1"/>
    <xf numFmtId="14" fontId="0" fillId="0" borderId="1" xfId="0" applyNumberFormat="1" applyBorder="1"/>
    <xf numFmtId="0" fontId="0" fillId="3" borderId="0" xfId="0" applyFill="1"/>
    <xf numFmtId="14" fontId="0" fillId="0" borderId="1" xfId="0" quotePrefix="1" applyNumberFormat="1" applyBorder="1"/>
    <xf numFmtId="19" fontId="0" fillId="0" borderId="0" xfId="0" quotePrefix="1" applyNumberFormat="1"/>
  </cellXfs>
  <cellStyles count="3">
    <cellStyle name="Comma" xfId="1" builtinId="3"/>
    <cellStyle name="Comma 2 3" xfId="2" xr:uid="{902E92DD-3110-4647-A98A-7D202CCAEE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V249"/>
  <sheetViews>
    <sheetView topLeftCell="A9" zoomScale="80" zoomScaleNormal="80" workbookViewId="0">
      <pane ySplit="1" topLeftCell="A10" activePane="bottomLeft" state="frozen"/>
      <selection activeCell="A9" sqref="A9"/>
      <selection pane="bottomLeft" activeCell="R238" sqref="R238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  <col min="13" max="13" width="22.5703125" customWidth="1"/>
  </cols>
  <sheetData>
    <row r="1" spans="2:22" x14ac:dyDescent="0.25">
      <c r="G1" s="5"/>
      <c r="H1" s="5"/>
    </row>
    <row r="9" spans="2:22" x14ac:dyDescent="0.25">
      <c r="B9" s="1" t="s">
        <v>0</v>
      </c>
      <c r="C9" s="1" t="s">
        <v>1</v>
      </c>
      <c r="D9" s="12" t="s">
        <v>2</v>
      </c>
      <c r="E9" s="1" t="s">
        <v>3</v>
      </c>
      <c r="F9" s="1" t="s">
        <v>4</v>
      </c>
      <c r="G9" s="1" t="s">
        <v>5</v>
      </c>
      <c r="H9" s="12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2" t="s">
        <v>11</v>
      </c>
      <c r="N9" s="1" t="s">
        <v>12</v>
      </c>
      <c r="O9" s="1" t="s">
        <v>13</v>
      </c>
      <c r="P9" s="12" t="s">
        <v>14</v>
      </c>
      <c r="Q9" s="1" t="s">
        <v>15</v>
      </c>
      <c r="R9" s="1" t="s">
        <v>16</v>
      </c>
      <c r="S9" s="12" t="s">
        <v>17</v>
      </c>
      <c r="T9" s="1" t="s">
        <v>18</v>
      </c>
      <c r="U9" s="1" t="s">
        <v>19</v>
      </c>
      <c r="V9" s="12" t="s">
        <v>20</v>
      </c>
    </row>
    <row r="10" spans="2:22" x14ac:dyDescent="0.25">
      <c r="B10" t="s">
        <v>39</v>
      </c>
      <c r="C10" s="9" t="s">
        <v>40</v>
      </c>
      <c r="D10" s="21">
        <v>0</v>
      </c>
      <c r="E10" s="2">
        <v>0</v>
      </c>
      <c r="F10" s="3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2:22" x14ac:dyDescent="0.25">
      <c r="B11" t="s">
        <v>39</v>
      </c>
      <c r="C11" s="9" t="s">
        <v>41</v>
      </c>
      <c r="D11" s="21">
        <v>0</v>
      </c>
      <c r="E11" s="2">
        <v>0</v>
      </c>
      <c r="F11" s="3">
        <v>0</v>
      </c>
      <c r="G11">
        <v>0</v>
      </c>
      <c r="H11">
        <v>0</v>
      </c>
      <c r="I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2:22" x14ac:dyDescent="0.25">
      <c r="B12" t="s">
        <v>39</v>
      </c>
      <c r="C12" s="9" t="s">
        <v>42</v>
      </c>
      <c r="D12" s="21">
        <v>0</v>
      </c>
      <c r="E12" s="2">
        <v>0</v>
      </c>
      <c r="F12" s="3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2:22" x14ac:dyDescent="0.25">
      <c r="B13" t="s">
        <v>39</v>
      </c>
      <c r="C13" s="9" t="s">
        <v>43</v>
      </c>
      <c r="D13" s="21">
        <v>0</v>
      </c>
      <c r="E13" s="2">
        <v>0</v>
      </c>
      <c r="F13" s="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2:22" x14ac:dyDescent="0.25">
      <c r="B14" t="s">
        <v>39</v>
      </c>
      <c r="C14" s="9" t="s">
        <v>44</v>
      </c>
      <c r="D14" s="21">
        <v>0</v>
      </c>
      <c r="E14" s="2">
        <v>0</v>
      </c>
      <c r="F14" s="3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2:22" x14ac:dyDescent="0.25">
      <c r="B15" t="s">
        <v>39</v>
      </c>
      <c r="C15" s="9" t="s">
        <v>45</v>
      </c>
      <c r="D15" s="21">
        <v>0</v>
      </c>
      <c r="E15" s="2">
        <v>0</v>
      </c>
      <c r="F15" s="3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2:22" x14ac:dyDescent="0.25">
      <c r="B16" t="s">
        <v>39</v>
      </c>
      <c r="C16" s="9" t="s">
        <v>46</v>
      </c>
      <c r="D16" s="21">
        <v>0</v>
      </c>
      <c r="E16" s="2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2:22" x14ac:dyDescent="0.25">
      <c r="B17" t="s">
        <v>39</v>
      </c>
      <c r="C17" s="9" t="s">
        <v>47</v>
      </c>
      <c r="D17" s="21">
        <v>0</v>
      </c>
      <c r="E17" s="2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2:22" x14ac:dyDescent="0.25">
      <c r="B18" t="s">
        <v>39</v>
      </c>
      <c r="C18" s="9" t="s">
        <v>48</v>
      </c>
      <c r="D18" s="21">
        <v>0</v>
      </c>
      <c r="E18" s="2">
        <v>0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2:22" x14ac:dyDescent="0.25">
      <c r="B19" t="s">
        <v>39</v>
      </c>
      <c r="C19" s="9" t="s">
        <v>49</v>
      </c>
      <c r="D19" s="21">
        <v>0</v>
      </c>
      <c r="E19" s="2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2:22" x14ac:dyDescent="0.25">
      <c r="B20" t="s">
        <v>39</v>
      </c>
      <c r="C20" s="9" t="s">
        <v>50</v>
      </c>
      <c r="D20" s="21">
        <v>0</v>
      </c>
      <c r="E20" s="2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2:22" x14ac:dyDescent="0.25">
      <c r="B21" t="s">
        <v>39</v>
      </c>
      <c r="C21" s="9" t="s">
        <v>51</v>
      </c>
      <c r="D21" s="21">
        <v>0</v>
      </c>
      <c r="E21" s="2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2:22" x14ac:dyDescent="0.25">
      <c r="B22" t="s">
        <v>39</v>
      </c>
      <c r="C22" s="9" t="s">
        <v>52</v>
      </c>
      <c r="D22" s="21">
        <v>0</v>
      </c>
      <c r="E22" s="2">
        <v>0</v>
      </c>
      <c r="F22">
        <v>0</v>
      </c>
      <c r="G22">
        <v>0</v>
      </c>
      <c r="H22">
        <v>0</v>
      </c>
      <c r="I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2:22" x14ac:dyDescent="0.25">
      <c r="B23" t="s">
        <v>39</v>
      </c>
      <c r="C23" s="9" t="s">
        <v>53</v>
      </c>
      <c r="D23" s="21">
        <v>0</v>
      </c>
      <c r="E23" s="2">
        <v>0</v>
      </c>
      <c r="F23">
        <v>0</v>
      </c>
      <c r="G23">
        <v>0</v>
      </c>
      <c r="H23">
        <v>0</v>
      </c>
      <c r="I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2:22" x14ac:dyDescent="0.25">
      <c r="B24" t="s">
        <v>39</v>
      </c>
      <c r="C24" s="9" t="s">
        <v>54</v>
      </c>
      <c r="D24" s="21">
        <v>0</v>
      </c>
      <c r="E24" s="2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2:22" x14ac:dyDescent="0.25">
      <c r="B25" t="s">
        <v>39</v>
      </c>
      <c r="C25" s="9" t="s">
        <v>55</v>
      </c>
      <c r="D25" s="21">
        <v>0</v>
      </c>
      <c r="E25" s="2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2:22" x14ac:dyDescent="0.25">
      <c r="B26" t="s">
        <v>39</v>
      </c>
      <c r="C26" s="9" t="s">
        <v>56</v>
      </c>
      <c r="D26" s="21">
        <v>0</v>
      </c>
      <c r="E26" s="2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2:22" x14ac:dyDescent="0.25">
      <c r="B27" t="s">
        <v>39</v>
      </c>
      <c r="C27" s="9" t="s">
        <v>57</v>
      </c>
      <c r="D27" s="21">
        <v>0</v>
      </c>
      <c r="E27" s="2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</row>
    <row r="28" spans="2:22" x14ac:dyDescent="0.25">
      <c r="B28" t="s">
        <v>39</v>
      </c>
      <c r="C28" s="9" t="s">
        <v>58</v>
      </c>
      <c r="D28" s="21">
        <v>0</v>
      </c>
      <c r="E28" s="2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</row>
    <row r="29" spans="2:22" x14ac:dyDescent="0.25">
      <c r="B29" t="s">
        <v>39</v>
      </c>
      <c r="C29" s="9" t="s">
        <v>59</v>
      </c>
      <c r="D29" s="21">
        <v>0</v>
      </c>
      <c r="E29" s="2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</row>
    <row r="30" spans="2:22" x14ac:dyDescent="0.25">
      <c r="B30" t="s">
        <v>39</v>
      </c>
      <c r="C30" s="9" t="s">
        <v>60</v>
      </c>
      <c r="D30" s="21">
        <v>0</v>
      </c>
      <c r="E30" s="2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</row>
    <row r="31" spans="2:22" x14ac:dyDescent="0.25">
      <c r="B31" t="s">
        <v>39</v>
      </c>
      <c r="C31" s="9" t="s">
        <v>61</v>
      </c>
      <c r="D31" s="21">
        <v>0</v>
      </c>
      <c r="E31" s="2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</row>
    <row r="32" spans="2:22" x14ac:dyDescent="0.25">
      <c r="B32" t="s">
        <v>39</v>
      </c>
      <c r="C32" s="9" t="s">
        <v>62</v>
      </c>
      <c r="D32" s="21">
        <v>0</v>
      </c>
      <c r="E32" s="2">
        <v>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</row>
    <row r="33" spans="2:22" x14ac:dyDescent="0.25">
      <c r="B33" t="s">
        <v>39</v>
      </c>
      <c r="C33" s="9" t="s">
        <v>63</v>
      </c>
      <c r="D33" s="21">
        <v>0</v>
      </c>
      <c r="E33" s="2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</row>
    <row r="34" spans="2:22" x14ac:dyDescent="0.25">
      <c r="B34" t="s">
        <v>64</v>
      </c>
      <c r="C34" s="9" t="s">
        <v>40</v>
      </c>
      <c r="D34" s="21">
        <v>0</v>
      </c>
      <c r="E34" s="2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2:22" x14ac:dyDescent="0.25">
      <c r="B35" t="s">
        <v>64</v>
      </c>
      <c r="C35" s="9" t="s">
        <v>41</v>
      </c>
      <c r="D35" s="21">
        <v>0</v>
      </c>
      <c r="E35" s="2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2:22" x14ac:dyDescent="0.25">
      <c r="B36" t="s">
        <v>64</v>
      </c>
      <c r="C36" s="9" t="s">
        <v>42</v>
      </c>
      <c r="D36" s="21">
        <v>0</v>
      </c>
      <c r="E36" s="2">
        <v>0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2:22" x14ac:dyDescent="0.25">
      <c r="B37" t="s">
        <v>64</v>
      </c>
      <c r="C37" s="9" t="s">
        <v>43</v>
      </c>
      <c r="D37" s="21">
        <v>0</v>
      </c>
      <c r="E37" s="2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2:22" x14ac:dyDescent="0.25">
      <c r="B38" t="s">
        <v>64</v>
      </c>
      <c r="C38" s="9" t="s">
        <v>44</v>
      </c>
      <c r="D38" s="21">
        <v>0</v>
      </c>
      <c r="E38" s="2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2:22" x14ac:dyDescent="0.25">
      <c r="B39" t="s">
        <v>64</v>
      </c>
      <c r="C39" s="9" t="s">
        <v>45</v>
      </c>
      <c r="D39" s="21">
        <v>0</v>
      </c>
      <c r="E39" s="2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2:22" x14ac:dyDescent="0.25">
      <c r="B40" t="s">
        <v>64</v>
      </c>
      <c r="C40" s="9" t="s">
        <v>46</v>
      </c>
      <c r="D40" s="21">
        <v>0</v>
      </c>
      <c r="E40" s="2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2:22" x14ac:dyDescent="0.25">
      <c r="B41" t="s">
        <v>64</v>
      </c>
      <c r="C41" s="9" t="s">
        <v>47</v>
      </c>
      <c r="D41" s="21">
        <v>0</v>
      </c>
      <c r="E41" s="2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2:22" x14ac:dyDescent="0.25">
      <c r="B42" t="s">
        <v>64</v>
      </c>
      <c r="C42" s="9" t="s">
        <v>48</v>
      </c>
      <c r="D42" s="21">
        <v>0</v>
      </c>
      <c r="E42" s="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2:22" x14ac:dyDescent="0.25">
      <c r="B43" t="s">
        <v>64</v>
      </c>
      <c r="C43" s="9" t="s">
        <v>49</v>
      </c>
      <c r="D43" s="21">
        <v>0</v>
      </c>
      <c r="E43" s="2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2:22" x14ac:dyDescent="0.25">
      <c r="B44" t="s">
        <v>64</v>
      </c>
      <c r="C44" s="9" t="s">
        <v>50</v>
      </c>
      <c r="D44" s="21">
        <v>0</v>
      </c>
      <c r="E44" s="2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2:22" x14ac:dyDescent="0.25">
      <c r="B45" t="s">
        <v>64</v>
      </c>
      <c r="C45" s="9" t="s">
        <v>51</v>
      </c>
      <c r="D45" s="21">
        <v>0</v>
      </c>
      <c r="E45" s="2">
        <v>0</v>
      </c>
      <c r="F45">
        <v>0</v>
      </c>
      <c r="G45">
        <v>0</v>
      </c>
      <c r="H45">
        <v>0</v>
      </c>
      <c r="I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2:22" x14ac:dyDescent="0.25">
      <c r="B46" t="s">
        <v>64</v>
      </c>
      <c r="C46" s="9" t="s">
        <v>52</v>
      </c>
      <c r="D46" s="21">
        <v>0</v>
      </c>
      <c r="E46" s="2">
        <v>0</v>
      </c>
      <c r="F46">
        <v>0</v>
      </c>
      <c r="G46">
        <v>0</v>
      </c>
      <c r="H46">
        <v>0</v>
      </c>
      <c r="I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2:22" x14ac:dyDescent="0.25">
      <c r="B47" t="s">
        <v>64</v>
      </c>
      <c r="C47" s="9" t="s">
        <v>53</v>
      </c>
      <c r="D47" s="21">
        <v>0</v>
      </c>
      <c r="E47" s="2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2:22" x14ac:dyDescent="0.25">
      <c r="B48" t="s">
        <v>64</v>
      </c>
      <c r="C48" s="9" t="s">
        <v>54</v>
      </c>
      <c r="D48" s="21">
        <v>0</v>
      </c>
      <c r="E48" s="2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2:22" x14ac:dyDescent="0.25">
      <c r="B49" t="s">
        <v>64</v>
      </c>
      <c r="C49" s="9" t="s">
        <v>55</v>
      </c>
      <c r="D49" s="21">
        <v>0</v>
      </c>
      <c r="E49" s="2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2:22" x14ac:dyDescent="0.25">
      <c r="B50" t="s">
        <v>64</v>
      </c>
      <c r="C50" s="9" t="s">
        <v>56</v>
      </c>
      <c r="D50" s="21">
        <v>0</v>
      </c>
      <c r="E50" s="2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2:22" x14ac:dyDescent="0.25">
      <c r="B51" t="s">
        <v>64</v>
      </c>
      <c r="C51" s="9" t="s">
        <v>57</v>
      </c>
      <c r="D51" s="21">
        <v>0</v>
      </c>
      <c r="E51" s="2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</row>
    <row r="52" spans="2:22" x14ac:dyDescent="0.25">
      <c r="B52" t="s">
        <v>64</v>
      </c>
      <c r="C52" s="9" t="s">
        <v>58</v>
      </c>
      <c r="D52" s="21">
        <v>0</v>
      </c>
      <c r="E52" s="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</row>
    <row r="53" spans="2:22" x14ac:dyDescent="0.25">
      <c r="B53" t="s">
        <v>64</v>
      </c>
      <c r="C53" s="9" t="s">
        <v>59</v>
      </c>
      <c r="D53" s="21">
        <v>0</v>
      </c>
      <c r="E53" s="2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</row>
    <row r="54" spans="2:22" x14ac:dyDescent="0.25">
      <c r="B54" t="s">
        <v>64</v>
      </c>
      <c r="C54" s="9" t="s">
        <v>60</v>
      </c>
      <c r="D54" s="21">
        <v>0</v>
      </c>
      <c r="E54" s="2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</row>
    <row r="55" spans="2:22" x14ac:dyDescent="0.25">
      <c r="B55" t="s">
        <v>64</v>
      </c>
      <c r="C55" s="9" t="s">
        <v>61</v>
      </c>
      <c r="D55" s="21">
        <v>0</v>
      </c>
      <c r="E55" s="2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</row>
    <row r="56" spans="2:22" x14ac:dyDescent="0.25">
      <c r="B56" t="s">
        <v>64</v>
      </c>
      <c r="C56" s="9" t="s">
        <v>62</v>
      </c>
      <c r="D56" s="21">
        <v>0</v>
      </c>
      <c r="E56" s="2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0</v>
      </c>
    </row>
    <row r="57" spans="2:22" x14ac:dyDescent="0.25">
      <c r="B57" t="s">
        <v>64</v>
      </c>
      <c r="C57" s="9" t="s">
        <v>63</v>
      </c>
      <c r="D57" s="21">
        <v>0</v>
      </c>
      <c r="E57" s="2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</row>
    <row r="58" spans="2:22" x14ac:dyDescent="0.25">
      <c r="B58" t="s">
        <v>65</v>
      </c>
      <c r="C58" s="9" t="s">
        <v>40</v>
      </c>
      <c r="D58" s="21">
        <v>0</v>
      </c>
      <c r="E58" s="2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2:22" x14ac:dyDescent="0.25">
      <c r="B59" t="s">
        <v>65</v>
      </c>
      <c r="C59" s="9" t="s">
        <v>41</v>
      </c>
      <c r="D59" s="21">
        <v>0</v>
      </c>
      <c r="E59" s="2">
        <v>0</v>
      </c>
      <c r="F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2:22" x14ac:dyDescent="0.25">
      <c r="B60" t="s">
        <v>65</v>
      </c>
      <c r="C60" s="9" t="s">
        <v>42</v>
      </c>
      <c r="D60" s="21">
        <v>0</v>
      </c>
      <c r="E60" s="2">
        <v>0</v>
      </c>
      <c r="F60">
        <v>0</v>
      </c>
      <c r="G60">
        <v>0</v>
      </c>
      <c r="H60">
        <v>0</v>
      </c>
      <c r="I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2:22" x14ac:dyDescent="0.25">
      <c r="B61" t="s">
        <v>65</v>
      </c>
      <c r="C61" s="9" t="s">
        <v>43</v>
      </c>
      <c r="D61" s="21">
        <v>0</v>
      </c>
      <c r="E61" s="2">
        <v>0</v>
      </c>
      <c r="F61">
        <v>0</v>
      </c>
      <c r="G61">
        <v>0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2:22" x14ac:dyDescent="0.25">
      <c r="B62" t="s">
        <v>65</v>
      </c>
      <c r="C62" s="9" t="s">
        <v>44</v>
      </c>
      <c r="D62" s="21">
        <v>0</v>
      </c>
      <c r="E62" s="2">
        <v>0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2:22" x14ac:dyDescent="0.25">
      <c r="B63" t="s">
        <v>65</v>
      </c>
      <c r="C63" s="9" t="s">
        <v>45</v>
      </c>
      <c r="D63" s="21">
        <v>0</v>
      </c>
      <c r="E63" s="2">
        <v>0</v>
      </c>
      <c r="F63">
        <v>0</v>
      </c>
      <c r="G63">
        <v>0</v>
      </c>
      <c r="H63">
        <v>0</v>
      </c>
      <c r="I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2:22" x14ac:dyDescent="0.25">
      <c r="B64" t="s">
        <v>65</v>
      </c>
      <c r="C64" s="9" t="s">
        <v>46</v>
      </c>
      <c r="D64" s="21">
        <v>0</v>
      </c>
      <c r="E64" s="2">
        <v>0</v>
      </c>
      <c r="F64">
        <v>0</v>
      </c>
      <c r="G64">
        <v>0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2:22" x14ac:dyDescent="0.25">
      <c r="B65" t="s">
        <v>65</v>
      </c>
      <c r="C65" s="9" t="s">
        <v>47</v>
      </c>
      <c r="D65" s="21">
        <v>0</v>
      </c>
      <c r="E65" s="2">
        <v>0</v>
      </c>
      <c r="F65">
        <v>0</v>
      </c>
      <c r="G65">
        <v>0</v>
      </c>
      <c r="H65">
        <v>0</v>
      </c>
      <c r="I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2:22" x14ac:dyDescent="0.25">
      <c r="B66" t="s">
        <v>65</v>
      </c>
      <c r="C66" s="9" t="s">
        <v>48</v>
      </c>
      <c r="D66" s="21">
        <v>0</v>
      </c>
      <c r="E66" s="2">
        <v>0</v>
      </c>
      <c r="F66">
        <v>0</v>
      </c>
      <c r="G66">
        <v>0</v>
      </c>
      <c r="H66">
        <v>0</v>
      </c>
      <c r="I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2:22" x14ac:dyDescent="0.25">
      <c r="B67" t="s">
        <v>65</v>
      </c>
      <c r="C67" s="9" t="s">
        <v>49</v>
      </c>
      <c r="D67" s="21">
        <v>0</v>
      </c>
      <c r="E67" s="2">
        <v>0</v>
      </c>
      <c r="F67">
        <v>0</v>
      </c>
      <c r="G67">
        <v>0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2:22" x14ac:dyDescent="0.25">
      <c r="B68" t="s">
        <v>65</v>
      </c>
      <c r="C68" s="9" t="s">
        <v>50</v>
      </c>
      <c r="D68" s="21">
        <v>0</v>
      </c>
      <c r="E68" s="2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2:22" x14ac:dyDescent="0.25">
      <c r="B69" t="s">
        <v>65</v>
      </c>
      <c r="C69" s="9" t="s">
        <v>51</v>
      </c>
      <c r="D69" s="21">
        <v>0</v>
      </c>
      <c r="E69" s="2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2:22" x14ac:dyDescent="0.25">
      <c r="B70" t="s">
        <v>65</v>
      </c>
      <c r="C70" s="9" t="s">
        <v>52</v>
      </c>
      <c r="D70" s="21">
        <v>0</v>
      </c>
      <c r="E70" s="2">
        <v>0</v>
      </c>
      <c r="F70">
        <v>0</v>
      </c>
      <c r="G70">
        <v>0</v>
      </c>
      <c r="H70">
        <v>0</v>
      </c>
      <c r="I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2:22" x14ac:dyDescent="0.25">
      <c r="B71" t="s">
        <v>65</v>
      </c>
      <c r="C71" s="9" t="s">
        <v>53</v>
      </c>
      <c r="D71" s="21">
        <v>0</v>
      </c>
      <c r="E71" s="2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2:22" x14ac:dyDescent="0.25">
      <c r="B72" t="s">
        <v>65</v>
      </c>
      <c r="C72" s="9" t="s">
        <v>54</v>
      </c>
      <c r="D72" s="21">
        <v>0</v>
      </c>
      <c r="E72" s="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2:22" x14ac:dyDescent="0.25">
      <c r="B73" t="s">
        <v>65</v>
      </c>
      <c r="C73" s="9" t="s">
        <v>55</v>
      </c>
      <c r="D73" s="21">
        <v>0</v>
      </c>
      <c r="E73" s="2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2:22" x14ac:dyDescent="0.25">
      <c r="B74" t="s">
        <v>65</v>
      </c>
      <c r="C74" s="9" t="s">
        <v>56</v>
      </c>
      <c r="D74" s="21">
        <v>0</v>
      </c>
      <c r="E74" s="2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2:22" x14ac:dyDescent="0.25">
      <c r="B75" t="s">
        <v>65</v>
      </c>
      <c r="C75" s="9" t="s">
        <v>57</v>
      </c>
      <c r="D75" s="21">
        <v>0</v>
      </c>
      <c r="E75" s="2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</row>
    <row r="76" spans="2:22" x14ac:dyDescent="0.25">
      <c r="B76" t="s">
        <v>65</v>
      </c>
      <c r="C76" s="9" t="s">
        <v>58</v>
      </c>
      <c r="D76" s="21">
        <v>0</v>
      </c>
      <c r="E76" s="2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</row>
    <row r="77" spans="2:22" x14ac:dyDescent="0.25">
      <c r="B77" t="s">
        <v>65</v>
      </c>
      <c r="C77" s="9" t="s">
        <v>59</v>
      </c>
      <c r="D77" s="21">
        <v>0</v>
      </c>
      <c r="E77" s="2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</row>
    <row r="78" spans="2:22" x14ac:dyDescent="0.25">
      <c r="B78" t="s">
        <v>65</v>
      </c>
      <c r="C78" s="9" t="s">
        <v>60</v>
      </c>
      <c r="D78" s="21">
        <v>0</v>
      </c>
      <c r="E78" s="2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</row>
    <row r="79" spans="2:22" x14ac:dyDescent="0.25">
      <c r="B79" t="s">
        <v>65</v>
      </c>
      <c r="C79" s="9" t="s">
        <v>61</v>
      </c>
      <c r="D79" s="21">
        <v>0</v>
      </c>
      <c r="E79" s="2">
        <v>0</v>
      </c>
      <c r="F79">
        <v>0</v>
      </c>
      <c r="G79">
        <v>0</v>
      </c>
      <c r="H79">
        <v>0</v>
      </c>
      <c r="I79">
        <v>0</v>
      </c>
      <c r="K79">
        <v>0</v>
      </c>
      <c r="L79">
        <v>0</v>
      </c>
    </row>
    <row r="80" spans="2:22" x14ac:dyDescent="0.25">
      <c r="B80" t="s">
        <v>65</v>
      </c>
      <c r="C80" s="9" t="s">
        <v>62</v>
      </c>
      <c r="D80" s="21">
        <v>0</v>
      </c>
      <c r="E80" s="2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</row>
    <row r="81" spans="2:22" x14ac:dyDescent="0.25">
      <c r="B81" t="s">
        <v>65</v>
      </c>
      <c r="C81" s="9" t="s">
        <v>63</v>
      </c>
      <c r="D81" s="21">
        <v>0</v>
      </c>
      <c r="E81" s="2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</row>
    <row r="82" spans="2:22" x14ac:dyDescent="0.25">
      <c r="B82" t="s">
        <v>66</v>
      </c>
      <c r="C82" s="9" t="s">
        <v>40</v>
      </c>
      <c r="D82" s="21">
        <v>0</v>
      </c>
      <c r="E82" s="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2:22" x14ac:dyDescent="0.25">
      <c r="B83" t="s">
        <v>66</v>
      </c>
      <c r="C83" s="9" t="s">
        <v>41</v>
      </c>
      <c r="D83" s="21">
        <v>0</v>
      </c>
      <c r="E83" s="2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2:22" x14ac:dyDescent="0.25">
      <c r="B84" t="s">
        <v>66</v>
      </c>
      <c r="C84" s="9" t="s">
        <v>42</v>
      </c>
      <c r="D84" s="21">
        <v>0</v>
      </c>
      <c r="E84" s="2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2:22" x14ac:dyDescent="0.25">
      <c r="B85" t="s">
        <v>66</v>
      </c>
      <c r="C85" s="9" t="s">
        <v>43</v>
      </c>
      <c r="D85" s="21">
        <v>0</v>
      </c>
      <c r="E85" s="2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2:22" x14ac:dyDescent="0.25">
      <c r="B86" t="s">
        <v>66</v>
      </c>
      <c r="C86" s="9" t="s">
        <v>44</v>
      </c>
      <c r="D86" s="21">
        <v>0</v>
      </c>
      <c r="E86" s="2">
        <v>0</v>
      </c>
      <c r="F86">
        <v>0</v>
      </c>
      <c r="G86">
        <v>0</v>
      </c>
      <c r="H86">
        <v>0</v>
      </c>
      <c r="I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2:22" x14ac:dyDescent="0.25">
      <c r="B87" t="s">
        <v>66</v>
      </c>
      <c r="C87" s="9" t="s">
        <v>45</v>
      </c>
      <c r="D87" s="21">
        <v>0</v>
      </c>
      <c r="E87" s="2">
        <v>0</v>
      </c>
      <c r="F87">
        <v>0</v>
      </c>
      <c r="G87">
        <v>0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2:22" x14ac:dyDescent="0.25">
      <c r="B88" t="s">
        <v>66</v>
      </c>
      <c r="C88" s="9" t="s">
        <v>46</v>
      </c>
      <c r="D88" s="21">
        <v>0</v>
      </c>
      <c r="E88" s="2">
        <v>0</v>
      </c>
      <c r="F88">
        <v>0</v>
      </c>
      <c r="G88">
        <v>0</v>
      </c>
      <c r="H88">
        <v>0</v>
      </c>
      <c r="I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2:22" x14ac:dyDescent="0.25">
      <c r="B89" t="s">
        <v>66</v>
      </c>
      <c r="C89" s="9" t="s">
        <v>47</v>
      </c>
      <c r="D89" s="21">
        <v>0</v>
      </c>
      <c r="E89" s="2">
        <v>0</v>
      </c>
      <c r="F89">
        <v>0</v>
      </c>
      <c r="G89">
        <v>0</v>
      </c>
      <c r="H89">
        <v>0</v>
      </c>
      <c r="I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2:22" x14ac:dyDescent="0.25">
      <c r="B90" t="s">
        <v>66</v>
      </c>
      <c r="C90" s="9" t="s">
        <v>48</v>
      </c>
      <c r="D90" s="21">
        <v>0</v>
      </c>
      <c r="E90" s="2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2:22" x14ac:dyDescent="0.25">
      <c r="B91" t="s">
        <v>66</v>
      </c>
      <c r="C91" s="9" t="s">
        <v>49</v>
      </c>
      <c r="D91" s="21">
        <v>0</v>
      </c>
      <c r="E91" s="2">
        <v>0</v>
      </c>
      <c r="F91">
        <v>0</v>
      </c>
      <c r="G91">
        <v>0</v>
      </c>
      <c r="H91">
        <v>0</v>
      </c>
      <c r="I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2:22" x14ac:dyDescent="0.25">
      <c r="B92" t="s">
        <v>66</v>
      </c>
      <c r="C92" s="9" t="s">
        <v>50</v>
      </c>
      <c r="D92" s="21">
        <v>0</v>
      </c>
      <c r="E92" s="2">
        <v>0</v>
      </c>
      <c r="F92">
        <v>0</v>
      </c>
      <c r="G92">
        <v>0</v>
      </c>
      <c r="H92">
        <v>0</v>
      </c>
      <c r="I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2:22" x14ac:dyDescent="0.25">
      <c r="B93" t="s">
        <v>66</v>
      </c>
      <c r="C93" s="9" t="s">
        <v>51</v>
      </c>
      <c r="D93" s="21">
        <v>0</v>
      </c>
      <c r="E93" s="2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2:22" x14ac:dyDescent="0.25">
      <c r="B94" t="s">
        <v>66</v>
      </c>
      <c r="C94" s="9" t="s">
        <v>52</v>
      </c>
      <c r="D94" s="21">
        <v>0</v>
      </c>
      <c r="E94" s="2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2:22" x14ac:dyDescent="0.25">
      <c r="B95" t="s">
        <v>66</v>
      </c>
      <c r="C95" s="9" t="s">
        <v>53</v>
      </c>
      <c r="D95" s="21">
        <v>0</v>
      </c>
      <c r="E95" s="2">
        <v>0</v>
      </c>
      <c r="F95">
        <v>0</v>
      </c>
      <c r="G95">
        <v>0</v>
      </c>
      <c r="H95">
        <v>0</v>
      </c>
      <c r="I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2:22" x14ac:dyDescent="0.25">
      <c r="B96" t="s">
        <v>66</v>
      </c>
      <c r="C96" s="9" t="s">
        <v>54</v>
      </c>
      <c r="D96" s="21">
        <v>0</v>
      </c>
      <c r="E96" s="2">
        <v>0</v>
      </c>
      <c r="F96">
        <v>0</v>
      </c>
      <c r="G96">
        <v>0</v>
      </c>
      <c r="H96">
        <v>0</v>
      </c>
      <c r="I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2:22" x14ac:dyDescent="0.25">
      <c r="B97" t="s">
        <v>66</v>
      </c>
      <c r="C97" s="9" t="s">
        <v>55</v>
      </c>
      <c r="D97" s="21">
        <v>0</v>
      </c>
      <c r="E97" s="2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2:22" x14ac:dyDescent="0.25">
      <c r="B98" t="s">
        <v>66</v>
      </c>
      <c r="C98" s="9" t="s">
        <v>56</v>
      </c>
      <c r="D98" s="21">
        <v>0</v>
      </c>
      <c r="E98" s="2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2:22" x14ac:dyDescent="0.25">
      <c r="B99" t="s">
        <v>66</v>
      </c>
      <c r="C99" s="9" t="s">
        <v>57</v>
      </c>
      <c r="D99" s="21">
        <v>0</v>
      </c>
      <c r="E99" s="2">
        <v>0</v>
      </c>
      <c r="F99">
        <v>0</v>
      </c>
      <c r="G99">
        <v>0</v>
      </c>
      <c r="H99">
        <v>0</v>
      </c>
      <c r="I99">
        <v>0</v>
      </c>
      <c r="K99">
        <v>0</v>
      </c>
      <c r="L99">
        <v>0</v>
      </c>
    </row>
    <row r="100" spans="2:22" x14ac:dyDescent="0.25">
      <c r="B100" t="s">
        <v>66</v>
      </c>
      <c r="C100" s="9" t="s">
        <v>58</v>
      </c>
      <c r="D100" s="21">
        <v>0</v>
      </c>
      <c r="E100" s="2">
        <v>0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</row>
    <row r="101" spans="2:22" x14ac:dyDescent="0.25">
      <c r="B101" t="s">
        <v>66</v>
      </c>
      <c r="C101" s="9" t="s">
        <v>59</v>
      </c>
      <c r="D101" s="21">
        <v>0</v>
      </c>
      <c r="E101" s="2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</row>
    <row r="102" spans="2:22" x14ac:dyDescent="0.25">
      <c r="B102" t="s">
        <v>66</v>
      </c>
      <c r="C102" s="9" t="s">
        <v>60</v>
      </c>
      <c r="D102" s="21">
        <v>0</v>
      </c>
      <c r="E102" s="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</row>
    <row r="103" spans="2:22" x14ac:dyDescent="0.25">
      <c r="B103" t="s">
        <v>66</v>
      </c>
      <c r="C103" s="9" t="s">
        <v>61</v>
      </c>
      <c r="D103" s="21">
        <v>0</v>
      </c>
      <c r="E103" s="2">
        <v>0</v>
      </c>
      <c r="F103">
        <v>0</v>
      </c>
      <c r="G103">
        <v>0</v>
      </c>
      <c r="H103">
        <v>0</v>
      </c>
      <c r="I103">
        <v>0</v>
      </c>
      <c r="K103">
        <v>0</v>
      </c>
      <c r="L103">
        <v>0</v>
      </c>
    </row>
    <row r="104" spans="2:22" x14ac:dyDescent="0.25">
      <c r="B104" t="s">
        <v>66</v>
      </c>
      <c r="C104" s="9" t="s">
        <v>62</v>
      </c>
      <c r="D104" s="21">
        <v>0</v>
      </c>
      <c r="E104" s="2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</row>
    <row r="105" spans="2:22" x14ac:dyDescent="0.25">
      <c r="B105" t="s">
        <v>66</v>
      </c>
      <c r="C105" s="9" t="s">
        <v>63</v>
      </c>
      <c r="D105" s="21">
        <v>0</v>
      </c>
      <c r="E105" s="2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</row>
    <row r="106" spans="2:22" x14ac:dyDescent="0.25">
      <c r="B106" t="s">
        <v>67</v>
      </c>
      <c r="C106" s="9" t="s">
        <v>40</v>
      </c>
      <c r="D106" s="21">
        <v>0</v>
      </c>
      <c r="E106" s="2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2:22" x14ac:dyDescent="0.25">
      <c r="B107" t="s">
        <v>67</v>
      </c>
      <c r="C107" s="9" t="s">
        <v>41</v>
      </c>
      <c r="D107" s="21">
        <v>0</v>
      </c>
      <c r="E107" s="2">
        <v>0</v>
      </c>
      <c r="F107">
        <v>0</v>
      </c>
      <c r="G107">
        <v>0</v>
      </c>
      <c r="H107">
        <v>0</v>
      </c>
      <c r="I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2:22" x14ac:dyDescent="0.25">
      <c r="B108" t="s">
        <v>67</v>
      </c>
      <c r="C108" s="9" t="s">
        <v>42</v>
      </c>
      <c r="D108" s="21">
        <v>0</v>
      </c>
      <c r="E108" s="2">
        <v>0</v>
      </c>
      <c r="F108">
        <v>0</v>
      </c>
      <c r="G108">
        <v>0</v>
      </c>
      <c r="H108">
        <v>0</v>
      </c>
      <c r="I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2:22" x14ac:dyDescent="0.25">
      <c r="B109" t="s">
        <v>67</v>
      </c>
      <c r="C109" s="9" t="s">
        <v>43</v>
      </c>
      <c r="D109" s="21">
        <v>0</v>
      </c>
      <c r="E109" s="2">
        <v>0</v>
      </c>
      <c r="F109">
        <v>0</v>
      </c>
      <c r="G109">
        <v>0</v>
      </c>
      <c r="H109">
        <v>0</v>
      </c>
      <c r="I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2:22" x14ac:dyDescent="0.25">
      <c r="B110" t="s">
        <v>67</v>
      </c>
      <c r="C110" s="9" t="s">
        <v>44</v>
      </c>
      <c r="D110" s="21">
        <v>0</v>
      </c>
      <c r="E110" s="2">
        <v>0</v>
      </c>
      <c r="F110">
        <v>0</v>
      </c>
      <c r="G110">
        <v>0</v>
      </c>
      <c r="H110">
        <v>0</v>
      </c>
      <c r="I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2:22" x14ac:dyDescent="0.25">
      <c r="B111" t="s">
        <v>67</v>
      </c>
      <c r="C111" s="9" t="s">
        <v>45</v>
      </c>
      <c r="D111" s="21">
        <v>0</v>
      </c>
      <c r="E111" s="2">
        <v>0</v>
      </c>
      <c r="F111">
        <v>0</v>
      </c>
      <c r="G111">
        <v>0</v>
      </c>
      <c r="H111">
        <v>0</v>
      </c>
      <c r="I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2:22" x14ac:dyDescent="0.25">
      <c r="B112" t="s">
        <v>67</v>
      </c>
      <c r="C112" s="9" t="s">
        <v>46</v>
      </c>
      <c r="D112" s="21">
        <v>0</v>
      </c>
      <c r="E112" s="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2:22" x14ac:dyDescent="0.25">
      <c r="B113" t="s">
        <v>67</v>
      </c>
      <c r="C113" s="9" t="s">
        <v>47</v>
      </c>
      <c r="D113" s="21">
        <v>0</v>
      </c>
      <c r="E113" s="2">
        <v>0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2:22" x14ac:dyDescent="0.25">
      <c r="B114" t="s">
        <v>67</v>
      </c>
      <c r="C114" s="9" t="s">
        <v>48</v>
      </c>
      <c r="D114" s="21">
        <v>0</v>
      </c>
      <c r="E114" s="2">
        <v>0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2:22" x14ac:dyDescent="0.25">
      <c r="B115" t="s">
        <v>67</v>
      </c>
      <c r="C115" s="9" t="s">
        <v>49</v>
      </c>
      <c r="D115" s="21">
        <v>0</v>
      </c>
      <c r="E115" s="2">
        <v>0</v>
      </c>
      <c r="F115">
        <v>0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2:22" x14ac:dyDescent="0.25">
      <c r="B116" t="s">
        <v>67</v>
      </c>
      <c r="C116" s="9" t="s">
        <v>50</v>
      </c>
      <c r="D116" s="21">
        <v>0</v>
      </c>
      <c r="E116" s="2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2:22" x14ac:dyDescent="0.25">
      <c r="B117" t="s">
        <v>67</v>
      </c>
      <c r="C117" s="9" t="s">
        <v>51</v>
      </c>
      <c r="D117" s="21">
        <v>0</v>
      </c>
      <c r="E117" s="2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2:22" x14ac:dyDescent="0.25">
      <c r="B118" t="s">
        <v>67</v>
      </c>
      <c r="C118" s="9" t="s">
        <v>52</v>
      </c>
      <c r="D118" s="21">
        <v>0</v>
      </c>
      <c r="E118" s="2">
        <v>0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2:22" x14ac:dyDescent="0.25">
      <c r="B119" t="s">
        <v>67</v>
      </c>
      <c r="C119" s="9" t="s">
        <v>53</v>
      </c>
      <c r="D119" s="21">
        <v>0</v>
      </c>
      <c r="E119" s="2">
        <v>0</v>
      </c>
      <c r="F119">
        <v>0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2:22" x14ac:dyDescent="0.25">
      <c r="B120" t="s">
        <v>67</v>
      </c>
      <c r="C120" s="9" t="s">
        <v>54</v>
      </c>
      <c r="D120" s="21">
        <v>0</v>
      </c>
      <c r="E120" s="2">
        <v>0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2:22" x14ac:dyDescent="0.25">
      <c r="B121" t="s">
        <v>67</v>
      </c>
      <c r="C121" s="9" t="s">
        <v>55</v>
      </c>
      <c r="D121" s="21">
        <v>0</v>
      </c>
      <c r="E121" s="2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2:22" x14ac:dyDescent="0.25">
      <c r="B122" t="s">
        <v>67</v>
      </c>
      <c r="C122" s="9" t="s">
        <v>56</v>
      </c>
      <c r="D122" s="21">
        <v>0</v>
      </c>
      <c r="E122" s="2">
        <v>0</v>
      </c>
      <c r="F122">
        <v>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2:22" x14ac:dyDescent="0.25">
      <c r="B123" t="s">
        <v>67</v>
      </c>
      <c r="C123" s="9" t="s">
        <v>57</v>
      </c>
      <c r="D123" s="21">
        <v>0</v>
      </c>
      <c r="E123" s="2">
        <v>0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</row>
    <row r="124" spans="2:22" x14ac:dyDescent="0.25">
      <c r="B124" t="s">
        <v>67</v>
      </c>
      <c r="C124" s="9" t="s">
        <v>58</v>
      </c>
      <c r="D124" s="21">
        <v>0</v>
      </c>
      <c r="E124" s="2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</row>
    <row r="125" spans="2:22" x14ac:dyDescent="0.25">
      <c r="B125" t="s">
        <v>67</v>
      </c>
      <c r="C125" s="9" t="s">
        <v>59</v>
      </c>
      <c r="D125" s="21">
        <v>0</v>
      </c>
      <c r="E125" s="2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0</v>
      </c>
    </row>
    <row r="126" spans="2:22" x14ac:dyDescent="0.25">
      <c r="B126" t="s">
        <v>67</v>
      </c>
      <c r="C126" s="9" t="s">
        <v>60</v>
      </c>
      <c r="D126" s="21">
        <v>0</v>
      </c>
      <c r="E126" s="2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</row>
    <row r="127" spans="2:22" x14ac:dyDescent="0.25">
      <c r="B127" t="s">
        <v>67</v>
      </c>
      <c r="C127" s="9" t="s">
        <v>61</v>
      </c>
      <c r="D127" s="21">
        <v>0</v>
      </c>
      <c r="E127" s="2">
        <v>0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</row>
    <row r="128" spans="2:22" x14ac:dyDescent="0.25">
      <c r="B128" t="s">
        <v>67</v>
      </c>
      <c r="C128" s="9" t="s">
        <v>62</v>
      </c>
      <c r="D128" s="21">
        <v>0</v>
      </c>
      <c r="E128" s="2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</row>
    <row r="129" spans="2:12" x14ac:dyDescent="0.25">
      <c r="B129" t="s">
        <v>67</v>
      </c>
      <c r="C129" s="9" t="s">
        <v>63</v>
      </c>
      <c r="D129" s="21">
        <v>0</v>
      </c>
      <c r="E129" s="2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</row>
    <row r="130" spans="2:12" x14ac:dyDescent="0.25">
      <c r="B130" t="s">
        <v>68</v>
      </c>
      <c r="C130" s="9" t="s">
        <v>69</v>
      </c>
      <c r="D130" s="10"/>
      <c r="E130" s="2">
        <v>0</v>
      </c>
      <c r="H130">
        <v>0</v>
      </c>
    </row>
    <row r="131" spans="2:12" x14ac:dyDescent="0.25">
      <c r="B131" t="s">
        <v>68</v>
      </c>
      <c r="C131" s="9" t="s">
        <v>69</v>
      </c>
      <c r="D131" s="10"/>
      <c r="E131" s="2">
        <v>0</v>
      </c>
      <c r="H131">
        <v>0</v>
      </c>
    </row>
    <row r="132" spans="2:12" x14ac:dyDescent="0.25">
      <c r="B132" t="s">
        <v>68</v>
      </c>
      <c r="C132" s="9" t="s">
        <v>69</v>
      </c>
      <c r="D132" s="10"/>
      <c r="E132" s="2">
        <v>0</v>
      </c>
      <c r="H132">
        <v>0</v>
      </c>
    </row>
    <row r="133" spans="2:12" x14ac:dyDescent="0.25">
      <c r="B133" t="s">
        <v>68</v>
      </c>
      <c r="C133" s="9" t="s">
        <v>69</v>
      </c>
      <c r="D133" s="10"/>
      <c r="E133" s="2">
        <v>0</v>
      </c>
      <c r="H133">
        <v>0</v>
      </c>
    </row>
    <row r="134" spans="2:12" x14ac:dyDescent="0.25">
      <c r="B134" t="s">
        <v>68</v>
      </c>
      <c r="C134" s="9" t="s">
        <v>69</v>
      </c>
      <c r="D134" s="10"/>
      <c r="E134" s="2">
        <v>0</v>
      </c>
      <c r="H134">
        <v>0</v>
      </c>
    </row>
    <row r="135" spans="2:12" x14ac:dyDescent="0.25">
      <c r="B135" t="s">
        <v>68</v>
      </c>
      <c r="C135" s="9" t="s">
        <v>69</v>
      </c>
      <c r="D135" s="10"/>
      <c r="E135" s="2">
        <v>0</v>
      </c>
      <c r="H135">
        <v>0</v>
      </c>
    </row>
    <row r="136" spans="2:12" x14ac:dyDescent="0.25">
      <c r="B136" t="s">
        <v>68</v>
      </c>
      <c r="C136" s="9" t="s">
        <v>69</v>
      </c>
      <c r="D136" s="10"/>
      <c r="E136" s="2">
        <v>0</v>
      </c>
      <c r="H136">
        <v>0</v>
      </c>
    </row>
    <row r="137" spans="2:12" x14ac:dyDescent="0.25">
      <c r="B137" t="s">
        <v>68</v>
      </c>
      <c r="C137" s="9" t="s">
        <v>69</v>
      </c>
      <c r="D137" s="10"/>
      <c r="E137" s="2">
        <v>0</v>
      </c>
      <c r="H137">
        <v>0</v>
      </c>
    </row>
    <row r="138" spans="2:12" x14ac:dyDescent="0.25">
      <c r="B138" t="s">
        <v>68</v>
      </c>
      <c r="C138" t="s">
        <v>69</v>
      </c>
      <c r="E138">
        <v>0</v>
      </c>
      <c r="H138">
        <v>0</v>
      </c>
    </row>
    <row r="139" spans="2:12" x14ac:dyDescent="0.25">
      <c r="B139" t="s">
        <v>68</v>
      </c>
      <c r="C139" t="s">
        <v>69</v>
      </c>
      <c r="E139">
        <v>0</v>
      </c>
      <c r="H139">
        <v>0</v>
      </c>
    </row>
    <row r="140" spans="2:12" x14ac:dyDescent="0.25">
      <c r="B140" t="s">
        <v>68</v>
      </c>
      <c r="C140" t="s">
        <v>69</v>
      </c>
      <c r="E140">
        <v>0</v>
      </c>
      <c r="H140">
        <v>0</v>
      </c>
    </row>
    <row r="141" spans="2:12" x14ac:dyDescent="0.25">
      <c r="B141" t="s">
        <v>68</v>
      </c>
      <c r="C141" t="s">
        <v>69</v>
      </c>
      <c r="E141">
        <v>0</v>
      </c>
      <c r="H141">
        <v>0</v>
      </c>
    </row>
    <row r="142" spans="2:12" x14ac:dyDescent="0.25">
      <c r="B142" t="s">
        <v>68</v>
      </c>
      <c r="C142" t="s">
        <v>69</v>
      </c>
      <c r="E142">
        <v>0</v>
      </c>
      <c r="H142">
        <v>0</v>
      </c>
    </row>
    <row r="143" spans="2:12" x14ac:dyDescent="0.25">
      <c r="B143" t="s">
        <v>68</v>
      </c>
      <c r="C143" t="s">
        <v>69</v>
      </c>
      <c r="E143">
        <v>0</v>
      </c>
      <c r="H143">
        <v>0</v>
      </c>
    </row>
    <row r="144" spans="2:12" x14ac:dyDescent="0.25">
      <c r="B144" t="s">
        <v>68</v>
      </c>
      <c r="C144" t="s">
        <v>69</v>
      </c>
      <c r="E144">
        <v>0</v>
      </c>
      <c r="H144">
        <v>0</v>
      </c>
    </row>
    <row r="145" spans="2:8" x14ac:dyDescent="0.25">
      <c r="B145" t="s">
        <v>68</v>
      </c>
      <c r="C145" t="s">
        <v>69</v>
      </c>
      <c r="E145">
        <v>0</v>
      </c>
      <c r="H145">
        <v>0</v>
      </c>
    </row>
    <row r="146" spans="2:8" x14ac:dyDescent="0.25">
      <c r="B146" t="s">
        <v>68</v>
      </c>
      <c r="C146" t="s">
        <v>69</v>
      </c>
      <c r="E146">
        <v>0</v>
      </c>
      <c r="H146">
        <v>0</v>
      </c>
    </row>
    <row r="147" spans="2:8" x14ac:dyDescent="0.25">
      <c r="B147" t="s">
        <v>68</v>
      </c>
      <c r="C147" t="s">
        <v>69</v>
      </c>
      <c r="E147">
        <v>0</v>
      </c>
      <c r="H147">
        <v>0</v>
      </c>
    </row>
    <row r="148" spans="2:8" x14ac:dyDescent="0.25">
      <c r="B148" t="s">
        <v>68</v>
      </c>
      <c r="C148" t="s">
        <v>69</v>
      </c>
      <c r="E148">
        <v>0</v>
      </c>
      <c r="H148">
        <v>0</v>
      </c>
    </row>
    <row r="149" spans="2:8" x14ac:dyDescent="0.25">
      <c r="B149" t="s">
        <v>68</v>
      </c>
      <c r="C149" t="s">
        <v>69</v>
      </c>
      <c r="E149">
        <v>0</v>
      </c>
      <c r="H149">
        <v>0</v>
      </c>
    </row>
    <row r="150" spans="2:8" x14ac:dyDescent="0.25">
      <c r="B150" t="s">
        <v>68</v>
      </c>
      <c r="C150" t="s">
        <v>69</v>
      </c>
      <c r="E150">
        <v>0</v>
      </c>
      <c r="H150">
        <v>0</v>
      </c>
    </row>
    <row r="151" spans="2:8" x14ac:dyDescent="0.25">
      <c r="B151" t="s">
        <v>68</v>
      </c>
      <c r="C151" t="s">
        <v>69</v>
      </c>
      <c r="E151">
        <v>0</v>
      </c>
      <c r="H151">
        <v>0</v>
      </c>
    </row>
    <row r="152" spans="2:8" x14ac:dyDescent="0.25">
      <c r="B152" t="s">
        <v>68</v>
      </c>
      <c r="C152" t="s">
        <v>69</v>
      </c>
      <c r="E152">
        <v>0</v>
      </c>
      <c r="H152">
        <v>0</v>
      </c>
    </row>
    <row r="153" spans="2:8" x14ac:dyDescent="0.25">
      <c r="B153" t="s">
        <v>68</v>
      </c>
      <c r="C153" t="s">
        <v>69</v>
      </c>
      <c r="E153">
        <v>0</v>
      </c>
      <c r="H153">
        <v>0</v>
      </c>
    </row>
    <row r="154" spans="2:8" x14ac:dyDescent="0.25">
      <c r="B154" t="s">
        <v>70</v>
      </c>
      <c r="C154" t="s">
        <v>69</v>
      </c>
      <c r="E154">
        <v>0</v>
      </c>
      <c r="H154">
        <v>0</v>
      </c>
    </row>
    <row r="155" spans="2:8" x14ac:dyDescent="0.25">
      <c r="B155" t="s">
        <v>70</v>
      </c>
      <c r="C155" t="s">
        <v>69</v>
      </c>
      <c r="E155">
        <v>0</v>
      </c>
      <c r="H155">
        <v>0</v>
      </c>
    </row>
    <row r="156" spans="2:8" x14ac:dyDescent="0.25">
      <c r="B156" t="s">
        <v>70</v>
      </c>
      <c r="C156" t="s">
        <v>69</v>
      </c>
      <c r="E156">
        <v>0</v>
      </c>
      <c r="H156">
        <v>0</v>
      </c>
    </row>
    <row r="157" spans="2:8" x14ac:dyDescent="0.25">
      <c r="B157" t="s">
        <v>70</v>
      </c>
      <c r="C157" t="s">
        <v>69</v>
      </c>
      <c r="E157">
        <v>0</v>
      </c>
      <c r="H157">
        <v>0</v>
      </c>
    </row>
    <row r="158" spans="2:8" x14ac:dyDescent="0.25">
      <c r="B158" t="s">
        <v>70</v>
      </c>
      <c r="C158" t="s">
        <v>69</v>
      </c>
      <c r="E158">
        <v>0</v>
      </c>
      <c r="H158">
        <v>0</v>
      </c>
    </row>
    <row r="159" spans="2:8" x14ac:dyDescent="0.25">
      <c r="B159" t="s">
        <v>70</v>
      </c>
      <c r="C159" t="s">
        <v>69</v>
      </c>
      <c r="E159">
        <v>0</v>
      </c>
      <c r="H159">
        <v>0</v>
      </c>
    </row>
    <row r="160" spans="2:8" x14ac:dyDescent="0.25">
      <c r="B160" t="s">
        <v>70</v>
      </c>
      <c r="C160" t="s">
        <v>69</v>
      </c>
      <c r="E160">
        <v>0</v>
      </c>
      <c r="H160">
        <v>0</v>
      </c>
    </row>
    <row r="161" spans="2:8" x14ac:dyDescent="0.25">
      <c r="B161" t="s">
        <v>70</v>
      </c>
      <c r="C161" t="s">
        <v>69</v>
      </c>
      <c r="E161">
        <v>0</v>
      </c>
      <c r="H161">
        <v>0</v>
      </c>
    </row>
    <row r="162" spans="2:8" x14ac:dyDescent="0.25">
      <c r="B162" t="s">
        <v>70</v>
      </c>
      <c r="C162" t="s">
        <v>69</v>
      </c>
      <c r="E162">
        <v>0</v>
      </c>
      <c r="H162">
        <v>0</v>
      </c>
    </row>
    <row r="163" spans="2:8" x14ac:dyDescent="0.25">
      <c r="B163" t="s">
        <v>70</v>
      </c>
      <c r="C163" t="s">
        <v>69</v>
      </c>
      <c r="E163">
        <v>0</v>
      </c>
      <c r="H163">
        <v>0</v>
      </c>
    </row>
    <row r="164" spans="2:8" x14ac:dyDescent="0.25">
      <c r="B164" t="s">
        <v>70</v>
      </c>
      <c r="C164" t="s">
        <v>69</v>
      </c>
      <c r="E164">
        <v>0</v>
      </c>
      <c r="H164">
        <v>0</v>
      </c>
    </row>
    <row r="165" spans="2:8" x14ac:dyDescent="0.25">
      <c r="B165" t="s">
        <v>70</v>
      </c>
      <c r="C165" t="s">
        <v>69</v>
      </c>
      <c r="E165">
        <v>0</v>
      </c>
      <c r="H165">
        <v>0</v>
      </c>
    </row>
    <row r="166" spans="2:8" x14ac:dyDescent="0.25">
      <c r="B166" t="s">
        <v>70</v>
      </c>
      <c r="C166" t="s">
        <v>69</v>
      </c>
      <c r="E166">
        <v>0</v>
      </c>
      <c r="H166">
        <v>0</v>
      </c>
    </row>
    <row r="167" spans="2:8" x14ac:dyDescent="0.25">
      <c r="B167" t="s">
        <v>70</v>
      </c>
      <c r="C167" t="s">
        <v>69</v>
      </c>
      <c r="E167">
        <v>0</v>
      </c>
      <c r="H167">
        <v>0</v>
      </c>
    </row>
    <row r="168" spans="2:8" x14ac:dyDescent="0.25">
      <c r="B168" t="s">
        <v>70</v>
      </c>
      <c r="C168" t="s">
        <v>69</v>
      </c>
      <c r="E168">
        <v>0</v>
      </c>
      <c r="H168">
        <v>0</v>
      </c>
    </row>
    <row r="169" spans="2:8" x14ac:dyDescent="0.25">
      <c r="B169" t="s">
        <v>70</v>
      </c>
      <c r="C169" t="s">
        <v>69</v>
      </c>
      <c r="E169">
        <v>0</v>
      </c>
      <c r="H169">
        <v>0</v>
      </c>
    </row>
    <row r="170" spans="2:8" x14ac:dyDescent="0.25">
      <c r="B170" t="s">
        <v>70</v>
      </c>
      <c r="C170" t="s">
        <v>69</v>
      </c>
      <c r="E170">
        <v>0</v>
      </c>
      <c r="H170">
        <v>0</v>
      </c>
    </row>
    <row r="171" spans="2:8" x14ac:dyDescent="0.25">
      <c r="B171" t="s">
        <v>70</v>
      </c>
      <c r="C171" t="s">
        <v>69</v>
      </c>
      <c r="E171">
        <v>0</v>
      </c>
      <c r="H171">
        <v>0</v>
      </c>
    </row>
    <row r="172" spans="2:8" x14ac:dyDescent="0.25">
      <c r="B172" t="s">
        <v>70</v>
      </c>
      <c r="C172" t="s">
        <v>69</v>
      </c>
      <c r="E172">
        <v>0</v>
      </c>
      <c r="H172">
        <v>0</v>
      </c>
    </row>
    <row r="173" spans="2:8" x14ac:dyDescent="0.25">
      <c r="B173" t="s">
        <v>70</v>
      </c>
      <c r="C173" t="s">
        <v>69</v>
      </c>
      <c r="E173">
        <v>0</v>
      </c>
      <c r="H173">
        <v>0</v>
      </c>
    </row>
    <row r="174" spans="2:8" x14ac:dyDescent="0.25">
      <c r="B174" t="s">
        <v>70</v>
      </c>
      <c r="C174" t="s">
        <v>69</v>
      </c>
      <c r="E174">
        <v>0</v>
      </c>
      <c r="H174">
        <v>0</v>
      </c>
    </row>
    <row r="175" spans="2:8" x14ac:dyDescent="0.25">
      <c r="B175" t="s">
        <v>70</v>
      </c>
      <c r="C175" t="s">
        <v>69</v>
      </c>
      <c r="E175">
        <v>0</v>
      </c>
      <c r="H175">
        <v>0</v>
      </c>
    </row>
    <row r="176" spans="2:8" x14ac:dyDescent="0.25">
      <c r="B176" t="s">
        <v>70</v>
      </c>
      <c r="C176" t="s">
        <v>69</v>
      </c>
      <c r="E176">
        <v>0</v>
      </c>
      <c r="H176">
        <v>0</v>
      </c>
    </row>
    <row r="177" spans="2:8" x14ac:dyDescent="0.25">
      <c r="B177" t="s">
        <v>70</v>
      </c>
      <c r="C177" t="s">
        <v>69</v>
      </c>
      <c r="E177">
        <v>0</v>
      </c>
      <c r="H177">
        <v>0</v>
      </c>
    </row>
    <row r="178" spans="2:8" x14ac:dyDescent="0.25">
      <c r="B178" t="s">
        <v>71</v>
      </c>
      <c r="C178" t="s">
        <v>69</v>
      </c>
      <c r="E178">
        <v>0</v>
      </c>
      <c r="H178">
        <v>0</v>
      </c>
    </row>
    <row r="179" spans="2:8" x14ac:dyDescent="0.25">
      <c r="B179" t="s">
        <v>71</v>
      </c>
      <c r="C179" t="s">
        <v>69</v>
      </c>
      <c r="E179">
        <v>0</v>
      </c>
      <c r="H179">
        <v>0</v>
      </c>
    </row>
    <row r="180" spans="2:8" x14ac:dyDescent="0.25">
      <c r="B180" t="s">
        <v>71</v>
      </c>
      <c r="C180" t="s">
        <v>69</v>
      </c>
      <c r="E180">
        <v>0</v>
      </c>
      <c r="H180">
        <v>0</v>
      </c>
    </row>
    <row r="181" spans="2:8" x14ac:dyDescent="0.25">
      <c r="B181" t="s">
        <v>71</v>
      </c>
      <c r="C181" t="s">
        <v>69</v>
      </c>
      <c r="E181">
        <v>0</v>
      </c>
      <c r="H181">
        <v>0</v>
      </c>
    </row>
    <row r="182" spans="2:8" x14ac:dyDescent="0.25">
      <c r="B182" t="s">
        <v>71</v>
      </c>
      <c r="C182" t="s">
        <v>69</v>
      </c>
      <c r="E182">
        <v>0</v>
      </c>
      <c r="H182">
        <v>0</v>
      </c>
    </row>
    <row r="183" spans="2:8" x14ac:dyDescent="0.25">
      <c r="B183" t="s">
        <v>71</v>
      </c>
      <c r="C183" t="s">
        <v>69</v>
      </c>
      <c r="E183">
        <v>0</v>
      </c>
      <c r="H183">
        <v>0</v>
      </c>
    </row>
    <row r="184" spans="2:8" x14ac:dyDescent="0.25">
      <c r="B184" t="s">
        <v>71</v>
      </c>
      <c r="C184" t="s">
        <v>69</v>
      </c>
      <c r="E184">
        <v>0</v>
      </c>
      <c r="H184">
        <v>0</v>
      </c>
    </row>
    <row r="185" spans="2:8" x14ac:dyDescent="0.25">
      <c r="B185" t="s">
        <v>71</v>
      </c>
      <c r="C185" t="s">
        <v>69</v>
      </c>
      <c r="E185">
        <v>0</v>
      </c>
      <c r="H185">
        <v>0</v>
      </c>
    </row>
    <row r="186" spans="2:8" x14ac:dyDescent="0.25">
      <c r="B186" t="s">
        <v>71</v>
      </c>
      <c r="C186" t="s">
        <v>69</v>
      </c>
      <c r="E186">
        <v>0</v>
      </c>
      <c r="H186">
        <v>0</v>
      </c>
    </row>
    <row r="187" spans="2:8" x14ac:dyDescent="0.25">
      <c r="B187" t="s">
        <v>71</v>
      </c>
      <c r="C187" t="s">
        <v>69</v>
      </c>
      <c r="E187">
        <v>0</v>
      </c>
      <c r="H187">
        <v>0</v>
      </c>
    </row>
    <row r="188" spans="2:8" x14ac:dyDescent="0.25">
      <c r="B188" t="s">
        <v>71</v>
      </c>
      <c r="C188" t="s">
        <v>69</v>
      </c>
      <c r="E188">
        <v>0</v>
      </c>
      <c r="H188">
        <v>0</v>
      </c>
    </row>
    <row r="189" spans="2:8" x14ac:dyDescent="0.25">
      <c r="B189" t="s">
        <v>71</v>
      </c>
      <c r="C189" t="s">
        <v>69</v>
      </c>
      <c r="E189">
        <v>0</v>
      </c>
      <c r="H189">
        <v>0</v>
      </c>
    </row>
    <row r="190" spans="2:8" x14ac:dyDescent="0.25">
      <c r="B190" t="s">
        <v>71</v>
      </c>
      <c r="C190" t="s">
        <v>69</v>
      </c>
      <c r="E190">
        <v>0</v>
      </c>
      <c r="H190">
        <v>0</v>
      </c>
    </row>
    <row r="191" spans="2:8" x14ac:dyDescent="0.25">
      <c r="B191" t="s">
        <v>71</v>
      </c>
      <c r="C191" t="s">
        <v>69</v>
      </c>
      <c r="E191">
        <v>0</v>
      </c>
      <c r="H191">
        <v>0</v>
      </c>
    </row>
    <row r="192" spans="2:8" x14ac:dyDescent="0.25">
      <c r="B192" t="s">
        <v>71</v>
      </c>
      <c r="C192" t="s">
        <v>69</v>
      </c>
      <c r="E192">
        <v>0</v>
      </c>
      <c r="H192">
        <v>0</v>
      </c>
    </row>
    <row r="193" spans="2:8" x14ac:dyDescent="0.25">
      <c r="B193" t="s">
        <v>71</v>
      </c>
      <c r="C193" t="s">
        <v>69</v>
      </c>
      <c r="E193">
        <v>0</v>
      </c>
      <c r="H193">
        <v>0</v>
      </c>
    </row>
    <row r="194" spans="2:8" x14ac:dyDescent="0.25">
      <c r="B194" t="s">
        <v>71</v>
      </c>
      <c r="C194" t="s">
        <v>69</v>
      </c>
      <c r="E194">
        <v>0</v>
      </c>
      <c r="H194">
        <v>0</v>
      </c>
    </row>
    <row r="195" spans="2:8" x14ac:dyDescent="0.25">
      <c r="B195" t="s">
        <v>71</v>
      </c>
      <c r="C195" t="s">
        <v>69</v>
      </c>
      <c r="E195">
        <v>0</v>
      </c>
      <c r="H195">
        <v>0</v>
      </c>
    </row>
    <row r="196" spans="2:8" x14ac:dyDescent="0.25">
      <c r="B196" t="s">
        <v>71</v>
      </c>
      <c r="C196" t="s">
        <v>69</v>
      </c>
      <c r="E196">
        <v>0</v>
      </c>
      <c r="H196">
        <v>0</v>
      </c>
    </row>
    <row r="197" spans="2:8" x14ac:dyDescent="0.25">
      <c r="B197" t="s">
        <v>71</v>
      </c>
      <c r="C197" t="s">
        <v>69</v>
      </c>
      <c r="E197">
        <v>0</v>
      </c>
      <c r="H197">
        <v>0</v>
      </c>
    </row>
    <row r="198" spans="2:8" x14ac:dyDescent="0.25">
      <c r="B198" t="s">
        <v>71</v>
      </c>
      <c r="C198" t="s">
        <v>69</v>
      </c>
      <c r="E198">
        <v>0</v>
      </c>
      <c r="H198">
        <v>0</v>
      </c>
    </row>
    <row r="199" spans="2:8" x14ac:dyDescent="0.25">
      <c r="B199" t="s">
        <v>71</v>
      </c>
      <c r="C199" t="s">
        <v>69</v>
      </c>
      <c r="E199">
        <v>0</v>
      </c>
      <c r="H199">
        <v>0</v>
      </c>
    </row>
    <row r="200" spans="2:8" x14ac:dyDescent="0.25">
      <c r="B200" t="s">
        <v>71</v>
      </c>
      <c r="C200" t="s">
        <v>69</v>
      </c>
      <c r="E200">
        <v>0</v>
      </c>
      <c r="H200">
        <v>0</v>
      </c>
    </row>
    <row r="201" spans="2:8" x14ac:dyDescent="0.25">
      <c r="B201" t="s">
        <v>71</v>
      </c>
      <c r="C201" t="s">
        <v>69</v>
      </c>
      <c r="E201">
        <v>0</v>
      </c>
      <c r="H201">
        <v>0</v>
      </c>
    </row>
    <row r="202" spans="2:8" x14ac:dyDescent="0.25">
      <c r="B202" t="s">
        <v>72</v>
      </c>
      <c r="C202" t="s">
        <v>69</v>
      </c>
      <c r="E202">
        <v>0</v>
      </c>
      <c r="H202">
        <v>0</v>
      </c>
    </row>
    <row r="203" spans="2:8" x14ac:dyDescent="0.25">
      <c r="B203" t="s">
        <v>72</v>
      </c>
      <c r="C203" t="s">
        <v>69</v>
      </c>
      <c r="E203">
        <v>0</v>
      </c>
      <c r="H203">
        <v>0</v>
      </c>
    </row>
    <row r="204" spans="2:8" x14ac:dyDescent="0.25">
      <c r="B204" t="s">
        <v>72</v>
      </c>
      <c r="C204" t="s">
        <v>69</v>
      </c>
      <c r="E204">
        <v>0</v>
      </c>
      <c r="H204">
        <v>0</v>
      </c>
    </row>
    <row r="205" spans="2:8" x14ac:dyDescent="0.25">
      <c r="B205" t="s">
        <v>72</v>
      </c>
      <c r="C205" t="s">
        <v>69</v>
      </c>
      <c r="E205">
        <v>0</v>
      </c>
      <c r="H205">
        <v>0</v>
      </c>
    </row>
    <row r="206" spans="2:8" x14ac:dyDescent="0.25">
      <c r="B206" t="s">
        <v>72</v>
      </c>
      <c r="C206" t="s">
        <v>69</v>
      </c>
      <c r="E206">
        <v>0</v>
      </c>
      <c r="H206">
        <v>0</v>
      </c>
    </row>
    <row r="207" spans="2:8" x14ac:dyDescent="0.25">
      <c r="B207" t="s">
        <v>72</v>
      </c>
      <c r="C207" t="s">
        <v>69</v>
      </c>
      <c r="E207">
        <v>0</v>
      </c>
      <c r="H207">
        <v>0</v>
      </c>
    </row>
    <row r="208" spans="2:8" x14ac:dyDescent="0.25">
      <c r="B208" t="s">
        <v>72</v>
      </c>
      <c r="C208" t="s">
        <v>69</v>
      </c>
      <c r="E208">
        <v>0</v>
      </c>
      <c r="H208">
        <v>0</v>
      </c>
    </row>
    <row r="209" spans="2:8" x14ac:dyDescent="0.25">
      <c r="B209" t="s">
        <v>72</v>
      </c>
      <c r="C209" t="s">
        <v>69</v>
      </c>
      <c r="E209">
        <v>0</v>
      </c>
      <c r="H209">
        <v>0</v>
      </c>
    </row>
    <row r="210" spans="2:8" x14ac:dyDescent="0.25">
      <c r="B210" t="s">
        <v>72</v>
      </c>
      <c r="C210" t="s">
        <v>69</v>
      </c>
      <c r="E210">
        <v>0</v>
      </c>
      <c r="H210">
        <v>0</v>
      </c>
    </row>
    <row r="211" spans="2:8" x14ac:dyDescent="0.25">
      <c r="B211" t="s">
        <v>72</v>
      </c>
      <c r="C211" t="s">
        <v>69</v>
      </c>
      <c r="E211">
        <v>0</v>
      </c>
      <c r="H211">
        <v>0</v>
      </c>
    </row>
    <row r="212" spans="2:8" x14ac:dyDescent="0.25">
      <c r="B212" t="s">
        <v>72</v>
      </c>
      <c r="C212" t="s">
        <v>69</v>
      </c>
      <c r="E212">
        <v>0</v>
      </c>
      <c r="H212">
        <v>0</v>
      </c>
    </row>
    <row r="213" spans="2:8" x14ac:dyDescent="0.25">
      <c r="B213" t="s">
        <v>72</v>
      </c>
      <c r="C213" t="s">
        <v>69</v>
      </c>
      <c r="E213">
        <v>0</v>
      </c>
      <c r="H213">
        <v>0</v>
      </c>
    </row>
    <row r="214" spans="2:8" x14ac:dyDescent="0.25">
      <c r="B214" t="s">
        <v>72</v>
      </c>
      <c r="C214" t="s">
        <v>69</v>
      </c>
      <c r="E214">
        <v>0</v>
      </c>
      <c r="H214">
        <v>0</v>
      </c>
    </row>
    <row r="215" spans="2:8" x14ac:dyDescent="0.25">
      <c r="B215" t="s">
        <v>72</v>
      </c>
      <c r="C215" t="s">
        <v>69</v>
      </c>
      <c r="E215">
        <v>0</v>
      </c>
      <c r="H215">
        <v>0</v>
      </c>
    </row>
    <row r="216" spans="2:8" x14ac:dyDescent="0.25">
      <c r="B216" t="s">
        <v>72</v>
      </c>
      <c r="C216" t="s">
        <v>69</v>
      </c>
      <c r="E216">
        <v>0</v>
      </c>
      <c r="H216">
        <v>0</v>
      </c>
    </row>
    <row r="217" spans="2:8" x14ac:dyDescent="0.25">
      <c r="B217" t="s">
        <v>72</v>
      </c>
      <c r="C217" t="s">
        <v>69</v>
      </c>
      <c r="E217">
        <v>0</v>
      </c>
      <c r="H217">
        <v>0</v>
      </c>
    </row>
    <row r="218" spans="2:8" x14ac:dyDescent="0.25">
      <c r="B218" t="s">
        <v>72</v>
      </c>
      <c r="C218" t="s">
        <v>69</v>
      </c>
      <c r="E218">
        <v>0</v>
      </c>
      <c r="H218">
        <v>0</v>
      </c>
    </row>
    <row r="219" spans="2:8" x14ac:dyDescent="0.25">
      <c r="B219" t="s">
        <v>72</v>
      </c>
      <c r="C219" t="s">
        <v>69</v>
      </c>
      <c r="E219">
        <v>0</v>
      </c>
      <c r="H219">
        <v>0</v>
      </c>
    </row>
    <row r="220" spans="2:8" x14ac:dyDescent="0.25">
      <c r="B220" t="s">
        <v>72</v>
      </c>
      <c r="C220" t="s">
        <v>69</v>
      </c>
      <c r="E220">
        <v>0</v>
      </c>
      <c r="H220">
        <v>0</v>
      </c>
    </row>
    <row r="221" spans="2:8" x14ac:dyDescent="0.25">
      <c r="B221" t="s">
        <v>72</v>
      </c>
      <c r="C221" t="s">
        <v>69</v>
      </c>
      <c r="E221">
        <v>0</v>
      </c>
      <c r="H221">
        <v>0</v>
      </c>
    </row>
    <row r="222" spans="2:8" x14ac:dyDescent="0.25">
      <c r="B222" t="s">
        <v>72</v>
      </c>
      <c r="C222" t="s">
        <v>69</v>
      </c>
      <c r="E222">
        <v>0</v>
      </c>
      <c r="H222">
        <v>0</v>
      </c>
    </row>
    <row r="223" spans="2:8" x14ac:dyDescent="0.25">
      <c r="B223" t="s">
        <v>72</v>
      </c>
      <c r="C223" t="s">
        <v>69</v>
      </c>
      <c r="E223">
        <v>0</v>
      </c>
      <c r="H223">
        <v>0</v>
      </c>
    </row>
    <row r="224" spans="2:8" x14ac:dyDescent="0.25">
      <c r="B224" t="s">
        <v>72</v>
      </c>
      <c r="C224" t="s">
        <v>69</v>
      </c>
      <c r="E224">
        <v>0</v>
      </c>
      <c r="H224">
        <v>0</v>
      </c>
    </row>
    <row r="225" spans="2:8" x14ac:dyDescent="0.25">
      <c r="B225" t="s">
        <v>72</v>
      </c>
      <c r="C225" t="s">
        <v>69</v>
      </c>
      <c r="E225">
        <v>0</v>
      </c>
      <c r="H225">
        <v>0</v>
      </c>
    </row>
    <row r="226" spans="2:8" x14ac:dyDescent="0.25">
      <c r="B226" t="s">
        <v>73</v>
      </c>
      <c r="C226" t="s">
        <v>69</v>
      </c>
      <c r="E226">
        <v>0</v>
      </c>
      <c r="H226">
        <v>0</v>
      </c>
    </row>
    <row r="227" spans="2:8" x14ac:dyDescent="0.25">
      <c r="B227" t="s">
        <v>73</v>
      </c>
      <c r="C227" t="s">
        <v>69</v>
      </c>
      <c r="E227">
        <v>0</v>
      </c>
      <c r="H227">
        <v>0</v>
      </c>
    </row>
    <row r="228" spans="2:8" x14ac:dyDescent="0.25">
      <c r="B228" t="s">
        <v>73</v>
      </c>
      <c r="C228" t="s">
        <v>69</v>
      </c>
      <c r="E228">
        <v>0</v>
      </c>
      <c r="H228">
        <v>0</v>
      </c>
    </row>
    <row r="229" spans="2:8" x14ac:dyDescent="0.25">
      <c r="B229" t="s">
        <v>73</v>
      </c>
      <c r="C229" t="s">
        <v>69</v>
      </c>
      <c r="E229">
        <v>0</v>
      </c>
      <c r="H229">
        <v>0</v>
      </c>
    </row>
    <row r="230" spans="2:8" x14ac:dyDescent="0.25">
      <c r="B230" t="s">
        <v>73</v>
      </c>
      <c r="C230" t="s">
        <v>69</v>
      </c>
      <c r="E230">
        <v>0</v>
      </c>
      <c r="H230">
        <v>0</v>
      </c>
    </row>
    <row r="231" spans="2:8" x14ac:dyDescent="0.25">
      <c r="B231" t="s">
        <v>73</v>
      </c>
      <c r="C231" t="s">
        <v>69</v>
      </c>
      <c r="E231">
        <v>0</v>
      </c>
      <c r="H231">
        <v>0</v>
      </c>
    </row>
    <row r="232" spans="2:8" x14ac:dyDescent="0.25">
      <c r="B232" t="s">
        <v>73</v>
      </c>
      <c r="C232" t="s">
        <v>69</v>
      </c>
      <c r="E232">
        <v>0</v>
      </c>
      <c r="H232">
        <v>0</v>
      </c>
    </row>
    <row r="233" spans="2:8" x14ac:dyDescent="0.25">
      <c r="B233" t="s">
        <v>73</v>
      </c>
      <c r="C233" t="s">
        <v>69</v>
      </c>
      <c r="E233">
        <v>0</v>
      </c>
      <c r="H233">
        <v>0</v>
      </c>
    </row>
    <row r="234" spans="2:8" x14ac:dyDescent="0.25">
      <c r="B234" t="s">
        <v>73</v>
      </c>
      <c r="C234" t="s">
        <v>69</v>
      </c>
      <c r="E234">
        <v>0</v>
      </c>
      <c r="H234">
        <v>0</v>
      </c>
    </row>
    <row r="235" spans="2:8" x14ac:dyDescent="0.25">
      <c r="B235" t="s">
        <v>73</v>
      </c>
      <c r="C235" t="s">
        <v>69</v>
      </c>
      <c r="E235">
        <v>0</v>
      </c>
      <c r="H235">
        <v>0</v>
      </c>
    </row>
    <row r="236" spans="2:8" x14ac:dyDescent="0.25">
      <c r="B236" t="s">
        <v>73</v>
      </c>
      <c r="C236" t="s">
        <v>69</v>
      </c>
      <c r="E236">
        <v>0</v>
      </c>
      <c r="H236">
        <v>0</v>
      </c>
    </row>
    <row r="237" spans="2:8" x14ac:dyDescent="0.25">
      <c r="B237" t="s">
        <v>73</v>
      </c>
      <c r="C237" t="s">
        <v>69</v>
      </c>
      <c r="E237">
        <v>0</v>
      </c>
      <c r="H237">
        <v>0</v>
      </c>
    </row>
    <row r="238" spans="2:8" x14ac:dyDescent="0.25">
      <c r="B238" t="s">
        <v>73</v>
      </c>
      <c r="C238" t="s">
        <v>69</v>
      </c>
      <c r="E238">
        <v>0</v>
      </c>
      <c r="H238">
        <v>0</v>
      </c>
    </row>
    <row r="239" spans="2:8" x14ac:dyDescent="0.25">
      <c r="B239" t="s">
        <v>73</v>
      </c>
      <c r="C239" t="s">
        <v>69</v>
      </c>
      <c r="E239">
        <v>0</v>
      </c>
      <c r="H239">
        <v>0</v>
      </c>
    </row>
    <row r="240" spans="2:8" x14ac:dyDescent="0.25">
      <c r="B240" t="s">
        <v>73</v>
      </c>
      <c r="C240" t="s">
        <v>69</v>
      </c>
      <c r="E240">
        <v>0</v>
      </c>
      <c r="H240">
        <v>0</v>
      </c>
    </row>
    <row r="241" spans="2:8" x14ac:dyDescent="0.25">
      <c r="B241" t="s">
        <v>73</v>
      </c>
      <c r="C241" t="s">
        <v>69</v>
      </c>
      <c r="E241">
        <v>0</v>
      </c>
      <c r="H241">
        <v>0</v>
      </c>
    </row>
    <row r="242" spans="2:8" x14ac:dyDescent="0.25">
      <c r="B242" t="s">
        <v>73</v>
      </c>
      <c r="C242" t="s">
        <v>69</v>
      </c>
      <c r="E242">
        <v>0</v>
      </c>
      <c r="H242">
        <v>0</v>
      </c>
    </row>
    <row r="243" spans="2:8" x14ac:dyDescent="0.25">
      <c r="B243" t="s">
        <v>73</v>
      </c>
      <c r="C243" t="s">
        <v>69</v>
      </c>
      <c r="E243">
        <v>0</v>
      </c>
      <c r="H243">
        <v>0</v>
      </c>
    </row>
    <row r="244" spans="2:8" x14ac:dyDescent="0.25">
      <c r="B244" t="s">
        <v>73</v>
      </c>
      <c r="C244" t="s">
        <v>69</v>
      </c>
      <c r="E244">
        <v>0</v>
      </c>
      <c r="H244">
        <v>0</v>
      </c>
    </row>
    <row r="245" spans="2:8" x14ac:dyDescent="0.25">
      <c r="B245" t="s">
        <v>73</v>
      </c>
      <c r="C245" t="s">
        <v>69</v>
      </c>
      <c r="E245">
        <v>0</v>
      </c>
      <c r="H245">
        <v>0</v>
      </c>
    </row>
    <row r="246" spans="2:8" x14ac:dyDescent="0.25">
      <c r="B246" t="s">
        <v>73</v>
      </c>
      <c r="C246" t="s">
        <v>69</v>
      </c>
      <c r="E246">
        <v>0</v>
      </c>
      <c r="H246">
        <v>0</v>
      </c>
    </row>
    <row r="247" spans="2:8" x14ac:dyDescent="0.25">
      <c r="B247" t="s">
        <v>73</v>
      </c>
      <c r="C247" t="s">
        <v>69</v>
      </c>
      <c r="E247">
        <v>0</v>
      </c>
      <c r="H247">
        <v>0</v>
      </c>
    </row>
    <row r="248" spans="2:8" x14ac:dyDescent="0.25">
      <c r="B248" t="s">
        <v>73</v>
      </c>
      <c r="C248" t="s">
        <v>69</v>
      </c>
      <c r="E248">
        <v>0</v>
      </c>
      <c r="H248">
        <v>0</v>
      </c>
    </row>
    <row r="249" spans="2:8" x14ac:dyDescent="0.25">
      <c r="B249" t="s">
        <v>73</v>
      </c>
      <c r="C249" t="s">
        <v>69</v>
      </c>
      <c r="E249">
        <v>0</v>
      </c>
      <c r="H2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V249"/>
  <sheetViews>
    <sheetView topLeftCell="A4" zoomScale="55" zoomScaleNormal="55" workbookViewId="0">
      <selection activeCell="L226" sqref="L226"/>
    </sheetView>
  </sheetViews>
  <sheetFormatPr defaultRowHeight="15" x14ac:dyDescent="0.25"/>
  <sheetData>
    <row r="8" spans="2:22" x14ac:dyDescent="0.25">
      <c r="B8" s="13" t="b">
        <v>1</v>
      </c>
      <c r="C8" s="13" t="b">
        <v>1</v>
      </c>
      <c r="D8" s="13" t="b">
        <v>0</v>
      </c>
      <c r="E8" s="13" t="b">
        <v>1</v>
      </c>
      <c r="F8" s="13" t="b">
        <v>0</v>
      </c>
      <c r="G8" s="13" t="b">
        <v>0</v>
      </c>
      <c r="H8" s="13" t="b">
        <v>1</v>
      </c>
      <c r="I8" s="13" t="b">
        <v>0</v>
      </c>
      <c r="J8" s="13" t="b">
        <v>0</v>
      </c>
      <c r="K8" s="13" t="b">
        <v>0</v>
      </c>
      <c r="L8" s="13" t="b">
        <v>0</v>
      </c>
      <c r="M8" s="13" t="b">
        <v>0</v>
      </c>
      <c r="N8" s="13" t="b">
        <v>0</v>
      </c>
      <c r="O8" s="13" t="b">
        <v>0</v>
      </c>
      <c r="P8" s="13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</row>
    <row r="9" spans="2:22" x14ac:dyDescent="0.25">
      <c r="B9" s="1" t="s">
        <v>0</v>
      </c>
      <c r="C9" s="1" t="s">
        <v>1</v>
      </c>
      <c r="D9" s="12" t="s">
        <v>2</v>
      </c>
      <c r="E9" s="1" t="s">
        <v>3</v>
      </c>
      <c r="F9" s="1" t="s">
        <v>4</v>
      </c>
      <c r="G9" s="1" t="s">
        <v>5</v>
      </c>
      <c r="H9" s="12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2" t="s">
        <v>11</v>
      </c>
      <c r="N9" s="1" t="s">
        <v>12</v>
      </c>
      <c r="O9" s="1" t="s">
        <v>13</v>
      </c>
      <c r="P9" s="12" t="s">
        <v>14</v>
      </c>
      <c r="Q9" s="1" t="s">
        <v>15</v>
      </c>
      <c r="R9" s="1" t="s">
        <v>16</v>
      </c>
      <c r="S9" s="12" t="s">
        <v>17</v>
      </c>
      <c r="T9" s="1" t="s">
        <v>18</v>
      </c>
      <c r="U9" s="1" t="s">
        <v>19</v>
      </c>
      <c r="V9" s="12" t="s">
        <v>20</v>
      </c>
    </row>
    <row r="10" spans="2:22" x14ac:dyDescent="0.25">
      <c r="B10" s="6" t="str" cm="1">
        <f t="array" aca="1" ref="B10" ca="1">IFERROR(IF(OR('Raw Data'!B10="",LEN(TRIM('Raw Data'!B10))=0),_xlfn.REGEXEXTRACT(CELL("address",'Raw Data'!B10),"\$([A-Z]+)\$[0-9]+"),""),"")</f>
        <v/>
      </c>
      <c r="C10" s="6" t="str" cm="1">
        <f t="array" aca="1" ref="C10" ca="1">IFERROR(IF(OR('Raw Data'!C10="",LEN(TRIM('Raw Data'!C10))=0),_xlfn.REGEXEXTRACT(CELL("address",'Raw Data'!C10),"\$([A-Z]+)\$[0-9]+"),""),"")</f>
        <v/>
      </c>
      <c r="D10" s="6"/>
      <c r="E10" s="6" t="str" cm="1">
        <f t="array" aca="1" ref="E10" ca="1">IFERROR(IF(OR('Raw Data'!E10="",LEN(TRIM('Raw Data'!E10))=0),_xlfn.REGEXEXTRACT(CELL("address",'Raw Data'!E10),"\$([A-Z]+)\$[0-9]+"),""),"")</f>
        <v/>
      </c>
      <c r="F10" s="6"/>
      <c r="G10" s="6"/>
      <c r="H10" s="6" t="str" cm="1">
        <f t="array" aca="1" ref="H10" ca="1">IFERROR(IF(OR('Raw Data'!H10="",LEN(TRIM('Raw Data'!H10))=0),_xlfn.REGEXEXTRACT(CELL("address",'Raw Data'!H10),"\$([A-Z]+)\$[0-9]+"),""),"")</f>
        <v/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2:22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/>
      <c r="E11" s="6" t="str" cm="1">
        <f t="array" aca="1" ref="E11" ca="1">IFERROR(IF(OR('Raw Data'!E11="",LEN(TRIM('Raw Data'!E11))=0),_xlfn.REGEXEXTRACT(CELL("address",'Raw Data'!E11),"\$([A-Z]+)\$[0-9]+"),""),"")</f>
        <v/>
      </c>
      <c r="F11" s="6"/>
      <c r="G11" s="6"/>
      <c r="H11" s="6" t="str" cm="1">
        <f t="array" aca="1" ref="H11" ca="1">IFERROR(IF(OR('Raw Data'!H11="",LEN(TRIM('Raw Data'!H11))=0),_xlfn.REGEXEXTRACT(CELL("address",'Raw Data'!H11),"\$([A-Z]+)\$[0-9]+"),""),"")</f>
        <v/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2:22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/>
      <c r="E12" s="6" t="str" cm="1">
        <f t="array" aca="1" ref="E12" ca="1">IFERROR(IF(OR('Raw Data'!E12="",LEN(TRIM('Raw Data'!E12))=0),_xlfn.REGEXEXTRACT(CELL("address",'Raw Data'!E12),"\$([A-Z]+)\$[0-9]+"),""),"")</f>
        <v/>
      </c>
      <c r="F12" s="6"/>
      <c r="G12" s="6"/>
      <c r="H12" s="6" t="str" cm="1">
        <f t="array" aca="1" ref="H12" ca="1">IFERROR(IF(OR('Raw Data'!H12="",LEN(TRIM('Raw Data'!H12))=0),_xlfn.REGEXEXTRACT(CELL("address",'Raw Data'!H12),"\$([A-Z]+)\$[0-9]+"),""),"")</f>
        <v/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2:22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/>
      <c r="E13" s="6" t="str" cm="1">
        <f t="array" aca="1" ref="E13" ca="1">IFERROR(IF(OR('Raw Data'!E13="",LEN(TRIM('Raw Data'!E13))=0),_xlfn.REGEXEXTRACT(CELL("address",'Raw Data'!E13),"\$([A-Z]+)\$[0-9]+"),""),"")</f>
        <v/>
      </c>
      <c r="F13" s="6"/>
      <c r="G13" s="6"/>
      <c r="H13" s="6" t="str" cm="1">
        <f t="array" aca="1" ref="H13" ca="1">IFERROR(IF(OR('Raw Data'!H13="",LEN(TRIM('Raw Data'!H13))=0),_xlfn.REGEXEXTRACT(CELL("address",'Raw Data'!H13),"\$([A-Z]+)\$[0-9]+"),""),"")</f>
        <v/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2:22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/>
      <c r="E14" s="6" t="str" cm="1">
        <f t="array" aca="1" ref="E14" ca="1">IFERROR(IF(OR('Raw Data'!E14="",LEN(TRIM('Raw Data'!E14))=0),_xlfn.REGEXEXTRACT(CELL("address",'Raw Data'!E14),"\$([A-Z]+)\$[0-9]+"),""),"")</f>
        <v/>
      </c>
      <c r="F14" s="6"/>
      <c r="G14" s="6"/>
      <c r="H14" s="6" t="str" cm="1">
        <f t="array" aca="1" ref="H14" ca="1">IFERROR(IF(OR('Raw Data'!H14="",LEN(TRIM('Raw Data'!H14))=0),_xlfn.REGEXEXTRACT(CELL("address",'Raw Data'!H14),"\$([A-Z]+)\$[0-9]+"),""),"")</f>
        <v/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22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/>
      <c r="E15" s="6" t="str" cm="1">
        <f t="array" aca="1" ref="E15" ca="1">IFERROR(IF(OR('Raw Data'!E15="",LEN(TRIM('Raw Data'!E15))=0),_xlfn.REGEXEXTRACT(CELL("address",'Raw Data'!E15),"\$([A-Z]+)\$[0-9]+"),""),"")</f>
        <v/>
      </c>
      <c r="F15" s="6"/>
      <c r="G15" s="6"/>
      <c r="H15" s="6" t="str" cm="1">
        <f t="array" aca="1" ref="H15" ca="1">IFERROR(IF(OR('Raw Data'!H15="",LEN(TRIM('Raw Data'!H15))=0),_xlfn.REGEXEXTRACT(CELL("address",'Raw Data'!H15),"\$([A-Z]+)\$[0-9]+"),""),"")</f>
        <v/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2:22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/>
      <c r="E16" s="6" t="str" cm="1">
        <f t="array" aca="1" ref="E16" ca="1">IFERROR(IF(OR('Raw Data'!E16="",LEN(TRIM('Raw Data'!E16))=0),_xlfn.REGEXEXTRACT(CELL("address",'Raw Data'!E16),"\$([A-Z]+)\$[0-9]+"),""),"")</f>
        <v/>
      </c>
      <c r="F16" s="6"/>
      <c r="G16" s="6"/>
      <c r="H16" s="6" t="str" cm="1">
        <f t="array" aca="1" ref="H16" ca="1">IFERROR(IF(OR('Raw Data'!H16="",LEN(TRIM('Raw Data'!H16))=0),_xlfn.REGEXEXTRACT(CELL("address",'Raw Data'!H16),"\$([A-Z]+)\$[0-9]+"),""),"")</f>
        <v/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2:22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/>
      <c r="E17" s="6" t="str" cm="1">
        <f t="array" aca="1" ref="E17" ca="1">IFERROR(IF(OR('Raw Data'!E17="",LEN(TRIM('Raw Data'!E17))=0),_xlfn.REGEXEXTRACT(CELL("address",'Raw Data'!E17),"\$([A-Z]+)\$[0-9]+"),""),"")</f>
        <v/>
      </c>
      <c r="F17" s="6"/>
      <c r="G17" s="6"/>
      <c r="H17" s="6" t="str" cm="1">
        <f t="array" aca="1" ref="H17" ca="1">IFERROR(IF(OR('Raw Data'!H17="",LEN(TRIM('Raw Data'!H17))=0),_xlfn.REGEXEXTRACT(CELL("address",'Raw Data'!H17),"\$([A-Z]+)\$[0-9]+"),""),"")</f>
        <v/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22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/>
      <c r="E18" s="6" t="str" cm="1">
        <f t="array" aca="1" ref="E18" ca="1">IFERROR(IF(OR('Raw Data'!E18="",LEN(TRIM('Raw Data'!E18))=0),_xlfn.REGEXEXTRACT(CELL("address",'Raw Data'!E18),"\$([A-Z]+)\$[0-9]+"),""),"")</f>
        <v/>
      </c>
      <c r="F18" s="6"/>
      <c r="G18" s="6"/>
      <c r="H18" s="6" t="str" cm="1">
        <f t="array" aca="1" ref="H18" ca="1">IFERROR(IF(OR('Raw Data'!H18="",LEN(TRIM('Raw Data'!H18))=0),_xlfn.REGEXEXTRACT(CELL("address",'Raw Data'!H18),"\$([A-Z]+)\$[0-9]+"),""),"")</f>
        <v/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22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/>
      <c r="E19" s="6" t="str" cm="1">
        <f t="array" aca="1" ref="E19" ca="1">IFERROR(IF(OR('Raw Data'!E19="",LEN(TRIM('Raw Data'!E19))=0),_xlfn.REGEXEXTRACT(CELL("address",'Raw Data'!E19),"\$([A-Z]+)\$[0-9]+"),""),"")</f>
        <v/>
      </c>
      <c r="F19" s="6"/>
      <c r="G19" s="6"/>
      <c r="H19" s="6" t="str" cm="1">
        <f t="array" aca="1" ref="H19" ca="1">IFERROR(IF(OR('Raw Data'!H19="",LEN(TRIM('Raw Data'!H19))=0),_xlfn.REGEXEXTRACT(CELL("address",'Raw Data'!H19),"\$([A-Z]+)\$[0-9]+"),""),"")</f>
        <v/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2:22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/>
      <c r="E20" s="6" t="str" cm="1">
        <f t="array" aca="1" ref="E20" ca="1">IFERROR(IF(OR('Raw Data'!E20="",LEN(TRIM('Raw Data'!E20))=0),_xlfn.REGEXEXTRACT(CELL("address",'Raw Data'!E20),"\$([A-Z]+)\$[0-9]+"),""),"")</f>
        <v/>
      </c>
      <c r="F20" s="6"/>
      <c r="G20" s="6"/>
      <c r="H20" s="6" t="str" cm="1">
        <f t="array" aca="1" ref="H20" ca="1">IFERROR(IF(OR('Raw Data'!H20="",LEN(TRIM('Raw Data'!H20))=0),_xlfn.REGEXEXTRACT(CELL("address",'Raw Data'!H20),"\$([A-Z]+)\$[0-9]+"),""),"")</f>
        <v/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2:22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/>
      <c r="E21" s="6" t="str" cm="1">
        <f t="array" aca="1" ref="E21" ca="1">IFERROR(IF(OR('Raw Data'!E21="",LEN(TRIM('Raw Data'!E21))=0),_xlfn.REGEXEXTRACT(CELL("address",'Raw Data'!E21),"\$([A-Z]+)\$[0-9]+"),""),"")</f>
        <v/>
      </c>
      <c r="F21" s="6"/>
      <c r="G21" s="6"/>
      <c r="H21" s="6" t="str" cm="1">
        <f t="array" aca="1" ref="H21" ca="1">IFERROR(IF(OR('Raw Data'!H21="",LEN(TRIM('Raw Data'!H21))=0),_xlfn.REGEXEXTRACT(CELL("address",'Raw Data'!H21),"\$([A-Z]+)\$[0-9]+"),""),"")</f>
        <v/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/>
      <c r="E22" s="6" t="str" cm="1">
        <f t="array" aca="1" ref="E22" ca="1">IFERROR(IF(OR('Raw Data'!E22="",LEN(TRIM('Raw Data'!E22))=0),_xlfn.REGEXEXTRACT(CELL("address",'Raw Data'!E22),"\$([A-Z]+)\$[0-9]+"),""),"")</f>
        <v/>
      </c>
      <c r="F22" s="6"/>
      <c r="G22" s="6"/>
      <c r="H22" s="6" t="str" cm="1">
        <f t="array" aca="1" ref="H22" ca="1">IFERROR(IF(OR('Raw Data'!H22="",LEN(TRIM('Raw Data'!H22))=0),_xlfn.REGEXEXTRACT(CELL("address",'Raw Data'!H22),"\$([A-Z]+)\$[0-9]+"),""),"")</f>
        <v/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2:22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/>
      <c r="E23" s="6" t="str" cm="1">
        <f t="array" aca="1" ref="E23" ca="1">IFERROR(IF(OR('Raw Data'!E23="",LEN(TRIM('Raw Data'!E23))=0),_xlfn.REGEXEXTRACT(CELL("address",'Raw Data'!E23),"\$([A-Z]+)\$[0-9]+"),""),"")</f>
        <v/>
      </c>
      <c r="F23" s="6"/>
      <c r="G23" s="6"/>
      <c r="H23" s="6" t="str" cm="1">
        <f t="array" aca="1" ref="H23" ca="1">IFERROR(IF(OR('Raw Data'!H23="",LEN(TRIM('Raw Data'!H23))=0),_xlfn.REGEXEXTRACT(CELL("address",'Raw Data'!H23),"\$([A-Z]+)\$[0-9]+"),""),"")</f>
        <v/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2:22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/>
      <c r="E24" s="6" t="str" cm="1">
        <f t="array" aca="1" ref="E24" ca="1">IFERROR(IF(OR('Raw Data'!E24="",LEN(TRIM('Raw Data'!E24))=0),_xlfn.REGEXEXTRACT(CELL("address",'Raw Data'!E24),"\$([A-Z]+)\$[0-9]+"),""),"")</f>
        <v/>
      </c>
      <c r="F24" s="6"/>
      <c r="G24" s="6"/>
      <c r="H24" s="6" t="str" cm="1">
        <f t="array" aca="1" ref="H24" ca="1">IFERROR(IF(OR('Raw Data'!H24="",LEN(TRIM('Raw Data'!H24))=0),_xlfn.REGEXEXTRACT(CELL("address",'Raw Data'!H24),"\$([A-Z]+)\$[0-9]+"),""),"")</f>
        <v/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2:22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/>
      <c r="E25" s="6" t="str" cm="1">
        <f t="array" aca="1" ref="E25" ca="1">IFERROR(IF(OR('Raw Data'!E25="",LEN(TRIM('Raw Data'!E25))=0),_xlfn.REGEXEXTRACT(CELL("address",'Raw Data'!E25),"\$([A-Z]+)\$[0-9]+"),""),"")</f>
        <v/>
      </c>
      <c r="F25" s="6"/>
      <c r="G25" s="6"/>
      <c r="H25" s="6" t="str" cm="1">
        <f t="array" aca="1" ref="H25" ca="1">IFERROR(IF(OR('Raw Data'!H25="",LEN(TRIM('Raw Data'!H25))=0),_xlfn.REGEXEXTRACT(CELL("address",'Raw Data'!H25),"\$([A-Z]+)\$[0-9]+"),""),"")</f>
        <v/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2:22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/>
      <c r="E26" s="6" t="str" cm="1">
        <f t="array" aca="1" ref="E26" ca="1">IFERROR(IF(OR('Raw Data'!E26="",LEN(TRIM('Raw Data'!E26))=0),_xlfn.REGEXEXTRACT(CELL("address",'Raw Data'!E26),"\$([A-Z]+)\$[0-9]+"),""),"")</f>
        <v/>
      </c>
      <c r="F26" s="6"/>
      <c r="G26" s="6"/>
      <c r="H26" s="6" t="str" cm="1">
        <f t="array" aca="1" ref="H26" ca="1">IFERROR(IF(OR('Raw Data'!H26="",LEN(TRIM('Raw Data'!H26))=0),_xlfn.REGEXEXTRACT(CELL("address",'Raw Data'!H26),"\$([A-Z]+)\$[0-9]+"),""),"")</f>
        <v/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2:22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/>
      <c r="E27" s="6" t="str" cm="1">
        <f t="array" aca="1" ref="E27" ca="1">IFERROR(IF(OR('Raw Data'!E27="",LEN(TRIM('Raw Data'!E27))=0),_xlfn.REGEXEXTRACT(CELL("address",'Raw Data'!E27),"\$([A-Z]+)\$[0-9]+"),""),"")</f>
        <v/>
      </c>
      <c r="F27" s="6"/>
      <c r="G27" s="6"/>
      <c r="H27" s="6" t="str" cm="1">
        <f t="array" aca="1" ref="H27" ca="1">IFERROR(IF(OR('Raw Data'!H27="",LEN(TRIM('Raw Data'!H27))=0),_xlfn.REGEXEXTRACT(CELL("address",'Raw Data'!H27),"\$([A-Z]+)\$[0-9]+"),""),"")</f>
        <v/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2:22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/>
      <c r="E28" s="6" t="str" cm="1">
        <f t="array" aca="1" ref="E28" ca="1">IFERROR(IF(OR('Raw Data'!E28="",LEN(TRIM('Raw Data'!E28))=0),_xlfn.REGEXEXTRACT(CELL("address",'Raw Data'!E28),"\$([A-Z]+)\$[0-9]+"),""),"")</f>
        <v/>
      </c>
      <c r="F28" s="6"/>
      <c r="G28" s="6"/>
      <c r="H28" s="6" t="str" cm="1">
        <f t="array" aca="1" ref="H28" ca="1">IFERROR(IF(OR('Raw Data'!H28="",LEN(TRIM('Raw Data'!H28))=0),_xlfn.REGEXEXTRACT(CELL("address",'Raw Data'!H28),"\$([A-Z]+)\$[0-9]+"),""),"")</f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2:22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/>
      <c r="E29" s="6" t="str" cm="1">
        <f t="array" aca="1" ref="E29" ca="1">IFERROR(IF(OR('Raw Data'!E29="",LEN(TRIM('Raw Data'!E29))=0),_xlfn.REGEXEXTRACT(CELL("address",'Raw Data'!E29),"\$([A-Z]+)\$[0-9]+"),""),"")</f>
        <v/>
      </c>
      <c r="F29" s="6"/>
      <c r="G29" s="6"/>
      <c r="H29" s="6" t="str" cm="1">
        <f t="array" aca="1" ref="H29" ca="1">IFERROR(IF(OR('Raw Data'!H29="",LEN(TRIM('Raw Data'!H29))=0),_xlfn.REGEXEXTRACT(CELL("address",'Raw Data'!H29),"\$([A-Z]+)\$[0-9]+"),""),"")</f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2:22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/>
      <c r="E30" s="6" t="str" cm="1">
        <f t="array" aca="1" ref="E30" ca="1">IFERROR(IF(OR('Raw Data'!E30="",LEN(TRIM('Raw Data'!E30))=0),_xlfn.REGEXEXTRACT(CELL("address",'Raw Data'!E30),"\$([A-Z]+)\$[0-9]+"),""),"")</f>
        <v/>
      </c>
      <c r="F30" s="6"/>
      <c r="G30" s="6"/>
      <c r="H30" s="6" t="str" cm="1">
        <f t="array" aca="1" ref="H30" ca="1">IFERROR(IF(OR('Raw Data'!H30="",LEN(TRIM('Raw Data'!H30))=0),_xlfn.REGEXEXTRACT(CELL("address",'Raw Data'!H30),"\$([A-Z]+)\$[0-9]+"),""),"")</f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2:22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/>
      <c r="E31" s="6" t="str" cm="1">
        <f t="array" aca="1" ref="E31" ca="1">IFERROR(IF(OR('Raw Data'!E31="",LEN(TRIM('Raw Data'!E31))=0),_xlfn.REGEXEXTRACT(CELL("address",'Raw Data'!E31),"\$([A-Z]+)\$[0-9]+"),""),"")</f>
        <v/>
      </c>
      <c r="F31" s="6"/>
      <c r="G31" s="6"/>
      <c r="H31" s="6" t="str" cm="1">
        <f t="array" aca="1" ref="H31" ca="1">IFERROR(IF(OR('Raw Data'!H31="",LEN(TRIM('Raw Data'!H31))=0),_xlfn.REGEXEXTRACT(CELL("address",'Raw Data'!H31),"\$([A-Z]+)\$[0-9]+"),""),"")</f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2:22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/>
      <c r="E32" s="6" t="str" cm="1">
        <f t="array" aca="1" ref="E32" ca="1">IFERROR(IF(OR('Raw Data'!E32="",LEN(TRIM('Raw Data'!E32))=0),_xlfn.REGEXEXTRACT(CELL("address",'Raw Data'!E32),"\$([A-Z]+)\$[0-9]+"),""),"")</f>
        <v/>
      </c>
      <c r="F32" s="6"/>
      <c r="G32" s="6"/>
      <c r="H32" s="6" t="str" cm="1">
        <f t="array" aca="1" ref="H32" ca="1">IFERROR(IF(OR('Raw Data'!H32="",LEN(TRIM('Raw Data'!H32))=0),_xlfn.REGEXEXTRACT(CELL("address",'Raw Data'!H32),"\$([A-Z]+)\$[0-9]+"),""),"")</f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2:22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/>
      <c r="E33" s="6" t="str" cm="1">
        <f t="array" aca="1" ref="E33" ca="1">IFERROR(IF(OR('Raw Data'!E33="",LEN(TRIM('Raw Data'!E33))=0),_xlfn.REGEXEXTRACT(CELL("address",'Raw Data'!E33),"\$([A-Z]+)\$[0-9]+"),""),"")</f>
        <v/>
      </c>
      <c r="F33" s="6"/>
      <c r="G33" s="6"/>
      <c r="H33" s="6" t="str" cm="1">
        <f t="array" aca="1" ref="H33" ca="1">IFERROR(IF(OR('Raw Data'!H33="",LEN(TRIM('Raw Data'!H33))=0),_xlfn.REGEXEXTRACT(CELL("address",'Raw Data'!H33),"\$([A-Z]+)\$[0-9]+"),""),"")</f>
        <v/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2:22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/>
      <c r="E34" s="6" t="str" cm="1">
        <f t="array" aca="1" ref="E34" ca="1">IFERROR(IF(OR('Raw Data'!E34="",LEN(TRIM('Raw Data'!E34))=0),_xlfn.REGEXEXTRACT(CELL("address",'Raw Data'!E34),"\$([A-Z]+)\$[0-9]+"),""),"")</f>
        <v/>
      </c>
      <c r="F34" s="6"/>
      <c r="G34" s="6"/>
      <c r="H34" s="6" t="str" cm="1">
        <f t="array" aca="1" ref="H34" ca="1">IFERROR(IF(OR('Raw Data'!H34="",LEN(TRIM('Raw Data'!H34))=0),_xlfn.REGEXEXTRACT(CELL("address",'Raw Data'!H34),"\$([A-Z]+)\$[0-9]+"),""),"")</f>
        <v/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2:22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/>
      <c r="E35" s="6" t="str" cm="1">
        <f t="array" aca="1" ref="E35" ca="1">IFERROR(IF(OR('Raw Data'!E35="",LEN(TRIM('Raw Data'!E35))=0),_xlfn.REGEXEXTRACT(CELL("address",'Raw Data'!E35),"\$([A-Z]+)\$[0-9]+"),""),"")</f>
        <v/>
      </c>
      <c r="F35" s="6"/>
      <c r="G35" s="6"/>
      <c r="H35" s="6" t="str" cm="1">
        <f t="array" aca="1" ref="H35" ca="1">IFERROR(IF(OR('Raw Data'!H35="",LEN(TRIM('Raw Data'!H35))=0),_xlfn.REGEXEXTRACT(CELL("address",'Raw Data'!H35),"\$([A-Z]+)\$[0-9]+"),""),"")</f>
        <v/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2:22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/>
      <c r="E36" s="6" t="str" cm="1">
        <f t="array" aca="1" ref="E36" ca="1">IFERROR(IF(OR('Raw Data'!E36="",LEN(TRIM('Raw Data'!E36))=0),_xlfn.REGEXEXTRACT(CELL("address",'Raw Data'!E36),"\$([A-Z]+)\$[0-9]+"),""),"")</f>
        <v/>
      </c>
      <c r="F36" s="6"/>
      <c r="G36" s="6"/>
      <c r="H36" s="6" t="str" cm="1">
        <f t="array" aca="1" ref="H36" ca="1">IFERROR(IF(OR('Raw Data'!H36="",LEN(TRIM('Raw Data'!H36))=0),_xlfn.REGEXEXTRACT(CELL("address",'Raw Data'!H36),"\$([A-Z]+)\$[0-9]+"),""),"")</f>
        <v/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2:22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/>
      <c r="E37" s="6" t="str" cm="1">
        <f t="array" aca="1" ref="E37" ca="1">IFERROR(IF(OR('Raw Data'!E37="",LEN(TRIM('Raw Data'!E37))=0),_xlfn.REGEXEXTRACT(CELL("address",'Raw Data'!E37),"\$([A-Z]+)\$[0-9]+"),""),"")</f>
        <v/>
      </c>
      <c r="F37" s="6"/>
      <c r="G37" s="6"/>
      <c r="H37" s="6" t="str" cm="1">
        <f t="array" aca="1" ref="H37" ca="1">IFERROR(IF(OR('Raw Data'!H37="",LEN(TRIM('Raw Data'!H37))=0),_xlfn.REGEXEXTRACT(CELL("address",'Raw Data'!H37),"\$([A-Z]+)\$[0-9]+"),""),"")</f>
        <v/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2:22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/>
      <c r="E38" s="6" t="str" cm="1">
        <f t="array" aca="1" ref="E38" ca="1">IFERROR(IF(OR('Raw Data'!E38="",LEN(TRIM('Raw Data'!E38))=0),_xlfn.REGEXEXTRACT(CELL("address",'Raw Data'!E38),"\$([A-Z]+)\$[0-9]+"),""),"")</f>
        <v/>
      </c>
      <c r="F38" s="6"/>
      <c r="G38" s="6"/>
      <c r="H38" s="6" t="str" cm="1">
        <f t="array" aca="1" ref="H38" ca="1">IFERROR(IF(OR('Raw Data'!H38="",LEN(TRIM('Raw Data'!H38))=0),_xlfn.REGEXEXTRACT(CELL("address",'Raw Data'!H38),"\$([A-Z]+)\$[0-9]+"),""),"")</f>
        <v/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2:22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/>
      <c r="E39" s="6" t="str" cm="1">
        <f t="array" aca="1" ref="E39" ca="1">IFERROR(IF(OR('Raw Data'!E39="",LEN(TRIM('Raw Data'!E39))=0),_xlfn.REGEXEXTRACT(CELL("address",'Raw Data'!E39),"\$([A-Z]+)\$[0-9]+"),""),"")</f>
        <v/>
      </c>
      <c r="F39" s="6"/>
      <c r="G39" s="6"/>
      <c r="H39" s="6" t="str" cm="1">
        <f t="array" aca="1" ref="H39" ca="1">IFERROR(IF(OR('Raw Data'!H39="",LEN(TRIM('Raw Data'!H39))=0),_xlfn.REGEXEXTRACT(CELL("address",'Raw Data'!H39),"\$([A-Z]+)\$[0-9]+"),""),"")</f>
        <v/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2:22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/>
      <c r="E40" s="6" t="str" cm="1">
        <f t="array" aca="1" ref="E40" ca="1">IFERROR(IF(OR('Raw Data'!E40="",LEN(TRIM('Raw Data'!E40))=0),_xlfn.REGEXEXTRACT(CELL("address",'Raw Data'!E40),"\$([A-Z]+)\$[0-9]+"),""),"")</f>
        <v/>
      </c>
      <c r="F40" s="6"/>
      <c r="G40" s="6"/>
      <c r="H40" s="6" t="str" cm="1">
        <f t="array" aca="1" ref="H40" ca="1">IFERROR(IF(OR('Raw Data'!H40="",LEN(TRIM('Raw Data'!H40))=0),_xlfn.REGEXEXTRACT(CELL("address",'Raw Data'!H40),"\$([A-Z]+)\$[0-9]+"),""),"")</f>
        <v/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2:22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/>
      <c r="E41" s="6" t="str" cm="1">
        <f t="array" aca="1" ref="E41" ca="1">IFERROR(IF(OR('Raw Data'!E41="",LEN(TRIM('Raw Data'!E41))=0),_xlfn.REGEXEXTRACT(CELL("address",'Raw Data'!E41),"\$([A-Z]+)\$[0-9]+"),""),"")</f>
        <v/>
      </c>
      <c r="F41" s="6"/>
      <c r="G41" s="6"/>
      <c r="H41" s="6" t="str" cm="1">
        <f t="array" aca="1" ref="H41" ca="1">IFERROR(IF(OR('Raw Data'!H41="",LEN(TRIM('Raw Data'!H41))=0),_xlfn.REGEXEXTRACT(CELL("address",'Raw Data'!H41),"\$([A-Z]+)\$[0-9]+"),""),"")</f>
        <v/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2:22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/>
      <c r="E42" s="6" t="str" cm="1">
        <f t="array" aca="1" ref="E42" ca="1">IFERROR(IF(OR('Raw Data'!E42="",LEN(TRIM('Raw Data'!E42))=0),_xlfn.REGEXEXTRACT(CELL("address",'Raw Data'!E42),"\$([A-Z]+)\$[0-9]+"),""),"")</f>
        <v/>
      </c>
      <c r="F42" s="6"/>
      <c r="G42" s="6"/>
      <c r="H42" s="6" t="str" cm="1">
        <f t="array" aca="1" ref="H42" ca="1">IFERROR(IF(OR('Raw Data'!H42="",LEN(TRIM('Raw Data'!H42))=0),_xlfn.REGEXEXTRACT(CELL("address",'Raw Data'!H42),"\$([A-Z]+)\$[0-9]+"),""),"")</f>
        <v/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2:22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/>
      <c r="E43" s="6" t="str" cm="1">
        <f t="array" aca="1" ref="E43" ca="1">IFERROR(IF(OR('Raw Data'!E43="",LEN(TRIM('Raw Data'!E43))=0),_xlfn.REGEXEXTRACT(CELL("address",'Raw Data'!E43),"\$([A-Z]+)\$[0-9]+"),""),"")</f>
        <v/>
      </c>
      <c r="F43" s="6"/>
      <c r="G43" s="6"/>
      <c r="H43" s="6" t="str" cm="1">
        <f t="array" aca="1" ref="H43" ca="1">IFERROR(IF(OR('Raw Data'!H43="",LEN(TRIM('Raw Data'!H43))=0),_xlfn.REGEXEXTRACT(CELL("address",'Raw Data'!H43),"\$([A-Z]+)\$[0-9]+"),""),"")</f>
        <v/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2:22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/>
      <c r="E44" s="6" t="str" cm="1">
        <f t="array" aca="1" ref="E44" ca="1">IFERROR(IF(OR('Raw Data'!E44="",LEN(TRIM('Raw Data'!E44))=0),_xlfn.REGEXEXTRACT(CELL("address",'Raw Data'!E44),"\$([A-Z]+)\$[0-9]+"),""),"")</f>
        <v/>
      </c>
      <c r="F44" s="6"/>
      <c r="G44" s="6"/>
      <c r="H44" s="6" t="str" cm="1">
        <f t="array" aca="1" ref="H44" ca="1">IFERROR(IF(OR('Raw Data'!H44="",LEN(TRIM('Raw Data'!H44))=0),_xlfn.REGEXEXTRACT(CELL("address",'Raw Data'!H44),"\$([A-Z]+)\$[0-9]+"),""),"")</f>
        <v/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2:22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/>
      <c r="E45" s="6" t="str" cm="1">
        <f t="array" aca="1" ref="E45" ca="1">IFERROR(IF(OR('Raw Data'!E45="",LEN(TRIM('Raw Data'!E45))=0),_xlfn.REGEXEXTRACT(CELL("address",'Raw Data'!E45),"\$([A-Z]+)\$[0-9]+"),""),"")</f>
        <v/>
      </c>
      <c r="F45" s="6"/>
      <c r="G45" s="6"/>
      <c r="H45" s="6" t="str" cm="1">
        <f t="array" aca="1" ref="H45" ca="1">IFERROR(IF(OR('Raw Data'!H45="",LEN(TRIM('Raw Data'!H45))=0),_xlfn.REGEXEXTRACT(CELL("address",'Raw Data'!H45),"\$([A-Z]+)\$[0-9]+"),""),"")</f>
        <v/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2:22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/>
      <c r="E46" s="6" t="str" cm="1">
        <f t="array" aca="1" ref="E46" ca="1">IFERROR(IF(OR('Raw Data'!E46="",LEN(TRIM('Raw Data'!E46))=0),_xlfn.REGEXEXTRACT(CELL("address",'Raw Data'!E46),"\$([A-Z]+)\$[0-9]+"),""),"")</f>
        <v/>
      </c>
      <c r="F46" s="6"/>
      <c r="G46" s="6"/>
      <c r="H46" s="6" t="str" cm="1">
        <f t="array" aca="1" ref="H46" ca="1">IFERROR(IF(OR('Raw Data'!H46="",LEN(TRIM('Raw Data'!H46))=0),_xlfn.REGEXEXTRACT(CELL("address",'Raw Data'!H46),"\$([A-Z]+)\$[0-9]+"),""),"")</f>
        <v/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2:22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/>
      <c r="E47" s="6" t="str" cm="1">
        <f t="array" aca="1" ref="E47" ca="1">IFERROR(IF(OR('Raw Data'!E47="",LEN(TRIM('Raw Data'!E47))=0),_xlfn.REGEXEXTRACT(CELL("address",'Raw Data'!E47),"\$([A-Z]+)\$[0-9]+"),""),"")</f>
        <v/>
      </c>
      <c r="F47" s="6"/>
      <c r="G47" s="6"/>
      <c r="H47" s="6" t="str" cm="1">
        <f t="array" aca="1" ref="H47" ca="1">IFERROR(IF(OR('Raw Data'!H47="",LEN(TRIM('Raw Data'!H47))=0),_xlfn.REGEXEXTRACT(CELL("address",'Raw Data'!H47),"\$([A-Z]+)\$[0-9]+"),""),"")</f>
        <v/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2:22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/>
      <c r="E48" s="6" t="str" cm="1">
        <f t="array" aca="1" ref="E48" ca="1">IFERROR(IF(OR('Raw Data'!E48="",LEN(TRIM('Raw Data'!E48))=0),_xlfn.REGEXEXTRACT(CELL("address",'Raw Data'!E48),"\$([A-Z]+)\$[0-9]+"),""),"")</f>
        <v/>
      </c>
      <c r="F48" s="6"/>
      <c r="G48" s="6"/>
      <c r="H48" s="6" t="str" cm="1">
        <f t="array" aca="1" ref="H48" ca="1">IFERROR(IF(OR('Raw Data'!H48="",LEN(TRIM('Raw Data'!H48))=0),_xlfn.REGEXEXTRACT(CELL("address",'Raw Data'!H48),"\$([A-Z]+)\$[0-9]+"),""),"")</f>
        <v/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/>
      <c r="E49" s="6" t="str" cm="1">
        <f t="array" aca="1" ref="E49" ca="1">IFERROR(IF(OR('Raw Data'!E49="",LEN(TRIM('Raw Data'!E49))=0),_xlfn.REGEXEXTRACT(CELL("address",'Raw Data'!E49),"\$([A-Z]+)\$[0-9]+"),""),"")</f>
        <v/>
      </c>
      <c r="F49" s="6"/>
      <c r="G49" s="6"/>
      <c r="H49" s="6" t="str" cm="1">
        <f t="array" aca="1" ref="H49" ca="1">IFERROR(IF(OR('Raw Data'!H49="",LEN(TRIM('Raw Data'!H49))=0),_xlfn.REGEXEXTRACT(CELL("address",'Raw Data'!H49),"\$([A-Z]+)\$[0-9]+"),""),"")</f>
        <v/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2:22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/>
      <c r="E50" s="6" t="str" cm="1">
        <f t="array" aca="1" ref="E50" ca="1">IFERROR(IF(OR('Raw Data'!E50="",LEN(TRIM('Raw Data'!E50))=0),_xlfn.REGEXEXTRACT(CELL("address",'Raw Data'!E50),"\$([A-Z]+)\$[0-9]+"),""),"")</f>
        <v/>
      </c>
      <c r="F50" s="6"/>
      <c r="G50" s="6"/>
      <c r="H50" s="6" t="str" cm="1">
        <f t="array" aca="1" ref="H50" ca="1">IFERROR(IF(OR('Raw Data'!H50="",LEN(TRIM('Raw Data'!H50))=0),_xlfn.REGEXEXTRACT(CELL("address",'Raw Data'!H50),"\$([A-Z]+)\$[0-9]+"),""),"")</f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2:22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/>
      <c r="E51" s="6" t="str" cm="1">
        <f t="array" aca="1" ref="E51" ca="1">IFERROR(IF(OR('Raw Data'!E51="",LEN(TRIM('Raw Data'!E51))=0),_xlfn.REGEXEXTRACT(CELL("address",'Raw Data'!E51),"\$([A-Z]+)\$[0-9]+"),""),"")</f>
        <v/>
      </c>
      <c r="F51" s="6"/>
      <c r="G51" s="6"/>
      <c r="H51" s="6" t="str" cm="1">
        <f t="array" aca="1" ref="H51" ca="1">IFERROR(IF(OR('Raw Data'!H51="",LEN(TRIM('Raw Data'!H51))=0),_xlfn.REGEXEXTRACT(CELL("address",'Raw Data'!H51),"\$([A-Z]+)\$[0-9]+"),""),"")</f>
        <v/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2:22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/>
      <c r="E52" s="6" t="str" cm="1">
        <f t="array" aca="1" ref="E52" ca="1">IFERROR(IF(OR('Raw Data'!E52="",LEN(TRIM('Raw Data'!E52))=0),_xlfn.REGEXEXTRACT(CELL("address",'Raw Data'!E52),"\$([A-Z]+)\$[0-9]+"),""),"")</f>
        <v/>
      </c>
      <c r="F52" s="6"/>
      <c r="G52" s="6"/>
      <c r="H52" s="6" t="str" cm="1">
        <f t="array" aca="1" ref="H52" ca="1">IFERROR(IF(OR('Raw Data'!H52="",LEN(TRIM('Raw Data'!H52))=0),_xlfn.REGEXEXTRACT(CELL("address",'Raw Data'!H52),"\$([A-Z]+)\$[0-9]+"),""),"")</f>
        <v/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/>
      <c r="E53" s="6" t="str" cm="1">
        <f t="array" aca="1" ref="E53" ca="1">IFERROR(IF(OR('Raw Data'!E53="",LEN(TRIM('Raw Data'!E53))=0),_xlfn.REGEXEXTRACT(CELL("address",'Raw Data'!E53),"\$([A-Z]+)\$[0-9]+"),""),"")</f>
        <v/>
      </c>
      <c r="F53" s="6"/>
      <c r="G53" s="6"/>
      <c r="H53" s="6" t="str" cm="1">
        <f t="array" aca="1" ref="H53" ca="1">IFERROR(IF(OR('Raw Data'!H53="",LEN(TRIM('Raw Data'!H53))=0),_xlfn.REGEXEXTRACT(CELL("address",'Raw Data'!H53),"\$([A-Z]+)\$[0-9]+"),""),"")</f>
        <v/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2:22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/>
      <c r="E54" s="6" t="str" cm="1">
        <f t="array" aca="1" ref="E54" ca="1">IFERROR(IF(OR('Raw Data'!E54="",LEN(TRIM('Raw Data'!E54))=0),_xlfn.REGEXEXTRACT(CELL("address",'Raw Data'!E54),"\$([A-Z]+)\$[0-9]+"),""),"")</f>
        <v/>
      </c>
      <c r="F54" s="6"/>
      <c r="G54" s="6"/>
      <c r="H54" s="6" t="str" cm="1">
        <f t="array" aca="1" ref="H54" ca="1">IFERROR(IF(OR('Raw Data'!H54="",LEN(TRIM('Raw Data'!H54))=0),_xlfn.REGEXEXTRACT(CELL("address",'Raw Data'!H54),"\$([A-Z]+)\$[0-9]+"),""),"")</f>
        <v/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2:22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/>
      <c r="E55" s="6" t="str" cm="1">
        <f t="array" aca="1" ref="E55" ca="1">IFERROR(IF(OR('Raw Data'!E55="",LEN(TRIM('Raw Data'!E55))=0),_xlfn.REGEXEXTRACT(CELL("address",'Raw Data'!E55),"\$([A-Z]+)\$[0-9]+"),""),"")</f>
        <v/>
      </c>
      <c r="F55" s="6"/>
      <c r="G55" s="6"/>
      <c r="H55" s="6" t="str" cm="1">
        <f t="array" aca="1" ref="H55" ca="1">IFERROR(IF(OR('Raw Data'!H55="",LEN(TRIM('Raw Data'!H55))=0),_xlfn.REGEXEXTRACT(CELL("address",'Raw Data'!H55),"\$([A-Z]+)\$[0-9]+"),""),"")</f>
        <v/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2:22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/>
      <c r="E56" s="6" t="str" cm="1">
        <f t="array" aca="1" ref="E56" ca="1">IFERROR(IF(OR('Raw Data'!E56="",LEN(TRIM('Raw Data'!E56))=0),_xlfn.REGEXEXTRACT(CELL("address",'Raw Data'!E56),"\$([A-Z]+)\$[0-9]+"),""),"")</f>
        <v/>
      </c>
      <c r="F56" s="6"/>
      <c r="G56" s="6"/>
      <c r="H56" s="6" t="str" cm="1">
        <f t="array" aca="1" ref="H56" ca="1">IFERROR(IF(OR('Raw Data'!H56="",LEN(TRIM('Raw Data'!H56))=0),_xlfn.REGEXEXTRACT(CELL("address",'Raw Data'!H56),"\$([A-Z]+)\$[0-9]+"),""),"")</f>
        <v/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2:22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/>
      <c r="E57" s="6" t="str" cm="1">
        <f t="array" aca="1" ref="E57" ca="1">IFERROR(IF(OR('Raw Data'!E57="",LEN(TRIM('Raw Data'!E57))=0),_xlfn.REGEXEXTRACT(CELL("address",'Raw Data'!E57),"\$([A-Z]+)\$[0-9]+"),""),"")</f>
        <v/>
      </c>
      <c r="F57" s="6"/>
      <c r="G57" s="6"/>
      <c r="H57" s="6" t="str" cm="1">
        <f t="array" aca="1" ref="H57" ca="1">IFERROR(IF(OR('Raw Data'!H57="",LEN(TRIM('Raw Data'!H57))=0),_xlfn.REGEXEXTRACT(CELL("address",'Raw Data'!H57),"\$([A-Z]+)\$[0-9]+"),""),"")</f>
        <v/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2:22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/>
      <c r="E58" s="6" t="str" cm="1">
        <f t="array" aca="1" ref="E58" ca="1">IFERROR(IF(OR('Raw Data'!E58="",LEN(TRIM('Raw Data'!E58))=0),_xlfn.REGEXEXTRACT(CELL("address",'Raw Data'!E58),"\$([A-Z]+)\$[0-9]+"),""),"")</f>
        <v/>
      </c>
      <c r="F58" s="6"/>
      <c r="G58" s="6"/>
      <c r="H58" s="6" t="str" cm="1">
        <f t="array" aca="1" ref="H58" ca="1">IFERROR(IF(OR('Raw Data'!H58="",LEN(TRIM('Raw Data'!H58))=0),_xlfn.REGEXEXTRACT(CELL("address",'Raw Data'!H58),"\$([A-Z]+)\$[0-9]+"),""),"")</f>
        <v/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2:22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/>
      <c r="E59" s="6" t="str" cm="1">
        <f t="array" aca="1" ref="E59" ca="1">IFERROR(IF(OR('Raw Data'!E59="",LEN(TRIM('Raw Data'!E59))=0),_xlfn.REGEXEXTRACT(CELL("address",'Raw Data'!E59),"\$([A-Z]+)\$[0-9]+"),""),"")</f>
        <v/>
      </c>
      <c r="F59" s="6"/>
      <c r="G59" s="6"/>
      <c r="H59" s="6" t="str" cm="1">
        <f t="array" aca="1" ref="H59" ca="1">IFERROR(IF(OR('Raw Data'!H59="",LEN(TRIM('Raw Data'!H59))=0),_xlfn.REGEXEXTRACT(CELL("address",'Raw Data'!H59),"\$([A-Z]+)\$[0-9]+"),""),"")</f>
        <v/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2:22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/>
      <c r="E60" s="6" t="str" cm="1">
        <f t="array" aca="1" ref="E60" ca="1">IFERROR(IF(OR('Raw Data'!E60="",LEN(TRIM('Raw Data'!E60))=0),_xlfn.REGEXEXTRACT(CELL("address",'Raw Data'!E60),"\$([A-Z]+)\$[0-9]+"),""),"")</f>
        <v/>
      </c>
      <c r="F60" s="6"/>
      <c r="G60" s="6"/>
      <c r="H60" s="6" t="str" cm="1">
        <f t="array" aca="1" ref="H60" ca="1">IFERROR(IF(OR('Raw Data'!H60="",LEN(TRIM('Raw Data'!H60))=0),_xlfn.REGEXEXTRACT(CELL("address",'Raw Data'!H60),"\$([A-Z]+)\$[0-9]+"),""),"")</f>
        <v/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2:22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/>
      <c r="E61" s="6" t="str" cm="1">
        <f t="array" aca="1" ref="E61" ca="1">IFERROR(IF(OR('Raw Data'!E61="",LEN(TRIM('Raw Data'!E61))=0),_xlfn.REGEXEXTRACT(CELL("address",'Raw Data'!E61),"\$([A-Z]+)\$[0-9]+"),""),"")</f>
        <v/>
      </c>
      <c r="F61" s="6"/>
      <c r="G61" s="6"/>
      <c r="H61" s="6" t="str" cm="1">
        <f t="array" aca="1" ref="H61" ca="1">IFERROR(IF(OR('Raw Data'!H61="",LEN(TRIM('Raw Data'!H61))=0),_xlfn.REGEXEXTRACT(CELL("address",'Raw Data'!H61),"\$([A-Z]+)\$[0-9]+"),""),"")</f>
        <v/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2:22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/>
      <c r="E62" s="6" t="str" cm="1">
        <f t="array" aca="1" ref="E62" ca="1">IFERROR(IF(OR('Raw Data'!E62="",LEN(TRIM('Raw Data'!E62))=0),_xlfn.REGEXEXTRACT(CELL("address",'Raw Data'!E62),"\$([A-Z]+)\$[0-9]+"),""),"")</f>
        <v/>
      </c>
      <c r="F62" s="6"/>
      <c r="G62" s="6"/>
      <c r="H62" s="6" t="str" cm="1">
        <f t="array" aca="1" ref="H62" ca="1">IFERROR(IF(OR('Raw Data'!H62="",LEN(TRIM('Raw Data'!H62))=0),_xlfn.REGEXEXTRACT(CELL("address",'Raw Data'!H62),"\$([A-Z]+)\$[0-9]+"),""),"")</f>
        <v/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2:22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/>
      <c r="E63" s="6" t="str" cm="1">
        <f t="array" aca="1" ref="E63" ca="1">IFERROR(IF(OR('Raw Data'!E63="",LEN(TRIM('Raw Data'!E63))=0),_xlfn.REGEXEXTRACT(CELL("address",'Raw Data'!E63),"\$([A-Z]+)\$[0-9]+"),""),"")</f>
        <v/>
      </c>
      <c r="F63" s="6"/>
      <c r="G63" s="6"/>
      <c r="H63" s="6" t="str" cm="1">
        <f t="array" aca="1" ref="H63" ca="1">IFERROR(IF(OR('Raw Data'!H63="",LEN(TRIM('Raw Data'!H63))=0),_xlfn.REGEXEXTRACT(CELL("address",'Raw Data'!H63),"\$([A-Z]+)\$[0-9]+"),""),"")</f>
        <v/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2:22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/>
      <c r="E64" s="6" t="str" cm="1">
        <f t="array" aca="1" ref="E64" ca="1">IFERROR(IF(OR('Raw Data'!E64="",LEN(TRIM('Raw Data'!E64))=0),_xlfn.REGEXEXTRACT(CELL("address",'Raw Data'!E64),"\$([A-Z]+)\$[0-9]+"),""),"")</f>
        <v/>
      </c>
      <c r="F64" s="6"/>
      <c r="G64" s="6"/>
      <c r="H64" s="6" t="str" cm="1">
        <f t="array" aca="1" ref="H64" ca="1">IFERROR(IF(OR('Raw Data'!H64="",LEN(TRIM('Raw Data'!H64))=0),_xlfn.REGEXEXTRACT(CELL("address",'Raw Data'!H64),"\$([A-Z]+)\$[0-9]+"),""),"")</f>
        <v/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2:22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/>
      <c r="E65" s="6" t="str" cm="1">
        <f t="array" aca="1" ref="E65" ca="1">IFERROR(IF(OR('Raw Data'!E65="",LEN(TRIM('Raw Data'!E65))=0),_xlfn.REGEXEXTRACT(CELL("address",'Raw Data'!E65),"\$([A-Z]+)\$[0-9]+"),""),"")</f>
        <v/>
      </c>
      <c r="F65" s="6"/>
      <c r="G65" s="6"/>
      <c r="H65" s="6" t="str" cm="1">
        <f t="array" aca="1" ref="H65" ca="1">IFERROR(IF(OR('Raw Data'!H65="",LEN(TRIM('Raw Data'!H65))=0),_xlfn.REGEXEXTRACT(CELL("address",'Raw Data'!H65),"\$([A-Z]+)\$[0-9]+"),""),"")</f>
        <v/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2:22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/>
      <c r="E66" s="6" t="str" cm="1">
        <f t="array" aca="1" ref="E66" ca="1">IFERROR(IF(OR('Raw Data'!E66="",LEN(TRIM('Raw Data'!E66))=0),_xlfn.REGEXEXTRACT(CELL("address",'Raw Data'!E66),"\$([A-Z]+)\$[0-9]+"),""),"")</f>
        <v/>
      </c>
      <c r="F66" s="6"/>
      <c r="G66" s="6"/>
      <c r="H66" s="6" t="str" cm="1">
        <f t="array" aca="1" ref="H66" ca="1">IFERROR(IF(OR('Raw Data'!H66="",LEN(TRIM('Raw Data'!H66))=0),_xlfn.REGEXEXTRACT(CELL("address",'Raw Data'!H66),"\$([A-Z]+)\$[0-9]+"),""),"")</f>
        <v/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2:22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/>
      <c r="E67" s="6" t="str" cm="1">
        <f t="array" aca="1" ref="E67" ca="1">IFERROR(IF(OR('Raw Data'!E67="",LEN(TRIM('Raw Data'!E67))=0),_xlfn.REGEXEXTRACT(CELL("address",'Raw Data'!E67),"\$([A-Z]+)\$[0-9]+"),""),"")</f>
        <v/>
      </c>
      <c r="F67" s="6"/>
      <c r="G67" s="6"/>
      <c r="H67" s="6" t="str" cm="1">
        <f t="array" aca="1" ref="H67" ca="1">IFERROR(IF(OR('Raw Data'!H67="",LEN(TRIM('Raw Data'!H67))=0),_xlfn.REGEXEXTRACT(CELL("address",'Raw Data'!H67),"\$([A-Z]+)\$[0-9]+"),""),"")</f>
        <v/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2:22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/>
      <c r="E68" s="6" t="str" cm="1">
        <f t="array" aca="1" ref="E68" ca="1">IFERROR(IF(OR('Raw Data'!E68="",LEN(TRIM('Raw Data'!E68))=0),_xlfn.REGEXEXTRACT(CELL("address",'Raw Data'!E68),"\$([A-Z]+)\$[0-9]+"),""),"")</f>
        <v/>
      </c>
      <c r="F68" s="6"/>
      <c r="G68" s="6"/>
      <c r="H68" s="6" t="str" cm="1">
        <f t="array" aca="1" ref="H68" ca="1">IFERROR(IF(OR('Raw Data'!H68="",LEN(TRIM('Raw Data'!H68))=0),_xlfn.REGEXEXTRACT(CELL("address",'Raw Data'!H68),"\$([A-Z]+)\$[0-9]+"),""),"")</f>
        <v/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2:22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/>
      <c r="E69" s="6" t="str" cm="1">
        <f t="array" aca="1" ref="E69" ca="1">IFERROR(IF(OR('Raw Data'!E69="",LEN(TRIM('Raw Data'!E69))=0),_xlfn.REGEXEXTRACT(CELL("address",'Raw Data'!E69),"\$([A-Z]+)\$[0-9]+"),""),"")</f>
        <v/>
      </c>
      <c r="F69" s="6"/>
      <c r="G69" s="6"/>
      <c r="H69" s="6" t="str" cm="1">
        <f t="array" aca="1" ref="H69" ca="1">IFERROR(IF(OR('Raw Data'!H69="",LEN(TRIM('Raw Data'!H69))=0),_xlfn.REGEXEXTRACT(CELL("address",'Raw Data'!H69),"\$([A-Z]+)\$[0-9]+"),""),"")</f>
        <v/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2:22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/>
      <c r="E70" s="6" t="str" cm="1">
        <f t="array" aca="1" ref="E70" ca="1">IFERROR(IF(OR('Raw Data'!E70="",LEN(TRIM('Raw Data'!E70))=0),_xlfn.REGEXEXTRACT(CELL("address",'Raw Data'!E70),"\$([A-Z]+)\$[0-9]+"),""),"")</f>
        <v/>
      </c>
      <c r="F70" s="6"/>
      <c r="G70" s="6"/>
      <c r="H70" s="6" t="str" cm="1">
        <f t="array" aca="1" ref="H70" ca="1">IFERROR(IF(OR('Raw Data'!H70="",LEN(TRIM('Raw Data'!H70))=0),_xlfn.REGEXEXTRACT(CELL("address",'Raw Data'!H70),"\$([A-Z]+)\$[0-9]+"),""),"")</f>
        <v/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2:22" x14ac:dyDescent="0.25">
      <c r="B71" s="6" t="str" cm="1">
        <f t="array" aca="1" ref="B71" ca="1">IFERROR(IF(OR('Raw Data'!B71="",LEN(TRIM('Raw Data'!B71))=0),_xlfn.REGEXEXTRACT(CELL("address",'Raw Data'!B71),"\$([A-Z]+)\$[0-9]+"),""),"")</f>
        <v/>
      </c>
      <c r="C71" s="6" t="str" cm="1">
        <f t="array" aca="1" ref="C71" ca="1">IFERROR(IF(OR('Raw Data'!C71="",LEN(TRIM('Raw Data'!C71))=0),_xlfn.REGEXEXTRACT(CELL("address",'Raw Data'!C71),"\$([A-Z]+)\$[0-9]+"),""),"")</f>
        <v/>
      </c>
      <c r="D71" s="6"/>
      <c r="E71" s="6" t="str" cm="1">
        <f t="array" aca="1" ref="E71" ca="1">IFERROR(IF(OR('Raw Data'!E71="",LEN(TRIM('Raw Data'!E71))=0),_xlfn.REGEXEXTRACT(CELL("address",'Raw Data'!E71),"\$([A-Z]+)\$[0-9]+"),""),"")</f>
        <v/>
      </c>
      <c r="F71" s="6"/>
      <c r="G71" s="6"/>
      <c r="H71" s="6" t="str" cm="1">
        <f t="array" aca="1" ref="H71" ca="1">IFERROR(IF(OR('Raw Data'!H71="",LEN(TRIM('Raw Data'!H71))=0),_xlfn.REGEXEXTRACT(CELL("address",'Raw Data'!H71),"\$([A-Z]+)\$[0-9]+"),""),"")</f>
        <v/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2:22" x14ac:dyDescent="0.25">
      <c r="B72" s="6" t="str" cm="1">
        <f t="array" aca="1" ref="B72" ca="1">IFERROR(IF(OR('Raw Data'!B72="",LEN(TRIM('Raw Data'!B72))=0),_xlfn.REGEXEXTRACT(CELL("address",'Raw Data'!B72),"\$([A-Z]+)\$[0-9]+"),""),"")</f>
        <v/>
      </c>
      <c r="C72" s="6" t="str" cm="1">
        <f t="array" aca="1" ref="C72" ca="1">IFERROR(IF(OR('Raw Data'!C72="",LEN(TRIM('Raw Data'!C72))=0),_xlfn.REGEXEXTRACT(CELL("address",'Raw Data'!C72),"\$([A-Z]+)\$[0-9]+"),""),"")</f>
        <v/>
      </c>
      <c r="D72" s="6"/>
      <c r="E72" s="6" t="str" cm="1">
        <f t="array" aca="1" ref="E72" ca="1">IFERROR(IF(OR('Raw Data'!E72="",LEN(TRIM('Raw Data'!E72))=0),_xlfn.REGEXEXTRACT(CELL("address",'Raw Data'!E72),"\$([A-Z]+)\$[0-9]+"),""),"")</f>
        <v/>
      </c>
      <c r="F72" s="6"/>
      <c r="G72" s="6"/>
      <c r="H72" s="6" t="str" cm="1">
        <f t="array" aca="1" ref="H72" ca="1">IFERROR(IF(OR('Raw Data'!H72="",LEN(TRIM('Raw Data'!H72))=0),_xlfn.REGEXEXTRACT(CELL("address",'Raw Data'!H72),"\$([A-Z]+)\$[0-9]+"),""),"")</f>
        <v/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2:22" x14ac:dyDescent="0.25">
      <c r="B73" s="6" t="str" cm="1">
        <f t="array" aca="1" ref="B73" ca="1">IFERROR(IF(OR('Raw Data'!B73="",LEN(TRIM('Raw Data'!B73))=0),_xlfn.REGEXEXTRACT(CELL("address",'Raw Data'!B73),"\$([A-Z]+)\$[0-9]+"),""),"")</f>
        <v/>
      </c>
      <c r="C73" s="6" t="str" cm="1">
        <f t="array" aca="1" ref="C73" ca="1">IFERROR(IF(OR('Raw Data'!C73="",LEN(TRIM('Raw Data'!C73))=0),_xlfn.REGEXEXTRACT(CELL("address",'Raw Data'!C73),"\$([A-Z]+)\$[0-9]+"),""),"")</f>
        <v/>
      </c>
      <c r="D73" s="6"/>
      <c r="E73" s="6" t="str" cm="1">
        <f t="array" aca="1" ref="E73" ca="1">IFERROR(IF(OR('Raw Data'!E73="",LEN(TRIM('Raw Data'!E73))=0),_xlfn.REGEXEXTRACT(CELL("address",'Raw Data'!E73),"\$([A-Z]+)\$[0-9]+"),""),"")</f>
        <v/>
      </c>
      <c r="F73" s="6"/>
      <c r="G73" s="6"/>
      <c r="H73" s="6" t="str" cm="1">
        <f t="array" aca="1" ref="H73" ca="1">IFERROR(IF(OR('Raw Data'!H73="",LEN(TRIM('Raw Data'!H73))=0),_xlfn.REGEXEXTRACT(CELL("address",'Raw Data'!H73),"\$([A-Z]+)\$[0-9]+"),""),"")</f>
        <v/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2:22" x14ac:dyDescent="0.25">
      <c r="B74" s="6" t="str" cm="1">
        <f t="array" aca="1" ref="B74" ca="1">IFERROR(IF(OR('Raw Data'!B74="",LEN(TRIM('Raw Data'!B74))=0),_xlfn.REGEXEXTRACT(CELL("address",'Raw Data'!B74),"\$([A-Z]+)\$[0-9]+"),""),"")</f>
        <v/>
      </c>
      <c r="C74" s="6" t="str" cm="1">
        <f t="array" aca="1" ref="C74" ca="1">IFERROR(IF(OR('Raw Data'!C74="",LEN(TRIM('Raw Data'!C74))=0),_xlfn.REGEXEXTRACT(CELL("address",'Raw Data'!C74),"\$([A-Z]+)\$[0-9]+"),""),"")</f>
        <v/>
      </c>
      <c r="D74" s="6"/>
      <c r="E74" s="6" t="str" cm="1">
        <f t="array" aca="1" ref="E74" ca="1">IFERROR(IF(OR('Raw Data'!E74="",LEN(TRIM('Raw Data'!E74))=0),_xlfn.REGEXEXTRACT(CELL("address",'Raw Data'!E74),"\$([A-Z]+)\$[0-9]+"),""),"")</f>
        <v/>
      </c>
      <c r="F74" s="6"/>
      <c r="G74" s="6"/>
      <c r="H74" s="6" t="str" cm="1">
        <f t="array" aca="1" ref="H74" ca="1">IFERROR(IF(OR('Raw Data'!H74="",LEN(TRIM('Raw Data'!H74))=0),_xlfn.REGEXEXTRACT(CELL("address",'Raw Data'!H74),"\$([A-Z]+)\$[0-9]+"),""),"")</f>
        <v/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2:22" x14ac:dyDescent="0.25">
      <c r="B75" s="6" t="str" cm="1">
        <f t="array" aca="1" ref="B75" ca="1">IFERROR(IF(OR('Raw Data'!B75="",LEN(TRIM('Raw Data'!B75))=0),_xlfn.REGEXEXTRACT(CELL("address",'Raw Data'!B75),"\$([A-Z]+)\$[0-9]+"),""),"")</f>
        <v/>
      </c>
      <c r="C75" s="6" t="str" cm="1">
        <f t="array" aca="1" ref="C75" ca="1">IFERROR(IF(OR('Raw Data'!C75="",LEN(TRIM('Raw Data'!C75))=0),_xlfn.REGEXEXTRACT(CELL("address",'Raw Data'!C75),"\$([A-Z]+)\$[0-9]+"),""),"")</f>
        <v/>
      </c>
      <c r="D75" s="6"/>
      <c r="E75" s="6" t="str" cm="1">
        <f t="array" aca="1" ref="E75" ca="1">IFERROR(IF(OR('Raw Data'!E75="",LEN(TRIM('Raw Data'!E75))=0),_xlfn.REGEXEXTRACT(CELL("address",'Raw Data'!E75),"\$([A-Z]+)\$[0-9]+"),""),"")</f>
        <v/>
      </c>
      <c r="F75" s="6"/>
      <c r="G75" s="6"/>
      <c r="H75" s="6" t="str" cm="1">
        <f t="array" aca="1" ref="H75" ca="1">IFERROR(IF(OR('Raw Data'!H75="",LEN(TRIM('Raw Data'!H75))=0),_xlfn.REGEXEXTRACT(CELL("address",'Raw Data'!H75),"\$([A-Z]+)\$[0-9]+"),""),"")</f>
        <v/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2:22" x14ac:dyDescent="0.25">
      <c r="B76" s="6" t="str" cm="1">
        <f t="array" aca="1" ref="B76" ca="1">IFERROR(IF(OR('Raw Data'!B76="",LEN(TRIM('Raw Data'!B76))=0),_xlfn.REGEXEXTRACT(CELL("address",'Raw Data'!B76),"\$([A-Z]+)\$[0-9]+"),""),"")</f>
        <v/>
      </c>
      <c r="C76" s="6" t="str" cm="1">
        <f t="array" aca="1" ref="C76" ca="1">IFERROR(IF(OR('Raw Data'!C76="",LEN(TRIM('Raw Data'!C76))=0),_xlfn.REGEXEXTRACT(CELL("address",'Raw Data'!C76),"\$([A-Z]+)\$[0-9]+"),""),"")</f>
        <v/>
      </c>
      <c r="D76" s="6"/>
      <c r="E76" s="6" t="str" cm="1">
        <f t="array" aca="1" ref="E76" ca="1">IFERROR(IF(OR('Raw Data'!E76="",LEN(TRIM('Raw Data'!E76))=0),_xlfn.REGEXEXTRACT(CELL("address",'Raw Data'!E76),"\$([A-Z]+)\$[0-9]+"),""),"")</f>
        <v/>
      </c>
      <c r="F76" s="6"/>
      <c r="G76" s="6"/>
      <c r="H76" s="6" t="str" cm="1">
        <f t="array" aca="1" ref="H76" ca="1">IFERROR(IF(OR('Raw Data'!H76="",LEN(TRIM('Raw Data'!H76))=0),_xlfn.REGEXEXTRACT(CELL("address",'Raw Data'!H76),"\$([A-Z]+)\$[0-9]+"),""),"")</f>
        <v/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2:22" x14ac:dyDescent="0.25">
      <c r="B77" s="6" t="str" cm="1">
        <f t="array" aca="1" ref="B77" ca="1">IFERROR(IF(OR('Raw Data'!B77="",LEN(TRIM('Raw Data'!B77))=0),_xlfn.REGEXEXTRACT(CELL("address",'Raw Data'!B77),"\$([A-Z]+)\$[0-9]+"),""),"")</f>
        <v/>
      </c>
      <c r="C77" s="6" t="str" cm="1">
        <f t="array" aca="1" ref="C77" ca="1">IFERROR(IF(OR('Raw Data'!C77="",LEN(TRIM('Raw Data'!C77))=0),_xlfn.REGEXEXTRACT(CELL("address",'Raw Data'!C77),"\$([A-Z]+)\$[0-9]+"),""),"")</f>
        <v/>
      </c>
      <c r="D77" s="6"/>
      <c r="E77" s="6" t="str" cm="1">
        <f t="array" aca="1" ref="E77" ca="1">IFERROR(IF(OR('Raw Data'!E77="",LEN(TRIM('Raw Data'!E77))=0),_xlfn.REGEXEXTRACT(CELL("address",'Raw Data'!E77),"\$([A-Z]+)\$[0-9]+"),""),"")</f>
        <v/>
      </c>
      <c r="F77" s="6"/>
      <c r="G77" s="6"/>
      <c r="H77" s="6" t="str" cm="1">
        <f t="array" aca="1" ref="H77" ca="1">IFERROR(IF(OR('Raw Data'!H77="",LEN(TRIM('Raw Data'!H77))=0),_xlfn.REGEXEXTRACT(CELL("address",'Raw Data'!H77),"\$([A-Z]+)\$[0-9]+"),""),"")</f>
        <v/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2:22" x14ac:dyDescent="0.25">
      <c r="B78" s="6" t="str" cm="1">
        <f t="array" aca="1" ref="B78" ca="1">IFERROR(IF(OR('Raw Data'!B78="",LEN(TRIM('Raw Data'!B78))=0),_xlfn.REGEXEXTRACT(CELL("address",'Raw Data'!B78),"\$([A-Z]+)\$[0-9]+"),""),"")</f>
        <v/>
      </c>
      <c r="C78" s="6" t="str" cm="1">
        <f t="array" aca="1" ref="C78" ca="1">IFERROR(IF(OR('Raw Data'!C78="",LEN(TRIM('Raw Data'!C78))=0),_xlfn.REGEXEXTRACT(CELL("address",'Raw Data'!C78),"\$([A-Z]+)\$[0-9]+"),""),"")</f>
        <v/>
      </c>
      <c r="D78" s="6"/>
      <c r="E78" s="6" t="str" cm="1">
        <f t="array" aca="1" ref="E78" ca="1">IFERROR(IF(OR('Raw Data'!E78="",LEN(TRIM('Raw Data'!E78))=0),_xlfn.REGEXEXTRACT(CELL("address",'Raw Data'!E78),"\$([A-Z]+)\$[0-9]+"),""),"")</f>
        <v/>
      </c>
      <c r="F78" s="6"/>
      <c r="G78" s="6"/>
      <c r="H78" s="6" t="str" cm="1">
        <f t="array" aca="1" ref="H78" ca="1">IFERROR(IF(OR('Raw Data'!H78="",LEN(TRIM('Raw Data'!H78))=0),_xlfn.REGEXEXTRACT(CELL("address",'Raw Data'!H78),"\$([A-Z]+)\$[0-9]+"),""),"")</f>
        <v/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2:22" x14ac:dyDescent="0.25">
      <c r="B79" s="6" t="str" cm="1">
        <f t="array" aca="1" ref="B79" ca="1">IFERROR(IF(OR('Raw Data'!B79="",LEN(TRIM('Raw Data'!B79))=0),_xlfn.REGEXEXTRACT(CELL("address",'Raw Data'!B79),"\$([A-Z]+)\$[0-9]+"),""),"")</f>
        <v/>
      </c>
      <c r="C79" s="6" t="str" cm="1">
        <f t="array" aca="1" ref="C79" ca="1">IFERROR(IF(OR('Raw Data'!C79="",LEN(TRIM('Raw Data'!C79))=0),_xlfn.REGEXEXTRACT(CELL("address",'Raw Data'!C79),"\$([A-Z]+)\$[0-9]+"),""),"")</f>
        <v/>
      </c>
      <c r="D79" s="6"/>
      <c r="E79" s="6" t="str" cm="1">
        <f t="array" aca="1" ref="E79" ca="1">IFERROR(IF(OR('Raw Data'!E79="",LEN(TRIM('Raw Data'!E79))=0),_xlfn.REGEXEXTRACT(CELL("address",'Raw Data'!E79),"\$([A-Z]+)\$[0-9]+"),""),"")</f>
        <v/>
      </c>
      <c r="F79" s="6"/>
      <c r="G79" s="6"/>
      <c r="H79" s="6" t="str" cm="1">
        <f t="array" aca="1" ref="H79" ca="1">IFERROR(IF(OR('Raw Data'!H79="",LEN(TRIM('Raw Data'!H79))=0),_xlfn.REGEXEXTRACT(CELL("address",'Raw Data'!H79),"\$([A-Z]+)\$[0-9]+"),""),"")</f>
        <v/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2:22" x14ac:dyDescent="0.25">
      <c r="B80" s="6" t="str" cm="1">
        <f t="array" aca="1" ref="B80" ca="1">IFERROR(IF(OR('Raw Data'!B80="",LEN(TRIM('Raw Data'!B80))=0),_xlfn.REGEXEXTRACT(CELL("address",'Raw Data'!B80),"\$([A-Z]+)\$[0-9]+"),""),"")</f>
        <v/>
      </c>
      <c r="C80" s="6" t="str" cm="1">
        <f t="array" aca="1" ref="C80" ca="1">IFERROR(IF(OR('Raw Data'!C80="",LEN(TRIM('Raw Data'!C80))=0),_xlfn.REGEXEXTRACT(CELL("address",'Raw Data'!C80),"\$([A-Z]+)\$[0-9]+"),""),"")</f>
        <v/>
      </c>
      <c r="D80" s="6"/>
      <c r="E80" s="6" t="str" cm="1">
        <f t="array" aca="1" ref="E80" ca="1">IFERROR(IF(OR('Raw Data'!E80="",LEN(TRIM('Raw Data'!E80))=0),_xlfn.REGEXEXTRACT(CELL("address",'Raw Data'!E80),"\$([A-Z]+)\$[0-9]+"),""),"")</f>
        <v/>
      </c>
      <c r="F80" s="6"/>
      <c r="G80" s="6"/>
      <c r="H80" s="6" t="str" cm="1">
        <f t="array" aca="1" ref="H80" ca="1">IFERROR(IF(OR('Raw Data'!H80="",LEN(TRIM('Raw Data'!H80))=0),_xlfn.REGEXEXTRACT(CELL("address",'Raw Data'!H80),"\$([A-Z]+)\$[0-9]+"),""),"")</f>
        <v/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2:22" x14ac:dyDescent="0.25">
      <c r="B81" s="6" t="str" cm="1">
        <f t="array" aca="1" ref="B81" ca="1">IFERROR(IF(OR('Raw Data'!B81="",LEN(TRIM('Raw Data'!B81))=0),_xlfn.REGEXEXTRACT(CELL("address",'Raw Data'!B81),"\$([A-Z]+)\$[0-9]+"),""),"")</f>
        <v/>
      </c>
      <c r="C81" s="6" t="str" cm="1">
        <f t="array" aca="1" ref="C81" ca="1">IFERROR(IF(OR('Raw Data'!C81="",LEN(TRIM('Raw Data'!C81))=0),_xlfn.REGEXEXTRACT(CELL("address",'Raw Data'!C81),"\$([A-Z]+)\$[0-9]+"),""),"")</f>
        <v/>
      </c>
      <c r="D81" s="6"/>
      <c r="E81" s="6" t="str" cm="1">
        <f t="array" aca="1" ref="E81" ca="1">IFERROR(IF(OR('Raw Data'!E81="",LEN(TRIM('Raw Data'!E81))=0),_xlfn.REGEXEXTRACT(CELL("address",'Raw Data'!E81),"\$([A-Z]+)\$[0-9]+"),""),"")</f>
        <v/>
      </c>
      <c r="F81" s="6"/>
      <c r="G81" s="6"/>
      <c r="H81" s="6" t="str" cm="1">
        <f t="array" aca="1" ref="H81" ca="1">IFERROR(IF(OR('Raw Data'!H81="",LEN(TRIM('Raw Data'!H81))=0),_xlfn.REGEXEXTRACT(CELL("address",'Raw Data'!H81),"\$([A-Z]+)\$[0-9]+"),""),"")</f>
        <v/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2:22" x14ac:dyDescent="0.25">
      <c r="B82" s="6" t="str" cm="1">
        <f t="array" aca="1" ref="B82" ca="1">IFERROR(IF(OR('Raw Data'!B82="",LEN(TRIM('Raw Data'!B82))=0),_xlfn.REGEXEXTRACT(CELL("address",'Raw Data'!B82),"\$([A-Z]+)\$[0-9]+"),""),"")</f>
        <v/>
      </c>
      <c r="C82" s="6" t="str" cm="1">
        <f t="array" aca="1" ref="C82" ca="1">IFERROR(IF(OR('Raw Data'!C82="",LEN(TRIM('Raw Data'!C82))=0),_xlfn.REGEXEXTRACT(CELL("address",'Raw Data'!C82),"\$([A-Z]+)\$[0-9]+"),""),"")</f>
        <v/>
      </c>
      <c r="D82" s="6"/>
      <c r="E82" s="6" t="str" cm="1">
        <f t="array" aca="1" ref="E82" ca="1">IFERROR(IF(OR('Raw Data'!E82="",LEN(TRIM('Raw Data'!E82))=0),_xlfn.REGEXEXTRACT(CELL("address",'Raw Data'!E82),"\$([A-Z]+)\$[0-9]+"),""),"")</f>
        <v/>
      </c>
      <c r="F82" s="6"/>
      <c r="G82" s="6"/>
      <c r="H82" s="6" t="str" cm="1">
        <f t="array" aca="1" ref="H82" ca="1">IFERROR(IF(OR('Raw Data'!H82="",LEN(TRIM('Raw Data'!H82))=0),_xlfn.REGEXEXTRACT(CELL("address",'Raw Data'!H82),"\$([A-Z]+)\$[0-9]+"),""),"")</f>
        <v/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2:22" x14ac:dyDescent="0.25">
      <c r="B83" s="6" t="str" cm="1">
        <f t="array" aca="1" ref="B83" ca="1">IFERROR(IF(OR('Raw Data'!B83="",LEN(TRIM('Raw Data'!B83))=0),_xlfn.REGEXEXTRACT(CELL("address",'Raw Data'!B83),"\$([A-Z]+)\$[0-9]+"),""),"")</f>
        <v/>
      </c>
      <c r="C83" s="6" t="str" cm="1">
        <f t="array" aca="1" ref="C83" ca="1">IFERROR(IF(OR('Raw Data'!C83="",LEN(TRIM('Raw Data'!C83))=0),_xlfn.REGEXEXTRACT(CELL("address",'Raw Data'!C83),"\$([A-Z]+)\$[0-9]+"),""),"")</f>
        <v/>
      </c>
      <c r="D83" s="6"/>
      <c r="E83" s="6" t="str" cm="1">
        <f t="array" aca="1" ref="E83" ca="1">IFERROR(IF(OR('Raw Data'!E83="",LEN(TRIM('Raw Data'!E83))=0),_xlfn.REGEXEXTRACT(CELL("address",'Raw Data'!E83),"\$([A-Z]+)\$[0-9]+"),""),"")</f>
        <v/>
      </c>
      <c r="F83" s="6"/>
      <c r="G83" s="6"/>
      <c r="H83" s="6" t="str" cm="1">
        <f t="array" aca="1" ref="H83" ca="1">IFERROR(IF(OR('Raw Data'!H83="",LEN(TRIM('Raw Data'!H83))=0),_xlfn.REGEXEXTRACT(CELL("address",'Raw Data'!H83),"\$([A-Z]+)\$[0-9]+"),""),"")</f>
        <v/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2:22" x14ac:dyDescent="0.25">
      <c r="B84" s="6" t="str" cm="1">
        <f t="array" aca="1" ref="B84" ca="1">IFERROR(IF(OR('Raw Data'!B84="",LEN(TRIM('Raw Data'!B84))=0),_xlfn.REGEXEXTRACT(CELL("address",'Raw Data'!B84),"\$([A-Z]+)\$[0-9]+"),""),"")</f>
        <v/>
      </c>
      <c r="C84" s="6" t="str" cm="1">
        <f t="array" aca="1" ref="C84" ca="1">IFERROR(IF(OR('Raw Data'!C84="",LEN(TRIM('Raw Data'!C84))=0),_xlfn.REGEXEXTRACT(CELL("address",'Raw Data'!C84),"\$([A-Z]+)\$[0-9]+"),""),"")</f>
        <v/>
      </c>
      <c r="D84" s="6"/>
      <c r="E84" s="6" t="str" cm="1">
        <f t="array" aca="1" ref="E84" ca="1">IFERROR(IF(OR('Raw Data'!E84="",LEN(TRIM('Raw Data'!E84))=0),_xlfn.REGEXEXTRACT(CELL("address",'Raw Data'!E84),"\$([A-Z]+)\$[0-9]+"),""),"")</f>
        <v/>
      </c>
      <c r="F84" s="6"/>
      <c r="G84" s="6"/>
      <c r="H84" s="6" t="str" cm="1">
        <f t="array" aca="1" ref="H84" ca="1">IFERROR(IF(OR('Raw Data'!H84="",LEN(TRIM('Raw Data'!H84))=0),_xlfn.REGEXEXTRACT(CELL("address",'Raw Data'!H84),"\$([A-Z]+)\$[0-9]+"),""),"")</f>
        <v/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2:22" x14ac:dyDescent="0.25">
      <c r="B85" s="6" t="str" cm="1">
        <f t="array" aca="1" ref="B85" ca="1">IFERROR(IF(OR('Raw Data'!B85="",LEN(TRIM('Raw Data'!B85))=0),_xlfn.REGEXEXTRACT(CELL("address",'Raw Data'!B85),"\$([A-Z]+)\$[0-9]+"),""),"")</f>
        <v/>
      </c>
      <c r="C85" s="6" t="str" cm="1">
        <f t="array" aca="1" ref="C85" ca="1">IFERROR(IF(OR('Raw Data'!C85="",LEN(TRIM('Raw Data'!C85))=0),_xlfn.REGEXEXTRACT(CELL("address",'Raw Data'!C85),"\$([A-Z]+)\$[0-9]+"),""),"")</f>
        <v/>
      </c>
      <c r="D85" s="6"/>
      <c r="E85" s="6" t="str" cm="1">
        <f t="array" aca="1" ref="E85" ca="1">IFERROR(IF(OR('Raw Data'!E85="",LEN(TRIM('Raw Data'!E85))=0),_xlfn.REGEXEXTRACT(CELL("address",'Raw Data'!E85),"\$([A-Z]+)\$[0-9]+"),""),"")</f>
        <v/>
      </c>
      <c r="F85" s="6"/>
      <c r="G85" s="6"/>
      <c r="H85" s="6" t="str" cm="1">
        <f t="array" aca="1" ref="H85" ca="1">IFERROR(IF(OR('Raw Data'!H85="",LEN(TRIM('Raw Data'!H85))=0),_xlfn.REGEXEXTRACT(CELL("address",'Raw Data'!H85),"\$([A-Z]+)\$[0-9]+"),""),"")</f>
        <v/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2:22" x14ac:dyDescent="0.25">
      <c r="B86" s="6" t="str" cm="1">
        <f t="array" aca="1" ref="B86" ca="1">IFERROR(IF(OR('Raw Data'!B86="",LEN(TRIM('Raw Data'!B86))=0),_xlfn.REGEXEXTRACT(CELL("address",'Raw Data'!B86),"\$([A-Z]+)\$[0-9]+"),""),"")</f>
        <v/>
      </c>
      <c r="C86" s="6" t="str" cm="1">
        <f t="array" aca="1" ref="C86" ca="1">IFERROR(IF(OR('Raw Data'!C86="",LEN(TRIM('Raw Data'!C86))=0),_xlfn.REGEXEXTRACT(CELL("address",'Raw Data'!C86),"\$([A-Z]+)\$[0-9]+"),""),"")</f>
        <v/>
      </c>
      <c r="D86" s="6"/>
      <c r="E86" s="6" t="str" cm="1">
        <f t="array" aca="1" ref="E86" ca="1">IFERROR(IF(OR('Raw Data'!E86="",LEN(TRIM('Raw Data'!E86))=0),_xlfn.REGEXEXTRACT(CELL("address",'Raw Data'!E86),"\$([A-Z]+)\$[0-9]+"),""),"")</f>
        <v/>
      </c>
      <c r="F86" s="6"/>
      <c r="G86" s="6"/>
      <c r="H86" s="6" t="str" cm="1">
        <f t="array" aca="1" ref="H86" ca="1">IFERROR(IF(OR('Raw Data'!H86="",LEN(TRIM('Raw Data'!H86))=0),_xlfn.REGEXEXTRACT(CELL("address",'Raw Data'!H86),"\$([A-Z]+)\$[0-9]+"),""),"")</f>
        <v/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2:22" x14ac:dyDescent="0.25">
      <c r="B87" s="6" t="str" cm="1">
        <f t="array" aca="1" ref="B87" ca="1">IFERROR(IF(OR('Raw Data'!B87="",LEN(TRIM('Raw Data'!B87))=0),_xlfn.REGEXEXTRACT(CELL("address",'Raw Data'!B87),"\$([A-Z]+)\$[0-9]+"),""),"")</f>
        <v/>
      </c>
      <c r="C87" s="6" t="str" cm="1">
        <f t="array" aca="1" ref="C87" ca="1">IFERROR(IF(OR('Raw Data'!C87="",LEN(TRIM('Raw Data'!C87))=0),_xlfn.REGEXEXTRACT(CELL("address",'Raw Data'!C87),"\$([A-Z]+)\$[0-9]+"),""),"")</f>
        <v/>
      </c>
      <c r="D87" s="6"/>
      <c r="E87" s="6" t="str" cm="1">
        <f t="array" aca="1" ref="E87" ca="1">IFERROR(IF(OR('Raw Data'!E87="",LEN(TRIM('Raw Data'!E87))=0),_xlfn.REGEXEXTRACT(CELL("address",'Raw Data'!E87),"\$([A-Z]+)\$[0-9]+"),""),"")</f>
        <v/>
      </c>
      <c r="F87" s="6"/>
      <c r="G87" s="6"/>
      <c r="H87" s="6" t="str" cm="1">
        <f t="array" aca="1" ref="H87" ca="1">IFERROR(IF(OR('Raw Data'!H87="",LEN(TRIM('Raw Data'!H87))=0),_xlfn.REGEXEXTRACT(CELL("address",'Raw Data'!H87),"\$([A-Z]+)\$[0-9]+"),""),"")</f>
        <v/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2:22" x14ac:dyDescent="0.25">
      <c r="B88" s="6" t="str" cm="1">
        <f t="array" aca="1" ref="B88" ca="1">IFERROR(IF(OR('Raw Data'!B88="",LEN(TRIM('Raw Data'!B88))=0),_xlfn.REGEXEXTRACT(CELL("address",'Raw Data'!B88),"\$([A-Z]+)\$[0-9]+"),""),"")</f>
        <v/>
      </c>
      <c r="C88" s="6" t="str" cm="1">
        <f t="array" aca="1" ref="C88" ca="1">IFERROR(IF(OR('Raw Data'!C88="",LEN(TRIM('Raw Data'!C88))=0),_xlfn.REGEXEXTRACT(CELL("address",'Raw Data'!C88),"\$([A-Z]+)\$[0-9]+"),""),"")</f>
        <v/>
      </c>
      <c r="D88" s="6"/>
      <c r="E88" s="6" t="str" cm="1">
        <f t="array" aca="1" ref="E88" ca="1">IFERROR(IF(OR('Raw Data'!E88="",LEN(TRIM('Raw Data'!E88))=0),_xlfn.REGEXEXTRACT(CELL("address",'Raw Data'!E88),"\$([A-Z]+)\$[0-9]+"),""),"")</f>
        <v/>
      </c>
      <c r="F88" s="6"/>
      <c r="G88" s="6"/>
      <c r="H88" s="6" t="str" cm="1">
        <f t="array" aca="1" ref="H88" ca="1">IFERROR(IF(OR('Raw Data'!H88="",LEN(TRIM('Raw Data'!H88))=0),_xlfn.REGEXEXTRACT(CELL("address",'Raw Data'!H88),"\$([A-Z]+)\$[0-9]+"),""),"")</f>
        <v/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2:22" x14ac:dyDescent="0.25">
      <c r="B89" s="6" t="str" cm="1">
        <f t="array" aca="1" ref="B89" ca="1">IFERROR(IF(OR('Raw Data'!B89="",LEN(TRIM('Raw Data'!B89))=0),_xlfn.REGEXEXTRACT(CELL("address",'Raw Data'!B89),"\$([A-Z]+)\$[0-9]+"),""),"")</f>
        <v/>
      </c>
      <c r="C89" s="6" t="str" cm="1">
        <f t="array" aca="1" ref="C89" ca="1">IFERROR(IF(OR('Raw Data'!C89="",LEN(TRIM('Raw Data'!C89))=0),_xlfn.REGEXEXTRACT(CELL("address",'Raw Data'!C89),"\$([A-Z]+)\$[0-9]+"),""),"")</f>
        <v/>
      </c>
      <c r="D89" s="6"/>
      <c r="E89" s="6" t="str" cm="1">
        <f t="array" aca="1" ref="E89" ca="1">IFERROR(IF(OR('Raw Data'!E89="",LEN(TRIM('Raw Data'!E89))=0),_xlfn.REGEXEXTRACT(CELL("address",'Raw Data'!E89),"\$([A-Z]+)\$[0-9]+"),""),"")</f>
        <v/>
      </c>
      <c r="F89" s="6"/>
      <c r="G89" s="6"/>
      <c r="H89" s="6" t="str" cm="1">
        <f t="array" aca="1" ref="H89" ca="1">IFERROR(IF(OR('Raw Data'!H89="",LEN(TRIM('Raw Data'!H89))=0),_xlfn.REGEXEXTRACT(CELL("address",'Raw Data'!H89),"\$([A-Z]+)\$[0-9]+"),""),"")</f>
        <v/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2:22" x14ac:dyDescent="0.25">
      <c r="B90" s="6" t="str" cm="1">
        <f t="array" aca="1" ref="B90" ca="1">IFERROR(IF(OR('Raw Data'!B90="",LEN(TRIM('Raw Data'!B90))=0),_xlfn.REGEXEXTRACT(CELL("address",'Raw Data'!B90),"\$([A-Z]+)\$[0-9]+"),""),"")</f>
        <v/>
      </c>
      <c r="C90" s="6" t="str" cm="1">
        <f t="array" aca="1" ref="C90" ca="1">IFERROR(IF(OR('Raw Data'!C90="",LEN(TRIM('Raw Data'!C90))=0),_xlfn.REGEXEXTRACT(CELL("address",'Raw Data'!C90),"\$([A-Z]+)\$[0-9]+"),""),"")</f>
        <v/>
      </c>
      <c r="D90" s="6"/>
      <c r="E90" s="6" t="str" cm="1">
        <f t="array" aca="1" ref="E90" ca="1">IFERROR(IF(OR('Raw Data'!E90="",LEN(TRIM('Raw Data'!E90))=0),_xlfn.REGEXEXTRACT(CELL("address",'Raw Data'!E90),"\$([A-Z]+)\$[0-9]+"),""),"")</f>
        <v/>
      </c>
      <c r="F90" s="6"/>
      <c r="G90" s="6"/>
      <c r="H90" s="6" t="str" cm="1">
        <f t="array" aca="1" ref="H90" ca="1">IFERROR(IF(OR('Raw Data'!H90="",LEN(TRIM('Raw Data'!H90))=0),_xlfn.REGEXEXTRACT(CELL("address",'Raw Data'!H90),"\$([A-Z]+)\$[0-9]+"),""),"")</f>
        <v/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2:22" x14ac:dyDescent="0.25">
      <c r="B91" s="6" t="str" cm="1">
        <f t="array" aca="1" ref="B91" ca="1">IFERROR(IF(OR('Raw Data'!B91="",LEN(TRIM('Raw Data'!B91))=0),_xlfn.REGEXEXTRACT(CELL("address",'Raw Data'!B91),"\$([A-Z]+)\$[0-9]+"),""),"")</f>
        <v/>
      </c>
      <c r="C91" s="6" t="str" cm="1">
        <f t="array" aca="1" ref="C91" ca="1">IFERROR(IF(OR('Raw Data'!C91="",LEN(TRIM('Raw Data'!C91))=0),_xlfn.REGEXEXTRACT(CELL("address",'Raw Data'!C91),"\$([A-Z]+)\$[0-9]+"),""),"")</f>
        <v/>
      </c>
      <c r="D91" s="6"/>
      <c r="E91" s="6" t="str" cm="1">
        <f t="array" aca="1" ref="E91" ca="1">IFERROR(IF(OR('Raw Data'!E91="",LEN(TRIM('Raw Data'!E91))=0),_xlfn.REGEXEXTRACT(CELL("address",'Raw Data'!E91),"\$([A-Z]+)\$[0-9]+"),""),"")</f>
        <v/>
      </c>
      <c r="F91" s="6"/>
      <c r="G91" s="6"/>
      <c r="H91" s="6" t="str" cm="1">
        <f t="array" aca="1" ref="H91" ca="1">IFERROR(IF(OR('Raw Data'!H91="",LEN(TRIM('Raw Data'!H91))=0),_xlfn.REGEXEXTRACT(CELL("address",'Raw Data'!H91),"\$([A-Z]+)\$[0-9]+"),""),"")</f>
        <v/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2:22" x14ac:dyDescent="0.25">
      <c r="B92" s="6" t="str" cm="1">
        <f t="array" aca="1" ref="B92" ca="1">IFERROR(IF(OR('Raw Data'!B92="",LEN(TRIM('Raw Data'!B92))=0),_xlfn.REGEXEXTRACT(CELL("address",'Raw Data'!B92),"\$([A-Z]+)\$[0-9]+"),""),"")</f>
        <v/>
      </c>
      <c r="C92" s="6" t="str" cm="1">
        <f t="array" aca="1" ref="C92" ca="1">IFERROR(IF(OR('Raw Data'!C92="",LEN(TRIM('Raw Data'!C92))=0),_xlfn.REGEXEXTRACT(CELL("address",'Raw Data'!C92),"\$([A-Z]+)\$[0-9]+"),""),"")</f>
        <v/>
      </c>
      <c r="D92" s="6"/>
      <c r="E92" s="6" t="str" cm="1">
        <f t="array" aca="1" ref="E92" ca="1">IFERROR(IF(OR('Raw Data'!E92="",LEN(TRIM('Raw Data'!E92))=0),_xlfn.REGEXEXTRACT(CELL("address",'Raw Data'!E92),"\$([A-Z]+)\$[0-9]+"),""),"")</f>
        <v/>
      </c>
      <c r="F92" s="6"/>
      <c r="G92" s="6"/>
      <c r="H92" s="6" t="str" cm="1">
        <f t="array" aca="1" ref="H92" ca="1">IFERROR(IF(OR('Raw Data'!H92="",LEN(TRIM('Raw Data'!H92))=0),_xlfn.REGEXEXTRACT(CELL("address",'Raw Data'!H92),"\$([A-Z]+)\$[0-9]+"),""),"")</f>
        <v/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2:22" x14ac:dyDescent="0.25">
      <c r="B93" s="6" t="str" cm="1">
        <f t="array" aca="1" ref="B93" ca="1">IFERROR(IF(OR('Raw Data'!B93="",LEN(TRIM('Raw Data'!B93))=0),_xlfn.REGEXEXTRACT(CELL("address",'Raw Data'!B93),"\$([A-Z]+)\$[0-9]+"),""),"")</f>
        <v/>
      </c>
      <c r="C93" s="6" t="str" cm="1">
        <f t="array" aca="1" ref="C93" ca="1">IFERROR(IF(OR('Raw Data'!C93="",LEN(TRIM('Raw Data'!C93))=0),_xlfn.REGEXEXTRACT(CELL("address",'Raw Data'!C93),"\$([A-Z]+)\$[0-9]+"),""),"")</f>
        <v/>
      </c>
      <c r="D93" s="6"/>
      <c r="E93" s="6" t="str" cm="1">
        <f t="array" aca="1" ref="E93" ca="1">IFERROR(IF(OR('Raw Data'!E93="",LEN(TRIM('Raw Data'!E93))=0),_xlfn.REGEXEXTRACT(CELL("address",'Raw Data'!E93),"\$([A-Z]+)\$[0-9]+"),""),"")</f>
        <v/>
      </c>
      <c r="F93" s="6"/>
      <c r="G93" s="6"/>
      <c r="H93" s="6" t="str" cm="1">
        <f t="array" aca="1" ref="H93" ca="1">IFERROR(IF(OR('Raw Data'!H93="",LEN(TRIM('Raw Data'!H93))=0),_xlfn.REGEXEXTRACT(CELL("address",'Raw Data'!H93),"\$([A-Z]+)\$[0-9]+"),""),"")</f>
        <v/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2:22" x14ac:dyDescent="0.25">
      <c r="B94" s="6" t="str" cm="1">
        <f t="array" aca="1" ref="B94" ca="1">IFERROR(IF(OR('Raw Data'!B94="",LEN(TRIM('Raw Data'!B94))=0),_xlfn.REGEXEXTRACT(CELL("address",'Raw Data'!B94),"\$([A-Z]+)\$[0-9]+"),""),"")</f>
        <v/>
      </c>
      <c r="C94" s="6" t="str" cm="1">
        <f t="array" aca="1" ref="C94" ca="1">IFERROR(IF(OR('Raw Data'!C94="",LEN(TRIM('Raw Data'!C94))=0),_xlfn.REGEXEXTRACT(CELL("address",'Raw Data'!C94),"\$([A-Z]+)\$[0-9]+"),""),"")</f>
        <v/>
      </c>
      <c r="D94" s="6"/>
      <c r="E94" s="6" t="str" cm="1">
        <f t="array" aca="1" ref="E94" ca="1">IFERROR(IF(OR('Raw Data'!E94="",LEN(TRIM('Raw Data'!E94))=0),_xlfn.REGEXEXTRACT(CELL("address",'Raw Data'!E94),"\$([A-Z]+)\$[0-9]+"),""),"")</f>
        <v/>
      </c>
      <c r="F94" s="6"/>
      <c r="G94" s="6"/>
      <c r="H94" s="6" t="str" cm="1">
        <f t="array" aca="1" ref="H94" ca="1">IFERROR(IF(OR('Raw Data'!H94="",LEN(TRIM('Raw Data'!H94))=0),_xlfn.REGEXEXTRACT(CELL("address",'Raw Data'!H94),"\$([A-Z]+)\$[0-9]+"),""),"")</f>
        <v/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2:22" x14ac:dyDescent="0.25">
      <c r="B95" s="6" t="str" cm="1">
        <f t="array" aca="1" ref="B95" ca="1">IFERROR(IF(OR('Raw Data'!B95="",LEN(TRIM('Raw Data'!B95))=0),_xlfn.REGEXEXTRACT(CELL("address",'Raw Data'!B95),"\$([A-Z]+)\$[0-9]+"),""),"")</f>
        <v/>
      </c>
      <c r="C95" s="6" t="str" cm="1">
        <f t="array" aca="1" ref="C95" ca="1">IFERROR(IF(OR('Raw Data'!C95="",LEN(TRIM('Raw Data'!C95))=0),_xlfn.REGEXEXTRACT(CELL("address",'Raw Data'!C95),"\$([A-Z]+)\$[0-9]+"),""),"")</f>
        <v/>
      </c>
      <c r="D95" s="6"/>
      <c r="E95" s="6" t="str" cm="1">
        <f t="array" aca="1" ref="E95" ca="1">IFERROR(IF(OR('Raw Data'!E95="",LEN(TRIM('Raw Data'!E95))=0),_xlfn.REGEXEXTRACT(CELL("address",'Raw Data'!E95),"\$([A-Z]+)\$[0-9]+"),""),"")</f>
        <v/>
      </c>
      <c r="F95" s="6"/>
      <c r="G95" s="6"/>
      <c r="H95" s="6" t="str" cm="1">
        <f t="array" aca="1" ref="H95" ca="1">IFERROR(IF(OR('Raw Data'!H95="",LEN(TRIM('Raw Data'!H95))=0),_xlfn.REGEXEXTRACT(CELL("address",'Raw Data'!H95),"\$([A-Z]+)\$[0-9]+"),""),"")</f>
        <v/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2:22" x14ac:dyDescent="0.25">
      <c r="B96" s="6" t="str" cm="1">
        <f t="array" aca="1" ref="B96" ca="1">IFERROR(IF(OR('Raw Data'!B96="",LEN(TRIM('Raw Data'!B96))=0),_xlfn.REGEXEXTRACT(CELL("address",'Raw Data'!B96),"\$([A-Z]+)\$[0-9]+"),""),"")</f>
        <v/>
      </c>
      <c r="C96" s="6" t="str" cm="1">
        <f t="array" aca="1" ref="C96" ca="1">IFERROR(IF(OR('Raw Data'!C96="",LEN(TRIM('Raw Data'!C96))=0),_xlfn.REGEXEXTRACT(CELL("address",'Raw Data'!C96),"\$([A-Z]+)\$[0-9]+"),""),"")</f>
        <v/>
      </c>
      <c r="D96" s="6"/>
      <c r="E96" s="6" t="str" cm="1">
        <f t="array" aca="1" ref="E96" ca="1">IFERROR(IF(OR('Raw Data'!E96="",LEN(TRIM('Raw Data'!E96))=0),_xlfn.REGEXEXTRACT(CELL("address",'Raw Data'!E96),"\$([A-Z]+)\$[0-9]+"),""),"")</f>
        <v/>
      </c>
      <c r="F96" s="6"/>
      <c r="G96" s="6"/>
      <c r="H96" s="6" t="str" cm="1">
        <f t="array" aca="1" ref="H96" ca="1">IFERROR(IF(OR('Raw Data'!H96="",LEN(TRIM('Raw Data'!H96))=0),_xlfn.REGEXEXTRACT(CELL("address",'Raw Data'!H96),"\$([A-Z]+)\$[0-9]+"),""),"")</f>
        <v/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2:22" x14ac:dyDescent="0.25">
      <c r="B97" s="6" t="str" cm="1">
        <f t="array" aca="1" ref="B97" ca="1">IFERROR(IF(OR('Raw Data'!B97="",LEN(TRIM('Raw Data'!B97))=0),_xlfn.REGEXEXTRACT(CELL("address",'Raw Data'!B97),"\$([A-Z]+)\$[0-9]+"),""),"")</f>
        <v/>
      </c>
      <c r="C97" s="6" t="str" cm="1">
        <f t="array" aca="1" ref="C97" ca="1">IFERROR(IF(OR('Raw Data'!C97="",LEN(TRIM('Raw Data'!C97))=0),_xlfn.REGEXEXTRACT(CELL("address",'Raw Data'!C97),"\$([A-Z]+)\$[0-9]+"),""),"")</f>
        <v/>
      </c>
      <c r="D97" s="6"/>
      <c r="E97" s="6" t="str" cm="1">
        <f t="array" aca="1" ref="E97" ca="1">IFERROR(IF(OR('Raw Data'!E97="",LEN(TRIM('Raw Data'!E97))=0),_xlfn.REGEXEXTRACT(CELL("address",'Raw Data'!E97),"\$([A-Z]+)\$[0-9]+"),""),"")</f>
        <v/>
      </c>
      <c r="F97" s="6"/>
      <c r="G97" s="6"/>
      <c r="H97" s="6" t="str" cm="1">
        <f t="array" aca="1" ref="H97" ca="1">IFERROR(IF(OR('Raw Data'!H97="",LEN(TRIM('Raw Data'!H97))=0),_xlfn.REGEXEXTRACT(CELL("address",'Raw Data'!H97),"\$([A-Z]+)\$[0-9]+"),""),"")</f>
        <v/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2:22" x14ac:dyDescent="0.25">
      <c r="B98" s="6" t="str" cm="1">
        <f t="array" aca="1" ref="B98" ca="1">IFERROR(IF(OR('Raw Data'!B98="",LEN(TRIM('Raw Data'!B98))=0),_xlfn.REGEXEXTRACT(CELL("address",'Raw Data'!B98),"\$([A-Z]+)\$[0-9]+"),""),"")</f>
        <v/>
      </c>
      <c r="C98" s="6" t="str" cm="1">
        <f t="array" aca="1" ref="C98" ca="1">IFERROR(IF(OR('Raw Data'!C98="",LEN(TRIM('Raw Data'!C98))=0),_xlfn.REGEXEXTRACT(CELL("address",'Raw Data'!C98),"\$([A-Z]+)\$[0-9]+"),""),"")</f>
        <v/>
      </c>
      <c r="D98" s="6"/>
      <c r="E98" s="6" t="str" cm="1">
        <f t="array" aca="1" ref="E98" ca="1">IFERROR(IF(OR('Raw Data'!E98="",LEN(TRIM('Raw Data'!E98))=0),_xlfn.REGEXEXTRACT(CELL("address",'Raw Data'!E98),"\$([A-Z]+)\$[0-9]+"),""),"")</f>
        <v/>
      </c>
      <c r="F98" s="6"/>
      <c r="G98" s="6"/>
      <c r="H98" s="6" t="str" cm="1">
        <f t="array" aca="1" ref="H98" ca="1">IFERROR(IF(OR('Raw Data'!H98="",LEN(TRIM('Raw Data'!H98))=0),_xlfn.REGEXEXTRACT(CELL("address",'Raw Data'!H98),"\$([A-Z]+)\$[0-9]+"),""),"")</f>
        <v/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2:22" x14ac:dyDescent="0.25">
      <c r="B99" s="6" t="str" cm="1">
        <f t="array" aca="1" ref="B99" ca="1">IFERROR(IF(OR('Raw Data'!B99="",LEN(TRIM('Raw Data'!B99))=0),_xlfn.REGEXEXTRACT(CELL("address",'Raw Data'!B99),"\$([A-Z]+)\$[0-9]+"),""),"")</f>
        <v/>
      </c>
      <c r="C99" s="6" t="str" cm="1">
        <f t="array" aca="1" ref="C99" ca="1">IFERROR(IF(OR('Raw Data'!C99="",LEN(TRIM('Raw Data'!C99))=0),_xlfn.REGEXEXTRACT(CELL("address",'Raw Data'!C99),"\$([A-Z]+)\$[0-9]+"),""),"")</f>
        <v/>
      </c>
      <c r="D99" s="6"/>
      <c r="E99" s="6" t="str" cm="1">
        <f t="array" aca="1" ref="E99" ca="1">IFERROR(IF(OR('Raw Data'!E99="",LEN(TRIM('Raw Data'!E99))=0),_xlfn.REGEXEXTRACT(CELL("address",'Raw Data'!E99),"\$([A-Z]+)\$[0-9]+"),""),"")</f>
        <v/>
      </c>
      <c r="F99" s="6"/>
      <c r="G99" s="6"/>
      <c r="H99" s="6" t="str" cm="1">
        <f t="array" aca="1" ref="H99" ca="1">IFERROR(IF(OR('Raw Data'!H99="",LEN(TRIM('Raw Data'!H99))=0),_xlfn.REGEXEXTRACT(CELL("address",'Raw Data'!H99),"\$([A-Z]+)\$[0-9]+"),""),"")</f>
        <v/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2:22" x14ac:dyDescent="0.25">
      <c r="B100" s="6" t="str" cm="1">
        <f t="array" aca="1" ref="B100" ca="1">IFERROR(IF(OR('Raw Data'!B100="",LEN(TRIM('Raw Data'!B100))=0),_xlfn.REGEXEXTRACT(CELL("address",'Raw Data'!B100),"\$([A-Z]+)\$[0-9]+"),""),"")</f>
        <v/>
      </c>
      <c r="C100" s="6" t="str" cm="1">
        <f t="array" aca="1" ref="C100" ca="1">IFERROR(IF(OR('Raw Data'!C100="",LEN(TRIM('Raw Data'!C100))=0),_xlfn.REGEXEXTRACT(CELL("address",'Raw Data'!C100),"\$([A-Z]+)\$[0-9]+"),""),"")</f>
        <v/>
      </c>
      <c r="D100" s="6"/>
      <c r="E100" s="6" t="str" cm="1">
        <f t="array" aca="1" ref="E100" ca="1">IFERROR(IF(OR('Raw Data'!E100="",LEN(TRIM('Raw Data'!E100))=0),_xlfn.REGEXEXTRACT(CELL("address",'Raw Data'!E100),"\$([A-Z]+)\$[0-9]+"),""),"")</f>
        <v/>
      </c>
      <c r="F100" s="6"/>
      <c r="G100" s="6"/>
      <c r="H100" s="6" t="str" cm="1">
        <f t="array" aca="1" ref="H100" ca="1">IFERROR(IF(OR('Raw Data'!H100="",LEN(TRIM('Raw Data'!H100))=0),_xlfn.REGEXEXTRACT(CELL("address",'Raw Data'!H100),"\$([A-Z]+)\$[0-9]+"),""),"")</f>
        <v/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2:22" x14ac:dyDescent="0.25">
      <c r="B101" s="6" t="str" cm="1">
        <f t="array" aca="1" ref="B101" ca="1">IFERROR(IF(OR('Raw Data'!B101="",LEN(TRIM('Raw Data'!B101))=0),_xlfn.REGEXEXTRACT(CELL("address",'Raw Data'!B101),"\$([A-Z]+)\$[0-9]+"),""),"")</f>
        <v/>
      </c>
      <c r="C101" s="6" t="str" cm="1">
        <f t="array" aca="1" ref="C101" ca="1">IFERROR(IF(OR('Raw Data'!C101="",LEN(TRIM('Raw Data'!C101))=0),_xlfn.REGEXEXTRACT(CELL("address",'Raw Data'!C101),"\$([A-Z]+)\$[0-9]+"),""),"")</f>
        <v/>
      </c>
      <c r="D101" s="6"/>
      <c r="E101" s="6" t="str" cm="1">
        <f t="array" aca="1" ref="E101" ca="1">IFERROR(IF(OR('Raw Data'!E101="",LEN(TRIM('Raw Data'!E101))=0),_xlfn.REGEXEXTRACT(CELL("address",'Raw Data'!E101),"\$([A-Z]+)\$[0-9]+"),""),"")</f>
        <v/>
      </c>
      <c r="F101" s="6"/>
      <c r="G101" s="6"/>
      <c r="H101" s="6" t="str" cm="1">
        <f t="array" aca="1" ref="H101" ca="1">IFERROR(IF(OR('Raw Data'!H101="",LEN(TRIM('Raw Data'!H101))=0),_xlfn.REGEXEXTRACT(CELL("address",'Raw Data'!H101),"\$([A-Z]+)\$[0-9]+"),""),"")</f>
        <v/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2:22" x14ac:dyDescent="0.25">
      <c r="B102" s="6" t="str" cm="1">
        <f t="array" aca="1" ref="B102" ca="1">IFERROR(IF(OR('Raw Data'!B102="",LEN(TRIM('Raw Data'!B102))=0),_xlfn.REGEXEXTRACT(CELL("address",'Raw Data'!B102),"\$([A-Z]+)\$[0-9]+"),""),"")</f>
        <v/>
      </c>
      <c r="C102" s="6" t="str" cm="1">
        <f t="array" aca="1" ref="C102" ca="1">IFERROR(IF(OR('Raw Data'!C102="",LEN(TRIM('Raw Data'!C102))=0),_xlfn.REGEXEXTRACT(CELL("address",'Raw Data'!C102),"\$([A-Z]+)\$[0-9]+"),""),"")</f>
        <v/>
      </c>
      <c r="D102" s="6"/>
      <c r="E102" s="6" t="str" cm="1">
        <f t="array" aca="1" ref="E102" ca="1">IFERROR(IF(OR('Raw Data'!E102="",LEN(TRIM('Raw Data'!E102))=0),_xlfn.REGEXEXTRACT(CELL("address",'Raw Data'!E102),"\$([A-Z]+)\$[0-9]+"),""),"")</f>
        <v/>
      </c>
      <c r="F102" s="6"/>
      <c r="G102" s="6"/>
      <c r="H102" s="6" t="str" cm="1">
        <f t="array" aca="1" ref="H102" ca="1">IFERROR(IF(OR('Raw Data'!H102="",LEN(TRIM('Raw Data'!H102))=0),_xlfn.REGEXEXTRACT(CELL("address",'Raw Data'!H102),"\$([A-Z]+)\$[0-9]+"),""),"")</f>
        <v/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2:22" x14ac:dyDescent="0.25">
      <c r="B103" s="6" t="str" cm="1">
        <f t="array" aca="1" ref="B103" ca="1">IFERROR(IF(OR('Raw Data'!B103="",LEN(TRIM('Raw Data'!B103))=0),_xlfn.REGEXEXTRACT(CELL("address",'Raw Data'!B103),"\$([A-Z]+)\$[0-9]+"),""),"")</f>
        <v/>
      </c>
      <c r="C103" s="6" t="str" cm="1">
        <f t="array" aca="1" ref="C103" ca="1">IFERROR(IF(OR('Raw Data'!C103="",LEN(TRIM('Raw Data'!C103))=0),_xlfn.REGEXEXTRACT(CELL("address",'Raw Data'!C103),"\$([A-Z]+)\$[0-9]+"),""),"")</f>
        <v/>
      </c>
      <c r="D103" s="6"/>
      <c r="E103" s="6" t="str" cm="1">
        <f t="array" aca="1" ref="E103" ca="1">IFERROR(IF(OR('Raw Data'!E103="",LEN(TRIM('Raw Data'!E103))=0),_xlfn.REGEXEXTRACT(CELL("address",'Raw Data'!E103),"\$([A-Z]+)\$[0-9]+"),""),"")</f>
        <v/>
      </c>
      <c r="F103" s="6"/>
      <c r="G103" s="6"/>
      <c r="H103" s="6" t="str" cm="1">
        <f t="array" aca="1" ref="H103" ca="1">IFERROR(IF(OR('Raw Data'!H103="",LEN(TRIM('Raw Data'!H103))=0),_xlfn.REGEXEXTRACT(CELL("address",'Raw Data'!H103),"\$([A-Z]+)\$[0-9]+"),""),"")</f>
        <v/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2:22" x14ac:dyDescent="0.25">
      <c r="B104" s="6" t="str" cm="1">
        <f t="array" aca="1" ref="B104" ca="1">IFERROR(IF(OR('Raw Data'!B104="",LEN(TRIM('Raw Data'!B104))=0),_xlfn.REGEXEXTRACT(CELL("address",'Raw Data'!B104),"\$([A-Z]+)\$[0-9]+"),""),"")</f>
        <v/>
      </c>
      <c r="C104" s="6" t="str" cm="1">
        <f t="array" aca="1" ref="C104" ca="1">IFERROR(IF(OR('Raw Data'!C104="",LEN(TRIM('Raw Data'!C104))=0),_xlfn.REGEXEXTRACT(CELL("address",'Raw Data'!C104),"\$([A-Z]+)\$[0-9]+"),""),"")</f>
        <v/>
      </c>
      <c r="D104" s="6"/>
      <c r="E104" s="6" t="str" cm="1">
        <f t="array" aca="1" ref="E104" ca="1">IFERROR(IF(OR('Raw Data'!E104="",LEN(TRIM('Raw Data'!E104))=0),_xlfn.REGEXEXTRACT(CELL("address",'Raw Data'!E104),"\$([A-Z]+)\$[0-9]+"),""),"")</f>
        <v/>
      </c>
      <c r="F104" s="6"/>
      <c r="G104" s="6"/>
      <c r="H104" s="6" t="str" cm="1">
        <f t="array" aca="1" ref="H104" ca="1">IFERROR(IF(OR('Raw Data'!H104="",LEN(TRIM('Raw Data'!H104))=0),_xlfn.REGEXEXTRACT(CELL("address",'Raw Data'!H104),"\$([A-Z]+)\$[0-9]+"),""),"")</f>
        <v/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2:22" x14ac:dyDescent="0.25">
      <c r="B105" s="6" t="str" cm="1">
        <f t="array" aca="1" ref="B105" ca="1">IFERROR(IF(OR('Raw Data'!B105="",LEN(TRIM('Raw Data'!B105))=0),_xlfn.REGEXEXTRACT(CELL("address",'Raw Data'!B105),"\$([A-Z]+)\$[0-9]+"),""),"")</f>
        <v/>
      </c>
      <c r="C105" s="6" t="str" cm="1">
        <f t="array" aca="1" ref="C105" ca="1">IFERROR(IF(OR('Raw Data'!C105="",LEN(TRIM('Raw Data'!C105))=0),_xlfn.REGEXEXTRACT(CELL("address",'Raw Data'!C105),"\$([A-Z]+)\$[0-9]+"),""),"")</f>
        <v/>
      </c>
      <c r="D105" s="6"/>
      <c r="E105" s="6" t="str" cm="1">
        <f t="array" aca="1" ref="E105" ca="1">IFERROR(IF(OR('Raw Data'!E105="",LEN(TRIM('Raw Data'!E105))=0),_xlfn.REGEXEXTRACT(CELL("address",'Raw Data'!E105),"\$([A-Z]+)\$[0-9]+"),""),"")</f>
        <v/>
      </c>
      <c r="F105" s="6"/>
      <c r="G105" s="6"/>
      <c r="H105" s="6" t="str" cm="1">
        <f t="array" aca="1" ref="H105" ca="1">IFERROR(IF(OR('Raw Data'!H105="",LEN(TRIM('Raw Data'!H105))=0),_xlfn.REGEXEXTRACT(CELL("address",'Raw Data'!H105),"\$([A-Z]+)\$[0-9]+"),""),"")</f>
        <v/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2:22" x14ac:dyDescent="0.25">
      <c r="B106" s="6" t="str" cm="1">
        <f t="array" aca="1" ref="B106" ca="1">IFERROR(IF(OR('Raw Data'!B106="",LEN(TRIM('Raw Data'!B106))=0),_xlfn.REGEXEXTRACT(CELL("address",'Raw Data'!B106),"\$([A-Z]+)\$[0-9]+"),""),"")</f>
        <v/>
      </c>
      <c r="C106" s="6" t="str" cm="1">
        <f t="array" aca="1" ref="C106" ca="1">IFERROR(IF(OR('Raw Data'!C106="",LEN(TRIM('Raw Data'!C106))=0),_xlfn.REGEXEXTRACT(CELL("address",'Raw Data'!C106),"\$([A-Z]+)\$[0-9]+"),""),"")</f>
        <v/>
      </c>
      <c r="D106" s="6"/>
      <c r="E106" s="6" t="str" cm="1">
        <f t="array" aca="1" ref="E106" ca="1">IFERROR(IF(OR('Raw Data'!E106="",LEN(TRIM('Raw Data'!E106))=0),_xlfn.REGEXEXTRACT(CELL("address",'Raw Data'!E106),"\$([A-Z]+)\$[0-9]+"),""),"")</f>
        <v/>
      </c>
      <c r="F106" s="6"/>
      <c r="G106" s="6"/>
      <c r="H106" s="6" t="str" cm="1">
        <f t="array" aca="1" ref="H106" ca="1">IFERROR(IF(OR('Raw Data'!H106="",LEN(TRIM('Raw Data'!H106))=0),_xlfn.REGEXEXTRACT(CELL("address",'Raw Data'!H106),"\$([A-Z]+)\$[0-9]+"),""),"")</f>
        <v/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2:22" x14ac:dyDescent="0.25">
      <c r="B107" s="6" t="str" cm="1">
        <f t="array" aca="1" ref="B107" ca="1">IFERROR(IF(OR('Raw Data'!B107="",LEN(TRIM('Raw Data'!B107))=0),_xlfn.REGEXEXTRACT(CELL("address",'Raw Data'!B107),"\$([A-Z]+)\$[0-9]+"),""),"")</f>
        <v/>
      </c>
      <c r="C107" s="6" t="str" cm="1">
        <f t="array" aca="1" ref="C107" ca="1">IFERROR(IF(OR('Raw Data'!C107="",LEN(TRIM('Raw Data'!C107))=0),_xlfn.REGEXEXTRACT(CELL("address",'Raw Data'!C107),"\$([A-Z]+)\$[0-9]+"),""),"")</f>
        <v/>
      </c>
      <c r="D107" s="6"/>
      <c r="E107" s="6" t="str" cm="1">
        <f t="array" aca="1" ref="E107" ca="1">IFERROR(IF(OR('Raw Data'!E107="",LEN(TRIM('Raw Data'!E107))=0),_xlfn.REGEXEXTRACT(CELL("address",'Raw Data'!E107),"\$([A-Z]+)\$[0-9]+"),""),"")</f>
        <v/>
      </c>
      <c r="F107" s="6"/>
      <c r="G107" s="6"/>
      <c r="H107" s="6" t="str" cm="1">
        <f t="array" aca="1" ref="H107" ca="1">IFERROR(IF(OR('Raw Data'!H107="",LEN(TRIM('Raw Data'!H107))=0),_xlfn.REGEXEXTRACT(CELL("address",'Raw Data'!H107),"\$([A-Z]+)\$[0-9]+"),""),"")</f>
        <v/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2:22" x14ac:dyDescent="0.25">
      <c r="B108" s="6" t="str" cm="1">
        <f t="array" aca="1" ref="B108" ca="1">IFERROR(IF(OR('Raw Data'!B108="",LEN(TRIM('Raw Data'!B108))=0),_xlfn.REGEXEXTRACT(CELL("address",'Raw Data'!B108),"\$([A-Z]+)\$[0-9]+"),""),"")</f>
        <v/>
      </c>
      <c r="C108" s="6" t="str" cm="1">
        <f t="array" aca="1" ref="C108" ca="1">IFERROR(IF(OR('Raw Data'!C108="",LEN(TRIM('Raw Data'!C108))=0),_xlfn.REGEXEXTRACT(CELL("address",'Raw Data'!C108),"\$([A-Z]+)\$[0-9]+"),""),"")</f>
        <v/>
      </c>
      <c r="D108" s="6"/>
      <c r="E108" s="6" t="str" cm="1">
        <f t="array" aca="1" ref="E108" ca="1">IFERROR(IF(OR('Raw Data'!E108="",LEN(TRIM('Raw Data'!E108))=0),_xlfn.REGEXEXTRACT(CELL("address",'Raw Data'!E108),"\$([A-Z]+)\$[0-9]+"),""),"")</f>
        <v/>
      </c>
      <c r="F108" s="6"/>
      <c r="G108" s="6"/>
      <c r="H108" s="6" t="str" cm="1">
        <f t="array" aca="1" ref="H108" ca="1">IFERROR(IF(OR('Raw Data'!H108="",LEN(TRIM('Raw Data'!H108))=0),_xlfn.REGEXEXTRACT(CELL("address",'Raw Data'!H108),"\$([A-Z]+)\$[0-9]+"),""),"")</f>
        <v/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2:22" x14ac:dyDescent="0.25">
      <c r="B109" s="6" t="str" cm="1">
        <f t="array" aca="1" ref="B109" ca="1">IFERROR(IF(OR('Raw Data'!B109="",LEN(TRIM('Raw Data'!B109))=0),_xlfn.REGEXEXTRACT(CELL("address",'Raw Data'!B109),"\$([A-Z]+)\$[0-9]+"),""),"")</f>
        <v/>
      </c>
      <c r="C109" s="6" t="str" cm="1">
        <f t="array" aca="1" ref="C109" ca="1">IFERROR(IF(OR('Raw Data'!C109="",LEN(TRIM('Raw Data'!C109))=0),_xlfn.REGEXEXTRACT(CELL("address",'Raw Data'!C109),"\$([A-Z]+)\$[0-9]+"),""),"")</f>
        <v/>
      </c>
      <c r="D109" s="6"/>
      <c r="E109" s="6" t="str" cm="1">
        <f t="array" aca="1" ref="E109" ca="1">IFERROR(IF(OR('Raw Data'!E109="",LEN(TRIM('Raw Data'!E109))=0),_xlfn.REGEXEXTRACT(CELL("address",'Raw Data'!E109),"\$([A-Z]+)\$[0-9]+"),""),"")</f>
        <v/>
      </c>
      <c r="F109" s="6"/>
      <c r="G109" s="6"/>
      <c r="H109" s="6" t="str" cm="1">
        <f t="array" aca="1" ref="H109" ca="1">IFERROR(IF(OR('Raw Data'!H109="",LEN(TRIM('Raw Data'!H109))=0),_xlfn.REGEXEXTRACT(CELL("address",'Raw Data'!H109),"\$([A-Z]+)\$[0-9]+"),""),"")</f>
        <v/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2:22" x14ac:dyDescent="0.25">
      <c r="B110" s="6" t="str" cm="1">
        <f t="array" aca="1" ref="B110" ca="1">IFERROR(IF(OR('Raw Data'!B110="",LEN(TRIM('Raw Data'!B110))=0),_xlfn.REGEXEXTRACT(CELL("address",'Raw Data'!B110),"\$([A-Z]+)\$[0-9]+"),""),"")</f>
        <v/>
      </c>
      <c r="C110" s="6" t="str" cm="1">
        <f t="array" aca="1" ref="C110" ca="1">IFERROR(IF(OR('Raw Data'!C110="",LEN(TRIM('Raw Data'!C110))=0),_xlfn.REGEXEXTRACT(CELL("address",'Raw Data'!C110),"\$([A-Z]+)\$[0-9]+"),""),"")</f>
        <v/>
      </c>
      <c r="D110" s="6"/>
      <c r="E110" s="6" t="str" cm="1">
        <f t="array" aca="1" ref="E110" ca="1">IFERROR(IF(OR('Raw Data'!E110="",LEN(TRIM('Raw Data'!E110))=0),_xlfn.REGEXEXTRACT(CELL("address",'Raw Data'!E110),"\$([A-Z]+)\$[0-9]+"),""),"")</f>
        <v/>
      </c>
      <c r="F110" s="6"/>
      <c r="G110" s="6"/>
      <c r="H110" s="6" t="str" cm="1">
        <f t="array" aca="1" ref="H110" ca="1">IFERROR(IF(OR('Raw Data'!H110="",LEN(TRIM('Raw Data'!H110))=0),_xlfn.REGEXEXTRACT(CELL("address",'Raw Data'!H110),"\$([A-Z]+)\$[0-9]+"),""),"")</f>
        <v/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2:22" x14ac:dyDescent="0.25">
      <c r="B111" s="6" t="str" cm="1">
        <f t="array" aca="1" ref="B111" ca="1">IFERROR(IF(OR('Raw Data'!B111="",LEN(TRIM('Raw Data'!B111))=0),_xlfn.REGEXEXTRACT(CELL("address",'Raw Data'!B111),"\$([A-Z]+)\$[0-9]+"),""),"")</f>
        <v/>
      </c>
      <c r="C111" s="6" t="str" cm="1">
        <f t="array" aca="1" ref="C111" ca="1">IFERROR(IF(OR('Raw Data'!C111="",LEN(TRIM('Raw Data'!C111))=0),_xlfn.REGEXEXTRACT(CELL("address",'Raw Data'!C111),"\$([A-Z]+)\$[0-9]+"),""),"")</f>
        <v/>
      </c>
      <c r="D111" s="6"/>
      <c r="E111" s="6" t="str" cm="1">
        <f t="array" aca="1" ref="E111" ca="1">IFERROR(IF(OR('Raw Data'!E111="",LEN(TRIM('Raw Data'!E111))=0),_xlfn.REGEXEXTRACT(CELL("address",'Raw Data'!E111),"\$([A-Z]+)\$[0-9]+"),""),"")</f>
        <v/>
      </c>
      <c r="F111" s="6"/>
      <c r="G111" s="6"/>
      <c r="H111" s="6" t="str" cm="1">
        <f t="array" aca="1" ref="H111" ca="1">IFERROR(IF(OR('Raw Data'!H111="",LEN(TRIM('Raw Data'!H111))=0),_xlfn.REGEXEXTRACT(CELL("address",'Raw Data'!H111),"\$([A-Z]+)\$[0-9]+"),""),"")</f>
        <v/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2:22" x14ac:dyDescent="0.25">
      <c r="B112" s="6" t="str" cm="1">
        <f t="array" aca="1" ref="B112" ca="1">IFERROR(IF(OR('Raw Data'!B112="",LEN(TRIM('Raw Data'!B112))=0),_xlfn.REGEXEXTRACT(CELL("address",'Raw Data'!B112),"\$([A-Z]+)\$[0-9]+"),""),"")</f>
        <v/>
      </c>
      <c r="C112" s="6" t="str" cm="1">
        <f t="array" aca="1" ref="C112" ca="1">IFERROR(IF(OR('Raw Data'!C112="",LEN(TRIM('Raw Data'!C112))=0),_xlfn.REGEXEXTRACT(CELL("address",'Raw Data'!C112),"\$([A-Z]+)\$[0-9]+"),""),"")</f>
        <v/>
      </c>
      <c r="D112" s="6"/>
      <c r="E112" s="6" t="str" cm="1">
        <f t="array" aca="1" ref="E112" ca="1">IFERROR(IF(OR('Raw Data'!E112="",LEN(TRIM('Raw Data'!E112))=0),_xlfn.REGEXEXTRACT(CELL("address",'Raw Data'!E112),"\$([A-Z]+)\$[0-9]+"),""),"")</f>
        <v/>
      </c>
      <c r="F112" s="6"/>
      <c r="G112" s="6"/>
      <c r="H112" s="6" t="str" cm="1">
        <f t="array" aca="1" ref="H112" ca="1">IFERROR(IF(OR('Raw Data'!H112="",LEN(TRIM('Raw Data'!H112))=0),_xlfn.REGEXEXTRACT(CELL("address",'Raw Data'!H112),"\$([A-Z]+)\$[0-9]+"),""),"")</f>
        <v/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2:22" x14ac:dyDescent="0.25">
      <c r="B113" s="6" t="str" cm="1">
        <f t="array" aca="1" ref="B113" ca="1">IFERROR(IF(OR('Raw Data'!B113="",LEN(TRIM('Raw Data'!B113))=0),_xlfn.REGEXEXTRACT(CELL("address",'Raw Data'!B113),"\$([A-Z]+)\$[0-9]+"),""),"")</f>
        <v/>
      </c>
      <c r="C113" s="6" t="str" cm="1">
        <f t="array" aca="1" ref="C113" ca="1">IFERROR(IF(OR('Raw Data'!C113="",LEN(TRIM('Raw Data'!C113))=0),_xlfn.REGEXEXTRACT(CELL("address",'Raw Data'!C113),"\$([A-Z]+)\$[0-9]+"),""),"")</f>
        <v/>
      </c>
      <c r="D113" s="6"/>
      <c r="E113" s="6" t="str" cm="1">
        <f t="array" aca="1" ref="E113" ca="1">IFERROR(IF(OR('Raw Data'!E113="",LEN(TRIM('Raw Data'!E113))=0),_xlfn.REGEXEXTRACT(CELL("address",'Raw Data'!E113),"\$([A-Z]+)\$[0-9]+"),""),"")</f>
        <v/>
      </c>
      <c r="F113" s="6"/>
      <c r="G113" s="6"/>
      <c r="H113" s="6" t="str" cm="1">
        <f t="array" aca="1" ref="H113" ca="1">IFERROR(IF(OR('Raw Data'!H113="",LEN(TRIM('Raw Data'!H113))=0),_xlfn.REGEXEXTRACT(CELL("address",'Raw Data'!H113),"\$([A-Z]+)\$[0-9]+"),""),"")</f>
        <v/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2:22" x14ac:dyDescent="0.25">
      <c r="B114" s="6" t="str" cm="1">
        <f t="array" aca="1" ref="B114" ca="1">IFERROR(IF(OR('Raw Data'!B114="",LEN(TRIM('Raw Data'!B114))=0),_xlfn.REGEXEXTRACT(CELL("address",'Raw Data'!B114),"\$([A-Z]+)\$[0-9]+"),""),"")</f>
        <v/>
      </c>
      <c r="C114" s="6" t="str" cm="1">
        <f t="array" aca="1" ref="C114" ca="1">IFERROR(IF(OR('Raw Data'!C114="",LEN(TRIM('Raw Data'!C114))=0),_xlfn.REGEXEXTRACT(CELL("address",'Raw Data'!C114),"\$([A-Z]+)\$[0-9]+"),""),"")</f>
        <v/>
      </c>
      <c r="D114" s="6"/>
      <c r="E114" s="6" t="str" cm="1">
        <f t="array" aca="1" ref="E114" ca="1">IFERROR(IF(OR('Raw Data'!E114="",LEN(TRIM('Raw Data'!E114))=0),_xlfn.REGEXEXTRACT(CELL("address",'Raw Data'!E114),"\$([A-Z]+)\$[0-9]+"),""),"")</f>
        <v/>
      </c>
      <c r="F114" s="6"/>
      <c r="G114" s="6"/>
      <c r="H114" s="6" t="str" cm="1">
        <f t="array" aca="1" ref="H114" ca="1">IFERROR(IF(OR('Raw Data'!H114="",LEN(TRIM('Raw Data'!H114))=0),_xlfn.REGEXEXTRACT(CELL("address",'Raw Data'!H114),"\$([A-Z]+)\$[0-9]+"),""),"")</f>
        <v/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2:22" x14ac:dyDescent="0.25">
      <c r="B115" s="6" t="str" cm="1">
        <f t="array" aca="1" ref="B115" ca="1">IFERROR(IF(OR('Raw Data'!B115="",LEN(TRIM('Raw Data'!B115))=0),_xlfn.REGEXEXTRACT(CELL("address",'Raw Data'!B115),"\$([A-Z]+)\$[0-9]+"),""),"")</f>
        <v/>
      </c>
      <c r="C115" s="6" t="str" cm="1">
        <f t="array" aca="1" ref="C115" ca="1">IFERROR(IF(OR('Raw Data'!C115="",LEN(TRIM('Raw Data'!C115))=0),_xlfn.REGEXEXTRACT(CELL("address",'Raw Data'!C115),"\$([A-Z]+)\$[0-9]+"),""),"")</f>
        <v/>
      </c>
      <c r="D115" s="6"/>
      <c r="E115" s="6" t="str" cm="1">
        <f t="array" aca="1" ref="E115" ca="1">IFERROR(IF(OR('Raw Data'!E115="",LEN(TRIM('Raw Data'!E115))=0),_xlfn.REGEXEXTRACT(CELL("address",'Raw Data'!E115),"\$([A-Z]+)\$[0-9]+"),""),"")</f>
        <v/>
      </c>
      <c r="F115" s="6"/>
      <c r="G115" s="6"/>
      <c r="H115" s="6" t="str" cm="1">
        <f t="array" aca="1" ref="H115" ca="1">IFERROR(IF(OR('Raw Data'!H115="",LEN(TRIM('Raw Data'!H115))=0),_xlfn.REGEXEXTRACT(CELL("address",'Raw Data'!H115),"\$([A-Z]+)\$[0-9]+"),""),"")</f>
        <v/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2:22" x14ac:dyDescent="0.25">
      <c r="B116" s="6" t="str" cm="1">
        <f t="array" aca="1" ref="B116" ca="1">IFERROR(IF(OR('Raw Data'!B116="",LEN(TRIM('Raw Data'!B116))=0),_xlfn.REGEXEXTRACT(CELL("address",'Raw Data'!B116),"\$([A-Z]+)\$[0-9]+"),""),"")</f>
        <v/>
      </c>
      <c r="C116" s="6" t="str" cm="1">
        <f t="array" aca="1" ref="C116" ca="1">IFERROR(IF(OR('Raw Data'!C116="",LEN(TRIM('Raw Data'!C116))=0),_xlfn.REGEXEXTRACT(CELL("address",'Raw Data'!C116),"\$([A-Z]+)\$[0-9]+"),""),"")</f>
        <v/>
      </c>
      <c r="D116" s="6"/>
      <c r="E116" s="6" t="str" cm="1">
        <f t="array" aca="1" ref="E116" ca="1">IFERROR(IF(OR('Raw Data'!E116="",LEN(TRIM('Raw Data'!E116))=0),_xlfn.REGEXEXTRACT(CELL("address",'Raw Data'!E116),"\$([A-Z]+)\$[0-9]+"),""),"")</f>
        <v/>
      </c>
      <c r="F116" s="6"/>
      <c r="G116" s="6"/>
      <c r="H116" s="6" t="str" cm="1">
        <f t="array" aca="1" ref="H116" ca="1">IFERROR(IF(OR('Raw Data'!H116="",LEN(TRIM('Raw Data'!H116))=0),_xlfn.REGEXEXTRACT(CELL("address",'Raw Data'!H116),"\$([A-Z]+)\$[0-9]+"),""),"")</f>
        <v/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2:22" x14ac:dyDescent="0.25">
      <c r="B117" s="6" t="str" cm="1">
        <f t="array" aca="1" ref="B117" ca="1">IFERROR(IF(OR('Raw Data'!B117="",LEN(TRIM('Raw Data'!B117))=0),_xlfn.REGEXEXTRACT(CELL("address",'Raw Data'!B117),"\$([A-Z]+)\$[0-9]+"),""),"")</f>
        <v/>
      </c>
      <c r="C117" s="6" t="str" cm="1">
        <f t="array" aca="1" ref="C117" ca="1">IFERROR(IF(OR('Raw Data'!C117="",LEN(TRIM('Raw Data'!C117))=0),_xlfn.REGEXEXTRACT(CELL("address",'Raw Data'!C117),"\$([A-Z]+)\$[0-9]+"),""),"")</f>
        <v/>
      </c>
      <c r="D117" s="6"/>
      <c r="E117" s="6" t="str" cm="1">
        <f t="array" aca="1" ref="E117" ca="1">IFERROR(IF(OR('Raw Data'!E117="",LEN(TRIM('Raw Data'!E117))=0),_xlfn.REGEXEXTRACT(CELL("address",'Raw Data'!E117),"\$([A-Z]+)\$[0-9]+"),""),"")</f>
        <v/>
      </c>
      <c r="F117" s="6"/>
      <c r="G117" s="6"/>
      <c r="H117" s="6" t="str" cm="1">
        <f t="array" aca="1" ref="H117" ca="1">IFERROR(IF(OR('Raw Data'!H117="",LEN(TRIM('Raw Data'!H117))=0),_xlfn.REGEXEXTRACT(CELL("address",'Raw Data'!H117),"\$([A-Z]+)\$[0-9]+"),""),"")</f>
        <v/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2:22" x14ac:dyDescent="0.25">
      <c r="B118" s="6" t="str" cm="1">
        <f t="array" aca="1" ref="B118" ca="1">IFERROR(IF(OR('Raw Data'!B118="",LEN(TRIM('Raw Data'!B118))=0),_xlfn.REGEXEXTRACT(CELL("address",'Raw Data'!B118),"\$([A-Z]+)\$[0-9]+"),""),"")</f>
        <v/>
      </c>
      <c r="C118" s="6" t="str" cm="1">
        <f t="array" aca="1" ref="C118" ca="1">IFERROR(IF(OR('Raw Data'!C118="",LEN(TRIM('Raw Data'!C118))=0),_xlfn.REGEXEXTRACT(CELL("address",'Raw Data'!C118),"\$([A-Z]+)\$[0-9]+"),""),"")</f>
        <v/>
      </c>
      <c r="D118" s="6"/>
      <c r="E118" s="6" t="str" cm="1">
        <f t="array" aca="1" ref="E118" ca="1">IFERROR(IF(OR('Raw Data'!E118="",LEN(TRIM('Raw Data'!E118))=0),_xlfn.REGEXEXTRACT(CELL("address",'Raw Data'!E118),"\$([A-Z]+)\$[0-9]+"),""),"")</f>
        <v/>
      </c>
      <c r="F118" s="6"/>
      <c r="G118" s="6"/>
      <c r="H118" s="6" t="str" cm="1">
        <f t="array" aca="1" ref="H118" ca="1">IFERROR(IF(OR('Raw Data'!H118="",LEN(TRIM('Raw Data'!H118))=0),_xlfn.REGEXEXTRACT(CELL("address",'Raw Data'!H118),"\$([A-Z]+)\$[0-9]+"),""),"")</f>
        <v/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2:22" x14ac:dyDescent="0.25">
      <c r="B119" s="6" t="str" cm="1">
        <f t="array" aca="1" ref="B119" ca="1">IFERROR(IF(OR('Raw Data'!B119="",LEN(TRIM('Raw Data'!B119))=0),_xlfn.REGEXEXTRACT(CELL("address",'Raw Data'!B119),"\$([A-Z]+)\$[0-9]+"),""),"")</f>
        <v/>
      </c>
      <c r="C119" s="6" t="str" cm="1">
        <f t="array" aca="1" ref="C119" ca="1">IFERROR(IF(OR('Raw Data'!C119="",LEN(TRIM('Raw Data'!C119))=0),_xlfn.REGEXEXTRACT(CELL("address",'Raw Data'!C119),"\$([A-Z]+)\$[0-9]+"),""),"")</f>
        <v/>
      </c>
      <c r="D119" s="6"/>
      <c r="E119" s="6" t="str" cm="1">
        <f t="array" aca="1" ref="E119" ca="1">IFERROR(IF(OR('Raw Data'!E119="",LEN(TRIM('Raw Data'!E119))=0),_xlfn.REGEXEXTRACT(CELL("address",'Raw Data'!E119),"\$([A-Z]+)\$[0-9]+"),""),"")</f>
        <v/>
      </c>
      <c r="F119" s="6"/>
      <c r="G119" s="6"/>
      <c r="H119" s="6" t="str" cm="1">
        <f t="array" aca="1" ref="H119" ca="1">IFERROR(IF(OR('Raw Data'!H119="",LEN(TRIM('Raw Data'!H119))=0),_xlfn.REGEXEXTRACT(CELL("address",'Raw Data'!H119),"\$([A-Z]+)\$[0-9]+"),""),"")</f>
        <v/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2:22" x14ac:dyDescent="0.25">
      <c r="B120" s="6" t="str" cm="1">
        <f t="array" aca="1" ref="B120" ca="1">IFERROR(IF(OR('Raw Data'!B120="",LEN(TRIM('Raw Data'!B120))=0),_xlfn.REGEXEXTRACT(CELL("address",'Raw Data'!B120),"\$([A-Z]+)\$[0-9]+"),""),"")</f>
        <v/>
      </c>
      <c r="C120" s="6" t="str" cm="1">
        <f t="array" aca="1" ref="C120" ca="1">IFERROR(IF(OR('Raw Data'!C120="",LEN(TRIM('Raw Data'!C120))=0),_xlfn.REGEXEXTRACT(CELL("address",'Raw Data'!C120),"\$([A-Z]+)\$[0-9]+"),""),"")</f>
        <v/>
      </c>
      <c r="D120" s="6"/>
      <c r="E120" s="6" t="str" cm="1">
        <f t="array" aca="1" ref="E120" ca="1">IFERROR(IF(OR('Raw Data'!E120="",LEN(TRIM('Raw Data'!E120))=0),_xlfn.REGEXEXTRACT(CELL("address",'Raw Data'!E120),"\$([A-Z]+)\$[0-9]+"),""),"")</f>
        <v/>
      </c>
      <c r="F120" s="6"/>
      <c r="G120" s="6"/>
      <c r="H120" s="6" t="str" cm="1">
        <f t="array" aca="1" ref="H120" ca="1">IFERROR(IF(OR('Raw Data'!H120="",LEN(TRIM('Raw Data'!H120))=0),_xlfn.REGEXEXTRACT(CELL("address",'Raw Data'!H120),"\$([A-Z]+)\$[0-9]+"),""),"")</f>
        <v/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2:22" x14ac:dyDescent="0.25">
      <c r="B121" s="6" t="str" cm="1">
        <f t="array" aca="1" ref="B121" ca="1">IFERROR(IF(OR('Raw Data'!B121="",LEN(TRIM('Raw Data'!B121))=0),_xlfn.REGEXEXTRACT(CELL("address",'Raw Data'!B121),"\$([A-Z]+)\$[0-9]+"),""),"")</f>
        <v/>
      </c>
      <c r="C121" s="6" t="str" cm="1">
        <f t="array" aca="1" ref="C121" ca="1">IFERROR(IF(OR('Raw Data'!C121="",LEN(TRIM('Raw Data'!C121))=0),_xlfn.REGEXEXTRACT(CELL("address",'Raw Data'!C121),"\$([A-Z]+)\$[0-9]+"),""),"")</f>
        <v/>
      </c>
      <c r="D121" s="6"/>
      <c r="E121" s="6" t="str" cm="1">
        <f t="array" aca="1" ref="E121" ca="1">IFERROR(IF(OR('Raw Data'!E121="",LEN(TRIM('Raw Data'!E121))=0),_xlfn.REGEXEXTRACT(CELL("address",'Raw Data'!E121),"\$([A-Z]+)\$[0-9]+"),""),"")</f>
        <v/>
      </c>
      <c r="F121" s="6"/>
      <c r="G121" s="6"/>
      <c r="H121" s="6" t="str" cm="1">
        <f t="array" aca="1" ref="H121" ca="1">IFERROR(IF(OR('Raw Data'!H121="",LEN(TRIM('Raw Data'!H121))=0),_xlfn.REGEXEXTRACT(CELL("address",'Raw Data'!H121),"\$([A-Z]+)\$[0-9]+"),""),"")</f>
        <v/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2:22" x14ac:dyDescent="0.25">
      <c r="B122" s="6" t="str" cm="1">
        <f t="array" aca="1" ref="B122" ca="1">IFERROR(IF(OR('Raw Data'!B122="",LEN(TRIM('Raw Data'!B122))=0),_xlfn.REGEXEXTRACT(CELL("address",'Raw Data'!B122),"\$([A-Z]+)\$[0-9]+"),""),"")</f>
        <v/>
      </c>
      <c r="C122" s="6" t="str" cm="1">
        <f t="array" aca="1" ref="C122" ca="1">IFERROR(IF(OR('Raw Data'!C122="",LEN(TRIM('Raw Data'!C122))=0),_xlfn.REGEXEXTRACT(CELL("address",'Raw Data'!C122),"\$([A-Z]+)\$[0-9]+"),""),"")</f>
        <v/>
      </c>
      <c r="D122" s="6"/>
      <c r="E122" s="6" t="str" cm="1">
        <f t="array" aca="1" ref="E122" ca="1">IFERROR(IF(OR('Raw Data'!E122="",LEN(TRIM('Raw Data'!E122))=0),_xlfn.REGEXEXTRACT(CELL("address",'Raw Data'!E122),"\$([A-Z]+)\$[0-9]+"),""),"")</f>
        <v/>
      </c>
      <c r="F122" s="6"/>
      <c r="G122" s="6"/>
      <c r="H122" s="6" t="str" cm="1">
        <f t="array" aca="1" ref="H122" ca="1">IFERROR(IF(OR('Raw Data'!H122="",LEN(TRIM('Raw Data'!H122))=0),_xlfn.REGEXEXTRACT(CELL("address",'Raw Data'!H122),"\$([A-Z]+)\$[0-9]+"),""),"")</f>
        <v/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2:22" x14ac:dyDescent="0.25">
      <c r="B123" s="6" t="str" cm="1">
        <f t="array" aca="1" ref="B123" ca="1">IFERROR(IF(OR('Raw Data'!B123="",LEN(TRIM('Raw Data'!B123))=0),_xlfn.REGEXEXTRACT(CELL("address",'Raw Data'!B123),"\$([A-Z]+)\$[0-9]+"),""),"")</f>
        <v/>
      </c>
      <c r="C123" s="6" t="str" cm="1">
        <f t="array" aca="1" ref="C123" ca="1">IFERROR(IF(OR('Raw Data'!C123="",LEN(TRIM('Raw Data'!C123))=0),_xlfn.REGEXEXTRACT(CELL("address",'Raw Data'!C123),"\$([A-Z]+)\$[0-9]+"),""),"")</f>
        <v/>
      </c>
      <c r="D123" s="6"/>
      <c r="E123" s="6" t="str" cm="1">
        <f t="array" aca="1" ref="E123" ca="1">IFERROR(IF(OR('Raw Data'!E123="",LEN(TRIM('Raw Data'!E123))=0),_xlfn.REGEXEXTRACT(CELL("address",'Raw Data'!E123),"\$([A-Z]+)\$[0-9]+"),""),"")</f>
        <v/>
      </c>
      <c r="F123" s="6"/>
      <c r="G123" s="6"/>
      <c r="H123" s="6" t="str" cm="1">
        <f t="array" aca="1" ref="H123" ca="1">IFERROR(IF(OR('Raw Data'!H123="",LEN(TRIM('Raw Data'!H123))=0),_xlfn.REGEXEXTRACT(CELL("address",'Raw Data'!H123),"\$([A-Z]+)\$[0-9]+"),""),"")</f>
        <v/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2:22" x14ac:dyDescent="0.25">
      <c r="B124" s="6" t="str" cm="1">
        <f t="array" aca="1" ref="B124" ca="1">IFERROR(IF(OR('Raw Data'!B124="",LEN(TRIM('Raw Data'!B124))=0),_xlfn.REGEXEXTRACT(CELL("address",'Raw Data'!B124),"\$([A-Z]+)\$[0-9]+"),""),"")</f>
        <v/>
      </c>
      <c r="C124" s="6" t="str" cm="1">
        <f t="array" aca="1" ref="C124" ca="1">IFERROR(IF(OR('Raw Data'!C124="",LEN(TRIM('Raw Data'!C124))=0),_xlfn.REGEXEXTRACT(CELL("address",'Raw Data'!C124),"\$([A-Z]+)\$[0-9]+"),""),"")</f>
        <v/>
      </c>
      <c r="D124" s="6"/>
      <c r="E124" s="6" t="str" cm="1">
        <f t="array" aca="1" ref="E124" ca="1">IFERROR(IF(OR('Raw Data'!E124="",LEN(TRIM('Raw Data'!E124))=0),_xlfn.REGEXEXTRACT(CELL("address",'Raw Data'!E124),"\$([A-Z]+)\$[0-9]+"),""),"")</f>
        <v/>
      </c>
      <c r="F124" s="6"/>
      <c r="G124" s="6"/>
      <c r="H124" s="6" t="str" cm="1">
        <f t="array" aca="1" ref="H124" ca="1">IFERROR(IF(OR('Raw Data'!H124="",LEN(TRIM('Raw Data'!H124))=0),_xlfn.REGEXEXTRACT(CELL("address",'Raw Data'!H124),"\$([A-Z]+)\$[0-9]+"),""),"")</f>
        <v/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2:22" x14ac:dyDescent="0.25">
      <c r="B125" s="6" t="str" cm="1">
        <f t="array" aca="1" ref="B125" ca="1">IFERROR(IF(OR('Raw Data'!B125="",LEN(TRIM('Raw Data'!B125))=0),_xlfn.REGEXEXTRACT(CELL("address",'Raw Data'!B125),"\$([A-Z]+)\$[0-9]+"),""),"")</f>
        <v/>
      </c>
      <c r="C125" s="6" t="str" cm="1">
        <f t="array" aca="1" ref="C125" ca="1">IFERROR(IF(OR('Raw Data'!C125="",LEN(TRIM('Raw Data'!C125))=0),_xlfn.REGEXEXTRACT(CELL("address",'Raw Data'!C125),"\$([A-Z]+)\$[0-9]+"),""),"")</f>
        <v/>
      </c>
      <c r="D125" s="6"/>
      <c r="E125" s="6" t="str" cm="1">
        <f t="array" aca="1" ref="E125" ca="1">IFERROR(IF(OR('Raw Data'!E125="",LEN(TRIM('Raw Data'!E125))=0),_xlfn.REGEXEXTRACT(CELL("address",'Raw Data'!E125),"\$([A-Z]+)\$[0-9]+"),""),"")</f>
        <v/>
      </c>
      <c r="F125" s="6"/>
      <c r="G125" s="6"/>
      <c r="H125" s="6" t="str" cm="1">
        <f t="array" aca="1" ref="H125" ca="1">IFERROR(IF(OR('Raw Data'!H125="",LEN(TRIM('Raw Data'!H125))=0),_xlfn.REGEXEXTRACT(CELL("address",'Raw Data'!H125),"\$([A-Z]+)\$[0-9]+"),""),"")</f>
        <v/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2:22" x14ac:dyDescent="0.25">
      <c r="B126" s="6" t="str" cm="1">
        <f t="array" aca="1" ref="B126" ca="1">IFERROR(IF(OR('Raw Data'!B126="",LEN(TRIM('Raw Data'!B126))=0),_xlfn.REGEXEXTRACT(CELL("address",'Raw Data'!B126),"\$([A-Z]+)\$[0-9]+"),""),"")</f>
        <v/>
      </c>
      <c r="C126" s="6" t="str" cm="1">
        <f t="array" aca="1" ref="C126" ca="1">IFERROR(IF(OR('Raw Data'!C126="",LEN(TRIM('Raw Data'!C126))=0),_xlfn.REGEXEXTRACT(CELL("address",'Raw Data'!C126),"\$([A-Z]+)\$[0-9]+"),""),"")</f>
        <v/>
      </c>
      <c r="D126" s="6"/>
      <c r="E126" s="6" t="str" cm="1">
        <f t="array" aca="1" ref="E126" ca="1">IFERROR(IF(OR('Raw Data'!E126="",LEN(TRIM('Raw Data'!E126))=0),_xlfn.REGEXEXTRACT(CELL("address",'Raw Data'!E126),"\$([A-Z]+)\$[0-9]+"),""),"")</f>
        <v/>
      </c>
      <c r="F126" s="6"/>
      <c r="G126" s="6"/>
      <c r="H126" s="6" t="str" cm="1">
        <f t="array" aca="1" ref="H126" ca="1">IFERROR(IF(OR('Raw Data'!H126="",LEN(TRIM('Raw Data'!H126))=0),_xlfn.REGEXEXTRACT(CELL("address",'Raw Data'!H126),"\$([A-Z]+)\$[0-9]+"),""),"")</f>
        <v/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2:22" x14ac:dyDescent="0.25">
      <c r="B127" s="6" t="str" cm="1">
        <f t="array" aca="1" ref="B127" ca="1">IFERROR(IF(OR('Raw Data'!B127="",LEN(TRIM('Raw Data'!B127))=0),_xlfn.REGEXEXTRACT(CELL("address",'Raw Data'!B127),"\$([A-Z]+)\$[0-9]+"),""),"")</f>
        <v/>
      </c>
      <c r="C127" s="6" t="str" cm="1">
        <f t="array" aca="1" ref="C127" ca="1">IFERROR(IF(OR('Raw Data'!C127="",LEN(TRIM('Raw Data'!C127))=0),_xlfn.REGEXEXTRACT(CELL("address",'Raw Data'!C127),"\$([A-Z]+)\$[0-9]+"),""),"")</f>
        <v/>
      </c>
      <c r="D127" s="6"/>
      <c r="E127" s="6" t="str" cm="1">
        <f t="array" aca="1" ref="E127" ca="1">IFERROR(IF(OR('Raw Data'!E127="",LEN(TRIM('Raw Data'!E127))=0),_xlfn.REGEXEXTRACT(CELL("address",'Raw Data'!E127),"\$([A-Z]+)\$[0-9]+"),""),"")</f>
        <v/>
      </c>
      <c r="F127" s="6"/>
      <c r="G127" s="6"/>
      <c r="H127" s="6" t="str" cm="1">
        <f t="array" aca="1" ref="H127" ca="1">IFERROR(IF(OR('Raw Data'!H127="",LEN(TRIM('Raw Data'!H127))=0),_xlfn.REGEXEXTRACT(CELL("address",'Raw Data'!H127),"\$([A-Z]+)\$[0-9]+"),""),"")</f>
        <v/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2:22" x14ac:dyDescent="0.25">
      <c r="B128" s="6" t="str" cm="1">
        <f t="array" aca="1" ref="B128" ca="1">IFERROR(IF(OR('Raw Data'!B128="",LEN(TRIM('Raw Data'!B128))=0),_xlfn.REGEXEXTRACT(CELL("address",'Raw Data'!B128),"\$([A-Z]+)\$[0-9]+"),""),"")</f>
        <v/>
      </c>
      <c r="C128" s="6" t="str" cm="1">
        <f t="array" aca="1" ref="C128" ca="1">IFERROR(IF(OR('Raw Data'!C128="",LEN(TRIM('Raw Data'!C128))=0),_xlfn.REGEXEXTRACT(CELL("address",'Raw Data'!C128),"\$([A-Z]+)\$[0-9]+"),""),"")</f>
        <v/>
      </c>
      <c r="D128" s="6"/>
      <c r="E128" s="6" t="str" cm="1">
        <f t="array" aca="1" ref="E128" ca="1">IFERROR(IF(OR('Raw Data'!E128="",LEN(TRIM('Raw Data'!E128))=0),_xlfn.REGEXEXTRACT(CELL("address",'Raw Data'!E128),"\$([A-Z]+)\$[0-9]+"),""),"")</f>
        <v/>
      </c>
      <c r="F128" s="6"/>
      <c r="G128" s="6"/>
      <c r="H128" s="6" t="str" cm="1">
        <f t="array" aca="1" ref="H128" ca="1">IFERROR(IF(OR('Raw Data'!H128="",LEN(TRIM('Raw Data'!H128))=0),_xlfn.REGEXEXTRACT(CELL("address",'Raw Data'!H128),"\$([A-Z]+)\$[0-9]+"),""),"")</f>
        <v/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2:22" x14ac:dyDescent="0.25">
      <c r="B129" s="6" t="str" cm="1">
        <f t="array" aca="1" ref="B129" ca="1">IFERROR(IF(OR('Raw Data'!B129="",LEN(TRIM('Raw Data'!B129))=0),_xlfn.REGEXEXTRACT(CELL("address",'Raw Data'!B129),"\$([A-Z]+)\$[0-9]+"),""),"")</f>
        <v/>
      </c>
      <c r="C129" s="6" t="str" cm="1">
        <f t="array" aca="1" ref="C129" ca="1">IFERROR(IF(OR('Raw Data'!C129="",LEN(TRIM('Raw Data'!C129))=0),_xlfn.REGEXEXTRACT(CELL("address",'Raw Data'!C129),"\$([A-Z]+)\$[0-9]+"),""),"")</f>
        <v/>
      </c>
      <c r="D129" s="6"/>
      <c r="E129" s="6" t="str" cm="1">
        <f t="array" aca="1" ref="E129" ca="1">IFERROR(IF(OR('Raw Data'!E129="",LEN(TRIM('Raw Data'!E129))=0),_xlfn.REGEXEXTRACT(CELL("address",'Raw Data'!E129),"\$([A-Z]+)\$[0-9]+"),""),"")</f>
        <v/>
      </c>
      <c r="F129" s="6"/>
      <c r="G129" s="6"/>
      <c r="H129" s="6" t="str" cm="1">
        <f t="array" aca="1" ref="H129" ca="1">IFERROR(IF(OR('Raw Data'!H129="",LEN(TRIM('Raw Data'!H129))=0),_xlfn.REGEXEXTRACT(CELL("address",'Raw Data'!H129),"\$([A-Z]+)\$[0-9]+"),""),"")</f>
        <v/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2:22" x14ac:dyDescent="0.25">
      <c r="B130" s="6" t="str" cm="1">
        <f t="array" aca="1" ref="B130" ca="1">IFERROR(IF(OR('Raw Data'!B130="",LEN(TRIM('Raw Data'!B130))=0),_xlfn.REGEXEXTRACT(CELL("address",'Raw Data'!B130),"\$([A-Z]+)\$[0-9]+"),""),"")</f>
        <v/>
      </c>
      <c r="C130" s="6" t="str" cm="1">
        <f t="array" aca="1" ref="C130" ca="1">IFERROR(IF(OR('Raw Data'!C130="",LEN(TRIM('Raw Data'!C130))=0),_xlfn.REGEXEXTRACT(CELL("address",'Raw Data'!C130),"\$([A-Z]+)\$[0-9]+"),""),"")</f>
        <v/>
      </c>
      <c r="D130" s="6"/>
      <c r="E130" s="6" t="str" cm="1">
        <f t="array" aca="1" ref="E130" ca="1">IFERROR(IF(OR('Raw Data'!E130="",LEN(TRIM('Raw Data'!E130))=0),_xlfn.REGEXEXTRACT(CELL("address",'Raw Data'!E130),"\$([A-Z]+)\$[0-9]+"),""),"")</f>
        <v/>
      </c>
      <c r="F130" s="6"/>
      <c r="G130" s="6"/>
      <c r="H130" s="6" t="str" cm="1">
        <f t="array" aca="1" ref="H130" ca="1">IFERROR(IF(OR('Raw Data'!H130="",LEN(TRIM('Raw Data'!H130))=0),_xlfn.REGEXEXTRACT(CELL("address",'Raw Data'!H130),"\$([A-Z]+)\$[0-9]+"),""),"")</f>
        <v/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2:22" x14ac:dyDescent="0.25">
      <c r="B131" s="6" t="str" cm="1">
        <f t="array" aca="1" ref="B131" ca="1">IFERROR(IF(OR('Raw Data'!B131="",LEN(TRIM('Raw Data'!B131))=0),_xlfn.REGEXEXTRACT(CELL("address",'Raw Data'!B131),"\$([A-Z]+)\$[0-9]+"),""),"")</f>
        <v/>
      </c>
      <c r="C131" s="6" t="str" cm="1">
        <f t="array" aca="1" ref="C131" ca="1">IFERROR(IF(OR('Raw Data'!C131="",LEN(TRIM('Raw Data'!C131))=0),_xlfn.REGEXEXTRACT(CELL("address",'Raw Data'!C131),"\$([A-Z]+)\$[0-9]+"),""),"")</f>
        <v/>
      </c>
      <c r="D131" s="6"/>
      <c r="E131" s="6" t="str" cm="1">
        <f t="array" aca="1" ref="E131" ca="1">IFERROR(IF(OR('Raw Data'!E131="",LEN(TRIM('Raw Data'!E131))=0),_xlfn.REGEXEXTRACT(CELL("address",'Raw Data'!E131),"\$([A-Z]+)\$[0-9]+"),""),"")</f>
        <v/>
      </c>
      <c r="F131" s="6"/>
      <c r="G131" s="6"/>
      <c r="H131" s="6" t="str" cm="1">
        <f t="array" aca="1" ref="H131" ca="1">IFERROR(IF(OR('Raw Data'!H131="",LEN(TRIM('Raw Data'!H131))=0),_xlfn.REGEXEXTRACT(CELL("address",'Raw Data'!H131),"\$([A-Z]+)\$[0-9]+"),""),"")</f>
        <v/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2:22" x14ac:dyDescent="0.25">
      <c r="B132" s="6" t="str" cm="1">
        <f t="array" aca="1" ref="B132" ca="1">IFERROR(IF(OR('Raw Data'!B132="",LEN(TRIM('Raw Data'!B132))=0),_xlfn.REGEXEXTRACT(CELL("address",'Raw Data'!B132),"\$([A-Z]+)\$[0-9]+"),""),"")</f>
        <v/>
      </c>
      <c r="C132" s="6" t="str" cm="1">
        <f t="array" aca="1" ref="C132" ca="1">IFERROR(IF(OR('Raw Data'!C132="",LEN(TRIM('Raw Data'!C132))=0),_xlfn.REGEXEXTRACT(CELL("address",'Raw Data'!C132),"\$([A-Z]+)\$[0-9]+"),""),"")</f>
        <v/>
      </c>
      <c r="D132" s="6"/>
      <c r="E132" s="6" t="str" cm="1">
        <f t="array" aca="1" ref="E132" ca="1">IFERROR(IF(OR('Raw Data'!E132="",LEN(TRIM('Raw Data'!E132))=0),_xlfn.REGEXEXTRACT(CELL("address",'Raw Data'!E132),"\$([A-Z]+)\$[0-9]+"),""),"")</f>
        <v/>
      </c>
      <c r="F132" s="6"/>
      <c r="G132" s="6"/>
      <c r="H132" s="6" t="str" cm="1">
        <f t="array" aca="1" ref="H132" ca="1">IFERROR(IF(OR('Raw Data'!H132="",LEN(TRIM('Raw Data'!H132))=0),_xlfn.REGEXEXTRACT(CELL("address",'Raw Data'!H132),"\$([A-Z]+)\$[0-9]+"),""),"")</f>
        <v/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2:22" x14ac:dyDescent="0.25">
      <c r="B133" s="6" t="str" cm="1">
        <f t="array" aca="1" ref="B133" ca="1">IFERROR(IF(OR('Raw Data'!B133="",LEN(TRIM('Raw Data'!B133))=0),_xlfn.REGEXEXTRACT(CELL("address",'Raw Data'!B133),"\$([A-Z]+)\$[0-9]+"),""),"")</f>
        <v/>
      </c>
      <c r="C133" s="6" t="str" cm="1">
        <f t="array" aca="1" ref="C133" ca="1">IFERROR(IF(OR('Raw Data'!C133="",LEN(TRIM('Raw Data'!C133))=0),_xlfn.REGEXEXTRACT(CELL("address",'Raw Data'!C133),"\$([A-Z]+)\$[0-9]+"),""),"")</f>
        <v/>
      </c>
      <c r="D133" s="6"/>
      <c r="E133" s="6" t="str" cm="1">
        <f t="array" aca="1" ref="E133" ca="1">IFERROR(IF(OR('Raw Data'!E133="",LEN(TRIM('Raw Data'!E133))=0),_xlfn.REGEXEXTRACT(CELL("address",'Raw Data'!E133),"\$([A-Z]+)\$[0-9]+"),""),"")</f>
        <v/>
      </c>
      <c r="F133" s="6"/>
      <c r="G133" s="6"/>
      <c r="H133" s="6" t="str" cm="1">
        <f t="array" aca="1" ref="H133" ca="1">IFERROR(IF(OR('Raw Data'!H133="",LEN(TRIM('Raw Data'!H133))=0),_xlfn.REGEXEXTRACT(CELL("address",'Raw Data'!H133),"\$([A-Z]+)\$[0-9]+"),""),"")</f>
        <v/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2:22" x14ac:dyDescent="0.25">
      <c r="B134" s="6" t="str" cm="1">
        <f t="array" aca="1" ref="B134" ca="1">IFERROR(IF(OR('Raw Data'!B134="",LEN(TRIM('Raw Data'!B134))=0),_xlfn.REGEXEXTRACT(CELL("address",'Raw Data'!B134),"\$([A-Z]+)\$[0-9]+"),""),"")</f>
        <v/>
      </c>
      <c r="C134" s="6" t="str" cm="1">
        <f t="array" aca="1" ref="C134" ca="1">IFERROR(IF(OR('Raw Data'!C134="",LEN(TRIM('Raw Data'!C134))=0),_xlfn.REGEXEXTRACT(CELL("address",'Raw Data'!C134),"\$([A-Z]+)\$[0-9]+"),""),"")</f>
        <v/>
      </c>
      <c r="D134" s="6"/>
      <c r="E134" s="6" t="str" cm="1">
        <f t="array" aca="1" ref="E134" ca="1">IFERROR(IF(OR('Raw Data'!E134="",LEN(TRIM('Raw Data'!E134))=0),_xlfn.REGEXEXTRACT(CELL("address",'Raw Data'!E134),"\$([A-Z]+)\$[0-9]+"),""),"")</f>
        <v/>
      </c>
      <c r="F134" s="6"/>
      <c r="G134" s="6"/>
      <c r="H134" s="6" t="str" cm="1">
        <f t="array" aca="1" ref="H134" ca="1">IFERROR(IF(OR('Raw Data'!H134="",LEN(TRIM('Raw Data'!H134))=0),_xlfn.REGEXEXTRACT(CELL("address",'Raw Data'!H134),"\$([A-Z]+)\$[0-9]+"),""),"")</f>
        <v/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2:22" x14ac:dyDescent="0.25">
      <c r="B135" s="6" t="str" cm="1">
        <f t="array" aca="1" ref="B135" ca="1">IFERROR(IF(OR('Raw Data'!B135="",LEN(TRIM('Raw Data'!B135))=0),_xlfn.REGEXEXTRACT(CELL("address",'Raw Data'!B135),"\$([A-Z]+)\$[0-9]+"),""),"")</f>
        <v/>
      </c>
      <c r="C135" s="6" t="str" cm="1">
        <f t="array" aca="1" ref="C135" ca="1">IFERROR(IF(OR('Raw Data'!C135="",LEN(TRIM('Raw Data'!C135))=0),_xlfn.REGEXEXTRACT(CELL("address",'Raw Data'!C135),"\$([A-Z]+)\$[0-9]+"),""),"")</f>
        <v/>
      </c>
      <c r="D135" s="6"/>
      <c r="E135" s="6" t="str" cm="1">
        <f t="array" aca="1" ref="E135" ca="1">IFERROR(IF(OR('Raw Data'!E135="",LEN(TRIM('Raw Data'!E135))=0),_xlfn.REGEXEXTRACT(CELL("address",'Raw Data'!E135),"\$([A-Z]+)\$[0-9]+"),""),"")</f>
        <v/>
      </c>
      <c r="F135" s="6"/>
      <c r="G135" s="6"/>
      <c r="H135" s="6" t="str" cm="1">
        <f t="array" aca="1" ref="H135" ca="1">IFERROR(IF(OR('Raw Data'!H135="",LEN(TRIM('Raw Data'!H135))=0),_xlfn.REGEXEXTRACT(CELL("address",'Raw Data'!H135),"\$([A-Z]+)\$[0-9]+"),""),"")</f>
        <v/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2:22" x14ac:dyDescent="0.25">
      <c r="B136" s="6" t="str" cm="1">
        <f t="array" aca="1" ref="B136" ca="1">IFERROR(IF(OR('Raw Data'!B136="",LEN(TRIM('Raw Data'!B136))=0),_xlfn.REGEXEXTRACT(CELL("address",'Raw Data'!B136),"\$([A-Z]+)\$[0-9]+"),""),"")</f>
        <v/>
      </c>
      <c r="C136" s="6" t="str" cm="1">
        <f t="array" aca="1" ref="C136" ca="1">IFERROR(IF(OR('Raw Data'!C136="",LEN(TRIM('Raw Data'!C136))=0),_xlfn.REGEXEXTRACT(CELL("address",'Raw Data'!C136),"\$([A-Z]+)\$[0-9]+"),""),"")</f>
        <v/>
      </c>
      <c r="D136" s="6"/>
      <c r="E136" s="6" t="str" cm="1">
        <f t="array" aca="1" ref="E136" ca="1">IFERROR(IF(OR('Raw Data'!E136="",LEN(TRIM('Raw Data'!E136))=0),_xlfn.REGEXEXTRACT(CELL("address",'Raw Data'!E136),"\$([A-Z]+)\$[0-9]+"),""),"")</f>
        <v/>
      </c>
      <c r="F136" s="6"/>
      <c r="G136" s="6"/>
      <c r="H136" s="6" t="str" cm="1">
        <f t="array" aca="1" ref="H136" ca="1">IFERROR(IF(OR('Raw Data'!H136="",LEN(TRIM('Raw Data'!H136))=0),_xlfn.REGEXEXTRACT(CELL("address",'Raw Data'!H136),"\$([A-Z]+)\$[0-9]+"),""),"")</f>
        <v/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2:22" x14ac:dyDescent="0.25">
      <c r="B137" s="6" t="str" cm="1">
        <f t="array" aca="1" ref="B137" ca="1">IFERROR(IF(OR('Raw Data'!B137="",LEN(TRIM('Raw Data'!B137))=0),_xlfn.REGEXEXTRACT(CELL("address",'Raw Data'!B137),"\$([A-Z]+)\$[0-9]+"),""),"")</f>
        <v/>
      </c>
      <c r="C137" s="6" t="str" cm="1">
        <f t="array" aca="1" ref="C137" ca="1">IFERROR(IF(OR('Raw Data'!C137="",LEN(TRIM('Raw Data'!C137))=0),_xlfn.REGEXEXTRACT(CELL("address",'Raw Data'!C137),"\$([A-Z]+)\$[0-9]+"),""),"")</f>
        <v/>
      </c>
      <c r="D137" s="6"/>
      <c r="E137" s="6" t="str" cm="1">
        <f t="array" aca="1" ref="E137" ca="1">IFERROR(IF(OR('Raw Data'!E137="",LEN(TRIM('Raw Data'!E137))=0),_xlfn.REGEXEXTRACT(CELL("address",'Raw Data'!E137),"\$([A-Z]+)\$[0-9]+"),""),"")</f>
        <v/>
      </c>
      <c r="F137" s="6"/>
      <c r="G137" s="6"/>
      <c r="H137" s="6" t="str" cm="1">
        <f t="array" aca="1" ref="H137" ca="1">IFERROR(IF(OR('Raw Data'!H137="",LEN(TRIM('Raw Data'!H137))=0),_xlfn.REGEXEXTRACT(CELL("address",'Raw Data'!H137),"\$([A-Z]+)\$[0-9]+"),""),"")</f>
        <v/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2:22" x14ac:dyDescent="0.25">
      <c r="B138" s="6" t="str" cm="1">
        <f t="array" aca="1" ref="B138" ca="1">IFERROR(IF(OR('Raw Data'!B138="",LEN(TRIM('Raw Data'!B138))=0),_xlfn.REGEXEXTRACT(CELL("address",'Raw Data'!B138),"\$([A-Z]+)\$[0-9]+"),""),"")</f>
        <v/>
      </c>
      <c r="C138" s="6" t="str" cm="1">
        <f t="array" aca="1" ref="C138" ca="1">IFERROR(IF(OR('Raw Data'!C138="",LEN(TRIM('Raw Data'!C138))=0),_xlfn.REGEXEXTRACT(CELL("address",'Raw Data'!C138),"\$([A-Z]+)\$[0-9]+"),""),"")</f>
        <v/>
      </c>
      <c r="D138" s="6"/>
      <c r="E138" s="6" t="str" cm="1">
        <f t="array" aca="1" ref="E138" ca="1">IFERROR(IF(OR('Raw Data'!E138="",LEN(TRIM('Raw Data'!E138))=0),_xlfn.REGEXEXTRACT(CELL("address",'Raw Data'!E138),"\$([A-Z]+)\$[0-9]+"),""),"")</f>
        <v/>
      </c>
      <c r="F138" s="6"/>
      <c r="G138" s="6"/>
      <c r="H138" s="6" t="str" cm="1">
        <f t="array" aca="1" ref="H138" ca="1">IFERROR(IF(OR('Raw Data'!H138="",LEN(TRIM('Raw Data'!H138))=0),_xlfn.REGEXEXTRACT(CELL("address",'Raw Data'!H138),"\$([A-Z]+)\$[0-9]+"),""),"")</f>
        <v/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2:22" x14ac:dyDescent="0.25">
      <c r="B139" s="6" t="str" cm="1">
        <f t="array" aca="1" ref="B139" ca="1">IFERROR(IF(OR('Raw Data'!B139="",LEN(TRIM('Raw Data'!B139))=0),_xlfn.REGEXEXTRACT(CELL("address",'Raw Data'!B139),"\$([A-Z]+)\$[0-9]+"),""),"")</f>
        <v/>
      </c>
      <c r="C139" s="6" t="str" cm="1">
        <f t="array" aca="1" ref="C139" ca="1">IFERROR(IF(OR('Raw Data'!C139="",LEN(TRIM('Raw Data'!C139))=0),_xlfn.REGEXEXTRACT(CELL("address",'Raw Data'!C139),"\$([A-Z]+)\$[0-9]+"),""),"")</f>
        <v/>
      </c>
      <c r="D139" s="6"/>
      <c r="E139" s="6" t="str" cm="1">
        <f t="array" aca="1" ref="E139" ca="1">IFERROR(IF(OR('Raw Data'!E139="",LEN(TRIM('Raw Data'!E139))=0),_xlfn.REGEXEXTRACT(CELL("address",'Raw Data'!E139),"\$([A-Z]+)\$[0-9]+"),""),"")</f>
        <v/>
      </c>
      <c r="F139" s="6"/>
      <c r="G139" s="6"/>
      <c r="H139" s="6" t="str" cm="1">
        <f t="array" aca="1" ref="H139" ca="1">IFERROR(IF(OR('Raw Data'!H139="",LEN(TRIM('Raw Data'!H139))=0),_xlfn.REGEXEXTRACT(CELL("address",'Raw Data'!H139),"\$([A-Z]+)\$[0-9]+"),""),"")</f>
        <v/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2:22" x14ac:dyDescent="0.25">
      <c r="B140" s="6" t="str" cm="1">
        <f t="array" aca="1" ref="B140" ca="1">IFERROR(IF(OR('Raw Data'!B140="",LEN(TRIM('Raw Data'!B140))=0),_xlfn.REGEXEXTRACT(CELL("address",'Raw Data'!B140),"\$([A-Z]+)\$[0-9]+"),""),"")</f>
        <v/>
      </c>
      <c r="C140" s="6" t="str" cm="1">
        <f t="array" aca="1" ref="C140" ca="1">IFERROR(IF(OR('Raw Data'!C140="",LEN(TRIM('Raw Data'!C140))=0),_xlfn.REGEXEXTRACT(CELL("address",'Raw Data'!C140),"\$([A-Z]+)\$[0-9]+"),""),"")</f>
        <v/>
      </c>
      <c r="D140" s="6"/>
      <c r="E140" s="6" t="str" cm="1">
        <f t="array" aca="1" ref="E140" ca="1">IFERROR(IF(OR('Raw Data'!E140="",LEN(TRIM('Raw Data'!E140))=0),_xlfn.REGEXEXTRACT(CELL("address",'Raw Data'!E140),"\$([A-Z]+)\$[0-9]+"),""),"")</f>
        <v/>
      </c>
      <c r="F140" s="6"/>
      <c r="G140" s="6"/>
      <c r="H140" s="6" t="str" cm="1">
        <f t="array" aca="1" ref="H140" ca="1">IFERROR(IF(OR('Raw Data'!H140="",LEN(TRIM('Raw Data'!H140))=0),_xlfn.REGEXEXTRACT(CELL("address",'Raw Data'!H140),"\$([A-Z]+)\$[0-9]+"),""),"")</f>
        <v/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2:22" x14ac:dyDescent="0.25">
      <c r="B141" s="6" t="str" cm="1">
        <f t="array" aca="1" ref="B141" ca="1">IFERROR(IF(OR('Raw Data'!B141="",LEN(TRIM('Raw Data'!B141))=0),_xlfn.REGEXEXTRACT(CELL("address",'Raw Data'!B141),"\$([A-Z]+)\$[0-9]+"),""),"")</f>
        <v/>
      </c>
      <c r="C141" s="6" t="str" cm="1">
        <f t="array" aca="1" ref="C141" ca="1">IFERROR(IF(OR('Raw Data'!C141="",LEN(TRIM('Raw Data'!C141))=0),_xlfn.REGEXEXTRACT(CELL("address",'Raw Data'!C141),"\$([A-Z]+)\$[0-9]+"),""),"")</f>
        <v/>
      </c>
      <c r="D141" s="6"/>
      <c r="E141" s="6" t="str" cm="1">
        <f t="array" aca="1" ref="E141" ca="1">IFERROR(IF(OR('Raw Data'!E141="",LEN(TRIM('Raw Data'!E141))=0),_xlfn.REGEXEXTRACT(CELL("address",'Raw Data'!E141),"\$([A-Z]+)\$[0-9]+"),""),"")</f>
        <v/>
      </c>
      <c r="F141" s="6"/>
      <c r="G141" s="6"/>
      <c r="H141" s="6" t="str" cm="1">
        <f t="array" aca="1" ref="H141" ca="1">IFERROR(IF(OR('Raw Data'!H141="",LEN(TRIM('Raw Data'!H141))=0),_xlfn.REGEXEXTRACT(CELL("address",'Raw Data'!H141),"\$([A-Z]+)\$[0-9]+"),""),"")</f>
        <v/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2:22" x14ac:dyDescent="0.25">
      <c r="B142" s="6" t="str" cm="1">
        <f t="array" aca="1" ref="B142" ca="1">IFERROR(IF(OR('Raw Data'!B142="",LEN(TRIM('Raw Data'!B142))=0),_xlfn.REGEXEXTRACT(CELL("address",'Raw Data'!B142),"\$([A-Z]+)\$[0-9]+"),""),"")</f>
        <v/>
      </c>
      <c r="C142" s="6" t="str" cm="1">
        <f t="array" aca="1" ref="C142" ca="1">IFERROR(IF(OR('Raw Data'!C142="",LEN(TRIM('Raw Data'!C142))=0),_xlfn.REGEXEXTRACT(CELL("address",'Raw Data'!C142),"\$([A-Z]+)\$[0-9]+"),""),"")</f>
        <v/>
      </c>
      <c r="D142" s="6"/>
      <c r="E142" s="6" t="str" cm="1">
        <f t="array" aca="1" ref="E142" ca="1">IFERROR(IF(OR('Raw Data'!E142="",LEN(TRIM('Raw Data'!E142))=0),_xlfn.REGEXEXTRACT(CELL("address",'Raw Data'!E142),"\$([A-Z]+)\$[0-9]+"),""),"")</f>
        <v/>
      </c>
      <c r="F142" s="6"/>
      <c r="G142" s="6"/>
      <c r="H142" s="6" t="str" cm="1">
        <f t="array" aca="1" ref="H142" ca="1">IFERROR(IF(OR('Raw Data'!H142="",LEN(TRIM('Raw Data'!H142))=0),_xlfn.REGEXEXTRACT(CELL("address",'Raw Data'!H142),"\$([A-Z]+)\$[0-9]+"),""),"")</f>
        <v/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2:22" x14ac:dyDescent="0.25">
      <c r="B143" s="6" t="str" cm="1">
        <f t="array" aca="1" ref="B143" ca="1">IFERROR(IF(OR('Raw Data'!B143="",LEN(TRIM('Raw Data'!B143))=0),_xlfn.REGEXEXTRACT(CELL("address",'Raw Data'!B143),"\$([A-Z]+)\$[0-9]+"),""),"")</f>
        <v/>
      </c>
      <c r="C143" s="6" t="str" cm="1">
        <f t="array" aca="1" ref="C143" ca="1">IFERROR(IF(OR('Raw Data'!C143="",LEN(TRIM('Raw Data'!C143))=0),_xlfn.REGEXEXTRACT(CELL("address",'Raw Data'!C143),"\$([A-Z]+)\$[0-9]+"),""),"")</f>
        <v/>
      </c>
      <c r="D143" s="6"/>
      <c r="E143" s="6" t="str" cm="1">
        <f t="array" aca="1" ref="E143" ca="1">IFERROR(IF(OR('Raw Data'!E143="",LEN(TRIM('Raw Data'!E143))=0),_xlfn.REGEXEXTRACT(CELL("address",'Raw Data'!E143),"\$([A-Z]+)\$[0-9]+"),""),"")</f>
        <v/>
      </c>
      <c r="F143" s="6"/>
      <c r="G143" s="6"/>
      <c r="H143" s="6" t="str" cm="1">
        <f t="array" aca="1" ref="H143" ca="1">IFERROR(IF(OR('Raw Data'!H143="",LEN(TRIM('Raw Data'!H143))=0),_xlfn.REGEXEXTRACT(CELL("address",'Raw Data'!H143),"\$([A-Z]+)\$[0-9]+"),""),"")</f>
        <v/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2:22" x14ac:dyDescent="0.25">
      <c r="B144" s="6" t="str" cm="1">
        <f t="array" aca="1" ref="B144" ca="1">IFERROR(IF(OR('Raw Data'!B144="",LEN(TRIM('Raw Data'!B144))=0),_xlfn.REGEXEXTRACT(CELL("address",'Raw Data'!B144),"\$([A-Z]+)\$[0-9]+"),""),"")</f>
        <v/>
      </c>
      <c r="C144" s="6" t="str" cm="1">
        <f t="array" aca="1" ref="C144" ca="1">IFERROR(IF(OR('Raw Data'!C144="",LEN(TRIM('Raw Data'!C144))=0),_xlfn.REGEXEXTRACT(CELL("address",'Raw Data'!C144),"\$([A-Z]+)\$[0-9]+"),""),"")</f>
        <v/>
      </c>
      <c r="D144" s="6"/>
      <c r="E144" s="6" t="str" cm="1">
        <f t="array" aca="1" ref="E144" ca="1">IFERROR(IF(OR('Raw Data'!E144="",LEN(TRIM('Raw Data'!E144))=0),_xlfn.REGEXEXTRACT(CELL("address",'Raw Data'!E144),"\$([A-Z]+)\$[0-9]+"),""),"")</f>
        <v/>
      </c>
      <c r="F144" s="6"/>
      <c r="G144" s="6"/>
      <c r="H144" s="6" t="str" cm="1">
        <f t="array" aca="1" ref="H144" ca="1">IFERROR(IF(OR('Raw Data'!H144="",LEN(TRIM('Raw Data'!H144))=0),_xlfn.REGEXEXTRACT(CELL("address",'Raw Data'!H144),"\$([A-Z]+)\$[0-9]+"),""),"")</f>
        <v/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2:22" x14ac:dyDescent="0.25">
      <c r="B145" s="6" t="str" cm="1">
        <f t="array" aca="1" ref="B145" ca="1">IFERROR(IF(OR('Raw Data'!B145="",LEN(TRIM('Raw Data'!B145))=0),_xlfn.REGEXEXTRACT(CELL("address",'Raw Data'!B145),"\$([A-Z]+)\$[0-9]+"),""),"")</f>
        <v/>
      </c>
      <c r="C145" s="6" t="str" cm="1">
        <f t="array" aca="1" ref="C145" ca="1">IFERROR(IF(OR('Raw Data'!C145="",LEN(TRIM('Raw Data'!C145))=0),_xlfn.REGEXEXTRACT(CELL("address",'Raw Data'!C145),"\$([A-Z]+)\$[0-9]+"),""),"")</f>
        <v/>
      </c>
      <c r="D145" s="6"/>
      <c r="E145" s="6" t="str" cm="1">
        <f t="array" aca="1" ref="E145" ca="1">IFERROR(IF(OR('Raw Data'!E145="",LEN(TRIM('Raw Data'!E145))=0),_xlfn.REGEXEXTRACT(CELL("address",'Raw Data'!E145),"\$([A-Z]+)\$[0-9]+"),""),"")</f>
        <v/>
      </c>
      <c r="F145" s="6"/>
      <c r="G145" s="6"/>
      <c r="H145" s="6" t="str" cm="1">
        <f t="array" aca="1" ref="H145" ca="1">IFERROR(IF(OR('Raw Data'!H145="",LEN(TRIM('Raw Data'!H145))=0),_xlfn.REGEXEXTRACT(CELL("address",'Raw Data'!H145),"\$([A-Z]+)\$[0-9]+"),""),"")</f>
        <v/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2:22" x14ac:dyDescent="0.25">
      <c r="B146" s="6" t="str" cm="1">
        <f t="array" aca="1" ref="B146" ca="1">IFERROR(IF(OR('Raw Data'!B146="",LEN(TRIM('Raw Data'!B146))=0),_xlfn.REGEXEXTRACT(CELL("address",'Raw Data'!B146),"\$([A-Z]+)\$[0-9]+"),""),"")</f>
        <v/>
      </c>
      <c r="C146" s="6" t="str" cm="1">
        <f t="array" aca="1" ref="C146" ca="1">IFERROR(IF(OR('Raw Data'!C146="",LEN(TRIM('Raw Data'!C146))=0),_xlfn.REGEXEXTRACT(CELL("address",'Raw Data'!C146),"\$([A-Z]+)\$[0-9]+"),""),"")</f>
        <v/>
      </c>
      <c r="D146" s="6"/>
      <c r="E146" s="6" t="str" cm="1">
        <f t="array" aca="1" ref="E146" ca="1">IFERROR(IF(OR('Raw Data'!E146="",LEN(TRIM('Raw Data'!E146))=0),_xlfn.REGEXEXTRACT(CELL("address",'Raw Data'!E146),"\$([A-Z]+)\$[0-9]+"),""),"")</f>
        <v/>
      </c>
      <c r="F146" s="6"/>
      <c r="G146" s="6"/>
      <c r="H146" s="6" t="str" cm="1">
        <f t="array" aca="1" ref="H146" ca="1">IFERROR(IF(OR('Raw Data'!H146="",LEN(TRIM('Raw Data'!H146))=0),_xlfn.REGEXEXTRACT(CELL("address",'Raw Data'!H146),"\$([A-Z]+)\$[0-9]+"),""),"")</f>
        <v/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2:22" x14ac:dyDescent="0.25">
      <c r="B147" s="6" t="str" cm="1">
        <f t="array" aca="1" ref="B147" ca="1">IFERROR(IF(OR('Raw Data'!B147="",LEN(TRIM('Raw Data'!B147))=0),_xlfn.REGEXEXTRACT(CELL("address",'Raw Data'!B147),"\$([A-Z]+)\$[0-9]+"),""),"")</f>
        <v/>
      </c>
      <c r="C147" s="6" t="str" cm="1">
        <f t="array" aca="1" ref="C147" ca="1">IFERROR(IF(OR('Raw Data'!C147="",LEN(TRIM('Raw Data'!C147))=0),_xlfn.REGEXEXTRACT(CELL("address",'Raw Data'!C147),"\$([A-Z]+)\$[0-9]+"),""),"")</f>
        <v/>
      </c>
      <c r="D147" s="6"/>
      <c r="E147" s="6" t="str" cm="1">
        <f t="array" aca="1" ref="E147" ca="1">IFERROR(IF(OR('Raw Data'!E147="",LEN(TRIM('Raw Data'!E147))=0),_xlfn.REGEXEXTRACT(CELL("address",'Raw Data'!E147),"\$([A-Z]+)\$[0-9]+"),""),"")</f>
        <v/>
      </c>
      <c r="F147" s="6"/>
      <c r="G147" s="6"/>
      <c r="H147" s="6" t="str" cm="1">
        <f t="array" aca="1" ref="H147" ca="1">IFERROR(IF(OR('Raw Data'!H147="",LEN(TRIM('Raw Data'!H147))=0),_xlfn.REGEXEXTRACT(CELL("address",'Raw Data'!H147),"\$([A-Z]+)\$[0-9]+"),""),"")</f>
        <v/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2:22" x14ac:dyDescent="0.25">
      <c r="B148" s="6" t="str" cm="1">
        <f t="array" aca="1" ref="B148" ca="1">IFERROR(IF(OR('Raw Data'!B148="",LEN(TRIM('Raw Data'!B148))=0),_xlfn.REGEXEXTRACT(CELL("address",'Raw Data'!B148),"\$([A-Z]+)\$[0-9]+"),""),"")</f>
        <v/>
      </c>
      <c r="C148" s="6" t="str" cm="1">
        <f t="array" aca="1" ref="C148" ca="1">IFERROR(IF(OR('Raw Data'!C148="",LEN(TRIM('Raw Data'!C148))=0),_xlfn.REGEXEXTRACT(CELL("address",'Raw Data'!C148),"\$([A-Z]+)\$[0-9]+"),""),"")</f>
        <v/>
      </c>
      <c r="D148" s="6"/>
      <c r="E148" s="6" t="str" cm="1">
        <f t="array" aca="1" ref="E148" ca="1">IFERROR(IF(OR('Raw Data'!E148="",LEN(TRIM('Raw Data'!E148))=0),_xlfn.REGEXEXTRACT(CELL("address",'Raw Data'!E148),"\$([A-Z]+)\$[0-9]+"),""),"")</f>
        <v/>
      </c>
      <c r="F148" s="6"/>
      <c r="G148" s="6"/>
      <c r="H148" s="6" t="str" cm="1">
        <f t="array" aca="1" ref="H148" ca="1">IFERROR(IF(OR('Raw Data'!H148="",LEN(TRIM('Raw Data'!H148))=0),_xlfn.REGEXEXTRACT(CELL("address",'Raw Data'!H148),"\$([A-Z]+)\$[0-9]+"),""),"")</f>
        <v/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2:22" x14ac:dyDescent="0.25">
      <c r="B149" s="6" t="str" cm="1">
        <f t="array" aca="1" ref="B149" ca="1">IFERROR(IF(OR('Raw Data'!B149="",LEN(TRIM('Raw Data'!B149))=0),_xlfn.REGEXEXTRACT(CELL("address",'Raw Data'!B149),"\$([A-Z]+)\$[0-9]+"),""),"")</f>
        <v/>
      </c>
      <c r="C149" s="6" t="str" cm="1">
        <f t="array" aca="1" ref="C149" ca="1">IFERROR(IF(OR('Raw Data'!C149="",LEN(TRIM('Raw Data'!C149))=0),_xlfn.REGEXEXTRACT(CELL("address",'Raw Data'!C149),"\$([A-Z]+)\$[0-9]+"),""),"")</f>
        <v/>
      </c>
      <c r="D149" s="6"/>
      <c r="E149" s="6" t="str" cm="1">
        <f t="array" aca="1" ref="E149" ca="1">IFERROR(IF(OR('Raw Data'!E149="",LEN(TRIM('Raw Data'!E149))=0),_xlfn.REGEXEXTRACT(CELL("address",'Raw Data'!E149),"\$([A-Z]+)\$[0-9]+"),""),"")</f>
        <v/>
      </c>
      <c r="F149" s="6"/>
      <c r="G149" s="6"/>
      <c r="H149" s="6" t="str" cm="1">
        <f t="array" aca="1" ref="H149" ca="1">IFERROR(IF(OR('Raw Data'!H149="",LEN(TRIM('Raw Data'!H149))=0),_xlfn.REGEXEXTRACT(CELL("address",'Raw Data'!H149),"\$([A-Z]+)\$[0-9]+"),""),"")</f>
        <v/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2:22" x14ac:dyDescent="0.25">
      <c r="B150" s="6" t="str" cm="1">
        <f t="array" aca="1" ref="B150" ca="1">IFERROR(IF(OR('Raw Data'!B150="",LEN(TRIM('Raw Data'!B150))=0),_xlfn.REGEXEXTRACT(CELL("address",'Raw Data'!B150),"\$([A-Z]+)\$[0-9]+"),""),"")</f>
        <v/>
      </c>
      <c r="C150" s="6" t="str" cm="1">
        <f t="array" aca="1" ref="C150" ca="1">IFERROR(IF(OR('Raw Data'!C150="",LEN(TRIM('Raw Data'!C150))=0),_xlfn.REGEXEXTRACT(CELL("address",'Raw Data'!C150),"\$([A-Z]+)\$[0-9]+"),""),"")</f>
        <v/>
      </c>
      <c r="D150" s="6"/>
      <c r="E150" s="6" t="str" cm="1">
        <f t="array" aca="1" ref="E150" ca="1">IFERROR(IF(OR('Raw Data'!E150="",LEN(TRIM('Raw Data'!E150))=0),_xlfn.REGEXEXTRACT(CELL("address",'Raw Data'!E150),"\$([A-Z]+)\$[0-9]+"),""),"")</f>
        <v/>
      </c>
      <c r="F150" s="6"/>
      <c r="G150" s="6"/>
      <c r="H150" s="6" t="str" cm="1">
        <f t="array" aca="1" ref="H150" ca="1">IFERROR(IF(OR('Raw Data'!H150="",LEN(TRIM('Raw Data'!H150))=0),_xlfn.REGEXEXTRACT(CELL("address",'Raw Data'!H150),"\$([A-Z]+)\$[0-9]+"),""),"")</f>
        <v/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2:22" x14ac:dyDescent="0.25">
      <c r="B151" s="6" t="str" cm="1">
        <f t="array" aca="1" ref="B151" ca="1">IFERROR(IF(OR('Raw Data'!B151="",LEN(TRIM('Raw Data'!B151))=0),_xlfn.REGEXEXTRACT(CELL("address",'Raw Data'!B151),"\$([A-Z]+)\$[0-9]+"),""),"")</f>
        <v/>
      </c>
      <c r="C151" s="6" t="str" cm="1">
        <f t="array" aca="1" ref="C151" ca="1">IFERROR(IF(OR('Raw Data'!C151="",LEN(TRIM('Raw Data'!C151))=0),_xlfn.REGEXEXTRACT(CELL("address",'Raw Data'!C151),"\$([A-Z]+)\$[0-9]+"),""),"")</f>
        <v/>
      </c>
      <c r="D151" s="6"/>
      <c r="E151" s="6" t="str" cm="1">
        <f t="array" aca="1" ref="E151" ca="1">IFERROR(IF(OR('Raw Data'!E151="",LEN(TRIM('Raw Data'!E151))=0),_xlfn.REGEXEXTRACT(CELL("address",'Raw Data'!E151),"\$([A-Z]+)\$[0-9]+"),""),"")</f>
        <v/>
      </c>
      <c r="F151" s="6"/>
      <c r="G151" s="6"/>
      <c r="H151" s="6" t="str" cm="1">
        <f t="array" aca="1" ref="H151" ca="1">IFERROR(IF(OR('Raw Data'!H151="",LEN(TRIM('Raw Data'!H151))=0),_xlfn.REGEXEXTRACT(CELL("address",'Raw Data'!H151),"\$([A-Z]+)\$[0-9]+"),""),"")</f>
        <v/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2:22" x14ac:dyDescent="0.25">
      <c r="B152" s="6" t="str" cm="1">
        <f t="array" aca="1" ref="B152" ca="1">IFERROR(IF(OR('Raw Data'!B152="",LEN(TRIM('Raw Data'!B152))=0),_xlfn.REGEXEXTRACT(CELL("address",'Raw Data'!B152),"\$([A-Z]+)\$[0-9]+"),""),"")</f>
        <v/>
      </c>
      <c r="C152" s="6" t="str" cm="1">
        <f t="array" aca="1" ref="C152" ca="1">IFERROR(IF(OR('Raw Data'!C152="",LEN(TRIM('Raw Data'!C152))=0),_xlfn.REGEXEXTRACT(CELL("address",'Raw Data'!C152),"\$([A-Z]+)\$[0-9]+"),""),"")</f>
        <v/>
      </c>
      <c r="D152" s="6"/>
      <c r="E152" s="6" t="str" cm="1">
        <f t="array" aca="1" ref="E152" ca="1">IFERROR(IF(OR('Raw Data'!E152="",LEN(TRIM('Raw Data'!E152))=0),_xlfn.REGEXEXTRACT(CELL("address",'Raw Data'!E152),"\$([A-Z]+)\$[0-9]+"),""),"")</f>
        <v/>
      </c>
      <c r="F152" s="6"/>
      <c r="G152" s="6"/>
      <c r="H152" s="6" t="str" cm="1">
        <f t="array" aca="1" ref="H152" ca="1">IFERROR(IF(OR('Raw Data'!H152="",LEN(TRIM('Raw Data'!H152))=0),_xlfn.REGEXEXTRACT(CELL("address",'Raw Data'!H152),"\$([A-Z]+)\$[0-9]+"),""),"")</f>
        <v/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2:22" x14ac:dyDescent="0.25">
      <c r="B153" s="6" t="str" cm="1">
        <f t="array" aca="1" ref="B153" ca="1">IFERROR(IF(OR('Raw Data'!B153="",LEN(TRIM('Raw Data'!B153))=0),_xlfn.REGEXEXTRACT(CELL("address",'Raw Data'!B153),"\$([A-Z]+)\$[0-9]+"),""),"")</f>
        <v/>
      </c>
      <c r="C153" s="6" t="str" cm="1">
        <f t="array" aca="1" ref="C153" ca="1">IFERROR(IF(OR('Raw Data'!C153="",LEN(TRIM('Raw Data'!C153))=0),_xlfn.REGEXEXTRACT(CELL("address",'Raw Data'!C153),"\$([A-Z]+)\$[0-9]+"),""),"")</f>
        <v/>
      </c>
      <c r="D153" s="6"/>
      <c r="E153" s="6" t="str" cm="1">
        <f t="array" aca="1" ref="E153" ca="1">IFERROR(IF(OR('Raw Data'!E153="",LEN(TRIM('Raw Data'!E153))=0),_xlfn.REGEXEXTRACT(CELL("address",'Raw Data'!E153),"\$([A-Z]+)\$[0-9]+"),""),"")</f>
        <v/>
      </c>
      <c r="F153" s="6"/>
      <c r="G153" s="6"/>
      <c r="H153" s="6" t="str" cm="1">
        <f t="array" aca="1" ref="H153" ca="1">IFERROR(IF(OR('Raw Data'!H153="",LEN(TRIM('Raw Data'!H153))=0),_xlfn.REGEXEXTRACT(CELL("address",'Raw Data'!H153),"\$([A-Z]+)\$[0-9]+"),""),"")</f>
        <v/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2:22" x14ac:dyDescent="0.25">
      <c r="B154" s="6" t="str" cm="1">
        <f t="array" aca="1" ref="B154" ca="1">IFERROR(IF(OR('Raw Data'!B154="",LEN(TRIM('Raw Data'!B154))=0),_xlfn.REGEXEXTRACT(CELL("address",'Raw Data'!B154),"\$([A-Z]+)\$[0-9]+"),""),"")</f>
        <v/>
      </c>
      <c r="C154" s="6" t="str" cm="1">
        <f t="array" aca="1" ref="C154" ca="1">IFERROR(IF(OR('Raw Data'!C154="",LEN(TRIM('Raw Data'!C154))=0),_xlfn.REGEXEXTRACT(CELL("address",'Raw Data'!C154),"\$([A-Z]+)\$[0-9]+"),""),"")</f>
        <v/>
      </c>
      <c r="D154" s="6"/>
      <c r="E154" s="6" t="str" cm="1">
        <f t="array" aca="1" ref="E154" ca="1">IFERROR(IF(OR('Raw Data'!E154="",LEN(TRIM('Raw Data'!E154))=0),_xlfn.REGEXEXTRACT(CELL("address",'Raw Data'!E154),"\$([A-Z]+)\$[0-9]+"),""),"")</f>
        <v/>
      </c>
      <c r="F154" s="6"/>
      <c r="G154" s="6"/>
      <c r="H154" s="6" t="str" cm="1">
        <f t="array" aca="1" ref="H154" ca="1">IFERROR(IF(OR('Raw Data'!H154="",LEN(TRIM('Raw Data'!H154))=0),_xlfn.REGEXEXTRACT(CELL("address",'Raw Data'!H154),"\$([A-Z]+)\$[0-9]+"),""),"")</f>
        <v/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2:22" x14ac:dyDescent="0.25">
      <c r="B155" s="6" t="str" cm="1">
        <f t="array" aca="1" ref="B155" ca="1">IFERROR(IF(OR('Raw Data'!B155="",LEN(TRIM('Raw Data'!B155))=0),_xlfn.REGEXEXTRACT(CELL("address",'Raw Data'!B155),"\$([A-Z]+)\$[0-9]+"),""),"")</f>
        <v/>
      </c>
      <c r="C155" s="6" t="str" cm="1">
        <f t="array" aca="1" ref="C155" ca="1">IFERROR(IF(OR('Raw Data'!C155="",LEN(TRIM('Raw Data'!C155))=0),_xlfn.REGEXEXTRACT(CELL("address",'Raw Data'!C155),"\$([A-Z]+)\$[0-9]+"),""),"")</f>
        <v/>
      </c>
      <c r="D155" s="6"/>
      <c r="E155" s="6" t="str" cm="1">
        <f t="array" aca="1" ref="E155" ca="1">IFERROR(IF(OR('Raw Data'!E155="",LEN(TRIM('Raw Data'!E155))=0),_xlfn.REGEXEXTRACT(CELL("address",'Raw Data'!E155),"\$([A-Z]+)\$[0-9]+"),""),"")</f>
        <v/>
      </c>
      <c r="F155" s="6"/>
      <c r="G155" s="6"/>
      <c r="H155" s="6" t="str" cm="1">
        <f t="array" aca="1" ref="H155" ca="1">IFERROR(IF(OR('Raw Data'!H155="",LEN(TRIM('Raw Data'!H155))=0),_xlfn.REGEXEXTRACT(CELL("address",'Raw Data'!H155),"\$([A-Z]+)\$[0-9]+"),""),"")</f>
        <v/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2:22" x14ac:dyDescent="0.25">
      <c r="B156" s="6" t="str" cm="1">
        <f t="array" aca="1" ref="B156" ca="1">IFERROR(IF(OR('Raw Data'!B156="",LEN(TRIM('Raw Data'!B156))=0),_xlfn.REGEXEXTRACT(CELL("address",'Raw Data'!B156),"\$([A-Z]+)\$[0-9]+"),""),"")</f>
        <v/>
      </c>
      <c r="C156" s="6" t="str" cm="1">
        <f t="array" aca="1" ref="C156" ca="1">IFERROR(IF(OR('Raw Data'!C156="",LEN(TRIM('Raw Data'!C156))=0),_xlfn.REGEXEXTRACT(CELL("address",'Raw Data'!C156),"\$([A-Z]+)\$[0-9]+"),""),"")</f>
        <v/>
      </c>
      <c r="D156" s="6"/>
      <c r="E156" s="6" t="str" cm="1">
        <f t="array" aca="1" ref="E156" ca="1">IFERROR(IF(OR('Raw Data'!E156="",LEN(TRIM('Raw Data'!E156))=0),_xlfn.REGEXEXTRACT(CELL("address",'Raw Data'!E156),"\$([A-Z]+)\$[0-9]+"),""),"")</f>
        <v/>
      </c>
      <c r="F156" s="6"/>
      <c r="G156" s="6"/>
      <c r="H156" s="6" t="str" cm="1">
        <f t="array" aca="1" ref="H156" ca="1">IFERROR(IF(OR('Raw Data'!H156="",LEN(TRIM('Raw Data'!H156))=0),_xlfn.REGEXEXTRACT(CELL("address",'Raw Data'!H156),"\$([A-Z]+)\$[0-9]+"),""),"")</f>
        <v/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2:22" x14ac:dyDescent="0.25">
      <c r="B157" s="6" t="str" cm="1">
        <f t="array" aca="1" ref="B157" ca="1">IFERROR(IF(OR('Raw Data'!B157="",LEN(TRIM('Raw Data'!B157))=0),_xlfn.REGEXEXTRACT(CELL("address",'Raw Data'!B157),"\$([A-Z]+)\$[0-9]+"),""),"")</f>
        <v/>
      </c>
      <c r="C157" s="6" t="str" cm="1">
        <f t="array" aca="1" ref="C157" ca="1">IFERROR(IF(OR('Raw Data'!C157="",LEN(TRIM('Raw Data'!C157))=0),_xlfn.REGEXEXTRACT(CELL("address",'Raw Data'!C157),"\$([A-Z]+)\$[0-9]+"),""),"")</f>
        <v/>
      </c>
      <c r="D157" s="6"/>
      <c r="E157" s="6" t="str" cm="1">
        <f t="array" aca="1" ref="E157" ca="1">IFERROR(IF(OR('Raw Data'!E157="",LEN(TRIM('Raw Data'!E157))=0),_xlfn.REGEXEXTRACT(CELL("address",'Raw Data'!E157),"\$([A-Z]+)\$[0-9]+"),""),"")</f>
        <v/>
      </c>
      <c r="F157" s="6"/>
      <c r="G157" s="6"/>
      <c r="H157" s="6" t="str" cm="1">
        <f t="array" aca="1" ref="H157" ca="1">IFERROR(IF(OR('Raw Data'!H157="",LEN(TRIM('Raw Data'!H157))=0),_xlfn.REGEXEXTRACT(CELL("address",'Raw Data'!H157),"\$([A-Z]+)\$[0-9]+"),""),"")</f>
        <v/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2:22" x14ac:dyDescent="0.25">
      <c r="B158" s="6" t="str" cm="1">
        <f t="array" aca="1" ref="B158" ca="1">IFERROR(IF(OR('Raw Data'!B158="",LEN(TRIM('Raw Data'!B158))=0),_xlfn.REGEXEXTRACT(CELL("address",'Raw Data'!B158),"\$([A-Z]+)\$[0-9]+"),""),"")</f>
        <v/>
      </c>
      <c r="C158" s="6" t="str" cm="1">
        <f t="array" aca="1" ref="C158" ca="1">IFERROR(IF(OR('Raw Data'!C158="",LEN(TRIM('Raw Data'!C158))=0),_xlfn.REGEXEXTRACT(CELL("address",'Raw Data'!C158),"\$([A-Z]+)\$[0-9]+"),""),"")</f>
        <v/>
      </c>
      <c r="D158" s="6"/>
      <c r="E158" s="6" t="str" cm="1">
        <f t="array" aca="1" ref="E158" ca="1">IFERROR(IF(OR('Raw Data'!E158="",LEN(TRIM('Raw Data'!E158))=0),_xlfn.REGEXEXTRACT(CELL("address",'Raw Data'!E158),"\$([A-Z]+)\$[0-9]+"),""),"")</f>
        <v/>
      </c>
      <c r="F158" s="6"/>
      <c r="G158" s="6"/>
      <c r="H158" s="6" t="str" cm="1">
        <f t="array" aca="1" ref="H158" ca="1">IFERROR(IF(OR('Raw Data'!H158="",LEN(TRIM('Raw Data'!H158))=0),_xlfn.REGEXEXTRACT(CELL("address",'Raw Data'!H158),"\$([A-Z]+)\$[0-9]+"),""),"")</f>
        <v/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2:22" x14ac:dyDescent="0.25">
      <c r="B159" s="6" t="str" cm="1">
        <f t="array" aca="1" ref="B159" ca="1">IFERROR(IF(OR('Raw Data'!B159="",LEN(TRIM('Raw Data'!B159))=0),_xlfn.REGEXEXTRACT(CELL("address",'Raw Data'!B159),"\$([A-Z]+)\$[0-9]+"),""),"")</f>
        <v/>
      </c>
      <c r="C159" s="6" t="str" cm="1">
        <f t="array" aca="1" ref="C159" ca="1">IFERROR(IF(OR('Raw Data'!C159="",LEN(TRIM('Raw Data'!C159))=0),_xlfn.REGEXEXTRACT(CELL("address",'Raw Data'!C159),"\$([A-Z]+)\$[0-9]+"),""),"")</f>
        <v/>
      </c>
      <c r="D159" s="6"/>
      <c r="E159" s="6" t="str" cm="1">
        <f t="array" aca="1" ref="E159" ca="1">IFERROR(IF(OR('Raw Data'!E159="",LEN(TRIM('Raw Data'!E159))=0),_xlfn.REGEXEXTRACT(CELL("address",'Raw Data'!E159),"\$([A-Z]+)\$[0-9]+"),""),"")</f>
        <v/>
      </c>
      <c r="F159" s="6"/>
      <c r="G159" s="6"/>
      <c r="H159" s="6" t="str" cm="1">
        <f t="array" aca="1" ref="H159" ca="1">IFERROR(IF(OR('Raw Data'!H159="",LEN(TRIM('Raw Data'!H159))=0),_xlfn.REGEXEXTRACT(CELL("address",'Raw Data'!H159),"\$([A-Z]+)\$[0-9]+"),""),"")</f>
        <v/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2:22" x14ac:dyDescent="0.25">
      <c r="B160" s="6" t="str" cm="1">
        <f t="array" aca="1" ref="B160" ca="1">IFERROR(IF(OR('Raw Data'!B160="",LEN(TRIM('Raw Data'!B160))=0),_xlfn.REGEXEXTRACT(CELL("address",'Raw Data'!B160),"\$([A-Z]+)\$[0-9]+"),""),"")</f>
        <v/>
      </c>
      <c r="C160" s="6" t="str" cm="1">
        <f t="array" aca="1" ref="C160" ca="1">IFERROR(IF(OR('Raw Data'!C160="",LEN(TRIM('Raw Data'!C160))=0),_xlfn.REGEXEXTRACT(CELL("address",'Raw Data'!C160),"\$([A-Z]+)\$[0-9]+"),""),"")</f>
        <v/>
      </c>
      <c r="D160" s="6"/>
      <c r="E160" s="6" t="str" cm="1">
        <f t="array" aca="1" ref="E160" ca="1">IFERROR(IF(OR('Raw Data'!E160="",LEN(TRIM('Raw Data'!E160))=0),_xlfn.REGEXEXTRACT(CELL("address",'Raw Data'!E160),"\$([A-Z]+)\$[0-9]+"),""),"")</f>
        <v/>
      </c>
      <c r="F160" s="6"/>
      <c r="G160" s="6"/>
      <c r="H160" s="6" t="str" cm="1">
        <f t="array" aca="1" ref="H160" ca="1">IFERROR(IF(OR('Raw Data'!H160="",LEN(TRIM('Raw Data'!H160))=0),_xlfn.REGEXEXTRACT(CELL("address",'Raw Data'!H160),"\$([A-Z]+)\$[0-9]+"),""),"")</f>
        <v/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2:22" x14ac:dyDescent="0.25">
      <c r="B161" s="6" t="str" cm="1">
        <f t="array" aca="1" ref="B161" ca="1">IFERROR(IF(OR('Raw Data'!B161="",LEN(TRIM('Raw Data'!B161))=0),_xlfn.REGEXEXTRACT(CELL("address",'Raw Data'!B161),"\$([A-Z]+)\$[0-9]+"),""),"")</f>
        <v/>
      </c>
      <c r="C161" s="6" t="str" cm="1">
        <f t="array" aca="1" ref="C161" ca="1">IFERROR(IF(OR('Raw Data'!C161="",LEN(TRIM('Raw Data'!C161))=0),_xlfn.REGEXEXTRACT(CELL("address",'Raw Data'!C161),"\$([A-Z]+)\$[0-9]+"),""),"")</f>
        <v/>
      </c>
      <c r="D161" s="6"/>
      <c r="E161" s="6" t="str" cm="1">
        <f t="array" aca="1" ref="E161" ca="1">IFERROR(IF(OR('Raw Data'!E161="",LEN(TRIM('Raw Data'!E161))=0),_xlfn.REGEXEXTRACT(CELL("address",'Raw Data'!E161),"\$([A-Z]+)\$[0-9]+"),""),"")</f>
        <v/>
      </c>
      <c r="F161" s="6"/>
      <c r="G161" s="6"/>
      <c r="H161" s="6" t="str" cm="1">
        <f t="array" aca="1" ref="H161" ca="1">IFERROR(IF(OR('Raw Data'!H161="",LEN(TRIM('Raw Data'!H161))=0),_xlfn.REGEXEXTRACT(CELL("address",'Raw Data'!H161),"\$([A-Z]+)\$[0-9]+"),""),"")</f>
        <v/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2:22" x14ac:dyDescent="0.25">
      <c r="B162" s="6" t="str" cm="1">
        <f t="array" aca="1" ref="B162" ca="1">IFERROR(IF(OR('Raw Data'!B162="",LEN(TRIM('Raw Data'!B162))=0),_xlfn.REGEXEXTRACT(CELL("address",'Raw Data'!B162),"\$([A-Z]+)\$[0-9]+"),""),"")</f>
        <v/>
      </c>
      <c r="C162" s="6" t="str" cm="1">
        <f t="array" aca="1" ref="C162" ca="1">IFERROR(IF(OR('Raw Data'!C162="",LEN(TRIM('Raw Data'!C162))=0),_xlfn.REGEXEXTRACT(CELL("address",'Raw Data'!C162),"\$([A-Z]+)\$[0-9]+"),""),"")</f>
        <v/>
      </c>
      <c r="D162" s="6"/>
      <c r="E162" s="6" t="str" cm="1">
        <f t="array" aca="1" ref="E162" ca="1">IFERROR(IF(OR('Raw Data'!E162="",LEN(TRIM('Raw Data'!E162))=0),_xlfn.REGEXEXTRACT(CELL("address",'Raw Data'!E162),"\$([A-Z]+)\$[0-9]+"),""),"")</f>
        <v/>
      </c>
      <c r="F162" s="6"/>
      <c r="G162" s="6"/>
      <c r="H162" s="6" t="str" cm="1">
        <f t="array" aca="1" ref="H162" ca="1">IFERROR(IF(OR('Raw Data'!H162="",LEN(TRIM('Raw Data'!H162))=0),_xlfn.REGEXEXTRACT(CELL("address",'Raw Data'!H162),"\$([A-Z]+)\$[0-9]+"),""),"")</f>
        <v/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2:22" x14ac:dyDescent="0.25">
      <c r="B163" s="6" t="str" cm="1">
        <f t="array" aca="1" ref="B163" ca="1">IFERROR(IF(OR('Raw Data'!B163="",LEN(TRIM('Raw Data'!B163))=0),_xlfn.REGEXEXTRACT(CELL("address",'Raw Data'!B163),"\$([A-Z]+)\$[0-9]+"),""),"")</f>
        <v/>
      </c>
      <c r="C163" s="6" t="str" cm="1">
        <f t="array" aca="1" ref="C163" ca="1">IFERROR(IF(OR('Raw Data'!C163="",LEN(TRIM('Raw Data'!C163))=0),_xlfn.REGEXEXTRACT(CELL("address",'Raw Data'!C163),"\$([A-Z]+)\$[0-9]+"),""),"")</f>
        <v/>
      </c>
      <c r="D163" s="6"/>
      <c r="E163" s="6" t="str" cm="1">
        <f t="array" aca="1" ref="E163" ca="1">IFERROR(IF(OR('Raw Data'!E163="",LEN(TRIM('Raw Data'!E163))=0),_xlfn.REGEXEXTRACT(CELL("address",'Raw Data'!E163),"\$([A-Z]+)\$[0-9]+"),""),"")</f>
        <v/>
      </c>
      <c r="F163" s="6"/>
      <c r="G163" s="6"/>
      <c r="H163" s="6" t="str" cm="1">
        <f t="array" aca="1" ref="H163" ca="1">IFERROR(IF(OR('Raw Data'!H163="",LEN(TRIM('Raw Data'!H163))=0),_xlfn.REGEXEXTRACT(CELL("address",'Raw Data'!H163),"\$([A-Z]+)\$[0-9]+"),""),"")</f>
        <v/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2:22" x14ac:dyDescent="0.25">
      <c r="B164" s="6" t="str" cm="1">
        <f t="array" aca="1" ref="B164" ca="1">IFERROR(IF(OR('Raw Data'!B164="",LEN(TRIM('Raw Data'!B164))=0),_xlfn.REGEXEXTRACT(CELL("address",'Raw Data'!B164),"\$([A-Z]+)\$[0-9]+"),""),"")</f>
        <v/>
      </c>
      <c r="C164" s="6" t="str" cm="1">
        <f t="array" aca="1" ref="C164" ca="1">IFERROR(IF(OR('Raw Data'!C164="",LEN(TRIM('Raw Data'!C164))=0),_xlfn.REGEXEXTRACT(CELL("address",'Raw Data'!C164),"\$([A-Z]+)\$[0-9]+"),""),"")</f>
        <v/>
      </c>
      <c r="D164" s="6"/>
      <c r="E164" s="6" t="str" cm="1">
        <f t="array" aca="1" ref="E164" ca="1">IFERROR(IF(OR('Raw Data'!E164="",LEN(TRIM('Raw Data'!E164))=0),_xlfn.REGEXEXTRACT(CELL("address",'Raw Data'!E164),"\$([A-Z]+)\$[0-9]+"),""),"")</f>
        <v/>
      </c>
      <c r="F164" s="6"/>
      <c r="G164" s="6"/>
      <c r="H164" s="6" t="str" cm="1">
        <f t="array" aca="1" ref="H164" ca="1">IFERROR(IF(OR('Raw Data'!H164="",LEN(TRIM('Raw Data'!H164))=0),_xlfn.REGEXEXTRACT(CELL("address",'Raw Data'!H164),"\$([A-Z]+)\$[0-9]+"),""),"")</f>
        <v/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2:22" x14ac:dyDescent="0.25">
      <c r="B165" s="6" t="str" cm="1">
        <f t="array" aca="1" ref="B165" ca="1">IFERROR(IF(OR('Raw Data'!B165="",LEN(TRIM('Raw Data'!B165))=0),_xlfn.REGEXEXTRACT(CELL("address",'Raw Data'!B165),"\$([A-Z]+)\$[0-9]+"),""),"")</f>
        <v/>
      </c>
      <c r="C165" s="6" t="str" cm="1">
        <f t="array" aca="1" ref="C165" ca="1">IFERROR(IF(OR('Raw Data'!C165="",LEN(TRIM('Raw Data'!C165))=0),_xlfn.REGEXEXTRACT(CELL("address",'Raw Data'!C165),"\$([A-Z]+)\$[0-9]+"),""),"")</f>
        <v/>
      </c>
      <c r="D165" s="6"/>
      <c r="E165" s="6" t="str" cm="1">
        <f t="array" aca="1" ref="E165" ca="1">IFERROR(IF(OR('Raw Data'!E165="",LEN(TRIM('Raw Data'!E165))=0),_xlfn.REGEXEXTRACT(CELL("address",'Raw Data'!E165),"\$([A-Z]+)\$[0-9]+"),""),"")</f>
        <v/>
      </c>
      <c r="F165" s="6"/>
      <c r="G165" s="6"/>
      <c r="H165" s="6" t="str" cm="1">
        <f t="array" aca="1" ref="H165" ca="1">IFERROR(IF(OR('Raw Data'!H165="",LEN(TRIM('Raw Data'!H165))=0),_xlfn.REGEXEXTRACT(CELL("address",'Raw Data'!H165),"\$([A-Z]+)\$[0-9]+"),""),"")</f>
        <v/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2:22" x14ac:dyDescent="0.25">
      <c r="B166" s="6" t="str" cm="1">
        <f t="array" aca="1" ref="B166" ca="1">IFERROR(IF(OR('Raw Data'!B166="",LEN(TRIM('Raw Data'!B166))=0),_xlfn.REGEXEXTRACT(CELL("address",'Raw Data'!B166),"\$([A-Z]+)\$[0-9]+"),""),"")</f>
        <v/>
      </c>
      <c r="C166" s="6" t="str" cm="1">
        <f t="array" aca="1" ref="C166" ca="1">IFERROR(IF(OR('Raw Data'!C166="",LEN(TRIM('Raw Data'!C166))=0),_xlfn.REGEXEXTRACT(CELL("address",'Raw Data'!C166),"\$([A-Z]+)\$[0-9]+"),""),"")</f>
        <v/>
      </c>
      <c r="D166" s="6"/>
      <c r="E166" s="6" t="str" cm="1">
        <f t="array" aca="1" ref="E166" ca="1">IFERROR(IF(OR('Raw Data'!E166="",LEN(TRIM('Raw Data'!E166))=0),_xlfn.REGEXEXTRACT(CELL("address",'Raw Data'!E166),"\$([A-Z]+)\$[0-9]+"),""),"")</f>
        <v/>
      </c>
      <c r="F166" s="6"/>
      <c r="G166" s="6"/>
      <c r="H166" s="6" t="str" cm="1">
        <f t="array" aca="1" ref="H166" ca="1">IFERROR(IF(OR('Raw Data'!H166="",LEN(TRIM('Raw Data'!H166))=0),_xlfn.REGEXEXTRACT(CELL("address",'Raw Data'!H166),"\$([A-Z]+)\$[0-9]+"),""),"")</f>
        <v/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2:22" x14ac:dyDescent="0.25">
      <c r="B167" s="6" t="str" cm="1">
        <f t="array" aca="1" ref="B167" ca="1">IFERROR(IF(OR('Raw Data'!B167="",LEN(TRIM('Raw Data'!B167))=0),_xlfn.REGEXEXTRACT(CELL("address",'Raw Data'!B167),"\$([A-Z]+)\$[0-9]+"),""),"")</f>
        <v/>
      </c>
      <c r="C167" s="6" t="str" cm="1">
        <f t="array" aca="1" ref="C167" ca="1">IFERROR(IF(OR('Raw Data'!C167="",LEN(TRIM('Raw Data'!C167))=0),_xlfn.REGEXEXTRACT(CELL("address",'Raw Data'!C167),"\$([A-Z]+)\$[0-9]+"),""),"")</f>
        <v/>
      </c>
      <c r="D167" s="6"/>
      <c r="E167" s="6" t="str" cm="1">
        <f t="array" aca="1" ref="E167" ca="1">IFERROR(IF(OR('Raw Data'!E167="",LEN(TRIM('Raw Data'!E167))=0),_xlfn.REGEXEXTRACT(CELL("address",'Raw Data'!E167),"\$([A-Z]+)\$[0-9]+"),""),"")</f>
        <v/>
      </c>
      <c r="F167" s="6"/>
      <c r="G167" s="6"/>
      <c r="H167" s="6" t="str" cm="1">
        <f t="array" aca="1" ref="H167" ca="1">IFERROR(IF(OR('Raw Data'!H167="",LEN(TRIM('Raw Data'!H167))=0),_xlfn.REGEXEXTRACT(CELL("address",'Raw Data'!H167),"\$([A-Z]+)\$[0-9]+"),""),"")</f>
        <v/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2:22" x14ac:dyDescent="0.25">
      <c r="B168" s="6" t="str" cm="1">
        <f t="array" aca="1" ref="B168" ca="1">IFERROR(IF(OR('Raw Data'!B168="",LEN(TRIM('Raw Data'!B168))=0),_xlfn.REGEXEXTRACT(CELL("address",'Raw Data'!B168),"\$([A-Z]+)\$[0-9]+"),""),"")</f>
        <v/>
      </c>
      <c r="C168" s="6" t="str" cm="1">
        <f t="array" aca="1" ref="C168" ca="1">IFERROR(IF(OR('Raw Data'!C168="",LEN(TRIM('Raw Data'!C168))=0),_xlfn.REGEXEXTRACT(CELL("address",'Raw Data'!C168),"\$([A-Z]+)\$[0-9]+"),""),"")</f>
        <v/>
      </c>
      <c r="D168" s="6"/>
      <c r="E168" s="6" t="str" cm="1">
        <f t="array" aca="1" ref="E168" ca="1">IFERROR(IF(OR('Raw Data'!E168="",LEN(TRIM('Raw Data'!E168))=0),_xlfn.REGEXEXTRACT(CELL("address",'Raw Data'!E168),"\$([A-Z]+)\$[0-9]+"),""),"")</f>
        <v/>
      </c>
      <c r="F168" s="6"/>
      <c r="G168" s="6"/>
      <c r="H168" s="6" t="str" cm="1">
        <f t="array" aca="1" ref="H168" ca="1">IFERROR(IF(OR('Raw Data'!H168="",LEN(TRIM('Raw Data'!H168))=0),_xlfn.REGEXEXTRACT(CELL("address",'Raw Data'!H168),"\$([A-Z]+)\$[0-9]+"),""),"")</f>
        <v/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2:22" x14ac:dyDescent="0.25">
      <c r="B169" s="6" t="str" cm="1">
        <f t="array" aca="1" ref="B169" ca="1">IFERROR(IF(OR('Raw Data'!B169="",LEN(TRIM('Raw Data'!B169))=0),_xlfn.REGEXEXTRACT(CELL("address",'Raw Data'!B169),"\$([A-Z]+)\$[0-9]+"),""),"")</f>
        <v/>
      </c>
      <c r="C169" s="6" t="str" cm="1">
        <f t="array" aca="1" ref="C169" ca="1">IFERROR(IF(OR('Raw Data'!C169="",LEN(TRIM('Raw Data'!C169))=0),_xlfn.REGEXEXTRACT(CELL("address",'Raw Data'!C169),"\$([A-Z]+)\$[0-9]+"),""),"")</f>
        <v/>
      </c>
      <c r="D169" s="6"/>
      <c r="E169" s="6" t="str" cm="1">
        <f t="array" aca="1" ref="E169" ca="1">IFERROR(IF(OR('Raw Data'!E169="",LEN(TRIM('Raw Data'!E169))=0),_xlfn.REGEXEXTRACT(CELL("address",'Raw Data'!E169),"\$([A-Z]+)\$[0-9]+"),""),"")</f>
        <v/>
      </c>
      <c r="F169" s="6"/>
      <c r="G169" s="6"/>
      <c r="H169" s="6" t="str" cm="1">
        <f t="array" aca="1" ref="H169" ca="1">IFERROR(IF(OR('Raw Data'!H169="",LEN(TRIM('Raw Data'!H169))=0),_xlfn.REGEXEXTRACT(CELL("address",'Raw Data'!H169),"\$([A-Z]+)\$[0-9]+"),""),"")</f>
        <v/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2:22" x14ac:dyDescent="0.25">
      <c r="B170" s="6" t="str" cm="1">
        <f t="array" aca="1" ref="B170" ca="1">IFERROR(IF(OR('Raw Data'!B170="",LEN(TRIM('Raw Data'!B170))=0),_xlfn.REGEXEXTRACT(CELL("address",'Raw Data'!B170),"\$([A-Z]+)\$[0-9]+"),""),"")</f>
        <v/>
      </c>
      <c r="C170" s="6" t="str" cm="1">
        <f t="array" aca="1" ref="C170" ca="1">IFERROR(IF(OR('Raw Data'!C170="",LEN(TRIM('Raw Data'!C170))=0),_xlfn.REGEXEXTRACT(CELL("address",'Raw Data'!C170),"\$([A-Z]+)\$[0-9]+"),""),"")</f>
        <v/>
      </c>
      <c r="D170" s="6"/>
      <c r="E170" s="6" t="str" cm="1">
        <f t="array" aca="1" ref="E170" ca="1">IFERROR(IF(OR('Raw Data'!E170="",LEN(TRIM('Raw Data'!E170))=0),_xlfn.REGEXEXTRACT(CELL("address",'Raw Data'!E170),"\$([A-Z]+)\$[0-9]+"),""),"")</f>
        <v/>
      </c>
      <c r="F170" s="6"/>
      <c r="G170" s="6"/>
      <c r="H170" s="6" t="str" cm="1">
        <f t="array" aca="1" ref="H170" ca="1">IFERROR(IF(OR('Raw Data'!H170="",LEN(TRIM('Raw Data'!H170))=0),_xlfn.REGEXEXTRACT(CELL("address",'Raw Data'!H170),"\$([A-Z]+)\$[0-9]+"),""),"")</f>
        <v/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2:22" x14ac:dyDescent="0.25">
      <c r="B171" s="6" t="str" cm="1">
        <f t="array" aca="1" ref="B171" ca="1">IFERROR(IF(OR('Raw Data'!B171="",LEN(TRIM('Raw Data'!B171))=0),_xlfn.REGEXEXTRACT(CELL("address",'Raw Data'!B171),"\$([A-Z]+)\$[0-9]+"),""),"")</f>
        <v/>
      </c>
      <c r="C171" s="6" t="str" cm="1">
        <f t="array" aca="1" ref="C171" ca="1">IFERROR(IF(OR('Raw Data'!C171="",LEN(TRIM('Raw Data'!C171))=0),_xlfn.REGEXEXTRACT(CELL("address",'Raw Data'!C171),"\$([A-Z]+)\$[0-9]+"),""),"")</f>
        <v/>
      </c>
      <c r="D171" s="6"/>
      <c r="E171" s="6" t="str" cm="1">
        <f t="array" aca="1" ref="E171" ca="1">IFERROR(IF(OR('Raw Data'!E171="",LEN(TRIM('Raw Data'!E171))=0),_xlfn.REGEXEXTRACT(CELL("address",'Raw Data'!E171),"\$([A-Z]+)\$[0-9]+"),""),"")</f>
        <v/>
      </c>
      <c r="F171" s="6"/>
      <c r="G171" s="6"/>
      <c r="H171" s="6" t="str" cm="1">
        <f t="array" aca="1" ref="H171" ca="1">IFERROR(IF(OR('Raw Data'!H171="",LEN(TRIM('Raw Data'!H171))=0),_xlfn.REGEXEXTRACT(CELL("address",'Raw Data'!H171),"\$([A-Z]+)\$[0-9]+"),""),"")</f>
        <v/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2:22" x14ac:dyDescent="0.25">
      <c r="B172" s="6" t="str" cm="1">
        <f t="array" aca="1" ref="B172" ca="1">IFERROR(IF(OR('Raw Data'!B172="",LEN(TRIM('Raw Data'!B172))=0),_xlfn.REGEXEXTRACT(CELL("address",'Raw Data'!B172),"\$([A-Z]+)\$[0-9]+"),""),"")</f>
        <v/>
      </c>
      <c r="C172" s="6" t="str" cm="1">
        <f t="array" aca="1" ref="C172" ca="1">IFERROR(IF(OR('Raw Data'!C172="",LEN(TRIM('Raw Data'!C172))=0),_xlfn.REGEXEXTRACT(CELL("address",'Raw Data'!C172),"\$([A-Z]+)\$[0-9]+"),""),"")</f>
        <v/>
      </c>
      <c r="D172" s="6"/>
      <c r="E172" s="6" t="str" cm="1">
        <f t="array" aca="1" ref="E172" ca="1">IFERROR(IF(OR('Raw Data'!E172="",LEN(TRIM('Raw Data'!E172))=0),_xlfn.REGEXEXTRACT(CELL("address",'Raw Data'!E172),"\$([A-Z]+)\$[0-9]+"),""),"")</f>
        <v/>
      </c>
      <c r="F172" s="6"/>
      <c r="G172" s="6"/>
      <c r="H172" s="6" t="str" cm="1">
        <f t="array" aca="1" ref="H172" ca="1">IFERROR(IF(OR('Raw Data'!H172="",LEN(TRIM('Raw Data'!H172))=0),_xlfn.REGEXEXTRACT(CELL("address",'Raw Data'!H172),"\$([A-Z]+)\$[0-9]+"),""),"")</f>
        <v/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2:22" x14ac:dyDescent="0.25">
      <c r="B173" s="6" t="str" cm="1">
        <f t="array" aca="1" ref="B173" ca="1">IFERROR(IF(OR('Raw Data'!B173="",LEN(TRIM('Raw Data'!B173))=0),_xlfn.REGEXEXTRACT(CELL("address",'Raw Data'!B173),"\$([A-Z]+)\$[0-9]+"),""),"")</f>
        <v/>
      </c>
      <c r="C173" s="6" t="str" cm="1">
        <f t="array" aca="1" ref="C173" ca="1">IFERROR(IF(OR('Raw Data'!C173="",LEN(TRIM('Raw Data'!C173))=0),_xlfn.REGEXEXTRACT(CELL("address",'Raw Data'!C173),"\$([A-Z]+)\$[0-9]+"),""),"")</f>
        <v/>
      </c>
      <c r="D173" s="6"/>
      <c r="E173" s="6" t="str" cm="1">
        <f t="array" aca="1" ref="E173" ca="1">IFERROR(IF(OR('Raw Data'!E173="",LEN(TRIM('Raw Data'!E173))=0),_xlfn.REGEXEXTRACT(CELL("address",'Raw Data'!E173),"\$([A-Z]+)\$[0-9]+"),""),"")</f>
        <v/>
      </c>
      <c r="F173" s="6"/>
      <c r="G173" s="6"/>
      <c r="H173" s="6" t="str" cm="1">
        <f t="array" aca="1" ref="H173" ca="1">IFERROR(IF(OR('Raw Data'!H173="",LEN(TRIM('Raw Data'!H173))=0),_xlfn.REGEXEXTRACT(CELL("address",'Raw Data'!H173),"\$([A-Z]+)\$[0-9]+"),""),"")</f>
        <v/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2:22" x14ac:dyDescent="0.25">
      <c r="B174" s="6" t="str" cm="1">
        <f t="array" aca="1" ref="B174" ca="1">IFERROR(IF(OR('Raw Data'!B174="",LEN(TRIM('Raw Data'!B174))=0),_xlfn.REGEXEXTRACT(CELL("address",'Raw Data'!B174),"\$([A-Z]+)\$[0-9]+"),""),"")</f>
        <v/>
      </c>
      <c r="C174" s="6" t="str" cm="1">
        <f t="array" aca="1" ref="C174" ca="1">IFERROR(IF(OR('Raw Data'!C174="",LEN(TRIM('Raw Data'!C174))=0),_xlfn.REGEXEXTRACT(CELL("address",'Raw Data'!C174),"\$([A-Z]+)\$[0-9]+"),""),"")</f>
        <v/>
      </c>
      <c r="D174" s="6"/>
      <c r="E174" s="6" t="str" cm="1">
        <f t="array" aca="1" ref="E174" ca="1">IFERROR(IF(OR('Raw Data'!E174="",LEN(TRIM('Raw Data'!E174))=0),_xlfn.REGEXEXTRACT(CELL("address",'Raw Data'!E174),"\$([A-Z]+)\$[0-9]+"),""),"")</f>
        <v/>
      </c>
      <c r="F174" s="6"/>
      <c r="G174" s="6"/>
      <c r="H174" s="6" t="str" cm="1">
        <f t="array" aca="1" ref="H174" ca="1">IFERROR(IF(OR('Raw Data'!H174="",LEN(TRIM('Raw Data'!H174))=0),_xlfn.REGEXEXTRACT(CELL("address",'Raw Data'!H174),"\$([A-Z]+)\$[0-9]+"),""),"")</f>
        <v/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2:22" x14ac:dyDescent="0.25">
      <c r="B175" s="6" t="str" cm="1">
        <f t="array" aca="1" ref="B175" ca="1">IFERROR(IF(OR('Raw Data'!B175="",LEN(TRIM('Raw Data'!B175))=0),_xlfn.REGEXEXTRACT(CELL("address",'Raw Data'!B175),"\$([A-Z]+)\$[0-9]+"),""),"")</f>
        <v/>
      </c>
      <c r="C175" s="6" t="str" cm="1">
        <f t="array" aca="1" ref="C175" ca="1">IFERROR(IF(OR('Raw Data'!C175="",LEN(TRIM('Raw Data'!C175))=0),_xlfn.REGEXEXTRACT(CELL("address",'Raw Data'!C175),"\$([A-Z]+)\$[0-9]+"),""),"")</f>
        <v/>
      </c>
      <c r="D175" s="6"/>
      <c r="E175" s="6" t="str" cm="1">
        <f t="array" aca="1" ref="E175" ca="1">IFERROR(IF(OR('Raw Data'!E175="",LEN(TRIM('Raw Data'!E175))=0),_xlfn.REGEXEXTRACT(CELL("address",'Raw Data'!E175),"\$([A-Z]+)\$[0-9]+"),""),"")</f>
        <v/>
      </c>
      <c r="F175" s="6"/>
      <c r="G175" s="6"/>
      <c r="H175" s="6" t="str" cm="1">
        <f t="array" aca="1" ref="H175" ca="1">IFERROR(IF(OR('Raw Data'!H175="",LEN(TRIM('Raw Data'!H175))=0),_xlfn.REGEXEXTRACT(CELL("address",'Raw Data'!H175),"\$([A-Z]+)\$[0-9]+"),""),"")</f>
        <v/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2:22" x14ac:dyDescent="0.25">
      <c r="B176" s="6" t="str" cm="1">
        <f t="array" aca="1" ref="B176" ca="1">IFERROR(IF(OR('Raw Data'!B176="",LEN(TRIM('Raw Data'!B176))=0),_xlfn.REGEXEXTRACT(CELL("address",'Raw Data'!B176),"\$([A-Z]+)\$[0-9]+"),""),"")</f>
        <v/>
      </c>
      <c r="C176" s="6" t="str" cm="1">
        <f t="array" aca="1" ref="C176" ca="1">IFERROR(IF(OR('Raw Data'!C176="",LEN(TRIM('Raw Data'!C176))=0),_xlfn.REGEXEXTRACT(CELL("address",'Raw Data'!C176),"\$([A-Z]+)\$[0-9]+"),""),"")</f>
        <v/>
      </c>
      <c r="D176" s="6"/>
      <c r="E176" s="6" t="str" cm="1">
        <f t="array" aca="1" ref="E176" ca="1">IFERROR(IF(OR('Raw Data'!E176="",LEN(TRIM('Raw Data'!E176))=0),_xlfn.REGEXEXTRACT(CELL("address",'Raw Data'!E176),"\$([A-Z]+)\$[0-9]+"),""),"")</f>
        <v/>
      </c>
      <c r="F176" s="6"/>
      <c r="G176" s="6"/>
      <c r="H176" s="6" t="str" cm="1">
        <f t="array" aca="1" ref="H176" ca="1">IFERROR(IF(OR('Raw Data'!H176="",LEN(TRIM('Raw Data'!H176))=0),_xlfn.REGEXEXTRACT(CELL("address",'Raw Data'!H176),"\$([A-Z]+)\$[0-9]+"),""),"")</f>
        <v/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2:22" x14ac:dyDescent="0.25">
      <c r="B177" s="6" t="str" cm="1">
        <f t="array" aca="1" ref="B177" ca="1">IFERROR(IF(OR('Raw Data'!B177="",LEN(TRIM('Raw Data'!B177))=0),_xlfn.REGEXEXTRACT(CELL("address",'Raw Data'!B177),"\$([A-Z]+)\$[0-9]+"),""),"")</f>
        <v/>
      </c>
      <c r="C177" s="6" t="str" cm="1">
        <f t="array" aca="1" ref="C177" ca="1">IFERROR(IF(OR('Raw Data'!C177="",LEN(TRIM('Raw Data'!C177))=0),_xlfn.REGEXEXTRACT(CELL("address",'Raw Data'!C177),"\$([A-Z]+)\$[0-9]+"),""),"")</f>
        <v/>
      </c>
      <c r="D177" s="6"/>
      <c r="E177" s="6" t="str" cm="1">
        <f t="array" aca="1" ref="E177" ca="1">IFERROR(IF(OR('Raw Data'!E177="",LEN(TRIM('Raw Data'!E177))=0),_xlfn.REGEXEXTRACT(CELL("address",'Raw Data'!E177),"\$([A-Z]+)\$[0-9]+"),""),"")</f>
        <v/>
      </c>
      <c r="F177" s="6"/>
      <c r="G177" s="6"/>
      <c r="H177" s="6" t="str" cm="1">
        <f t="array" aca="1" ref="H177" ca="1">IFERROR(IF(OR('Raw Data'!H177="",LEN(TRIM('Raw Data'!H177))=0),_xlfn.REGEXEXTRACT(CELL("address",'Raw Data'!H177),"\$([A-Z]+)\$[0-9]+"),""),"")</f>
        <v/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2:22" x14ac:dyDescent="0.25">
      <c r="B178" s="6" t="str" cm="1">
        <f t="array" aca="1" ref="B178" ca="1">IFERROR(IF(OR('Raw Data'!B178="",LEN(TRIM('Raw Data'!B178))=0),_xlfn.REGEXEXTRACT(CELL("address",'Raw Data'!B178),"\$([A-Z]+)\$[0-9]+"),""),"")</f>
        <v/>
      </c>
      <c r="C178" s="6" t="str" cm="1">
        <f t="array" aca="1" ref="C178" ca="1">IFERROR(IF(OR('Raw Data'!C178="",LEN(TRIM('Raw Data'!C178))=0),_xlfn.REGEXEXTRACT(CELL("address",'Raw Data'!C178),"\$([A-Z]+)\$[0-9]+"),""),"")</f>
        <v/>
      </c>
      <c r="D178" s="6"/>
      <c r="E178" s="6" t="str" cm="1">
        <f t="array" aca="1" ref="E178" ca="1">IFERROR(IF(OR('Raw Data'!E178="",LEN(TRIM('Raw Data'!E178))=0),_xlfn.REGEXEXTRACT(CELL("address",'Raw Data'!E178),"\$([A-Z]+)\$[0-9]+"),""),"")</f>
        <v/>
      </c>
      <c r="F178" s="6"/>
      <c r="G178" s="6"/>
      <c r="H178" s="6" t="str" cm="1">
        <f t="array" aca="1" ref="H178" ca="1">IFERROR(IF(OR('Raw Data'!H178="",LEN(TRIM('Raw Data'!H178))=0),_xlfn.REGEXEXTRACT(CELL("address",'Raw Data'!H178),"\$([A-Z]+)\$[0-9]+"),""),"")</f>
        <v/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2:22" x14ac:dyDescent="0.25">
      <c r="B179" s="6" t="str" cm="1">
        <f t="array" aca="1" ref="B179" ca="1">IFERROR(IF(OR('Raw Data'!B179="",LEN(TRIM('Raw Data'!B179))=0),_xlfn.REGEXEXTRACT(CELL("address",'Raw Data'!B179),"\$([A-Z]+)\$[0-9]+"),""),"")</f>
        <v/>
      </c>
      <c r="C179" s="6" t="str" cm="1">
        <f t="array" aca="1" ref="C179" ca="1">IFERROR(IF(OR('Raw Data'!C179="",LEN(TRIM('Raw Data'!C179))=0),_xlfn.REGEXEXTRACT(CELL("address",'Raw Data'!C179),"\$([A-Z]+)\$[0-9]+"),""),"")</f>
        <v/>
      </c>
      <c r="D179" s="6"/>
      <c r="E179" s="6" t="str" cm="1">
        <f t="array" aca="1" ref="E179" ca="1">IFERROR(IF(OR('Raw Data'!E179="",LEN(TRIM('Raw Data'!E179))=0),_xlfn.REGEXEXTRACT(CELL("address",'Raw Data'!E179),"\$([A-Z]+)\$[0-9]+"),""),"")</f>
        <v/>
      </c>
      <c r="F179" s="6"/>
      <c r="G179" s="6"/>
      <c r="H179" s="6" t="str" cm="1">
        <f t="array" aca="1" ref="H179" ca="1">IFERROR(IF(OR('Raw Data'!H179="",LEN(TRIM('Raw Data'!H179))=0),_xlfn.REGEXEXTRACT(CELL("address",'Raw Data'!H179),"\$([A-Z]+)\$[0-9]+"),""),"")</f>
        <v/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2:22" x14ac:dyDescent="0.25">
      <c r="B180" s="6" t="str" cm="1">
        <f t="array" aca="1" ref="B180" ca="1">IFERROR(IF(OR('Raw Data'!B180="",LEN(TRIM('Raw Data'!B180))=0),_xlfn.REGEXEXTRACT(CELL("address",'Raw Data'!B180),"\$([A-Z]+)\$[0-9]+"),""),"")</f>
        <v/>
      </c>
      <c r="C180" s="6" t="str" cm="1">
        <f t="array" aca="1" ref="C180" ca="1">IFERROR(IF(OR('Raw Data'!C180="",LEN(TRIM('Raw Data'!C180))=0),_xlfn.REGEXEXTRACT(CELL("address",'Raw Data'!C180),"\$([A-Z]+)\$[0-9]+"),""),"")</f>
        <v/>
      </c>
      <c r="D180" s="6"/>
      <c r="E180" s="6" t="str" cm="1">
        <f t="array" aca="1" ref="E180" ca="1">IFERROR(IF(OR('Raw Data'!E180="",LEN(TRIM('Raw Data'!E180))=0),_xlfn.REGEXEXTRACT(CELL("address",'Raw Data'!E180),"\$([A-Z]+)\$[0-9]+"),""),"")</f>
        <v/>
      </c>
      <c r="F180" s="6"/>
      <c r="G180" s="6"/>
      <c r="H180" s="6" t="str" cm="1">
        <f t="array" aca="1" ref="H180" ca="1">IFERROR(IF(OR('Raw Data'!H180="",LEN(TRIM('Raw Data'!H180))=0),_xlfn.REGEXEXTRACT(CELL("address",'Raw Data'!H180),"\$([A-Z]+)\$[0-9]+"),""),"")</f>
        <v/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2:22" x14ac:dyDescent="0.25">
      <c r="B181" s="6" t="str" cm="1">
        <f t="array" aca="1" ref="B181" ca="1">IFERROR(IF(OR('Raw Data'!B181="",LEN(TRIM('Raw Data'!B181))=0),_xlfn.REGEXEXTRACT(CELL("address",'Raw Data'!B181),"\$([A-Z]+)\$[0-9]+"),""),"")</f>
        <v/>
      </c>
      <c r="C181" s="6" t="str" cm="1">
        <f t="array" aca="1" ref="C181" ca="1">IFERROR(IF(OR('Raw Data'!C181="",LEN(TRIM('Raw Data'!C181))=0),_xlfn.REGEXEXTRACT(CELL("address",'Raw Data'!C181),"\$([A-Z]+)\$[0-9]+"),""),"")</f>
        <v/>
      </c>
      <c r="D181" s="6"/>
      <c r="E181" s="6" t="str" cm="1">
        <f t="array" aca="1" ref="E181" ca="1">IFERROR(IF(OR('Raw Data'!E181="",LEN(TRIM('Raw Data'!E181))=0),_xlfn.REGEXEXTRACT(CELL("address",'Raw Data'!E181),"\$([A-Z]+)\$[0-9]+"),""),"")</f>
        <v/>
      </c>
      <c r="F181" s="6"/>
      <c r="G181" s="6"/>
      <c r="H181" s="6" t="str" cm="1">
        <f t="array" aca="1" ref="H181" ca="1">IFERROR(IF(OR('Raw Data'!H181="",LEN(TRIM('Raw Data'!H181))=0),_xlfn.REGEXEXTRACT(CELL("address",'Raw Data'!H181),"\$([A-Z]+)\$[0-9]+"),""),"")</f>
        <v/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2:22" x14ac:dyDescent="0.25">
      <c r="B182" s="6" t="str" cm="1">
        <f t="array" aca="1" ref="B182" ca="1">IFERROR(IF(OR('Raw Data'!B182="",LEN(TRIM('Raw Data'!B182))=0),_xlfn.REGEXEXTRACT(CELL("address",'Raw Data'!B182),"\$([A-Z]+)\$[0-9]+"),""),"")</f>
        <v/>
      </c>
      <c r="C182" s="6" t="str" cm="1">
        <f t="array" aca="1" ref="C182" ca="1">IFERROR(IF(OR('Raw Data'!C182="",LEN(TRIM('Raw Data'!C182))=0),_xlfn.REGEXEXTRACT(CELL("address",'Raw Data'!C182),"\$([A-Z]+)\$[0-9]+"),""),"")</f>
        <v/>
      </c>
      <c r="D182" s="6"/>
      <c r="E182" s="6" t="str" cm="1">
        <f t="array" aca="1" ref="E182" ca="1">IFERROR(IF(OR('Raw Data'!E182="",LEN(TRIM('Raw Data'!E182))=0),_xlfn.REGEXEXTRACT(CELL("address",'Raw Data'!E182),"\$([A-Z]+)\$[0-9]+"),""),"")</f>
        <v/>
      </c>
      <c r="F182" s="6"/>
      <c r="G182" s="6"/>
      <c r="H182" s="6" t="str" cm="1">
        <f t="array" aca="1" ref="H182" ca="1">IFERROR(IF(OR('Raw Data'!H182="",LEN(TRIM('Raw Data'!H182))=0),_xlfn.REGEXEXTRACT(CELL("address",'Raw Data'!H182),"\$([A-Z]+)\$[0-9]+"),""),"")</f>
        <v/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2:22" x14ac:dyDescent="0.25">
      <c r="B183" s="6" t="str" cm="1">
        <f t="array" aca="1" ref="B183" ca="1">IFERROR(IF(OR('Raw Data'!B183="",LEN(TRIM('Raw Data'!B183))=0),_xlfn.REGEXEXTRACT(CELL("address",'Raw Data'!B183),"\$([A-Z]+)\$[0-9]+"),""),"")</f>
        <v/>
      </c>
      <c r="C183" s="6" t="str" cm="1">
        <f t="array" aca="1" ref="C183" ca="1">IFERROR(IF(OR('Raw Data'!C183="",LEN(TRIM('Raw Data'!C183))=0),_xlfn.REGEXEXTRACT(CELL("address",'Raw Data'!C183),"\$([A-Z]+)\$[0-9]+"),""),"")</f>
        <v/>
      </c>
      <c r="D183" s="6"/>
      <c r="E183" s="6" t="str" cm="1">
        <f t="array" aca="1" ref="E183" ca="1">IFERROR(IF(OR('Raw Data'!E183="",LEN(TRIM('Raw Data'!E183))=0),_xlfn.REGEXEXTRACT(CELL("address",'Raw Data'!E183),"\$([A-Z]+)\$[0-9]+"),""),"")</f>
        <v/>
      </c>
      <c r="F183" s="6"/>
      <c r="G183" s="6"/>
      <c r="H183" s="6" t="str" cm="1">
        <f t="array" aca="1" ref="H183" ca="1">IFERROR(IF(OR('Raw Data'!H183="",LEN(TRIM('Raw Data'!H183))=0),_xlfn.REGEXEXTRACT(CELL("address",'Raw Data'!H183),"\$([A-Z]+)\$[0-9]+"),""),"")</f>
        <v/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2:22" x14ac:dyDescent="0.25">
      <c r="B184" s="6" t="str" cm="1">
        <f t="array" aca="1" ref="B184" ca="1">IFERROR(IF(OR('Raw Data'!B184="",LEN(TRIM('Raw Data'!B184))=0),_xlfn.REGEXEXTRACT(CELL("address",'Raw Data'!B184),"\$([A-Z]+)\$[0-9]+"),""),"")</f>
        <v/>
      </c>
      <c r="C184" s="6" t="str" cm="1">
        <f t="array" aca="1" ref="C184" ca="1">IFERROR(IF(OR('Raw Data'!C184="",LEN(TRIM('Raw Data'!C184))=0),_xlfn.REGEXEXTRACT(CELL("address",'Raw Data'!C184),"\$([A-Z]+)\$[0-9]+"),""),"")</f>
        <v/>
      </c>
      <c r="D184" s="6"/>
      <c r="E184" s="6" t="str" cm="1">
        <f t="array" aca="1" ref="E184" ca="1">IFERROR(IF(OR('Raw Data'!E184="",LEN(TRIM('Raw Data'!E184))=0),_xlfn.REGEXEXTRACT(CELL("address",'Raw Data'!E184),"\$([A-Z]+)\$[0-9]+"),""),"")</f>
        <v/>
      </c>
      <c r="F184" s="6"/>
      <c r="G184" s="6"/>
      <c r="H184" s="6" t="str" cm="1">
        <f t="array" aca="1" ref="H184" ca="1">IFERROR(IF(OR('Raw Data'!H184="",LEN(TRIM('Raw Data'!H184))=0),_xlfn.REGEXEXTRACT(CELL("address",'Raw Data'!H184),"\$([A-Z]+)\$[0-9]+"),""),"")</f>
        <v/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2:22" x14ac:dyDescent="0.25">
      <c r="B185" s="6" t="str" cm="1">
        <f t="array" aca="1" ref="B185" ca="1">IFERROR(IF(OR('Raw Data'!B185="",LEN(TRIM('Raw Data'!B185))=0),_xlfn.REGEXEXTRACT(CELL("address",'Raw Data'!B185),"\$([A-Z]+)\$[0-9]+"),""),"")</f>
        <v/>
      </c>
      <c r="C185" s="6" t="str" cm="1">
        <f t="array" aca="1" ref="C185" ca="1">IFERROR(IF(OR('Raw Data'!C185="",LEN(TRIM('Raw Data'!C185))=0),_xlfn.REGEXEXTRACT(CELL("address",'Raw Data'!C185),"\$([A-Z]+)\$[0-9]+"),""),"")</f>
        <v/>
      </c>
      <c r="D185" s="6"/>
      <c r="E185" s="6" t="str" cm="1">
        <f t="array" aca="1" ref="E185" ca="1">IFERROR(IF(OR('Raw Data'!E185="",LEN(TRIM('Raw Data'!E185))=0),_xlfn.REGEXEXTRACT(CELL("address",'Raw Data'!E185),"\$([A-Z]+)\$[0-9]+"),""),"")</f>
        <v/>
      </c>
      <c r="F185" s="6"/>
      <c r="G185" s="6"/>
      <c r="H185" s="6" t="str" cm="1">
        <f t="array" aca="1" ref="H185" ca="1">IFERROR(IF(OR('Raw Data'!H185="",LEN(TRIM('Raw Data'!H185))=0),_xlfn.REGEXEXTRACT(CELL("address",'Raw Data'!H185),"\$([A-Z]+)\$[0-9]+"),""),"")</f>
        <v/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2:22" x14ac:dyDescent="0.25">
      <c r="B186" s="6" t="str" cm="1">
        <f t="array" aca="1" ref="B186" ca="1">IFERROR(IF(OR('Raw Data'!B186="",LEN(TRIM('Raw Data'!B186))=0),_xlfn.REGEXEXTRACT(CELL("address",'Raw Data'!B186),"\$([A-Z]+)\$[0-9]+"),""),"")</f>
        <v/>
      </c>
      <c r="C186" s="6" t="str" cm="1">
        <f t="array" aca="1" ref="C186" ca="1">IFERROR(IF(OR('Raw Data'!C186="",LEN(TRIM('Raw Data'!C186))=0),_xlfn.REGEXEXTRACT(CELL("address",'Raw Data'!C186),"\$([A-Z]+)\$[0-9]+"),""),"")</f>
        <v/>
      </c>
      <c r="D186" s="6"/>
      <c r="E186" s="6" t="str" cm="1">
        <f t="array" aca="1" ref="E186" ca="1">IFERROR(IF(OR('Raw Data'!E186="",LEN(TRIM('Raw Data'!E186))=0),_xlfn.REGEXEXTRACT(CELL("address",'Raw Data'!E186),"\$([A-Z]+)\$[0-9]+"),""),"")</f>
        <v/>
      </c>
      <c r="F186" s="6"/>
      <c r="G186" s="6"/>
      <c r="H186" s="6" t="str" cm="1">
        <f t="array" aca="1" ref="H186" ca="1">IFERROR(IF(OR('Raw Data'!H186="",LEN(TRIM('Raw Data'!H186))=0),_xlfn.REGEXEXTRACT(CELL("address",'Raw Data'!H186),"\$([A-Z]+)\$[0-9]+"),""),"")</f>
        <v/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2:22" x14ac:dyDescent="0.25">
      <c r="B187" s="6" t="str" cm="1">
        <f t="array" aca="1" ref="B187" ca="1">IFERROR(IF(OR('Raw Data'!B187="",LEN(TRIM('Raw Data'!B187))=0),_xlfn.REGEXEXTRACT(CELL("address",'Raw Data'!B187),"\$([A-Z]+)\$[0-9]+"),""),"")</f>
        <v/>
      </c>
      <c r="C187" s="6" t="str" cm="1">
        <f t="array" aca="1" ref="C187" ca="1">IFERROR(IF(OR('Raw Data'!C187="",LEN(TRIM('Raw Data'!C187))=0),_xlfn.REGEXEXTRACT(CELL("address",'Raw Data'!C187),"\$([A-Z]+)\$[0-9]+"),""),"")</f>
        <v/>
      </c>
      <c r="D187" s="6"/>
      <c r="E187" s="6" t="str" cm="1">
        <f t="array" aca="1" ref="E187" ca="1">IFERROR(IF(OR('Raw Data'!E187="",LEN(TRIM('Raw Data'!E187))=0),_xlfn.REGEXEXTRACT(CELL("address",'Raw Data'!E187),"\$([A-Z]+)\$[0-9]+"),""),"")</f>
        <v/>
      </c>
      <c r="F187" s="6"/>
      <c r="G187" s="6"/>
      <c r="H187" s="6" t="str" cm="1">
        <f t="array" aca="1" ref="H187" ca="1">IFERROR(IF(OR('Raw Data'!H187="",LEN(TRIM('Raw Data'!H187))=0),_xlfn.REGEXEXTRACT(CELL("address",'Raw Data'!H187),"\$([A-Z]+)\$[0-9]+"),""),"")</f>
        <v/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2:22" x14ac:dyDescent="0.25">
      <c r="B188" s="6" t="str" cm="1">
        <f t="array" aca="1" ref="B188" ca="1">IFERROR(IF(OR('Raw Data'!B188="",LEN(TRIM('Raw Data'!B188))=0),_xlfn.REGEXEXTRACT(CELL("address",'Raw Data'!B188),"\$([A-Z]+)\$[0-9]+"),""),"")</f>
        <v/>
      </c>
      <c r="C188" s="6" t="str" cm="1">
        <f t="array" aca="1" ref="C188" ca="1">IFERROR(IF(OR('Raw Data'!C188="",LEN(TRIM('Raw Data'!C188))=0),_xlfn.REGEXEXTRACT(CELL("address",'Raw Data'!C188),"\$([A-Z]+)\$[0-9]+"),""),"")</f>
        <v/>
      </c>
      <c r="D188" s="6"/>
      <c r="E188" s="6" t="str" cm="1">
        <f t="array" aca="1" ref="E188" ca="1">IFERROR(IF(OR('Raw Data'!E188="",LEN(TRIM('Raw Data'!E188))=0),_xlfn.REGEXEXTRACT(CELL("address",'Raw Data'!E188),"\$([A-Z]+)\$[0-9]+"),""),"")</f>
        <v/>
      </c>
      <c r="F188" s="6"/>
      <c r="G188" s="6"/>
      <c r="H188" s="6" t="str" cm="1">
        <f t="array" aca="1" ref="H188" ca="1">IFERROR(IF(OR('Raw Data'!H188="",LEN(TRIM('Raw Data'!H188))=0),_xlfn.REGEXEXTRACT(CELL("address",'Raw Data'!H188),"\$([A-Z]+)\$[0-9]+"),""),"")</f>
        <v/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2:22" x14ac:dyDescent="0.25">
      <c r="B189" s="6" t="str" cm="1">
        <f t="array" aca="1" ref="B189" ca="1">IFERROR(IF(OR('Raw Data'!B189="",LEN(TRIM('Raw Data'!B189))=0),_xlfn.REGEXEXTRACT(CELL("address",'Raw Data'!B189),"\$([A-Z]+)\$[0-9]+"),""),"")</f>
        <v/>
      </c>
      <c r="C189" s="6" t="str" cm="1">
        <f t="array" aca="1" ref="C189" ca="1">IFERROR(IF(OR('Raw Data'!C189="",LEN(TRIM('Raw Data'!C189))=0),_xlfn.REGEXEXTRACT(CELL("address",'Raw Data'!C189),"\$([A-Z]+)\$[0-9]+"),""),"")</f>
        <v/>
      </c>
      <c r="D189" s="6"/>
      <c r="E189" s="6" t="str" cm="1">
        <f t="array" aca="1" ref="E189" ca="1">IFERROR(IF(OR('Raw Data'!E189="",LEN(TRIM('Raw Data'!E189))=0),_xlfn.REGEXEXTRACT(CELL("address",'Raw Data'!E189),"\$([A-Z]+)\$[0-9]+"),""),"")</f>
        <v/>
      </c>
      <c r="F189" s="6"/>
      <c r="G189" s="6"/>
      <c r="H189" s="6" t="str" cm="1">
        <f t="array" aca="1" ref="H189" ca="1">IFERROR(IF(OR('Raw Data'!H189="",LEN(TRIM('Raw Data'!H189))=0),_xlfn.REGEXEXTRACT(CELL("address",'Raw Data'!H189),"\$([A-Z]+)\$[0-9]+"),""),"")</f>
        <v/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2:22" x14ac:dyDescent="0.25">
      <c r="B190" s="6" t="str" cm="1">
        <f t="array" aca="1" ref="B190" ca="1">IFERROR(IF(OR('Raw Data'!B190="",LEN(TRIM('Raw Data'!B190))=0),_xlfn.REGEXEXTRACT(CELL("address",'Raw Data'!B190),"\$([A-Z]+)\$[0-9]+"),""),"")</f>
        <v/>
      </c>
      <c r="C190" s="6" t="str" cm="1">
        <f t="array" aca="1" ref="C190" ca="1">IFERROR(IF(OR('Raw Data'!C190="",LEN(TRIM('Raw Data'!C190))=0),_xlfn.REGEXEXTRACT(CELL("address",'Raw Data'!C190),"\$([A-Z]+)\$[0-9]+"),""),"")</f>
        <v/>
      </c>
      <c r="D190" s="6"/>
      <c r="E190" s="6" t="str" cm="1">
        <f t="array" aca="1" ref="E190" ca="1">IFERROR(IF(OR('Raw Data'!E190="",LEN(TRIM('Raw Data'!E190))=0),_xlfn.REGEXEXTRACT(CELL("address",'Raw Data'!E190),"\$([A-Z]+)\$[0-9]+"),""),"")</f>
        <v/>
      </c>
      <c r="F190" s="6"/>
      <c r="G190" s="6"/>
      <c r="H190" s="6" t="str" cm="1">
        <f t="array" aca="1" ref="H190" ca="1">IFERROR(IF(OR('Raw Data'!H190="",LEN(TRIM('Raw Data'!H190))=0),_xlfn.REGEXEXTRACT(CELL("address",'Raw Data'!H190),"\$([A-Z]+)\$[0-9]+"),""),"")</f>
        <v/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2:22" x14ac:dyDescent="0.25">
      <c r="B191" s="6" t="str" cm="1">
        <f t="array" aca="1" ref="B191" ca="1">IFERROR(IF(OR('Raw Data'!B191="",LEN(TRIM('Raw Data'!B191))=0),_xlfn.REGEXEXTRACT(CELL("address",'Raw Data'!B191),"\$([A-Z]+)\$[0-9]+"),""),"")</f>
        <v/>
      </c>
      <c r="C191" s="6" t="str" cm="1">
        <f t="array" aca="1" ref="C191" ca="1">IFERROR(IF(OR('Raw Data'!C191="",LEN(TRIM('Raw Data'!C191))=0),_xlfn.REGEXEXTRACT(CELL("address",'Raw Data'!C191),"\$([A-Z]+)\$[0-9]+"),""),"")</f>
        <v/>
      </c>
      <c r="D191" s="6"/>
      <c r="E191" s="6" t="str" cm="1">
        <f t="array" aca="1" ref="E191" ca="1">IFERROR(IF(OR('Raw Data'!E191="",LEN(TRIM('Raw Data'!E191))=0),_xlfn.REGEXEXTRACT(CELL("address",'Raw Data'!E191),"\$([A-Z]+)\$[0-9]+"),""),"")</f>
        <v/>
      </c>
      <c r="F191" s="6"/>
      <c r="G191" s="6"/>
      <c r="H191" s="6" t="str" cm="1">
        <f t="array" aca="1" ref="H191" ca="1">IFERROR(IF(OR('Raw Data'!H191="",LEN(TRIM('Raw Data'!H191))=0),_xlfn.REGEXEXTRACT(CELL("address",'Raw Data'!H191),"\$([A-Z]+)\$[0-9]+"),""),"")</f>
        <v/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2:22" x14ac:dyDescent="0.25">
      <c r="B192" s="6" t="str" cm="1">
        <f t="array" aca="1" ref="B192" ca="1">IFERROR(IF(OR('Raw Data'!B192="",LEN(TRIM('Raw Data'!B192))=0),_xlfn.REGEXEXTRACT(CELL("address",'Raw Data'!B192),"\$([A-Z]+)\$[0-9]+"),""),"")</f>
        <v/>
      </c>
      <c r="C192" s="6" t="str" cm="1">
        <f t="array" aca="1" ref="C192" ca="1">IFERROR(IF(OR('Raw Data'!C192="",LEN(TRIM('Raw Data'!C192))=0),_xlfn.REGEXEXTRACT(CELL("address",'Raw Data'!C192),"\$([A-Z]+)\$[0-9]+"),""),"")</f>
        <v/>
      </c>
      <c r="D192" s="6"/>
      <c r="E192" s="6" t="str" cm="1">
        <f t="array" aca="1" ref="E192" ca="1">IFERROR(IF(OR('Raw Data'!E192="",LEN(TRIM('Raw Data'!E192))=0),_xlfn.REGEXEXTRACT(CELL("address",'Raw Data'!E192),"\$([A-Z]+)\$[0-9]+"),""),"")</f>
        <v/>
      </c>
      <c r="F192" s="6"/>
      <c r="G192" s="6"/>
      <c r="H192" s="6" t="str" cm="1">
        <f t="array" aca="1" ref="H192" ca="1">IFERROR(IF(OR('Raw Data'!H192="",LEN(TRIM('Raw Data'!H192))=0),_xlfn.REGEXEXTRACT(CELL("address",'Raw Data'!H192),"\$([A-Z]+)\$[0-9]+"),""),"")</f>
        <v/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2:22" x14ac:dyDescent="0.25">
      <c r="B193" s="6" t="str" cm="1">
        <f t="array" aca="1" ref="B193" ca="1">IFERROR(IF(OR('Raw Data'!B193="",LEN(TRIM('Raw Data'!B193))=0),_xlfn.REGEXEXTRACT(CELL("address",'Raw Data'!B193),"\$([A-Z]+)\$[0-9]+"),""),"")</f>
        <v/>
      </c>
      <c r="C193" s="6" t="str" cm="1">
        <f t="array" aca="1" ref="C193" ca="1">IFERROR(IF(OR('Raw Data'!C193="",LEN(TRIM('Raw Data'!C193))=0),_xlfn.REGEXEXTRACT(CELL("address",'Raw Data'!C193),"\$([A-Z]+)\$[0-9]+"),""),"")</f>
        <v/>
      </c>
      <c r="D193" s="6"/>
      <c r="E193" s="6" t="str" cm="1">
        <f t="array" aca="1" ref="E193" ca="1">IFERROR(IF(OR('Raw Data'!E193="",LEN(TRIM('Raw Data'!E193))=0),_xlfn.REGEXEXTRACT(CELL("address",'Raw Data'!E193),"\$([A-Z]+)\$[0-9]+"),""),"")</f>
        <v/>
      </c>
      <c r="F193" s="6"/>
      <c r="G193" s="6"/>
      <c r="H193" s="6" t="str" cm="1">
        <f t="array" aca="1" ref="H193" ca="1">IFERROR(IF(OR('Raw Data'!H193="",LEN(TRIM('Raw Data'!H193))=0),_xlfn.REGEXEXTRACT(CELL("address",'Raw Data'!H193),"\$([A-Z]+)\$[0-9]+"),""),"")</f>
        <v/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2:22" x14ac:dyDescent="0.25">
      <c r="B194" s="6" t="str" cm="1">
        <f t="array" aca="1" ref="B194" ca="1">IFERROR(IF(OR('Raw Data'!B194="",LEN(TRIM('Raw Data'!B194))=0),_xlfn.REGEXEXTRACT(CELL("address",'Raw Data'!B194),"\$([A-Z]+)\$[0-9]+"),""),"")</f>
        <v/>
      </c>
      <c r="C194" s="6" t="str" cm="1">
        <f t="array" aca="1" ref="C194" ca="1">IFERROR(IF(OR('Raw Data'!C194="",LEN(TRIM('Raw Data'!C194))=0),_xlfn.REGEXEXTRACT(CELL("address",'Raw Data'!C194),"\$([A-Z]+)\$[0-9]+"),""),"")</f>
        <v/>
      </c>
      <c r="D194" s="6"/>
      <c r="E194" s="6" t="str" cm="1">
        <f t="array" aca="1" ref="E194" ca="1">IFERROR(IF(OR('Raw Data'!E194="",LEN(TRIM('Raw Data'!E194))=0),_xlfn.REGEXEXTRACT(CELL("address",'Raw Data'!E194),"\$([A-Z]+)\$[0-9]+"),""),"")</f>
        <v/>
      </c>
      <c r="F194" s="6"/>
      <c r="G194" s="6"/>
      <c r="H194" s="6" t="str" cm="1">
        <f t="array" aca="1" ref="H194" ca="1">IFERROR(IF(OR('Raw Data'!H194="",LEN(TRIM('Raw Data'!H194))=0),_xlfn.REGEXEXTRACT(CELL("address",'Raw Data'!H194),"\$([A-Z]+)\$[0-9]+"),""),"")</f>
        <v/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2:22" x14ac:dyDescent="0.25">
      <c r="B195" s="6" t="str" cm="1">
        <f t="array" aca="1" ref="B195" ca="1">IFERROR(IF(OR('Raw Data'!B195="",LEN(TRIM('Raw Data'!B195))=0),_xlfn.REGEXEXTRACT(CELL("address",'Raw Data'!B195),"\$([A-Z]+)\$[0-9]+"),""),"")</f>
        <v/>
      </c>
      <c r="C195" s="6" t="str" cm="1">
        <f t="array" aca="1" ref="C195" ca="1">IFERROR(IF(OR('Raw Data'!C195="",LEN(TRIM('Raw Data'!C195))=0),_xlfn.REGEXEXTRACT(CELL("address",'Raw Data'!C195),"\$([A-Z]+)\$[0-9]+"),""),"")</f>
        <v/>
      </c>
      <c r="D195" s="6"/>
      <c r="E195" s="6" t="str" cm="1">
        <f t="array" aca="1" ref="E195" ca="1">IFERROR(IF(OR('Raw Data'!E195="",LEN(TRIM('Raw Data'!E195))=0),_xlfn.REGEXEXTRACT(CELL("address",'Raw Data'!E195),"\$([A-Z]+)\$[0-9]+"),""),"")</f>
        <v/>
      </c>
      <c r="F195" s="6"/>
      <c r="G195" s="6"/>
      <c r="H195" s="6" t="str" cm="1">
        <f t="array" aca="1" ref="H195" ca="1">IFERROR(IF(OR('Raw Data'!H195="",LEN(TRIM('Raw Data'!H195))=0),_xlfn.REGEXEXTRACT(CELL("address",'Raw Data'!H195),"\$([A-Z]+)\$[0-9]+"),""),"")</f>
        <v/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2:22" x14ac:dyDescent="0.25">
      <c r="B196" s="6" t="str" cm="1">
        <f t="array" aca="1" ref="B196" ca="1">IFERROR(IF(OR('Raw Data'!B196="",LEN(TRIM('Raw Data'!B196))=0),_xlfn.REGEXEXTRACT(CELL("address",'Raw Data'!B196),"\$([A-Z]+)\$[0-9]+"),""),"")</f>
        <v/>
      </c>
      <c r="C196" s="6" t="str" cm="1">
        <f t="array" aca="1" ref="C196" ca="1">IFERROR(IF(OR('Raw Data'!C196="",LEN(TRIM('Raw Data'!C196))=0),_xlfn.REGEXEXTRACT(CELL("address",'Raw Data'!C196),"\$([A-Z]+)\$[0-9]+"),""),"")</f>
        <v/>
      </c>
      <c r="D196" s="6"/>
      <c r="E196" s="6" t="str" cm="1">
        <f t="array" aca="1" ref="E196" ca="1">IFERROR(IF(OR('Raw Data'!E196="",LEN(TRIM('Raw Data'!E196))=0),_xlfn.REGEXEXTRACT(CELL("address",'Raw Data'!E196),"\$([A-Z]+)\$[0-9]+"),""),"")</f>
        <v/>
      </c>
      <c r="F196" s="6"/>
      <c r="G196" s="6"/>
      <c r="H196" s="6" t="str" cm="1">
        <f t="array" aca="1" ref="H196" ca="1">IFERROR(IF(OR('Raw Data'!H196="",LEN(TRIM('Raw Data'!H196))=0),_xlfn.REGEXEXTRACT(CELL("address",'Raw Data'!H196),"\$([A-Z]+)\$[0-9]+"),""),"")</f>
        <v/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2:22" x14ac:dyDescent="0.25">
      <c r="B197" s="6" t="str" cm="1">
        <f t="array" aca="1" ref="B197" ca="1">IFERROR(IF(OR('Raw Data'!B197="",LEN(TRIM('Raw Data'!B197))=0),_xlfn.REGEXEXTRACT(CELL("address",'Raw Data'!B197),"\$([A-Z]+)\$[0-9]+"),""),"")</f>
        <v/>
      </c>
      <c r="C197" s="6" t="str" cm="1">
        <f t="array" aca="1" ref="C197" ca="1">IFERROR(IF(OR('Raw Data'!C197="",LEN(TRIM('Raw Data'!C197))=0),_xlfn.REGEXEXTRACT(CELL("address",'Raw Data'!C197),"\$([A-Z]+)\$[0-9]+"),""),"")</f>
        <v/>
      </c>
      <c r="D197" s="6"/>
      <c r="E197" s="6" t="str" cm="1">
        <f t="array" aca="1" ref="E197" ca="1">IFERROR(IF(OR('Raw Data'!E197="",LEN(TRIM('Raw Data'!E197))=0),_xlfn.REGEXEXTRACT(CELL("address",'Raw Data'!E197),"\$([A-Z]+)\$[0-9]+"),""),"")</f>
        <v/>
      </c>
      <c r="F197" s="6"/>
      <c r="G197" s="6"/>
      <c r="H197" s="6" t="str" cm="1">
        <f t="array" aca="1" ref="H197" ca="1">IFERROR(IF(OR('Raw Data'!H197="",LEN(TRIM('Raw Data'!H197))=0),_xlfn.REGEXEXTRACT(CELL("address",'Raw Data'!H197),"\$([A-Z]+)\$[0-9]+"),""),"")</f>
        <v/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2:22" x14ac:dyDescent="0.25">
      <c r="B198" s="6" t="str" cm="1">
        <f t="array" aca="1" ref="B198" ca="1">IFERROR(IF(OR('Raw Data'!B198="",LEN(TRIM('Raw Data'!B198))=0),_xlfn.REGEXEXTRACT(CELL("address",'Raw Data'!B198),"\$([A-Z]+)\$[0-9]+"),""),"")</f>
        <v/>
      </c>
      <c r="C198" s="6" t="str" cm="1">
        <f t="array" aca="1" ref="C198" ca="1">IFERROR(IF(OR('Raw Data'!C198="",LEN(TRIM('Raw Data'!C198))=0),_xlfn.REGEXEXTRACT(CELL("address",'Raw Data'!C198),"\$([A-Z]+)\$[0-9]+"),""),"")</f>
        <v/>
      </c>
      <c r="D198" s="6"/>
      <c r="E198" s="6" t="str" cm="1">
        <f t="array" aca="1" ref="E198" ca="1">IFERROR(IF(OR('Raw Data'!E198="",LEN(TRIM('Raw Data'!E198))=0),_xlfn.REGEXEXTRACT(CELL("address",'Raw Data'!E198),"\$([A-Z]+)\$[0-9]+"),""),"")</f>
        <v/>
      </c>
      <c r="F198" s="6"/>
      <c r="G198" s="6"/>
      <c r="H198" s="6" t="str" cm="1">
        <f t="array" aca="1" ref="H198" ca="1">IFERROR(IF(OR('Raw Data'!H198="",LEN(TRIM('Raw Data'!H198))=0),_xlfn.REGEXEXTRACT(CELL("address",'Raw Data'!H198),"\$([A-Z]+)\$[0-9]+"),""),"")</f>
        <v/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2:22" x14ac:dyDescent="0.25">
      <c r="B199" s="6" t="str" cm="1">
        <f t="array" aca="1" ref="B199" ca="1">IFERROR(IF(OR('Raw Data'!B199="",LEN(TRIM('Raw Data'!B199))=0),_xlfn.REGEXEXTRACT(CELL("address",'Raw Data'!B199),"\$([A-Z]+)\$[0-9]+"),""),"")</f>
        <v/>
      </c>
      <c r="C199" s="6" t="str" cm="1">
        <f t="array" aca="1" ref="C199" ca="1">IFERROR(IF(OR('Raw Data'!C199="",LEN(TRIM('Raw Data'!C199))=0),_xlfn.REGEXEXTRACT(CELL("address",'Raw Data'!C199),"\$([A-Z]+)\$[0-9]+"),""),"")</f>
        <v/>
      </c>
      <c r="D199" s="6"/>
      <c r="E199" s="6" t="str" cm="1">
        <f t="array" aca="1" ref="E199" ca="1">IFERROR(IF(OR('Raw Data'!E199="",LEN(TRIM('Raw Data'!E199))=0),_xlfn.REGEXEXTRACT(CELL("address",'Raw Data'!E199),"\$([A-Z]+)\$[0-9]+"),""),"")</f>
        <v/>
      </c>
      <c r="F199" s="6"/>
      <c r="G199" s="6"/>
      <c r="H199" s="6" t="str" cm="1">
        <f t="array" aca="1" ref="H199" ca="1">IFERROR(IF(OR('Raw Data'!H199="",LEN(TRIM('Raw Data'!H199))=0),_xlfn.REGEXEXTRACT(CELL("address",'Raw Data'!H199),"\$([A-Z]+)\$[0-9]+"),""),"")</f>
        <v/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2:22" x14ac:dyDescent="0.25">
      <c r="B200" s="6" t="str" cm="1">
        <f t="array" aca="1" ref="B200" ca="1">IFERROR(IF(OR('Raw Data'!B200="",LEN(TRIM('Raw Data'!B200))=0),_xlfn.REGEXEXTRACT(CELL("address",'Raw Data'!B200),"\$([A-Z]+)\$[0-9]+"),""),"")</f>
        <v/>
      </c>
      <c r="C200" s="6" t="str" cm="1">
        <f t="array" aca="1" ref="C200" ca="1">IFERROR(IF(OR('Raw Data'!C200="",LEN(TRIM('Raw Data'!C200))=0),_xlfn.REGEXEXTRACT(CELL("address",'Raw Data'!C200),"\$([A-Z]+)\$[0-9]+"),""),"")</f>
        <v/>
      </c>
      <c r="D200" s="6"/>
      <c r="E200" s="6" t="str" cm="1">
        <f t="array" aca="1" ref="E200" ca="1">IFERROR(IF(OR('Raw Data'!E200="",LEN(TRIM('Raw Data'!E200))=0),_xlfn.REGEXEXTRACT(CELL("address",'Raw Data'!E200),"\$([A-Z]+)\$[0-9]+"),""),"")</f>
        <v/>
      </c>
      <c r="F200" s="6"/>
      <c r="G200" s="6"/>
      <c r="H200" s="6" t="str" cm="1">
        <f t="array" aca="1" ref="H200" ca="1">IFERROR(IF(OR('Raw Data'!H200="",LEN(TRIM('Raw Data'!H200))=0),_xlfn.REGEXEXTRACT(CELL("address",'Raw Data'!H200),"\$([A-Z]+)\$[0-9]+"),""),"")</f>
        <v/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2:22" x14ac:dyDescent="0.25">
      <c r="B201" s="6" t="str" cm="1">
        <f t="array" aca="1" ref="B201" ca="1">IFERROR(IF(OR('Raw Data'!B201="",LEN(TRIM('Raw Data'!B201))=0),_xlfn.REGEXEXTRACT(CELL("address",'Raw Data'!B201),"\$([A-Z]+)\$[0-9]+"),""),"")</f>
        <v/>
      </c>
      <c r="C201" s="6" t="str" cm="1">
        <f t="array" aca="1" ref="C201" ca="1">IFERROR(IF(OR('Raw Data'!C201="",LEN(TRIM('Raw Data'!C201))=0),_xlfn.REGEXEXTRACT(CELL("address",'Raw Data'!C201),"\$([A-Z]+)\$[0-9]+"),""),"")</f>
        <v/>
      </c>
      <c r="D201" s="6"/>
      <c r="E201" s="6" t="str" cm="1">
        <f t="array" aca="1" ref="E201" ca="1">IFERROR(IF(OR('Raw Data'!E201="",LEN(TRIM('Raw Data'!E201))=0),_xlfn.REGEXEXTRACT(CELL("address",'Raw Data'!E201),"\$([A-Z]+)\$[0-9]+"),""),"")</f>
        <v/>
      </c>
      <c r="F201" s="6"/>
      <c r="G201" s="6"/>
      <c r="H201" s="6" t="str" cm="1">
        <f t="array" aca="1" ref="H201" ca="1">IFERROR(IF(OR('Raw Data'!H201="",LEN(TRIM('Raw Data'!H201))=0),_xlfn.REGEXEXTRACT(CELL("address",'Raw Data'!H201),"\$([A-Z]+)\$[0-9]+"),""),"")</f>
        <v/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2:22" x14ac:dyDescent="0.25">
      <c r="B202" s="6" t="str" cm="1">
        <f t="array" aca="1" ref="B202" ca="1">IFERROR(IF(OR('Raw Data'!B202="",LEN(TRIM('Raw Data'!B202))=0),_xlfn.REGEXEXTRACT(CELL("address",'Raw Data'!B202),"\$([A-Z]+)\$[0-9]+"),""),"")</f>
        <v/>
      </c>
      <c r="C202" s="6" t="str" cm="1">
        <f t="array" aca="1" ref="C202" ca="1">IFERROR(IF(OR('Raw Data'!C202="",LEN(TRIM('Raw Data'!C202))=0),_xlfn.REGEXEXTRACT(CELL("address",'Raw Data'!C202),"\$([A-Z]+)\$[0-9]+"),""),"")</f>
        <v/>
      </c>
      <c r="D202" s="6"/>
      <c r="E202" s="6" t="str" cm="1">
        <f t="array" aca="1" ref="E202" ca="1">IFERROR(IF(OR('Raw Data'!E202="",LEN(TRIM('Raw Data'!E202))=0),_xlfn.REGEXEXTRACT(CELL("address",'Raw Data'!E202),"\$([A-Z]+)\$[0-9]+"),""),"")</f>
        <v/>
      </c>
      <c r="F202" s="6"/>
      <c r="G202" s="6"/>
      <c r="H202" s="6" t="str" cm="1">
        <f t="array" aca="1" ref="H202" ca="1">IFERROR(IF(OR('Raw Data'!H202="",LEN(TRIM('Raw Data'!H202))=0),_xlfn.REGEXEXTRACT(CELL("address",'Raw Data'!H202),"\$([A-Z]+)\$[0-9]+"),""),"")</f>
        <v/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2:22" x14ac:dyDescent="0.25">
      <c r="B203" s="6" t="str" cm="1">
        <f t="array" aca="1" ref="B203" ca="1">IFERROR(IF(OR('Raw Data'!B203="",LEN(TRIM('Raw Data'!B203))=0),_xlfn.REGEXEXTRACT(CELL("address",'Raw Data'!B203),"\$([A-Z]+)\$[0-9]+"),""),"")</f>
        <v/>
      </c>
      <c r="C203" s="6" t="str" cm="1">
        <f t="array" aca="1" ref="C203" ca="1">IFERROR(IF(OR('Raw Data'!C203="",LEN(TRIM('Raw Data'!C203))=0),_xlfn.REGEXEXTRACT(CELL("address",'Raw Data'!C203),"\$([A-Z]+)\$[0-9]+"),""),"")</f>
        <v/>
      </c>
      <c r="D203" s="6"/>
      <c r="E203" s="6" t="str" cm="1">
        <f t="array" aca="1" ref="E203" ca="1">IFERROR(IF(OR('Raw Data'!E203="",LEN(TRIM('Raw Data'!E203))=0),_xlfn.REGEXEXTRACT(CELL("address",'Raw Data'!E203),"\$([A-Z]+)\$[0-9]+"),""),"")</f>
        <v/>
      </c>
      <c r="F203" s="6"/>
      <c r="G203" s="6"/>
      <c r="H203" s="6" t="str" cm="1">
        <f t="array" aca="1" ref="H203" ca="1">IFERROR(IF(OR('Raw Data'!H203="",LEN(TRIM('Raw Data'!H203))=0),_xlfn.REGEXEXTRACT(CELL("address",'Raw Data'!H203),"\$([A-Z]+)\$[0-9]+"),""),"")</f>
        <v/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2:22" x14ac:dyDescent="0.25">
      <c r="B204" s="6" t="str" cm="1">
        <f t="array" aca="1" ref="B204" ca="1">IFERROR(IF(OR('Raw Data'!B204="",LEN(TRIM('Raw Data'!B204))=0),_xlfn.REGEXEXTRACT(CELL("address",'Raw Data'!B204),"\$([A-Z]+)\$[0-9]+"),""),"")</f>
        <v/>
      </c>
      <c r="C204" s="6" t="str" cm="1">
        <f t="array" aca="1" ref="C204" ca="1">IFERROR(IF(OR('Raw Data'!C204="",LEN(TRIM('Raw Data'!C204))=0),_xlfn.REGEXEXTRACT(CELL("address",'Raw Data'!C204),"\$([A-Z]+)\$[0-9]+"),""),"")</f>
        <v/>
      </c>
      <c r="D204" s="6"/>
      <c r="E204" s="6" t="str" cm="1">
        <f t="array" aca="1" ref="E204" ca="1">IFERROR(IF(OR('Raw Data'!E204="",LEN(TRIM('Raw Data'!E204))=0),_xlfn.REGEXEXTRACT(CELL("address",'Raw Data'!E204),"\$([A-Z]+)\$[0-9]+"),""),"")</f>
        <v/>
      </c>
      <c r="F204" s="6"/>
      <c r="G204" s="6"/>
      <c r="H204" s="6" t="str" cm="1">
        <f t="array" aca="1" ref="H204" ca="1">IFERROR(IF(OR('Raw Data'!H204="",LEN(TRIM('Raw Data'!H204))=0),_xlfn.REGEXEXTRACT(CELL("address",'Raw Data'!H204),"\$([A-Z]+)\$[0-9]+"),""),"")</f>
        <v/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2:22" x14ac:dyDescent="0.25">
      <c r="B205" s="6" t="str" cm="1">
        <f t="array" aca="1" ref="B205" ca="1">IFERROR(IF(OR('Raw Data'!B205="",LEN(TRIM('Raw Data'!B205))=0),_xlfn.REGEXEXTRACT(CELL("address",'Raw Data'!B205),"\$([A-Z]+)\$[0-9]+"),""),"")</f>
        <v/>
      </c>
      <c r="C205" s="6" t="str" cm="1">
        <f t="array" aca="1" ref="C205" ca="1">IFERROR(IF(OR('Raw Data'!C205="",LEN(TRIM('Raw Data'!C205))=0),_xlfn.REGEXEXTRACT(CELL("address",'Raw Data'!C205),"\$([A-Z]+)\$[0-9]+"),""),"")</f>
        <v/>
      </c>
      <c r="D205" s="6"/>
      <c r="E205" s="6" t="str" cm="1">
        <f t="array" aca="1" ref="E205" ca="1">IFERROR(IF(OR('Raw Data'!E205="",LEN(TRIM('Raw Data'!E205))=0),_xlfn.REGEXEXTRACT(CELL("address",'Raw Data'!E205),"\$([A-Z]+)\$[0-9]+"),""),"")</f>
        <v/>
      </c>
      <c r="F205" s="6"/>
      <c r="G205" s="6"/>
      <c r="H205" s="6" t="str" cm="1">
        <f t="array" aca="1" ref="H205" ca="1">IFERROR(IF(OR('Raw Data'!H205="",LEN(TRIM('Raw Data'!H205))=0),_xlfn.REGEXEXTRACT(CELL("address",'Raw Data'!H205),"\$([A-Z]+)\$[0-9]+"),""),"")</f>
        <v/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2:22" x14ac:dyDescent="0.25">
      <c r="B206" s="6" t="str" cm="1">
        <f t="array" aca="1" ref="B206" ca="1">IFERROR(IF(OR('Raw Data'!B206="",LEN(TRIM('Raw Data'!B206))=0),_xlfn.REGEXEXTRACT(CELL("address",'Raw Data'!B206),"\$([A-Z]+)\$[0-9]+"),""),"")</f>
        <v/>
      </c>
      <c r="C206" s="6" t="str" cm="1">
        <f t="array" aca="1" ref="C206" ca="1">IFERROR(IF(OR('Raw Data'!C206="",LEN(TRIM('Raw Data'!C206))=0),_xlfn.REGEXEXTRACT(CELL("address",'Raw Data'!C206),"\$([A-Z]+)\$[0-9]+"),""),"")</f>
        <v/>
      </c>
      <c r="D206" s="6"/>
      <c r="E206" s="6" t="str" cm="1">
        <f t="array" aca="1" ref="E206" ca="1">IFERROR(IF(OR('Raw Data'!E206="",LEN(TRIM('Raw Data'!E206))=0),_xlfn.REGEXEXTRACT(CELL("address",'Raw Data'!E206),"\$([A-Z]+)\$[0-9]+"),""),"")</f>
        <v/>
      </c>
      <c r="F206" s="6"/>
      <c r="G206" s="6"/>
      <c r="H206" s="6" t="str" cm="1">
        <f t="array" aca="1" ref="H206" ca="1">IFERROR(IF(OR('Raw Data'!H206="",LEN(TRIM('Raw Data'!H206))=0),_xlfn.REGEXEXTRACT(CELL("address",'Raw Data'!H206),"\$([A-Z]+)\$[0-9]+"),""),"")</f>
        <v/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2:22" x14ac:dyDescent="0.25">
      <c r="B207" s="6" t="str" cm="1">
        <f t="array" aca="1" ref="B207" ca="1">IFERROR(IF(OR('Raw Data'!B207="",LEN(TRIM('Raw Data'!B207))=0),_xlfn.REGEXEXTRACT(CELL("address",'Raw Data'!B207),"\$([A-Z]+)\$[0-9]+"),""),"")</f>
        <v/>
      </c>
      <c r="C207" s="6" t="str" cm="1">
        <f t="array" aca="1" ref="C207" ca="1">IFERROR(IF(OR('Raw Data'!C207="",LEN(TRIM('Raw Data'!C207))=0),_xlfn.REGEXEXTRACT(CELL("address",'Raw Data'!C207),"\$([A-Z]+)\$[0-9]+"),""),"")</f>
        <v/>
      </c>
      <c r="D207" s="6"/>
      <c r="E207" s="6" t="str" cm="1">
        <f t="array" aca="1" ref="E207" ca="1">IFERROR(IF(OR('Raw Data'!E207="",LEN(TRIM('Raw Data'!E207))=0),_xlfn.REGEXEXTRACT(CELL("address",'Raw Data'!E207),"\$([A-Z]+)\$[0-9]+"),""),"")</f>
        <v/>
      </c>
      <c r="F207" s="6"/>
      <c r="G207" s="6"/>
      <c r="H207" s="6" t="str" cm="1">
        <f t="array" aca="1" ref="H207" ca="1">IFERROR(IF(OR('Raw Data'!H207="",LEN(TRIM('Raw Data'!H207))=0),_xlfn.REGEXEXTRACT(CELL("address",'Raw Data'!H207),"\$([A-Z]+)\$[0-9]+"),""),"")</f>
        <v/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2:22" x14ac:dyDescent="0.25">
      <c r="B208" s="6" t="str" cm="1">
        <f t="array" aca="1" ref="B208" ca="1">IFERROR(IF(OR('Raw Data'!B208="",LEN(TRIM('Raw Data'!B208))=0),_xlfn.REGEXEXTRACT(CELL("address",'Raw Data'!B208),"\$([A-Z]+)\$[0-9]+"),""),"")</f>
        <v/>
      </c>
      <c r="C208" s="6" t="str" cm="1">
        <f t="array" aca="1" ref="C208" ca="1">IFERROR(IF(OR('Raw Data'!C208="",LEN(TRIM('Raw Data'!C208))=0),_xlfn.REGEXEXTRACT(CELL("address",'Raw Data'!C208),"\$([A-Z]+)\$[0-9]+"),""),"")</f>
        <v/>
      </c>
      <c r="D208" s="6"/>
      <c r="E208" s="6" t="str" cm="1">
        <f t="array" aca="1" ref="E208" ca="1">IFERROR(IF(OR('Raw Data'!E208="",LEN(TRIM('Raw Data'!E208))=0),_xlfn.REGEXEXTRACT(CELL("address",'Raw Data'!E208),"\$([A-Z]+)\$[0-9]+"),""),"")</f>
        <v/>
      </c>
      <c r="F208" s="6"/>
      <c r="G208" s="6"/>
      <c r="H208" s="6" t="str" cm="1">
        <f t="array" aca="1" ref="H208" ca="1">IFERROR(IF(OR('Raw Data'!H208="",LEN(TRIM('Raw Data'!H208))=0),_xlfn.REGEXEXTRACT(CELL("address",'Raw Data'!H208),"\$([A-Z]+)\$[0-9]+"),""),"")</f>
        <v/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2:22" x14ac:dyDescent="0.25">
      <c r="B209" s="6" t="str" cm="1">
        <f t="array" aca="1" ref="B209" ca="1">IFERROR(IF(OR('Raw Data'!B209="",LEN(TRIM('Raw Data'!B209))=0),_xlfn.REGEXEXTRACT(CELL("address",'Raw Data'!B209),"\$([A-Z]+)\$[0-9]+"),""),"")</f>
        <v/>
      </c>
      <c r="C209" s="6" t="str" cm="1">
        <f t="array" aca="1" ref="C209" ca="1">IFERROR(IF(OR('Raw Data'!C209="",LEN(TRIM('Raw Data'!C209))=0),_xlfn.REGEXEXTRACT(CELL("address",'Raw Data'!C209),"\$([A-Z]+)\$[0-9]+"),""),"")</f>
        <v/>
      </c>
      <c r="D209" s="6"/>
      <c r="E209" s="6" t="str" cm="1">
        <f t="array" aca="1" ref="E209" ca="1">IFERROR(IF(OR('Raw Data'!E209="",LEN(TRIM('Raw Data'!E209))=0),_xlfn.REGEXEXTRACT(CELL("address",'Raw Data'!E209),"\$([A-Z]+)\$[0-9]+"),""),"")</f>
        <v/>
      </c>
      <c r="F209" s="6"/>
      <c r="G209" s="6"/>
      <c r="H209" s="6" t="str" cm="1">
        <f t="array" aca="1" ref="H209" ca="1">IFERROR(IF(OR('Raw Data'!H209="",LEN(TRIM('Raw Data'!H209))=0),_xlfn.REGEXEXTRACT(CELL("address",'Raw Data'!H209),"\$([A-Z]+)\$[0-9]+"),""),"")</f>
        <v/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2:22" x14ac:dyDescent="0.25">
      <c r="B210" s="6" t="str" cm="1">
        <f t="array" aca="1" ref="B210" ca="1">IFERROR(IF(OR('Raw Data'!B210="",LEN(TRIM('Raw Data'!B210))=0),_xlfn.REGEXEXTRACT(CELL("address",'Raw Data'!B210),"\$([A-Z]+)\$[0-9]+"),""),"")</f>
        <v/>
      </c>
      <c r="C210" s="6" t="str" cm="1">
        <f t="array" aca="1" ref="C210" ca="1">IFERROR(IF(OR('Raw Data'!C210="",LEN(TRIM('Raw Data'!C210))=0),_xlfn.REGEXEXTRACT(CELL("address",'Raw Data'!C210),"\$([A-Z]+)\$[0-9]+"),""),"")</f>
        <v/>
      </c>
      <c r="D210" s="6"/>
      <c r="E210" s="6" t="str" cm="1">
        <f t="array" aca="1" ref="E210" ca="1">IFERROR(IF(OR('Raw Data'!E210="",LEN(TRIM('Raw Data'!E210))=0),_xlfn.REGEXEXTRACT(CELL("address",'Raw Data'!E210),"\$([A-Z]+)\$[0-9]+"),""),"")</f>
        <v/>
      </c>
      <c r="F210" s="6"/>
      <c r="G210" s="6"/>
      <c r="H210" s="6" t="str" cm="1">
        <f t="array" aca="1" ref="H210" ca="1">IFERROR(IF(OR('Raw Data'!H210="",LEN(TRIM('Raw Data'!H210))=0),_xlfn.REGEXEXTRACT(CELL("address",'Raw Data'!H210),"\$([A-Z]+)\$[0-9]+"),""),"")</f>
        <v/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2:22" x14ac:dyDescent="0.25">
      <c r="B211" s="6" t="str" cm="1">
        <f t="array" aca="1" ref="B211" ca="1">IFERROR(IF(OR('Raw Data'!B211="",LEN(TRIM('Raw Data'!B211))=0),_xlfn.REGEXEXTRACT(CELL("address",'Raw Data'!B211),"\$([A-Z]+)\$[0-9]+"),""),"")</f>
        <v/>
      </c>
      <c r="C211" s="6" t="str" cm="1">
        <f t="array" aca="1" ref="C211" ca="1">IFERROR(IF(OR('Raw Data'!C211="",LEN(TRIM('Raw Data'!C211))=0),_xlfn.REGEXEXTRACT(CELL("address",'Raw Data'!C211),"\$([A-Z]+)\$[0-9]+"),""),"")</f>
        <v/>
      </c>
      <c r="D211" s="6"/>
      <c r="E211" s="6" t="str" cm="1">
        <f t="array" aca="1" ref="E211" ca="1">IFERROR(IF(OR('Raw Data'!E211="",LEN(TRIM('Raw Data'!E211))=0),_xlfn.REGEXEXTRACT(CELL("address",'Raw Data'!E211),"\$([A-Z]+)\$[0-9]+"),""),"")</f>
        <v/>
      </c>
      <c r="F211" s="6"/>
      <c r="G211" s="6"/>
      <c r="H211" s="6" t="str" cm="1">
        <f t="array" aca="1" ref="H211" ca="1">IFERROR(IF(OR('Raw Data'!H211="",LEN(TRIM('Raw Data'!H211))=0),_xlfn.REGEXEXTRACT(CELL("address",'Raw Data'!H211),"\$([A-Z]+)\$[0-9]+"),""),"")</f>
        <v/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2:22" x14ac:dyDescent="0.25">
      <c r="B212" s="6" t="str" cm="1">
        <f t="array" aca="1" ref="B212" ca="1">IFERROR(IF(OR('Raw Data'!B212="",LEN(TRIM('Raw Data'!B212))=0),_xlfn.REGEXEXTRACT(CELL("address",'Raw Data'!B212),"\$([A-Z]+)\$[0-9]+"),""),"")</f>
        <v/>
      </c>
      <c r="C212" s="6" t="str" cm="1">
        <f t="array" aca="1" ref="C212" ca="1">IFERROR(IF(OR('Raw Data'!C212="",LEN(TRIM('Raw Data'!C212))=0),_xlfn.REGEXEXTRACT(CELL("address",'Raw Data'!C212),"\$([A-Z]+)\$[0-9]+"),""),"")</f>
        <v/>
      </c>
      <c r="D212" s="6"/>
      <c r="E212" s="6" t="str" cm="1">
        <f t="array" aca="1" ref="E212" ca="1">IFERROR(IF(OR('Raw Data'!E212="",LEN(TRIM('Raw Data'!E212))=0),_xlfn.REGEXEXTRACT(CELL("address",'Raw Data'!E212),"\$([A-Z]+)\$[0-9]+"),""),"")</f>
        <v/>
      </c>
      <c r="F212" s="6"/>
      <c r="G212" s="6"/>
      <c r="H212" s="6" t="str" cm="1">
        <f t="array" aca="1" ref="H212" ca="1">IFERROR(IF(OR('Raw Data'!H212="",LEN(TRIM('Raw Data'!H212))=0),_xlfn.REGEXEXTRACT(CELL("address",'Raw Data'!H212),"\$([A-Z]+)\$[0-9]+"),""),"")</f>
        <v/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2:22" x14ac:dyDescent="0.25">
      <c r="B213" s="6" t="str" cm="1">
        <f t="array" aca="1" ref="B213" ca="1">IFERROR(IF(OR('Raw Data'!B213="",LEN(TRIM('Raw Data'!B213))=0),_xlfn.REGEXEXTRACT(CELL("address",'Raw Data'!B213),"\$([A-Z]+)\$[0-9]+"),""),"")</f>
        <v/>
      </c>
      <c r="C213" s="6" t="str" cm="1">
        <f t="array" aca="1" ref="C213" ca="1">IFERROR(IF(OR('Raw Data'!C213="",LEN(TRIM('Raw Data'!C213))=0),_xlfn.REGEXEXTRACT(CELL("address",'Raw Data'!C213),"\$([A-Z]+)\$[0-9]+"),""),"")</f>
        <v/>
      </c>
      <c r="D213" s="6"/>
      <c r="E213" s="6" t="str" cm="1">
        <f t="array" aca="1" ref="E213" ca="1">IFERROR(IF(OR('Raw Data'!E213="",LEN(TRIM('Raw Data'!E213))=0),_xlfn.REGEXEXTRACT(CELL("address",'Raw Data'!E213),"\$([A-Z]+)\$[0-9]+"),""),"")</f>
        <v/>
      </c>
      <c r="F213" s="6"/>
      <c r="G213" s="6"/>
      <c r="H213" s="6" t="str" cm="1">
        <f t="array" aca="1" ref="H213" ca="1">IFERROR(IF(OR('Raw Data'!H213="",LEN(TRIM('Raw Data'!H213))=0),_xlfn.REGEXEXTRACT(CELL("address",'Raw Data'!H213),"\$([A-Z]+)\$[0-9]+"),""),"")</f>
        <v/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2:22" x14ac:dyDescent="0.25">
      <c r="B214" s="6" t="str" cm="1">
        <f t="array" aca="1" ref="B214" ca="1">IFERROR(IF(OR('Raw Data'!B214="",LEN(TRIM('Raw Data'!B214))=0),_xlfn.REGEXEXTRACT(CELL("address",'Raw Data'!B214),"\$([A-Z]+)\$[0-9]+"),""),"")</f>
        <v/>
      </c>
      <c r="C214" s="6" t="str" cm="1">
        <f t="array" aca="1" ref="C214" ca="1">IFERROR(IF(OR('Raw Data'!C214="",LEN(TRIM('Raw Data'!C214))=0),_xlfn.REGEXEXTRACT(CELL("address",'Raw Data'!C214),"\$([A-Z]+)\$[0-9]+"),""),"")</f>
        <v/>
      </c>
      <c r="D214" s="6"/>
      <c r="E214" s="6" t="str" cm="1">
        <f t="array" aca="1" ref="E214" ca="1">IFERROR(IF(OR('Raw Data'!E214="",LEN(TRIM('Raw Data'!E214))=0),_xlfn.REGEXEXTRACT(CELL("address",'Raw Data'!E214),"\$([A-Z]+)\$[0-9]+"),""),"")</f>
        <v/>
      </c>
      <c r="F214" s="6"/>
      <c r="G214" s="6"/>
      <c r="H214" s="6" t="str" cm="1">
        <f t="array" aca="1" ref="H214" ca="1">IFERROR(IF(OR('Raw Data'!H214="",LEN(TRIM('Raw Data'!H214))=0),_xlfn.REGEXEXTRACT(CELL("address",'Raw Data'!H214),"\$([A-Z]+)\$[0-9]+"),""),"")</f>
        <v/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2:22" x14ac:dyDescent="0.25">
      <c r="B215" s="6" t="str" cm="1">
        <f t="array" aca="1" ref="B215" ca="1">IFERROR(IF(OR('Raw Data'!B215="",LEN(TRIM('Raw Data'!B215))=0),_xlfn.REGEXEXTRACT(CELL("address",'Raw Data'!B215),"\$([A-Z]+)\$[0-9]+"),""),"")</f>
        <v/>
      </c>
      <c r="C215" s="6" t="str" cm="1">
        <f t="array" aca="1" ref="C215" ca="1">IFERROR(IF(OR('Raw Data'!C215="",LEN(TRIM('Raw Data'!C215))=0),_xlfn.REGEXEXTRACT(CELL("address",'Raw Data'!C215),"\$([A-Z]+)\$[0-9]+"),""),"")</f>
        <v/>
      </c>
      <c r="D215" s="6"/>
      <c r="E215" s="6" t="str" cm="1">
        <f t="array" aca="1" ref="E215" ca="1">IFERROR(IF(OR('Raw Data'!E215="",LEN(TRIM('Raw Data'!E215))=0),_xlfn.REGEXEXTRACT(CELL("address",'Raw Data'!E215),"\$([A-Z]+)\$[0-9]+"),""),"")</f>
        <v/>
      </c>
      <c r="F215" s="6"/>
      <c r="G215" s="6"/>
      <c r="H215" s="6" t="str" cm="1">
        <f t="array" aca="1" ref="H215" ca="1">IFERROR(IF(OR('Raw Data'!H215="",LEN(TRIM('Raw Data'!H215))=0),_xlfn.REGEXEXTRACT(CELL("address",'Raw Data'!H215),"\$([A-Z]+)\$[0-9]+"),""),"")</f>
        <v/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2:22" x14ac:dyDescent="0.25">
      <c r="B216" s="6" t="str" cm="1">
        <f t="array" aca="1" ref="B216" ca="1">IFERROR(IF(OR('Raw Data'!B216="",LEN(TRIM('Raw Data'!B216))=0),_xlfn.REGEXEXTRACT(CELL("address",'Raw Data'!B216),"\$([A-Z]+)\$[0-9]+"),""),"")</f>
        <v/>
      </c>
      <c r="C216" s="6" t="str" cm="1">
        <f t="array" aca="1" ref="C216" ca="1">IFERROR(IF(OR('Raw Data'!C216="",LEN(TRIM('Raw Data'!C216))=0),_xlfn.REGEXEXTRACT(CELL("address",'Raw Data'!C216),"\$([A-Z]+)\$[0-9]+"),""),"")</f>
        <v/>
      </c>
      <c r="D216" s="6"/>
      <c r="E216" s="6" t="str" cm="1">
        <f t="array" aca="1" ref="E216" ca="1">IFERROR(IF(OR('Raw Data'!E216="",LEN(TRIM('Raw Data'!E216))=0),_xlfn.REGEXEXTRACT(CELL("address",'Raw Data'!E216),"\$([A-Z]+)\$[0-9]+"),""),"")</f>
        <v/>
      </c>
      <c r="F216" s="6"/>
      <c r="G216" s="6"/>
      <c r="H216" s="6" t="str" cm="1">
        <f t="array" aca="1" ref="H216" ca="1">IFERROR(IF(OR('Raw Data'!H216="",LEN(TRIM('Raw Data'!H216))=0),_xlfn.REGEXEXTRACT(CELL("address",'Raw Data'!H216),"\$([A-Z]+)\$[0-9]+"),""),"")</f>
        <v/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2:22" x14ac:dyDescent="0.25">
      <c r="B217" s="6" t="str" cm="1">
        <f t="array" aca="1" ref="B217" ca="1">IFERROR(IF(OR('Raw Data'!B217="",LEN(TRIM('Raw Data'!B217))=0),_xlfn.REGEXEXTRACT(CELL("address",'Raw Data'!B217),"\$([A-Z]+)\$[0-9]+"),""),"")</f>
        <v/>
      </c>
      <c r="C217" s="6" t="str" cm="1">
        <f t="array" aca="1" ref="C217" ca="1">IFERROR(IF(OR('Raw Data'!C217="",LEN(TRIM('Raw Data'!C217))=0),_xlfn.REGEXEXTRACT(CELL("address",'Raw Data'!C217),"\$([A-Z]+)\$[0-9]+"),""),"")</f>
        <v/>
      </c>
      <c r="D217" s="6"/>
      <c r="E217" s="6" t="str" cm="1">
        <f t="array" aca="1" ref="E217" ca="1">IFERROR(IF(OR('Raw Data'!E217="",LEN(TRIM('Raw Data'!E217))=0),_xlfn.REGEXEXTRACT(CELL("address",'Raw Data'!E217),"\$([A-Z]+)\$[0-9]+"),""),"")</f>
        <v/>
      </c>
      <c r="F217" s="6"/>
      <c r="G217" s="6"/>
      <c r="H217" s="6" t="str" cm="1">
        <f t="array" aca="1" ref="H217" ca="1">IFERROR(IF(OR('Raw Data'!H217="",LEN(TRIM('Raw Data'!H217))=0),_xlfn.REGEXEXTRACT(CELL("address",'Raw Data'!H217),"\$([A-Z]+)\$[0-9]+"),""),"")</f>
        <v/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2:22" x14ac:dyDescent="0.25">
      <c r="B218" s="6" t="str" cm="1">
        <f t="array" aca="1" ref="B218" ca="1">IFERROR(IF(OR('Raw Data'!B218="",LEN(TRIM('Raw Data'!B218))=0),_xlfn.REGEXEXTRACT(CELL("address",'Raw Data'!B218),"\$([A-Z]+)\$[0-9]+"),""),"")</f>
        <v/>
      </c>
      <c r="C218" s="6" t="str" cm="1">
        <f t="array" aca="1" ref="C218" ca="1">IFERROR(IF(OR('Raw Data'!C218="",LEN(TRIM('Raw Data'!C218))=0),_xlfn.REGEXEXTRACT(CELL("address",'Raw Data'!C218),"\$([A-Z]+)\$[0-9]+"),""),"")</f>
        <v/>
      </c>
      <c r="D218" s="6"/>
      <c r="E218" s="6" t="str" cm="1">
        <f t="array" aca="1" ref="E218" ca="1">IFERROR(IF(OR('Raw Data'!E218="",LEN(TRIM('Raw Data'!E218))=0),_xlfn.REGEXEXTRACT(CELL("address",'Raw Data'!E218),"\$([A-Z]+)\$[0-9]+"),""),"")</f>
        <v/>
      </c>
      <c r="F218" s="6"/>
      <c r="G218" s="6"/>
      <c r="H218" s="6" t="str" cm="1">
        <f t="array" aca="1" ref="H218" ca="1">IFERROR(IF(OR('Raw Data'!H218="",LEN(TRIM('Raw Data'!H218))=0),_xlfn.REGEXEXTRACT(CELL("address",'Raw Data'!H218),"\$([A-Z]+)\$[0-9]+"),""),"")</f>
        <v/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2:22" x14ac:dyDescent="0.25">
      <c r="B219" s="6" t="str" cm="1">
        <f t="array" aca="1" ref="B219" ca="1">IFERROR(IF(OR('Raw Data'!B219="",LEN(TRIM('Raw Data'!B219))=0),_xlfn.REGEXEXTRACT(CELL("address",'Raw Data'!B219),"\$([A-Z]+)\$[0-9]+"),""),"")</f>
        <v/>
      </c>
      <c r="C219" s="6" t="str" cm="1">
        <f t="array" aca="1" ref="C219" ca="1">IFERROR(IF(OR('Raw Data'!C219="",LEN(TRIM('Raw Data'!C219))=0),_xlfn.REGEXEXTRACT(CELL("address",'Raw Data'!C219),"\$([A-Z]+)\$[0-9]+"),""),"")</f>
        <v/>
      </c>
      <c r="D219" s="6"/>
      <c r="E219" s="6" t="str" cm="1">
        <f t="array" aca="1" ref="E219" ca="1">IFERROR(IF(OR('Raw Data'!E219="",LEN(TRIM('Raw Data'!E219))=0),_xlfn.REGEXEXTRACT(CELL("address",'Raw Data'!E219),"\$([A-Z]+)\$[0-9]+"),""),"")</f>
        <v/>
      </c>
      <c r="F219" s="6"/>
      <c r="G219" s="6"/>
      <c r="H219" s="6" t="str" cm="1">
        <f t="array" aca="1" ref="H219" ca="1">IFERROR(IF(OR('Raw Data'!H219="",LEN(TRIM('Raw Data'!H219))=0),_xlfn.REGEXEXTRACT(CELL("address",'Raw Data'!H219),"\$([A-Z]+)\$[0-9]+"),""),"")</f>
        <v/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2:22" x14ac:dyDescent="0.25">
      <c r="B220" s="6" t="str" cm="1">
        <f t="array" aca="1" ref="B220" ca="1">IFERROR(IF(OR('Raw Data'!B220="",LEN(TRIM('Raw Data'!B220))=0),_xlfn.REGEXEXTRACT(CELL("address",'Raw Data'!B220),"\$([A-Z]+)\$[0-9]+"),""),"")</f>
        <v/>
      </c>
      <c r="C220" s="6" t="str" cm="1">
        <f t="array" aca="1" ref="C220" ca="1">IFERROR(IF(OR('Raw Data'!C220="",LEN(TRIM('Raw Data'!C220))=0),_xlfn.REGEXEXTRACT(CELL("address",'Raw Data'!C220),"\$([A-Z]+)\$[0-9]+"),""),"")</f>
        <v/>
      </c>
      <c r="D220" s="6"/>
      <c r="E220" s="6" t="str" cm="1">
        <f t="array" aca="1" ref="E220" ca="1">IFERROR(IF(OR('Raw Data'!E220="",LEN(TRIM('Raw Data'!E220))=0),_xlfn.REGEXEXTRACT(CELL("address",'Raw Data'!E220),"\$([A-Z]+)\$[0-9]+"),""),"")</f>
        <v/>
      </c>
      <c r="F220" s="6"/>
      <c r="G220" s="6"/>
      <c r="H220" s="6" t="str" cm="1">
        <f t="array" aca="1" ref="H220" ca="1">IFERROR(IF(OR('Raw Data'!H220="",LEN(TRIM('Raw Data'!H220))=0),_xlfn.REGEXEXTRACT(CELL("address",'Raw Data'!H220),"\$([A-Z]+)\$[0-9]+"),""),"")</f>
        <v/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2:22" x14ac:dyDescent="0.25">
      <c r="B221" s="6" t="str" cm="1">
        <f t="array" aca="1" ref="B221" ca="1">IFERROR(IF(OR('Raw Data'!B221="",LEN(TRIM('Raw Data'!B221))=0),_xlfn.REGEXEXTRACT(CELL("address",'Raw Data'!B221),"\$([A-Z]+)\$[0-9]+"),""),"")</f>
        <v/>
      </c>
      <c r="C221" s="6" t="str" cm="1">
        <f t="array" aca="1" ref="C221" ca="1">IFERROR(IF(OR('Raw Data'!C221="",LEN(TRIM('Raw Data'!C221))=0),_xlfn.REGEXEXTRACT(CELL("address",'Raw Data'!C221),"\$([A-Z]+)\$[0-9]+"),""),"")</f>
        <v/>
      </c>
      <c r="D221" s="6"/>
      <c r="E221" s="6" t="str" cm="1">
        <f t="array" aca="1" ref="E221" ca="1">IFERROR(IF(OR('Raw Data'!E221="",LEN(TRIM('Raw Data'!E221))=0),_xlfn.REGEXEXTRACT(CELL("address",'Raw Data'!E221),"\$([A-Z]+)\$[0-9]+"),""),"")</f>
        <v/>
      </c>
      <c r="F221" s="6"/>
      <c r="G221" s="6"/>
      <c r="H221" s="6" t="str" cm="1">
        <f t="array" aca="1" ref="H221" ca="1">IFERROR(IF(OR('Raw Data'!H221="",LEN(TRIM('Raw Data'!H221))=0),_xlfn.REGEXEXTRACT(CELL("address",'Raw Data'!H221),"\$([A-Z]+)\$[0-9]+"),""),"")</f>
        <v/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2:22" x14ac:dyDescent="0.25">
      <c r="B222" s="6" t="str" cm="1">
        <f t="array" aca="1" ref="B222" ca="1">IFERROR(IF(OR('Raw Data'!B222="",LEN(TRIM('Raw Data'!B222))=0),_xlfn.REGEXEXTRACT(CELL("address",'Raw Data'!B222),"\$([A-Z]+)\$[0-9]+"),""),"")</f>
        <v/>
      </c>
      <c r="C222" s="6" t="str" cm="1">
        <f t="array" aca="1" ref="C222" ca="1">IFERROR(IF(OR('Raw Data'!C222="",LEN(TRIM('Raw Data'!C222))=0),_xlfn.REGEXEXTRACT(CELL("address",'Raw Data'!C222),"\$([A-Z]+)\$[0-9]+"),""),"")</f>
        <v/>
      </c>
      <c r="D222" s="6"/>
      <c r="E222" s="6" t="str" cm="1">
        <f t="array" aca="1" ref="E222" ca="1">IFERROR(IF(OR('Raw Data'!E222="",LEN(TRIM('Raw Data'!E222))=0),_xlfn.REGEXEXTRACT(CELL("address",'Raw Data'!E222),"\$([A-Z]+)\$[0-9]+"),""),"")</f>
        <v/>
      </c>
      <c r="F222" s="6"/>
      <c r="G222" s="6"/>
      <c r="H222" s="6" t="str" cm="1">
        <f t="array" aca="1" ref="H222" ca="1">IFERROR(IF(OR('Raw Data'!H222="",LEN(TRIM('Raw Data'!H222))=0),_xlfn.REGEXEXTRACT(CELL("address",'Raw Data'!H222),"\$([A-Z]+)\$[0-9]+"),""),"")</f>
        <v/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2:22" x14ac:dyDescent="0.25">
      <c r="B223" s="6" t="str" cm="1">
        <f t="array" aca="1" ref="B223" ca="1">IFERROR(IF(OR('Raw Data'!B223="",LEN(TRIM('Raw Data'!B223))=0),_xlfn.REGEXEXTRACT(CELL("address",'Raw Data'!B223),"\$([A-Z]+)\$[0-9]+"),""),"")</f>
        <v/>
      </c>
      <c r="C223" s="6" t="str" cm="1">
        <f t="array" aca="1" ref="C223" ca="1">IFERROR(IF(OR('Raw Data'!C223="",LEN(TRIM('Raw Data'!C223))=0),_xlfn.REGEXEXTRACT(CELL("address",'Raw Data'!C223),"\$([A-Z]+)\$[0-9]+"),""),"")</f>
        <v/>
      </c>
      <c r="D223" s="6"/>
      <c r="E223" s="6" t="str" cm="1">
        <f t="array" aca="1" ref="E223" ca="1">IFERROR(IF(OR('Raw Data'!E223="",LEN(TRIM('Raw Data'!E223))=0),_xlfn.REGEXEXTRACT(CELL("address",'Raw Data'!E223),"\$([A-Z]+)\$[0-9]+"),""),"")</f>
        <v/>
      </c>
      <c r="F223" s="6"/>
      <c r="G223" s="6"/>
      <c r="H223" s="6" t="str" cm="1">
        <f t="array" aca="1" ref="H223" ca="1">IFERROR(IF(OR('Raw Data'!H223="",LEN(TRIM('Raw Data'!H223))=0),_xlfn.REGEXEXTRACT(CELL("address",'Raw Data'!H223),"\$([A-Z]+)\$[0-9]+"),""),"")</f>
        <v/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2:22" x14ac:dyDescent="0.25">
      <c r="B224" s="6" t="str" cm="1">
        <f t="array" aca="1" ref="B224" ca="1">IFERROR(IF(OR('Raw Data'!B224="",LEN(TRIM('Raw Data'!B224))=0),_xlfn.REGEXEXTRACT(CELL("address",'Raw Data'!B224),"\$([A-Z]+)\$[0-9]+"),""),"")</f>
        <v/>
      </c>
      <c r="C224" s="6" t="str" cm="1">
        <f t="array" aca="1" ref="C224" ca="1">IFERROR(IF(OR('Raw Data'!C224="",LEN(TRIM('Raw Data'!C224))=0),_xlfn.REGEXEXTRACT(CELL("address",'Raw Data'!C224),"\$([A-Z]+)\$[0-9]+"),""),"")</f>
        <v/>
      </c>
      <c r="D224" s="6"/>
      <c r="E224" s="6" t="str" cm="1">
        <f t="array" aca="1" ref="E224" ca="1">IFERROR(IF(OR('Raw Data'!E224="",LEN(TRIM('Raw Data'!E224))=0),_xlfn.REGEXEXTRACT(CELL("address",'Raw Data'!E224),"\$([A-Z]+)\$[0-9]+"),""),"")</f>
        <v/>
      </c>
      <c r="F224" s="6"/>
      <c r="G224" s="6"/>
      <c r="H224" s="6" t="str" cm="1">
        <f t="array" aca="1" ref="H224" ca="1">IFERROR(IF(OR('Raw Data'!H224="",LEN(TRIM('Raw Data'!H224))=0),_xlfn.REGEXEXTRACT(CELL("address",'Raw Data'!H224),"\$([A-Z]+)\$[0-9]+"),""),"")</f>
        <v/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2:22" x14ac:dyDescent="0.25">
      <c r="B225" s="6" t="str" cm="1">
        <f t="array" aca="1" ref="B225" ca="1">IFERROR(IF(OR('Raw Data'!B225="",LEN(TRIM('Raw Data'!B225))=0),_xlfn.REGEXEXTRACT(CELL("address",'Raw Data'!B225),"\$([A-Z]+)\$[0-9]+"),""),"")</f>
        <v/>
      </c>
      <c r="C225" s="6" t="str" cm="1">
        <f t="array" aca="1" ref="C225" ca="1">IFERROR(IF(OR('Raw Data'!C225="",LEN(TRIM('Raw Data'!C225))=0),_xlfn.REGEXEXTRACT(CELL("address",'Raw Data'!C225),"\$([A-Z]+)\$[0-9]+"),""),"")</f>
        <v/>
      </c>
      <c r="D225" s="6"/>
      <c r="E225" s="6" t="str" cm="1">
        <f t="array" aca="1" ref="E225" ca="1">IFERROR(IF(OR('Raw Data'!E225="",LEN(TRIM('Raw Data'!E225))=0),_xlfn.REGEXEXTRACT(CELL("address",'Raw Data'!E225),"\$([A-Z]+)\$[0-9]+"),""),"")</f>
        <v/>
      </c>
      <c r="F225" s="6"/>
      <c r="G225" s="6"/>
      <c r="H225" s="6" t="str" cm="1">
        <f t="array" aca="1" ref="H225" ca="1">IFERROR(IF(OR('Raw Data'!H225="",LEN(TRIM('Raw Data'!H225))=0),_xlfn.REGEXEXTRACT(CELL("address",'Raw Data'!H225),"\$([A-Z]+)\$[0-9]+"),""),"")</f>
        <v/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2:22" x14ac:dyDescent="0.25">
      <c r="B226" s="6" t="str" cm="1">
        <f t="array" aca="1" ref="B226" ca="1">IFERROR(IF(OR('Raw Data'!B226="",LEN(TRIM('Raw Data'!B226))=0),_xlfn.REGEXEXTRACT(CELL("address",'Raw Data'!B226),"\$([A-Z]+)\$[0-9]+"),""),"")</f>
        <v/>
      </c>
      <c r="C226" s="6" t="str" cm="1">
        <f t="array" aca="1" ref="C226" ca="1">IFERROR(IF(OR('Raw Data'!C226="",LEN(TRIM('Raw Data'!C226))=0),_xlfn.REGEXEXTRACT(CELL("address",'Raw Data'!C226),"\$([A-Z]+)\$[0-9]+"),""),"")</f>
        <v/>
      </c>
      <c r="D226" s="6"/>
      <c r="E226" s="6" t="str" cm="1">
        <f t="array" aca="1" ref="E226" ca="1">IFERROR(IF(OR('Raw Data'!E226="",LEN(TRIM('Raw Data'!E226))=0),_xlfn.REGEXEXTRACT(CELL("address",'Raw Data'!E226),"\$([A-Z]+)\$[0-9]+"),""),"")</f>
        <v/>
      </c>
      <c r="F226" s="6"/>
      <c r="G226" s="6"/>
      <c r="H226" s="6" t="str" cm="1">
        <f t="array" aca="1" ref="H226" ca="1">IFERROR(IF(OR('Raw Data'!H226="",LEN(TRIM('Raw Data'!H226))=0),_xlfn.REGEXEXTRACT(CELL("address",'Raw Data'!H226),"\$([A-Z]+)\$[0-9]+"),""),"")</f>
        <v/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2:22" x14ac:dyDescent="0.25">
      <c r="B227" s="6" t="str" cm="1">
        <f t="array" aca="1" ref="B227" ca="1">IFERROR(IF(OR('Raw Data'!B227="",LEN(TRIM('Raw Data'!B227))=0),_xlfn.REGEXEXTRACT(CELL("address",'Raw Data'!B227),"\$([A-Z]+)\$[0-9]+"),""),"")</f>
        <v/>
      </c>
      <c r="C227" s="6" t="str" cm="1">
        <f t="array" aca="1" ref="C227" ca="1">IFERROR(IF(OR('Raw Data'!C227="",LEN(TRIM('Raw Data'!C227))=0),_xlfn.REGEXEXTRACT(CELL("address",'Raw Data'!C227),"\$([A-Z]+)\$[0-9]+"),""),"")</f>
        <v/>
      </c>
      <c r="D227" s="6"/>
      <c r="E227" s="6" t="str" cm="1">
        <f t="array" aca="1" ref="E227" ca="1">IFERROR(IF(OR('Raw Data'!E227="",LEN(TRIM('Raw Data'!E227))=0),_xlfn.REGEXEXTRACT(CELL("address",'Raw Data'!E227),"\$([A-Z]+)\$[0-9]+"),""),"")</f>
        <v/>
      </c>
      <c r="F227" s="6"/>
      <c r="G227" s="6"/>
      <c r="H227" s="6" t="str" cm="1">
        <f t="array" aca="1" ref="H227" ca="1">IFERROR(IF(OR('Raw Data'!H227="",LEN(TRIM('Raw Data'!H227))=0),_xlfn.REGEXEXTRACT(CELL("address",'Raw Data'!H227),"\$([A-Z]+)\$[0-9]+"),""),"")</f>
        <v/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2:22" x14ac:dyDescent="0.25">
      <c r="B228" s="6" t="str" cm="1">
        <f t="array" aca="1" ref="B228" ca="1">IFERROR(IF(OR('Raw Data'!B228="",LEN(TRIM('Raw Data'!B228))=0),_xlfn.REGEXEXTRACT(CELL("address",'Raw Data'!B228),"\$([A-Z]+)\$[0-9]+"),""),"")</f>
        <v/>
      </c>
      <c r="C228" s="6" t="str" cm="1">
        <f t="array" aca="1" ref="C228" ca="1">IFERROR(IF(OR('Raw Data'!C228="",LEN(TRIM('Raw Data'!C228))=0),_xlfn.REGEXEXTRACT(CELL("address",'Raw Data'!C228),"\$([A-Z]+)\$[0-9]+"),""),"")</f>
        <v/>
      </c>
      <c r="D228" s="6"/>
      <c r="E228" s="6" t="str" cm="1">
        <f t="array" aca="1" ref="E228" ca="1">IFERROR(IF(OR('Raw Data'!E228="",LEN(TRIM('Raw Data'!E228))=0),_xlfn.REGEXEXTRACT(CELL("address",'Raw Data'!E228),"\$([A-Z]+)\$[0-9]+"),""),"")</f>
        <v/>
      </c>
      <c r="F228" s="6"/>
      <c r="G228" s="6"/>
      <c r="H228" s="6" t="str" cm="1">
        <f t="array" aca="1" ref="H228" ca="1">IFERROR(IF(OR('Raw Data'!H228="",LEN(TRIM('Raw Data'!H228))=0),_xlfn.REGEXEXTRACT(CELL("address",'Raw Data'!H228),"\$([A-Z]+)\$[0-9]+"),""),"")</f>
        <v/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2:22" x14ac:dyDescent="0.25">
      <c r="B229" s="6" t="str" cm="1">
        <f t="array" aca="1" ref="B229" ca="1">IFERROR(IF(OR('Raw Data'!B229="",LEN(TRIM('Raw Data'!B229))=0),_xlfn.REGEXEXTRACT(CELL("address",'Raw Data'!B229),"\$([A-Z]+)\$[0-9]+"),""),"")</f>
        <v/>
      </c>
      <c r="C229" s="6" t="str" cm="1">
        <f t="array" aca="1" ref="C229" ca="1">IFERROR(IF(OR('Raw Data'!C229="",LEN(TRIM('Raw Data'!C229))=0),_xlfn.REGEXEXTRACT(CELL("address",'Raw Data'!C229),"\$([A-Z]+)\$[0-9]+"),""),"")</f>
        <v/>
      </c>
      <c r="D229" s="6"/>
      <c r="E229" s="6" t="str" cm="1">
        <f t="array" aca="1" ref="E229" ca="1">IFERROR(IF(OR('Raw Data'!E229="",LEN(TRIM('Raw Data'!E229))=0),_xlfn.REGEXEXTRACT(CELL("address",'Raw Data'!E229),"\$([A-Z]+)\$[0-9]+"),""),"")</f>
        <v/>
      </c>
      <c r="F229" s="6"/>
      <c r="G229" s="6"/>
      <c r="H229" s="6" t="str" cm="1">
        <f t="array" aca="1" ref="H229" ca="1">IFERROR(IF(OR('Raw Data'!H229="",LEN(TRIM('Raw Data'!H229))=0),_xlfn.REGEXEXTRACT(CELL("address",'Raw Data'!H229),"\$([A-Z]+)\$[0-9]+"),""),"")</f>
        <v/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2:22" x14ac:dyDescent="0.25">
      <c r="B230" s="6" t="str" cm="1">
        <f t="array" aca="1" ref="B230" ca="1">IFERROR(IF(OR('Raw Data'!B230="",LEN(TRIM('Raw Data'!B230))=0),_xlfn.REGEXEXTRACT(CELL("address",'Raw Data'!B230),"\$([A-Z]+)\$[0-9]+"),""),"")</f>
        <v/>
      </c>
      <c r="C230" s="6" t="str" cm="1">
        <f t="array" aca="1" ref="C230" ca="1">IFERROR(IF(OR('Raw Data'!C230="",LEN(TRIM('Raw Data'!C230))=0),_xlfn.REGEXEXTRACT(CELL("address",'Raw Data'!C230),"\$([A-Z]+)\$[0-9]+"),""),"")</f>
        <v/>
      </c>
      <c r="D230" s="6"/>
      <c r="E230" s="6" t="str" cm="1">
        <f t="array" aca="1" ref="E230" ca="1">IFERROR(IF(OR('Raw Data'!E230="",LEN(TRIM('Raw Data'!E230))=0),_xlfn.REGEXEXTRACT(CELL("address",'Raw Data'!E230),"\$([A-Z]+)\$[0-9]+"),""),"")</f>
        <v/>
      </c>
      <c r="F230" s="6"/>
      <c r="G230" s="6"/>
      <c r="H230" s="6" t="str" cm="1">
        <f t="array" aca="1" ref="H230" ca="1">IFERROR(IF(OR('Raw Data'!H230="",LEN(TRIM('Raw Data'!H230))=0),_xlfn.REGEXEXTRACT(CELL("address",'Raw Data'!H230),"\$([A-Z]+)\$[0-9]+"),""),"")</f>
        <v/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2:22" x14ac:dyDescent="0.25">
      <c r="B231" s="6" t="str" cm="1">
        <f t="array" aca="1" ref="B231" ca="1">IFERROR(IF(OR('Raw Data'!B231="",LEN(TRIM('Raw Data'!B231))=0),_xlfn.REGEXEXTRACT(CELL("address",'Raw Data'!B231),"\$([A-Z]+)\$[0-9]+"),""),"")</f>
        <v/>
      </c>
      <c r="C231" s="6" t="str" cm="1">
        <f t="array" aca="1" ref="C231" ca="1">IFERROR(IF(OR('Raw Data'!C231="",LEN(TRIM('Raw Data'!C231))=0),_xlfn.REGEXEXTRACT(CELL("address",'Raw Data'!C231),"\$([A-Z]+)\$[0-9]+"),""),"")</f>
        <v/>
      </c>
      <c r="D231" s="6"/>
      <c r="E231" s="6" t="str" cm="1">
        <f t="array" aca="1" ref="E231" ca="1">IFERROR(IF(OR('Raw Data'!E231="",LEN(TRIM('Raw Data'!E231))=0),_xlfn.REGEXEXTRACT(CELL("address",'Raw Data'!E231),"\$([A-Z]+)\$[0-9]+"),""),"")</f>
        <v/>
      </c>
      <c r="F231" s="6"/>
      <c r="G231" s="6"/>
      <c r="H231" s="6" t="str" cm="1">
        <f t="array" aca="1" ref="H231" ca="1">IFERROR(IF(OR('Raw Data'!H231="",LEN(TRIM('Raw Data'!H231))=0),_xlfn.REGEXEXTRACT(CELL("address",'Raw Data'!H231),"\$([A-Z]+)\$[0-9]+"),""),"")</f>
        <v/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2:22" x14ac:dyDescent="0.25">
      <c r="B232" s="6" t="str" cm="1">
        <f t="array" aca="1" ref="B232" ca="1">IFERROR(IF(OR('Raw Data'!B232="",LEN(TRIM('Raw Data'!B232))=0),_xlfn.REGEXEXTRACT(CELL("address",'Raw Data'!B232),"\$([A-Z]+)\$[0-9]+"),""),"")</f>
        <v/>
      </c>
      <c r="C232" s="6" t="str" cm="1">
        <f t="array" aca="1" ref="C232" ca="1">IFERROR(IF(OR('Raw Data'!C232="",LEN(TRIM('Raw Data'!C232))=0),_xlfn.REGEXEXTRACT(CELL("address",'Raw Data'!C232),"\$([A-Z]+)\$[0-9]+"),""),"")</f>
        <v/>
      </c>
      <c r="D232" s="6"/>
      <c r="E232" s="6" t="str" cm="1">
        <f t="array" aca="1" ref="E232" ca="1">IFERROR(IF(OR('Raw Data'!E232="",LEN(TRIM('Raw Data'!E232))=0),_xlfn.REGEXEXTRACT(CELL("address",'Raw Data'!E232),"\$([A-Z]+)\$[0-9]+"),""),"")</f>
        <v/>
      </c>
      <c r="F232" s="6"/>
      <c r="G232" s="6"/>
      <c r="H232" s="6" t="str" cm="1">
        <f t="array" aca="1" ref="H232" ca="1">IFERROR(IF(OR('Raw Data'!H232="",LEN(TRIM('Raw Data'!H232))=0),_xlfn.REGEXEXTRACT(CELL("address",'Raw Data'!H232),"\$([A-Z]+)\$[0-9]+"),""),"")</f>
        <v/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2:22" x14ac:dyDescent="0.25">
      <c r="B233" s="6" t="str" cm="1">
        <f t="array" aca="1" ref="B233" ca="1">IFERROR(IF(OR('Raw Data'!B233="",LEN(TRIM('Raw Data'!B233))=0),_xlfn.REGEXEXTRACT(CELL("address",'Raw Data'!B233),"\$([A-Z]+)\$[0-9]+"),""),"")</f>
        <v/>
      </c>
      <c r="C233" s="6" t="str" cm="1">
        <f t="array" aca="1" ref="C233" ca="1">IFERROR(IF(OR('Raw Data'!C233="",LEN(TRIM('Raw Data'!C233))=0),_xlfn.REGEXEXTRACT(CELL("address",'Raw Data'!C233),"\$([A-Z]+)\$[0-9]+"),""),"")</f>
        <v/>
      </c>
      <c r="D233" s="6"/>
      <c r="E233" s="6" t="str" cm="1">
        <f t="array" aca="1" ref="E233" ca="1">IFERROR(IF(OR('Raw Data'!E233="",LEN(TRIM('Raw Data'!E233))=0),_xlfn.REGEXEXTRACT(CELL("address",'Raw Data'!E233),"\$([A-Z]+)\$[0-9]+"),""),"")</f>
        <v/>
      </c>
      <c r="F233" s="6"/>
      <c r="G233" s="6"/>
      <c r="H233" s="6" t="str" cm="1">
        <f t="array" aca="1" ref="H233" ca="1">IFERROR(IF(OR('Raw Data'!H233="",LEN(TRIM('Raw Data'!H233))=0),_xlfn.REGEXEXTRACT(CELL("address",'Raw Data'!H233),"\$([A-Z]+)\$[0-9]+"),""),"")</f>
        <v/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2:22" x14ac:dyDescent="0.25">
      <c r="B234" s="6" t="str" cm="1">
        <f t="array" aca="1" ref="B234" ca="1">IFERROR(IF(OR('Raw Data'!B234="",LEN(TRIM('Raw Data'!B234))=0),_xlfn.REGEXEXTRACT(CELL("address",'Raw Data'!B234),"\$([A-Z]+)\$[0-9]+"),""),"")</f>
        <v/>
      </c>
      <c r="C234" s="6" t="str" cm="1">
        <f t="array" aca="1" ref="C234" ca="1">IFERROR(IF(OR('Raw Data'!C234="",LEN(TRIM('Raw Data'!C234))=0),_xlfn.REGEXEXTRACT(CELL("address",'Raw Data'!C234),"\$([A-Z]+)\$[0-9]+"),""),"")</f>
        <v/>
      </c>
      <c r="D234" s="6"/>
      <c r="E234" s="6" t="str" cm="1">
        <f t="array" aca="1" ref="E234" ca="1">IFERROR(IF(OR('Raw Data'!E234="",LEN(TRIM('Raw Data'!E234))=0),_xlfn.REGEXEXTRACT(CELL("address",'Raw Data'!E234),"\$([A-Z]+)\$[0-9]+"),""),"")</f>
        <v/>
      </c>
      <c r="F234" s="6"/>
      <c r="G234" s="6"/>
      <c r="H234" s="6" t="str" cm="1">
        <f t="array" aca="1" ref="H234" ca="1">IFERROR(IF(OR('Raw Data'!H234="",LEN(TRIM('Raw Data'!H234))=0),_xlfn.REGEXEXTRACT(CELL("address",'Raw Data'!H234),"\$([A-Z]+)\$[0-9]+"),""),"")</f>
        <v/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2:22" x14ac:dyDescent="0.25">
      <c r="B235" s="6" t="str" cm="1">
        <f t="array" aca="1" ref="B235" ca="1">IFERROR(IF(OR('Raw Data'!B235="",LEN(TRIM('Raw Data'!B235))=0),_xlfn.REGEXEXTRACT(CELL("address",'Raw Data'!B235),"\$([A-Z]+)\$[0-9]+"),""),"")</f>
        <v/>
      </c>
      <c r="C235" s="6" t="str" cm="1">
        <f t="array" aca="1" ref="C235" ca="1">IFERROR(IF(OR('Raw Data'!C235="",LEN(TRIM('Raw Data'!C235))=0),_xlfn.REGEXEXTRACT(CELL("address",'Raw Data'!C235),"\$([A-Z]+)\$[0-9]+"),""),"")</f>
        <v/>
      </c>
      <c r="D235" s="6"/>
      <c r="E235" s="6" t="str" cm="1">
        <f t="array" aca="1" ref="E235" ca="1">IFERROR(IF(OR('Raw Data'!E235="",LEN(TRIM('Raw Data'!E235))=0),_xlfn.REGEXEXTRACT(CELL("address",'Raw Data'!E235),"\$([A-Z]+)\$[0-9]+"),""),"")</f>
        <v/>
      </c>
      <c r="F235" s="6"/>
      <c r="G235" s="6"/>
      <c r="H235" s="6" t="str" cm="1">
        <f t="array" aca="1" ref="H235" ca="1">IFERROR(IF(OR('Raw Data'!H235="",LEN(TRIM('Raw Data'!H235))=0),_xlfn.REGEXEXTRACT(CELL("address",'Raw Data'!H235),"\$([A-Z]+)\$[0-9]+"),""),"")</f>
        <v/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2:22" x14ac:dyDescent="0.25">
      <c r="B236" s="6" t="str" cm="1">
        <f t="array" aca="1" ref="B236" ca="1">IFERROR(IF(OR('Raw Data'!B236="",LEN(TRIM('Raw Data'!B236))=0),_xlfn.REGEXEXTRACT(CELL("address",'Raw Data'!B236),"\$([A-Z]+)\$[0-9]+"),""),"")</f>
        <v/>
      </c>
      <c r="C236" s="6" t="str" cm="1">
        <f t="array" aca="1" ref="C236" ca="1">IFERROR(IF(OR('Raw Data'!C236="",LEN(TRIM('Raw Data'!C236))=0),_xlfn.REGEXEXTRACT(CELL("address",'Raw Data'!C236),"\$([A-Z]+)\$[0-9]+"),""),"")</f>
        <v/>
      </c>
      <c r="D236" s="6"/>
      <c r="E236" s="6" t="str" cm="1">
        <f t="array" aca="1" ref="E236" ca="1">IFERROR(IF(OR('Raw Data'!E236="",LEN(TRIM('Raw Data'!E236))=0),_xlfn.REGEXEXTRACT(CELL("address",'Raw Data'!E236),"\$([A-Z]+)\$[0-9]+"),""),"")</f>
        <v/>
      </c>
      <c r="F236" s="6"/>
      <c r="G236" s="6"/>
      <c r="H236" s="6" t="str" cm="1">
        <f t="array" aca="1" ref="H236" ca="1">IFERROR(IF(OR('Raw Data'!H236="",LEN(TRIM('Raw Data'!H236))=0),_xlfn.REGEXEXTRACT(CELL("address",'Raw Data'!H236),"\$([A-Z]+)\$[0-9]+"),""),"")</f>
        <v/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2:22" x14ac:dyDescent="0.25">
      <c r="B237" s="6" t="str" cm="1">
        <f t="array" aca="1" ref="B237" ca="1">IFERROR(IF(OR('Raw Data'!B237="",LEN(TRIM('Raw Data'!B237))=0),_xlfn.REGEXEXTRACT(CELL("address",'Raw Data'!B237),"\$([A-Z]+)\$[0-9]+"),""),"")</f>
        <v/>
      </c>
      <c r="C237" s="6" t="str" cm="1">
        <f t="array" aca="1" ref="C237" ca="1">IFERROR(IF(OR('Raw Data'!C237="",LEN(TRIM('Raw Data'!C237))=0),_xlfn.REGEXEXTRACT(CELL("address",'Raw Data'!C237),"\$([A-Z]+)\$[0-9]+"),""),"")</f>
        <v/>
      </c>
      <c r="D237" s="6"/>
      <c r="E237" s="6" t="str" cm="1">
        <f t="array" aca="1" ref="E237" ca="1">IFERROR(IF(OR('Raw Data'!E237="",LEN(TRIM('Raw Data'!E237))=0),_xlfn.REGEXEXTRACT(CELL("address",'Raw Data'!E237),"\$([A-Z]+)\$[0-9]+"),""),"")</f>
        <v/>
      </c>
      <c r="F237" s="6"/>
      <c r="G237" s="6"/>
      <c r="H237" s="6" t="str" cm="1">
        <f t="array" aca="1" ref="H237" ca="1">IFERROR(IF(OR('Raw Data'!H237="",LEN(TRIM('Raw Data'!H237))=0),_xlfn.REGEXEXTRACT(CELL("address",'Raw Data'!H237),"\$([A-Z]+)\$[0-9]+"),""),"")</f>
        <v/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2:22" x14ac:dyDescent="0.25">
      <c r="B238" s="6" t="str" cm="1">
        <f t="array" aca="1" ref="B238" ca="1">IFERROR(IF(OR('Raw Data'!B238="",LEN(TRIM('Raw Data'!B238))=0),_xlfn.REGEXEXTRACT(CELL("address",'Raw Data'!B238),"\$([A-Z]+)\$[0-9]+"),""),"")</f>
        <v/>
      </c>
      <c r="C238" s="6" t="str" cm="1">
        <f t="array" aca="1" ref="C238" ca="1">IFERROR(IF(OR('Raw Data'!C238="",LEN(TRIM('Raw Data'!C238))=0),_xlfn.REGEXEXTRACT(CELL("address",'Raw Data'!C238),"\$([A-Z]+)\$[0-9]+"),""),"")</f>
        <v/>
      </c>
      <c r="D238" s="6"/>
      <c r="E238" s="6" t="str" cm="1">
        <f t="array" aca="1" ref="E238" ca="1">IFERROR(IF(OR('Raw Data'!E238="",LEN(TRIM('Raw Data'!E238))=0),_xlfn.REGEXEXTRACT(CELL("address",'Raw Data'!E238),"\$([A-Z]+)\$[0-9]+"),""),"")</f>
        <v/>
      </c>
      <c r="F238" s="6"/>
      <c r="G238" s="6"/>
      <c r="H238" s="6" t="str" cm="1">
        <f t="array" aca="1" ref="H238" ca="1">IFERROR(IF(OR('Raw Data'!H238="",LEN(TRIM('Raw Data'!H238))=0),_xlfn.REGEXEXTRACT(CELL("address",'Raw Data'!H238),"\$([A-Z]+)\$[0-9]+"),""),"")</f>
        <v/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2:22" x14ac:dyDescent="0.25">
      <c r="B239" s="6" t="str" cm="1">
        <f t="array" aca="1" ref="B239" ca="1">IFERROR(IF(OR('Raw Data'!B239="",LEN(TRIM('Raw Data'!B239))=0),_xlfn.REGEXEXTRACT(CELL("address",'Raw Data'!B239),"\$([A-Z]+)\$[0-9]+"),""),"")</f>
        <v/>
      </c>
      <c r="C239" s="6" t="str" cm="1">
        <f t="array" aca="1" ref="C239" ca="1">IFERROR(IF(OR('Raw Data'!C239="",LEN(TRIM('Raw Data'!C239))=0),_xlfn.REGEXEXTRACT(CELL("address",'Raw Data'!C239),"\$([A-Z]+)\$[0-9]+"),""),"")</f>
        <v/>
      </c>
      <c r="D239" s="6"/>
      <c r="E239" s="6" t="str" cm="1">
        <f t="array" aca="1" ref="E239" ca="1">IFERROR(IF(OR('Raw Data'!E239="",LEN(TRIM('Raw Data'!E239))=0),_xlfn.REGEXEXTRACT(CELL("address",'Raw Data'!E239),"\$([A-Z]+)\$[0-9]+"),""),"")</f>
        <v/>
      </c>
      <c r="F239" s="6"/>
      <c r="G239" s="6"/>
      <c r="H239" s="6" t="str" cm="1">
        <f t="array" aca="1" ref="H239" ca="1">IFERROR(IF(OR('Raw Data'!H239="",LEN(TRIM('Raw Data'!H239))=0),_xlfn.REGEXEXTRACT(CELL("address",'Raw Data'!H239),"\$([A-Z]+)\$[0-9]+"),""),"")</f>
        <v/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2:22" x14ac:dyDescent="0.25">
      <c r="B240" s="6" t="str" cm="1">
        <f t="array" aca="1" ref="B240" ca="1">IFERROR(IF(OR('Raw Data'!B240="",LEN(TRIM('Raw Data'!B240))=0),_xlfn.REGEXEXTRACT(CELL("address",'Raw Data'!B240),"\$([A-Z]+)\$[0-9]+"),""),"")</f>
        <v/>
      </c>
      <c r="C240" s="6" t="str" cm="1">
        <f t="array" aca="1" ref="C240" ca="1">IFERROR(IF(OR('Raw Data'!C240="",LEN(TRIM('Raw Data'!C240))=0),_xlfn.REGEXEXTRACT(CELL("address",'Raw Data'!C240),"\$([A-Z]+)\$[0-9]+"),""),"")</f>
        <v/>
      </c>
      <c r="D240" s="6"/>
      <c r="E240" s="6" t="str" cm="1">
        <f t="array" aca="1" ref="E240" ca="1">IFERROR(IF(OR('Raw Data'!E240="",LEN(TRIM('Raw Data'!E240))=0),_xlfn.REGEXEXTRACT(CELL("address",'Raw Data'!E240),"\$([A-Z]+)\$[0-9]+"),""),"")</f>
        <v/>
      </c>
      <c r="F240" s="6"/>
      <c r="G240" s="6"/>
      <c r="H240" s="6" t="str" cm="1">
        <f t="array" aca="1" ref="H240" ca="1">IFERROR(IF(OR('Raw Data'!H240="",LEN(TRIM('Raw Data'!H240))=0),_xlfn.REGEXEXTRACT(CELL("address",'Raw Data'!H240),"\$([A-Z]+)\$[0-9]+"),""),"")</f>
        <v/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2:22" x14ac:dyDescent="0.25">
      <c r="B241" s="6" t="str" cm="1">
        <f t="array" aca="1" ref="B241" ca="1">IFERROR(IF(OR('Raw Data'!B241="",LEN(TRIM('Raw Data'!B241))=0),_xlfn.REGEXEXTRACT(CELL("address",'Raw Data'!B241),"\$([A-Z]+)\$[0-9]+"),""),"")</f>
        <v/>
      </c>
      <c r="C241" s="6" t="str" cm="1">
        <f t="array" aca="1" ref="C241" ca="1">IFERROR(IF(OR('Raw Data'!C241="",LEN(TRIM('Raw Data'!C241))=0),_xlfn.REGEXEXTRACT(CELL("address",'Raw Data'!C241),"\$([A-Z]+)\$[0-9]+"),""),"")</f>
        <v/>
      </c>
      <c r="D241" s="6"/>
      <c r="E241" s="6" t="str" cm="1">
        <f t="array" aca="1" ref="E241" ca="1">IFERROR(IF(OR('Raw Data'!E241="",LEN(TRIM('Raw Data'!E241))=0),_xlfn.REGEXEXTRACT(CELL("address",'Raw Data'!E241),"\$([A-Z]+)\$[0-9]+"),""),"")</f>
        <v/>
      </c>
      <c r="F241" s="6"/>
      <c r="G241" s="6"/>
      <c r="H241" s="6" t="str" cm="1">
        <f t="array" aca="1" ref="H241" ca="1">IFERROR(IF(OR('Raw Data'!H241="",LEN(TRIM('Raw Data'!H241))=0),_xlfn.REGEXEXTRACT(CELL("address",'Raw Data'!H241),"\$([A-Z]+)\$[0-9]+"),""),"")</f>
        <v/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2:22" x14ac:dyDescent="0.25">
      <c r="B242" s="6" t="str" cm="1">
        <f t="array" aca="1" ref="B242" ca="1">IFERROR(IF(OR('Raw Data'!B242="",LEN(TRIM('Raw Data'!B242))=0),_xlfn.REGEXEXTRACT(CELL("address",'Raw Data'!B242),"\$([A-Z]+)\$[0-9]+"),""),"")</f>
        <v/>
      </c>
      <c r="C242" s="6" t="str" cm="1">
        <f t="array" aca="1" ref="C242" ca="1">IFERROR(IF(OR('Raw Data'!C242="",LEN(TRIM('Raw Data'!C242))=0),_xlfn.REGEXEXTRACT(CELL("address",'Raw Data'!C242),"\$([A-Z]+)\$[0-9]+"),""),"")</f>
        <v/>
      </c>
      <c r="D242" s="6"/>
      <c r="E242" s="6" t="str" cm="1">
        <f t="array" aca="1" ref="E242" ca="1">IFERROR(IF(OR('Raw Data'!E242="",LEN(TRIM('Raw Data'!E242))=0),_xlfn.REGEXEXTRACT(CELL("address",'Raw Data'!E242),"\$([A-Z]+)\$[0-9]+"),""),"")</f>
        <v/>
      </c>
      <c r="F242" s="6"/>
      <c r="G242" s="6"/>
      <c r="H242" s="6" t="str" cm="1">
        <f t="array" aca="1" ref="H242" ca="1">IFERROR(IF(OR('Raw Data'!H242="",LEN(TRIM('Raw Data'!H242))=0),_xlfn.REGEXEXTRACT(CELL("address",'Raw Data'!H242),"\$([A-Z]+)\$[0-9]+"),""),"")</f>
        <v/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2:22" x14ac:dyDescent="0.25">
      <c r="B243" s="6" t="str" cm="1">
        <f t="array" aca="1" ref="B243" ca="1">IFERROR(IF(OR('Raw Data'!B243="",LEN(TRIM('Raw Data'!B243))=0),_xlfn.REGEXEXTRACT(CELL("address",'Raw Data'!B243),"\$([A-Z]+)\$[0-9]+"),""),"")</f>
        <v/>
      </c>
      <c r="C243" s="6" t="str" cm="1">
        <f t="array" aca="1" ref="C243" ca="1">IFERROR(IF(OR('Raw Data'!C243="",LEN(TRIM('Raw Data'!C243))=0),_xlfn.REGEXEXTRACT(CELL("address",'Raw Data'!C243),"\$([A-Z]+)\$[0-9]+"),""),"")</f>
        <v/>
      </c>
      <c r="D243" s="6"/>
      <c r="E243" s="6" t="str" cm="1">
        <f t="array" aca="1" ref="E243" ca="1">IFERROR(IF(OR('Raw Data'!E243="",LEN(TRIM('Raw Data'!E243))=0),_xlfn.REGEXEXTRACT(CELL("address",'Raw Data'!E243),"\$([A-Z]+)\$[0-9]+"),""),"")</f>
        <v/>
      </c>
      <c r="F243" s="6"/>
      <c r="G243" s="6"/>
      <c r="H243" s="6" t="str" cm="1">
        <f t="array" aca="1" ref="H243" ca="1">IFERROR(IF(OR('Raw Data'!H243="",LEN(TRIM('Raw Data'!H243))=0),_xlfn.REGEXEXTRACT(CELL("address",'Raw Data'!H243),"\$([A-Z]+)\$[0-9]+"),""),"")</f>
        <v/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2:22" x14ac:dyDescent="0.25">
      <c r="B244" s="6" t="str" cm="1">
        <f t="array" aca="1" ref="B244" ca="1">IFERROR(IF(OR('Raw Data'!B244="",LEN(TRIM('Raw Data'!B244))=0),_xlfn.REGEXEXTRACT(CELL("address",'Raw Data'!B244),"\$([A-Z]+)\$[0-9]+"),""),"")</f>
        <v/>
      </c>
      <c r="C244" s="6" t="str" cm="1">
        <f t="array" aca="1" ref="C244" ca="1">IFERROR(IF(OR('Raw Data'!C244="",LEN(TRIM('Raw Data'!C244))=0),_xlfn.REGEXEXTRACT(CELL("address",'Raw Data'!C244),"\$([A-Z]+)\$[0-9]+"),""),"")</f>
        <v/>
      </c>
      <c r="D244" s="6"/>
      <c r="E244" s="6" t="str" cm="1">
        <f t="array" aca="1" ref="E244" ca="1">IFERROR(IF(OR('Raw Data'!E244="",LEN(TRIM('Raw Data'!E244))=0),_xlfn.REGEXEXTRACT(CELL("address",'Raw Data'!E244),"\$([A-Z]+)\$[0-9]+"),""),"")</f>
        <v/>
      </c>
      <c r="F244" s="6"/>
      <c r="G244" s="6"/>
      <c r="H244" s="6" t="str" cm="1">
        <f t="array" aca="1" ref="H244" ca="1">IFERROR(IF(OR('Raw Data'!H244="",LEN(TRIM('Raw Data'!H244))=0),_xlfn.REGEXEXTRACT(CELL("address",'Raw Data'!H244),"\$([A-Z]+)\$[0-9]+"),""),"")</f>
        <v/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2:22" x14ac:dyDescent="0.25">
      <c r="B245" s="6" t="str" cm="1">
        <f t="array" aca="1" ref="B245" ca="1">IFERROR(IF(OR('Raw Data'!B245="",LEN(TRIM('Raw Data'!B245))=0),_xlfn.REGEXEXTRACT(CELL("address",'Raw Data'!B245),"\$([A-Z]+)\$[0-9]+"),""),"")</f>
        <v/>
      </c>
      <c r="C245" s="6" t="str" cm="1">
        <f t="array" aca="1" ref="C245" ca="1">IFERROR(IF(OR('Raw Data'!C245="",LEN(TRIM('Raw Data'!C245))=0),_xlfn.REGEXEXTRACT(CELL("address",'Raw Data'!C245),"\$([A-Z]+)\$[0-9]+"),""),"")</f>
        <v/>
      </c>
      <c r="D245" s="6"/>
      <c r="E245" s="6" t="str" cm="1">
        <f t="array" aca="1" ref="E245" ca="1">IFERROR(IF(OR('Raw Data'!E245="",LEN(TRIM('Raw Data'!E245))=0),_xlfn.REGEXEXTRACT(CELL("address",'Raw Data'!E245),"\$([A-Z]+)\$[0-9]+"),""),"")</f>
        <v/>
      </c>
      <c r="F245" s="6"/>
      <c r="G245" s="6"/>
      <c r="H245" s="6" t="str" cm="1">
        <f t="array" aca="1" ref="H245" ca="1">IFERROR(IF(OR('Raw Data'!H245="",LEN(TRIM('Raw Data'!H245))=0),_xlfn.REGEXEXTRACT(CELL("address",'Raw Data'!H245),"\$([A-Z]+)\$[0-9]+"),""),"")</f>
        <v/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2:22" x14ac:dyDescent="0.25">
      <c r="B246" s="6" t="str" cm="1">
        <f t="array" aca="1" ref="B246" ca="1">IFERROR(IF(OR('Raw Data'!B246="",LEN(TRIM('Raw Data'!B246))=0),_xlfn.REGEXEXTRACT(CELL("address",'Raw Data'!B246),"\$([A-Z]+)\$[0-9]+"),""),"")</f>
        <v/>
      </c>
      <c r="C246" s="6" t="str" cm="1">
        <f t="array" aca="1" ref="C246" ca="1">IFERROR(IF(OR('Raw Data'!C246="",LEN(TRIM('Raw Data'!C246))=0),_xlfn.REGEXEXTRACT(CELL("address",'Raw Data'!C246),"\$([A-Z]+)\$[0-9]+"),""),"")</f>
        <v/>
      </c>
      <c r="D246" s="6"/>
      <c r="E246" s="6" t="str" cm="1">
        <f t="array" aca="1" ref="E246" ca="1">IFERROR(IF(OR('Raw Data'!E246="",LEN(TRIM('Raw Data'!E246))=0),_xlfn.REGEXEXTRACT(CELL("address",'Raw Data'!E246),"\$([A-Z]+)\$[0-9]+"),""),"")</f>
        <v/>
      </c>
      <c r="F246" s="6"/>
      <c r="G246" s="6"/>
      <c r="H246" s="6" t="str" cm="1">
        <f t="array" aca="1" ref="H246" ca="1">IFERROR(IF(OR('Raw Data'!H246="",LEN(TRIM('Raw Data'!H246))=0),_xlfn.REGEXEXTRACT(CELL("address",'Raw Data'!H246),"\$([A-Z]+)\$[0-9]+"),""),"")</f>
        <v/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2:22" x14ac:dyDescent="0.25">
      <c r="B247" s="6" t="str" cm="1">
        <f t="array" aca="1" ref="B247" ca="1">IFERROR(IF(OR('Raw Data'!B247="",LEN(TRIM('Raw Data'!B247))=0),_xlfn.REGEXEXTRACT(CELL("address",'Raw Data'!B247),"\$([A-Z]+)\$[0-9]+"),""),"")</f>
        <v/>
      </c>
      <c r="C247" s="6" t="str" cm="1">
        <f t="array" aca="1" ref="C247" ca="1">IFERROR(IF(OR('Raw Data'!C247="",LEN(TRIM('Raw Data'!C247))=0),_xlfn.REGEXEXTRACT(CELL("address",'Raw Data'!C247),"\$([A-Z]+)\$[0-9]+"),""),"")</f>
        <v/>
      </c>
      <c r="D247" s="6"/>
      <c r="E247" s="6" t="str" cm="1">
        <f t="array" aca="1" ref="E247" ca="1">IFERROR(IF(OR('Raw Data'!E247="",LEN(TRIM('Raw Data'!E247))=0),_xlfn.REGEXEXTRACT(CELL("address",'Raw Data'!E247),"\$([A-Z]+)\$[0-9]+"),""),"")</f>
        <v/>
      </c>
      <c r="F247" s="6"/>
      <c r="G247" s="6"/>
      <c r="H247" s="6" t="str" cm="1">
        <f t="array" aca="1" ref="H247" ca="1">IFERROR(IF(OR('Raw Data'!H247="",LEN(TRIM('Raw Data'!H247))=0),_xlfn.REGEXEXTRACT(CELL("address",'Raw Data'!H247),"\$([A-Z]+)\$[0-9]+"),""),"")</f>
        <v/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2:22" x14ac:dyDescent="0.25">
      <c r="B248" s="6" t="str" cm="1">
        <f t="array" aca="1" ref="B248" ca="1">IFERROR(IF(OR('Raw Data'!B248="",LEN(TRIM('Raw Data'!B248))=0),_xlfn.REGEXEXTRACT(CELL("address",'Raw Data'!B248),"\$([A-Z]+)\$[0-9]+"),""),"")</f>
        <v/>
      </c>
      <c r="C248" s="6" t="str" cm="1">
        <f t="array" aca="1" ref="C248" ca="1">IFERROR(IF(OR('Raw Data'!C248="",LEN(TRIM('Raw Data'!C248))=0),_xlfn.REGEXEXTRACT(CELL("address",'Raw Data'!C248),"\$([A-Z]+)\$[0-9]+"),""),"")</f>
        <v/>
      </c>
      <c r="D248" s="6"/>
      <c r="E248" s="6" t="str" cm="1">
        <f t="array" aca="1" ref="E248" ca="1">IFERROR(IF(OR('Raw Data'!E248="",LEN(TRIM('Raw Data'!E248))=0),_xlfn.REGEXEXTRACT(CELL("address",'Raw Data'!E248),"\$([A-Z]+)\$[0-9]+"),""),"")</f>
        <v/>
      </c>
      <c r="F248" s="6"/>
      <c r="G248" s="6"/>
      <c r="H248" s="6" t="str" cm="1">
        <f t="array" aca="1" ref="H248" ca="1">IFERROR(IF(OR('Raw Data'!H248="",LEN(TRIM('Raw Data'!H248))=0),_xlfn.REGEXEXTRACT(CELL("address",'Raw Data'!H248),"\$([A-Z]+)\$[0-9]+"),""),"")</f>
        <v/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2:22" x14ac:dyDescent="0.25">
      <c r="B249" s="6" t="str" cm="1">
        <f t="array" aca="1" ref="B249" ca="1">IFERROR(IF(OR('Raw Data'!B249="",LEN(TRIM('Raw Data'!B249))=0),_xlfn.REGEXEXTRACT(CELL("address",'Raw Data'!B249),"\$([A-Z]+)\$[0-9]+"),""),"")</f>
        <v/>
      </c>
      <c r="C249" s="6" t="str" cm="1">
        <f t="array" aca="1" ref="C249" ca="1">IFERROR(IF(OR('Raw Data'!C249="",LEN(TRIM('Raw Data'!C249))=0),_xlfn.REGEXEXTRACT(CELL("address",'Raw Data'!C249),"\$([A-Z]+)\$[0-9]+"),""),"")</f>
        <v/>
      </c>
      <c r="D249" s="6"/>
      <c r="E249" s="6" t="str" cm="1">
        <f t="array" aca="1" ref="E249" ca="1">IFERROR(IF(OR('Raw Data'!E249="",LEN(TRIM('Raw Data'!E249))=0),_xlfn.REGEXEXTRACT(CELL("address",'Raw Data'!E249),"\$([A-Z]+)\$[0-9]+"),""),"")</f>
        <v/>
      </c>
      <c r="F249" s="6"/>
      <c r="G249" s="6"/>
      <c r="H249" s="6" t="str" cm="1">
        <f t="array" aca="1" ref="H249" ca="1">IFERROR(IF(OR('Raw Data'!H249="",LEN(TRIM('Raw Data'!H249))=0),_xlfn.REGEXEXTRACT(CELL("address",'Raw Data'!H249),"\$([A-Z]+)\$[0-9]+"),""),"")</f>
        <v/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V249"/>
  <sheetViews>
    <sheetView zoomScale="70" zoomScaleNormal="70" workbookViewId="0">
      <selection activeCell="D10" sqref="D10"/>
    </sheetView>
  </sheetViews>
  <sheetFormatPr defaultRowHeight="15" x14ac:dyDescent="0.25"/>
  <cols>
    <col min="2" max="22" width="13.7109375" style="8" customWidth="1"/>
  </cols>
  <sheetData>
    <row r="8" spans="2:22" s="16" customFormat="1" ht="30" x14ac:dyDescent="0.25">
      <c r="B8" s="14" t="s">
        <v>21</v>
      </c>
      <c r="C8" s="14" t="s">
        <v>22</v>
      </c>
      <c r="D8" s="14" t="s">
        <v>23</v>
      </c>
      <c r="E8" s="15" t="s">
        <v>24</v>
      </c>
      <c r="F8" s="15" t="s">
        <v>24</v>
      </c>
      <c r="G8" s="15" t="s">
        <v>24</v>
      </c>
      <c r="H8" s="15" t="s">
        <v>24</v>
      </c>
      <c r="I8" s="15" t="s">
        <v>24</v>
      </c>
      <c r="J8" s="15" t="s">
        <v>24</v>
      </c>
      <c r="K8" s="14" t="s">
        <v>25</v>
      </c>
      <c r="L8" s="14" t="s">
        <v>25</v>
      </c>
      <c r="M8" s="14" t="s">
        <v>25</v>
      </c>
      <c r="N8" s="14" t="s">
        <v>25</v>
      </c>
      <c r="O8" s="14" t="s">
        <v>25</v>
      </c>
      <c r="P8" s="14" t="s">
        <v>25</v>
      </c>
      <c r="Q8" s="14" t="s">
        <v>25</v>
      </c>
      <c r="R8" s="14" t="s">
        <v>25</v>
      </c>
      <c r="S8" s="14" t="s">
        <v>25</v>
      </c>
      <c r="T8" s="14" t="s">
        <v>25</v>
      </c>
      <c r="U8" s="14" t="s">
        <v>25</v>
      </c>
      <c r="V8" s="14" t="s">
        <v>25</v>
      </c>
    </row>
    <row r="9" spans="2:22" x14ac:dyDescent="0.25">
      <c r="B9" s="1" t="s">
        <v>0</v>
      </c>
      <c r="C9" s="1" t="s">
        <v>1</v>
      </c>
      <c r="D9" s="12" t="s">
        <v>2</v>
      </c>
      <c r="E9" s="1" t="s">
        <v>3</v>
      </c>
      <c r="F9" s="1" t="s">
        <v>4</v>
      </c>
      <c r="G9" s="1" t="s">
        <v>5</v>
      </c>
      <c r="H9" s="12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2" t="s">
        <v>11</v>
      </c>
      <c r="N9" s="1" t="s">
        <v>12</v>
      </c>
      <c r="O9" s="1" t="s">
        <v>13</v>
      </c>
      <c r="P9" s="12" t="s">
        <v>14</v>
      </c>
      <c r="Q9" s="1" t="s">
        <v>15</v>
      </c>
      <c r="R9" s="1" t="s">
        <v>16</v>
      </c>
      <c r="S9" s="12" t="s">
        <v>17</v>
      </c>
      <c r="T9" s="1" t="s">
        <v>18</v>
      </c>
      <c r="U9" s="1" t="s">
        <v>19</v>
      </c>
      <c r="V9" s="12" t="s">
        <v>20</v>
      </c>
    </row>
    <row r="10" spans="2:22" x14ac:dyDescent="0.25">
      <c r="B10" s="7" t="str" cm="1">
        <f t="array" aca="1" ref="B10" ca="1">IFERROR(IF(OR('Raw Data'!B10="",LEN(TRIM('Raw Data'!B10))=0),"",IF(AND(LEN('Raw Data'!B10) &lt;= 255,LEN('Raw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Data'!C10))=0),"",IF(AND(LEN('Raw Data'!C10) &lt;= 20,LEN('Raw Data'!C10)&gt; 0),"",_xlfn.REGEXEXTRACT(CELL("address",'Raw Data'!C10),"\$([A-Z]+)\$[0-9]+"))),_xlfn.REGEXEXTRACT(CELL("address",'Raw Data'!C10),"\$([A-Z]+)\$[0-9]+"))</f>
        <v/>
      </c>
      <c r="D10" s="7" t="str" cm="1">
        <f t="array" aca="1" ref="D10" ca="1">IFERROR(IF(OR('Raw Data'!D10="",LEN(TRIM('Raw Data'!D10))=0),"",IF(AND(ISNUMBER('Raw Data'!D10),'Raw Data'!D10&gt;=Configuration!$D$2),"",_xlfn.REGEXEXTRACT(CELL("address",'Raw Data'!D10),"\$([A-Z]+)\$[0-9]+"))),_xlfn.REGEXEXTRACT(CELL("address",D10), "\$([A-Z]+)\$[0-9]+"))</f>
        <v>$D$10</v>
      </c>
      <c r="E10" s="7" t="str" cm="1">
        <f t="array" aca="1" ref="E10" ca="1">IFERROR(IF(OR('Raw Data'!E10="",LEN(TRIM('Raw Data'!E10))=0),"",IF(AND(ISNUMBER('Raw Data'!E10), IFERROR('Raw Data'!E10 = ROUND('Raw Data'!E10, 4),FALSE)),"",_xlfn.REGEXEXTRACT(CELL("address",E10), "\$([A-Z]+)\$[0-9]+"))),_xlfn.REGEXEXTRACT(CELL("address",E10), "\$([A-Z]+)\$[0-9]+"))</f>
        <v/>
      </c>
      <c r="F10" s="7" t="str" cm="1">
        <f t="array" aca="1" ref="F10" ca="1">IFERROR(IF(OR('Raw Data'!F10="",LEN(TRIM('Raw Data'!F10))=0),"",IF(AND(ISNUMBER('Raw Data'!F10), IFERROR('Raw Data'!F10 = ROUND('Raw Data'!F10, 4),FALSE)),"",_xlfn.REGEXEXTRACT(CELL("address",F10), "\$([A-Z]+)\$[0-9]+"))),_xlfn.REGEXEXTRACT(CELL("address",F10), "\$([A-Z]+)\$[0-9]+"))</f>
        <v/>
      </c>
      <c r="G10" s="7" t="str" cm="1">
        <f t="array" aca="1" ref="G10" ca="1">IFERROR(IF(OR('Raw Data'!G10="",LEN(TRIM('Raw Data'!G10))=0),"",IF(AND(ISNUMBER('Raw Data'!G10), IFERROR('Raw Data'!G10 = ROUND('Raw Data'!G10, 4),FALSE)),"",_xlfn.REGEXEXTRACT(CELL("address",G10), "\$([A-Z]+)\$[0-9]+"))),_xlfn.REGEXEXTRACT(CELL("address",G10), "\$([A-Z]+)\$[0-9]+"))</f>
        <v/>
      </c>
      <c r="H10" s="7" t="str" cm="1">
        <f t="array" aca="1" ref="H10" ca="1">IFERROR(IF(OR('Raw Data'!H10="",LEN(TRIM('Raw Data'!H10))=0),"",IF(AND(ISNUMBER('Raw Data'!H10), IFERROR('Raw Data'!H10 = ROUND('Raw Data'!H10, 4),FALSE)),"",_xlfn.REGEXEXTRACT(CELL("address",H10), "\$([A-Z]+)\$[0-9]+"))),_xlfn.REGEXEXTRACT(CELL("address",H10), "\$([A-Z]+)\$[0-9]+"))</f>
        <v/>
      </c>
      <c r="I10" s="7" t="str" cm="1">
        <f t="array" aca="1" ref="I10" ca="1">IFERROR(IF(OR('Raw Data'!I10="",LEN(TRIM('Raw Data'!I10))=0),"",IF(AND(ISNUMBER('Raw Data'!I10), IFERROR('Raw Data'!I10 = ROUND('Raw Data'!I10, 4),FALSE)),"",_xlfn.REGEXEXTRACT(CELL("address",I10), "\$([A-Z]+)\$[0-9]+"))),_xlfn.REGEXEXTRACT(CELL("address",I10), "\$([A-Z]+)\$[0-9]+"))</f>
        <v/>
      </c>
      <c r="J10" s="7" t="str" cm="1">
        <f t="array" aca="1" ref="J10" ca="1">IFERROR(IF(OR('Raw Data'!J10="",LEN(TRIM('Raw Data'!J10))=0),"",IF(AND(ISNUMBER('Raw Data'!J10), IFERROR('Raw Data'!J10 = ROUND('Raw Data'!J10, 4),FALSE)),"",_xlfn.REGEXEXTRACT(CELL("address",J10), "\$([A-Z]+)\$[0-9]+"))),_xlfn.REGEXEXTRACT(CELL("address",J10), "\$([A-Z]+)\$[0-9]+"))</f>
        <v/>
      </c>
      <c r="K10" s="7" t="str" cm="1">
        <f t="array" aca="1" ref="K10" ca="1">IFERROR(IF(OR('Raw Data'!K10="",LEN(TRIM('Raw Data'!K10))=0),"",IF(AND(ISNUMBER('Raw Data'!K10), IFERROR('Raw Data'!K10 = ROUND('Raw Data'!K10, 2),FALSE)),"",_xlfn.REGEXEXTRACT(CELL("address",K10), "\$([A-Z]+)\$[0-9]+"))),_xlfn.REGEXEXTRACT(CELL("address",K10), "\$([A-Z]+)\$[0-9]+"))</f>
        <v/>
      </c>
      <c r="L10" s="7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  <c r="M10" s="7" t="str" cm="1">
        <f t="array" aca="1" ref="M10" ca="1">IFERROR(IF(OR('Raw Data'!M10="",LEN(TRIM('Raw Data'!M10))=0),"",IF(AND(ISNUMBER('Raw Data'!M10), IFERROR('Raw Data'!M10 = ROUND('Raw Data'!M10, 2),FALSE)),"",_xlfn.REGEXEXTRACT(CELL("address",M10), "\$([A-Z]+)\$[0-9]+"))),_xlfn.REGEXEXTRACT(CELL("address",M10), "\$([A-Z]+)\$[0-9]+"))</f>
        <v/>
      </c>
      <c r="N10" s="7" t="str" cm="1">
        <f t="array" aca="1" ref="N10" ca="1">IFERROR(IF(OR('Raw Data'!N10="",LEN(TRIM('Raw Data'!N10))=0),"",IF(AND(ISNUMBER('Raw Data'!N10), IFERROR('Raw Data'!N10 = ROUND('Raw Data'!N10, 2),FALSE)),"",_xlfn.REGEXEXTRACT(CELL("address",N10), "\$([A-Z]+)\$[0-9]+"))),_xlfn.REGEXEXTRACT(CELL("address",N10), "\$([A-Z]+)\$[0-9]+"))</f>
        <v/>
      </c>
      <c r="O10" s="7" t="str" cm="1">
        <f t="array" aca="1" ref="O10" ca="1">IFERROR(IF(OR('Raw Data'!O10="",LEN(TRIM('Raw Data'!O10))=0),"",IF(AND(ISNUMBER('Raw Data'!O10), IFERROR('Raw Data'!O10 = ROUND('Raw Data'!O10, 2),FALSE)),"",_xlfn.REGEXEXTRACT(CELL("address",O10), "\$([A-Z]+)\$[0-9]+"))),_xlfn.REGEXEXTRACT(CELL("address",O10), "\$([A-Z]+)\$[0-9]+"))</f>
        <v/>
      </c>
      <c r="P10" s="7" t="str" cm="1">
        <f t="array" aca="1" ref="P10" ca="1">IFERROR(IF(OR('Raw Data'!P10="",LEN(TRIM('Raw Data'!P10))=0),"",IF(AND(ISNUMBER('Raw Data'!P10), IFERROR('Raw Data'!P10 = ROUND('Raw Data'!P10, 2),FALSE)),"",_xlfn.REGEXEXTRACT(CELL("address",P10), "\$([A-Z]+)\$[0-9]+"))),_xlfn.REGEXEXTRACT(CELL("address",P10), "\$([A-Z]+)\$[0-9]+"))</f>
        <v/>
      </c>
      <c r="Q10" s="7" t="str" cm="1">
        <f t="array" aca="1" ref="Q10" ca="1">IFERROR(IF(OR('Raw Data'!Q10="",LEN(TRIM('Raw Data'!Q10))=0),"",IF(AND(ISNUMBER('Raw Data'!Q10), IFERROR('Raw Data'!Q10 = ROUND('Raw Data'!Q10, 2),FALSE)),"",_xlfn.REGEXEXTRACT(CELL("address",Q10), "\$([A-Z]+)\$[0-9]+"))),_xlfn.REGEXEXTRACT(CELL("address",Q10), "\$([A-Z]+)\$[0-9]+"))</f>
        <v/>
      </c>
      <c r="R10" s="7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7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7" t="str" cm="1">
        <f t="array" aca="1" ref="T10" ca="1">IFERROR(IF(OR('Raw Data'!T10="",LEN(TRIM('Raw Data'!T10))=0),"",IF(AND(ISNUMBER('Raw Data'!T10), IFERROR('Raw Data'!T10 = ROUND('Raw Data'!T10, 2),FALSE)),"",_xlfn.REGEXEXTRACT(CELL("address",T10), "\$([A-Z]+)\$[0-9]+"))),_xlfn.REGEXEXTRACT(CELL("address",T10), "\$([A-Z]+)\$[0-9]+"))</f>
        <v/>
      </c>
      <c r="U10" s="7" t="str" cm="1">
        <f t="array" aca="1" ref="U10" ca="1">IFERROR(IF(OR('Raw Data'!U10="",LEN(TRIM('Raw Data'!U10))=0),"",IF(AND(ISNUMBER('Raw Data'!U10), IFERROR('Raw Data'!U10 = ROUND('Raw Data'!U10, 2),FALSE)),"",_xlfn.REGEXEXTRACT(CELL("address",U10), "\$([A-Z]+)\$[0-9]+"))),_xlfn.REGEXEXTRACT(CELL("address",U10), "\$([A-Z]+)\$[0-9]+"))</f>
        <v/>
      </c>
      <c r="V10" s="7" t="str" cm="1">
        <f t="array" aca="1" ref="V10" ca="1">IFERROR(IF(OR('Raw Data'!V10="",LEN(TRIM('Raw Data'!V10))=0),"",IF(AND(ISNUMBER('Raw Data'!V10), IFERROR('Raw Data'!V10 = ROUND('Raw Data'!V10, 2),FALSE)),"",_xlfn.REGEXEXTRACT(CELL("address",V10), "\$([A-Z]+)\$[0-9]+"))),_xlfn.REGEXEXTRACT(CELL("address",V10), "\$([A-Z]+)\$[0-9]+"))</f>
        <v/>
      </c>
    </row>
    <row r="11" spans="2:22" x14ac:dyDescent="0.25">
      <c r="B11" s="7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20,LEN('Raw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Data'!D11))=0),"",IF(AND(ISNUMBER('Raw Data'!D11),'Raw Data'!D11&gt;=Configuration!$D$2),"",_xlfn.REGEXEXTRACT(CELL("address",'Raw Data'!D11),"\$([A-Z]+)\$[0-9]+"))),_xlfn.REGEXEXTRACT(CELL("address",D11), "\$([A-Z]+)\$[0-9]+"))</f>
        <v>$D$11</v>
      </c>
      <c r="E11" s="7" t="str" cm="1">
        <f t="array" aca="1" ref="E11" ca="1">IFERROR(IF(OR('Raw Data'!E11="",LEN(TRIM('Raw Data'!E11))=0),"",IF(AND(ISNUMBER('Raw Data'!E11), IFERROR('Raw Data'!E11 = ROUND('Raw Data'!E11, 4),FALSE)),"",_xlfn.REGEXEXTRACT(CELL("address",E11), "\$([A-Z]+)\$[0-9]+"))),_xlfn.REGEXEXTRACT(CELL("address",E11), "\$([A-Z]+)\$[0-9]+"))</f>
        <v/>
      </c>
      <c r="F11" s="7" t="str" cm="1">
        <f t="array" aca="1" ref="F11" ca="1">IFERROR(IF(OR('Raw Data'!F11="",LEN(TRIM('Raw Data'!F11))=0),"",IF(AND(ISNUMBER('Raw Data'!F11), IFERROR('Raw Data'!F11 = ROUND('Raw Data'!F11, 4),FALSE)),"",_xlfn.REGEXEXTRACT(CELL("address",F11), "\$([A-Z]+)\$[0-9]+"))),_xlfn.REGEXEXTRACT(CELL("address",F11), "\$([A-Z]+)\$[0-9]+"))</f>
        <v/>
      </c>
      <c r="G11" s="7" t="str" cm="1">
        <f t="array" aca="1" ref="G11" ca="1">IFERROR(IF(OR('Raw Data'!G11="",LEN(TRIM('Raw Data'!G11))=0),"",IF(AND(ISNUMBER('Raw Data'!G11), IFERROR('Raw Data'!G11 = ROUND('Raw Data'!G11, 4),FALSE)),"",_xlfn.REGEXEXTRACT(CELL("address",G11), "\$([A-Z]+)\$[0-9]+"))),_xlfn.REGEXEXTRACT(CELL("address",G11), "\$([A-Z]+)\$[0-9]+"))</f>
        <v/>
      </c>
      <c r="H11" s="7" t="str" cm="1">
        <f t="array" aca="1" ref="H11" ca="1">IFERROR(IF(OR('Raw Data'!H11="",LEN(TRIM('Raw Data'!H11))=0),"",IF(AND(ISNUMBER('Raw Data'!H11), IFERROR('Raw Data'!H11 = ROUND('Raw Data'!H11, 4),FALSE)),"",_xlfn.REGEXEXTRACT(CELL("address",H11), "\$([A-Z]+)\$[0-9]+"))),_xlfn.REGEXEXTRACT(CELL("address",H11), "\$([A-Z]+)\$[0-9]+"))</f>
        <v/>
      </c>
      <c r="I11" s="7" t="str" cm="1">
        <f t="array" aca="1" ref="I11" ca="1">IFERROR(IF(OR('Raw Data'!I11="",LEN(TRIM('Raw Data'!I11))=0),"",IF(AND(ISNUMBER('Raw Data'!I11), IFERROR('Raw Data'!I11 = ROUND('Raw Data'!I11, 4),FALSE)),"",_xlfn.REGEXEXTRACT(CELL("address",I11), "\$([A-Z]+)\$[0-9]+"))),_xlfn.REGEXEXTRACT(CELL("address",I11), "\$([A-Z]+)\$[0-9]+"))</f>
        <v/>
      </c>
      <c r="J11" s="7" t="str" cm="1">
        <f t="array" aca="1" ref="J11" ca="1">IFERROR(IF(OR('Raw Data'!J11="",LEN(TRIM('Raw Data'!J11))=0),"",IF(AND(ISNUMBER('Raw Data'!J11), IFERROR('Raw Data'!J11 = ROUND('Raw Data'!J11, 4),FALSE)),"",_xlfn.REGEXEXTRACT(CELL("address",J11), "\$([A-Z]+)\$[0-9]+"))),_xlfn.REGEXEXTRACT(CELL("address",J11), "\$([A-Z]+)\$[0-9]+"))</f>
        <v/>
      </c>
      <c r="K11" s="7" t="str" cm="1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7" t="str" cm="1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7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7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7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</row>
    <row r="12" spans="2:22" x14ac:dyDescent="0.25">
      <c r="B12" s="7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20,LEN('Raw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Data'!D12))=0),"",IF(AND(ISNUMBER('Raw Data'!D12),'Raw Data'!D12&gt;=Configuration!$D$2),"",_xlfn.REGEXEXTRACT(CELL("address",'Raw Data'!D12),"\$([A-Z]+)\$[0-9]+"))),_xlfn.REGEXEXTRACT(CELL("address",D12), "\$([A-Z]+)\$[0-9]+"))</f>
        <v>$D$12</v>
      </c>
      <c r="E12" s="7" t="str" cm="1">
        <f t="array" aca="1" ref="E12" ca="1">IFERROR(IF(OR('Raw Data'!E12="",LEN(TRIM('Raw Data'!E12))=0),"",IF(AND(ISNUMBER('Raw Data'!E12), IFERROR('Raw Data'!E12 = ROUND('Raw Data'!E12, 4),FALSE)),"",_xlfn.REGEXEXTRACT(CELL("address",E12), "\$([A-Z]+)\$[0-9]+"))),_xlfn.REGEXEXTRACT(CELL("address",E12), 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4),FALSE)),"",_xlfn.REGEXEXTRACT(CELL("address",F12), "\$([A-Z]+)\$[0-9]+"))),_xlfn.REGEXEXTRACT(CELL("address",F12), "\$([A-Z]+)\$[0-9]+"))</f>
        <v/>
      </c>
      <c r="G12" s="7" t="str" cm="1">
        <f t="array" aca="1" ref="G12" ca="1">IFERROR(IF(OR('Raw Data'!G12="",LEN(TRIM('Raw Data'!G12))=0),"",IF(AND(ISNUMBER('Raw Data'!G12), IFERROR('Raw Data'!G12 = ROUND('Raw Data'!G12, 4),FALSE)),"",_xlfn.REGEXEXTRACT(CELL("address",G12), "\$([A-Z]+)\$[0-9]+"))),_xlfn.REGEXEXTRACT(CELL("address",G12), "\$([A-Z]+)\$[0-9]+"))</f>
        <v/>
      </c>
      <c r="H12" s="7" t="str" cm="1">
        <f t="array" aca="1" ref="H12" ca="1">IFERROR(IF(OR('Raw Data'!H12="",LEN(TRIM('Raw Data'!H12))=0),"",IF(AND(ISNUMBER('Raw Data'!H12), IFERROR('Raw Data'!H12 = ROUND('Raw Data'!H12, 4),FALSE)),"",_xlfn.REGEXEXTRACT(CELL("address",H12), "\$([A-Z]+)\$[0-9]+"))),_xlfn.REGEXEXTRACT(CELL("address",H12), "\$([A-Z]+)\$[0-9]+"))</f>
        <v/>
      </c>
      <c r="I12" s="7" t="str" cm="1">
        <f t="array" aca="1" ref="I12" ca="1">IFERROR(IF(OR('Raw Data'!I12="",LEN(TRIM('Raw Data'!I12))=0),"",IF(AND(ISNUMBER('Raw Data'!I12), IFERROR('Raw Data'!I12 = ROUND('Raw Data'!I12, 4),FALSE)),"",_xlfn.REGEXEXTRACT(CELL("address",I12), "\$([A-Z]+)\$[0-9]+"))),_xlfn.REGEXEXTRACT(CELL("address",I12), "\$([A-Z]+)\$[0-9]+"))</f>
        <v/>
      </c>
      <c r="J12" s="7" t="str" cm="1">
        <f t="array" aca="1" ref="J12" ca="1">IFERROR(IF(OR('Raw Data'!J12="",LEN(TRIM('Raw Data'!J12))=0),"",IF(AND(ISNUMBER('Raw Data'!J12), IFERROR('Raw Data'!J12 = ROUND('Raw Data'!J12, 4),FALSE)),"",_xlfn.REGEXEXTRACT(CELL("address",J12), "\$([A-Z]+)\$[0-9]+"))),_xlfn.REGEXEXTRACT(CELL("address",J12), "\$([A-Z]+)\$[0-9]+"))</f>
        <v/>
      </c>
      <c r="K12" s="7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7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</row>
    <row r="13" spans="2:22" x14ac:dyDescent="0.25">
      <c r="B13" s="7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20,LEN('Raw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Data'!D13))=0),"",IF(AND(ISNUMBER('Raw Data'!D13),'Raw Data'!D13&gt;=Configuration!$D$2),"",_xlfn.REGEXEXTRACT(CELL("address",'Raw Data'!D13),"\$([A-Z]+)\$[0-9]+"))),_xlfn.REGEXEXTRACT(CELL("address",D13), "\$([A-Z]+)\$[0-9]+"))</f>
        <v>$D$13</v>
      </c>
      <c r="E13" s="7" t="str" cm="1">
        <f t="array" aca="1" ref="E13" ca="1">IFERROR(IF(OR('Raw Data'!E13="",LEN(TRIM('Raw Data'!E13))=0),"",IF(AND(ISNUMBER('Raw Data'!E13), IFERROR('Raw Data'!E13 = ROUND('Raw Data'!E13, 4),FALSE)),"",_xlfn.REGEXEXTRACT(CELL("address",E13), "\$([A-Z]+)\$[0-9]+"))),_xlfn.REGEXEXTRACT(CELL("address",E13), 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4),FALSE)),"",_xlfn.REGEXEXTRACT(CELL("address",F13), "\$([A-Z]+)\$[0-9]+"))),_xlfn.REGEXEXTRACT(CELL("address",F13), "\$([A-Z]+)\$[0-9]+"))</f>
        <v/>
      </c>
      <c r="G13" s="7" t="str" cm="1">
        <f t="array" aca="1" ref="G13" ca="1">IFERROR(IF(OR('Raw Data'!G13="",LEN(TRIM('Raw Data'!G13))=0),"",IF(AND(ISNUMBER('Raw Data'!G13), IFERROR('Raw Data'!G13 = ROUND('Raw Data'!G13, 4),FALSE)),"",_xlfn.REGEXEXTRACT(CELL("address",G13), "\$([A-Z]+)\$[0-9]+"))),_xlfn.REGEXEXTRACT(CELL("address",G13), "\$([A-Z]+)\$[0-9]+"))</f>
        <v/>
      </c>
      <c r="H13" s="7" t="str" cm="1">
        <f t="array" aca="1" ref="H13" ca="1">IFERROR(IF(OR('Raw Data'!H13="",LEN(TRIM('Raw Data'!H13))=0),"",IF(AND(ISNUMBER('Raw Data'!H13), IFERROR('Raw Data'!H13 = ROUND('Raw Data'!H13, 4),FALSE)),"",_xlfn.REGEXEXTRACT(CELL("address",H13), "\$([A-Z]+)\$[0-9]+"))),_xlfn.REGEXEXTRACT(CELL("address",H13), "\$([A-Z]+)\$[0-9]+"))</f>
        <v/>
      </c>
      <c r="I13" s="7" t="str" cm="1">
        <f t="array" aca="1" ref="I13" ca="1">IFERROR(IF(OR('Raw Data'!I13="",LEN(TRIM('Raw Data'!I13))=0),"",IF(AND(ISNUMBER('Raw Data'!I13), IFERROR('Raw Data'!I13 = ROUND('Raw Data'!I13, 4),FALSE)),"",_xlfn.REGEXEXTRACT(CELL("address",I13), "\$([A-Z]+)\$[0-9]+"))),_xlfn.REGEXEXTRACT(CELL("address",I13), "\$([A-Z]+)\$[0-9]+"))</f>
        <v/>
      </c>
      <c r="J13" s="7" t="str" cm="1">
        <f t="array" aca="1" ref="J13" ca="1">IFERROR(IF(OR('Raw Data'!J13="",LEN(TRIM('Raw Data'!J13))=0),"",IF(AND(ISNUMBER('Raw Data'!J13), IFERROR('Raw Data'!J13 = ROUND('Raw Data'!J13, 4),FALSE)),"",_xlfn.REGEXEXTRACT(CELL("address",J13), "\$([A-Z]+)\$[0-9]+"))),_xlfn.REGEXEXTRACT(CELL("address",J13), "\$([A-Z]+)\$[0-9]+"))</f>
        <v/>
      </c>
      <c r="K13" s="7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7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</row>
    <row r="14" spans="2:22" x14ac:dyDescent="0.25">
      <c r="B14" s="7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20,LEN('Raw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Data'!D14))=0),"",IF(AND(ISNUMBER('Raw Data'!D14),'Raw Data'!D14&gt;=Configuration!$D$2),"",_xlfn.REGEXEXTRACT(CELL("address",'Raw Data'!D14),"\$([A-Z]+)\$[0-9]+"))),_xlfn.REGEXEXTRACT(CELL("address",D14), "\$([A-Z]+)\$[0-9]+"))</f>
        <v>$D$14</v>
      </c>
      <c r="E14" s="7" t="str" cm="1">
        <f t="array" aca="1" ref="E14" ca="1">IFERROR(IF(OR('Raw Data'!E14="",LEN(TRIM('Raw Data'!E14))=0),"",IF(AND(ISNUMBER('Raw Data'!E14), IFERROR('Raw Data'!E14 = ROUND('Raw Data'!E14, 4),FALSE)),"",_xlfn.REGEXEXTRACT(CELL("address",E14), "\$([A-Z]+)\$[0-9]+"))),_xlfn.REGEXEXTRACT(CELL("address",E14), 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4),FALSE)),"",_xlfn.REGEXEXTRACT(CELL("address",F14), "\$([A-Z]+)\$[0-9]+"))),_xlfn.REGEXEXTRACT(CELL("address",F14), "\$([A-Z]+)\$[0-9]+"))</f>
        <v/>
      </c>
      <c r="G14" s="7" t="str" cm="1">
        <f t="array" aca="1" ref="G14" ca="1">IFERROR(IF(OR('Raw Data'!G14="",LEN(TRIM('Raw Data'!G14))=0),"",IF(AND(ISNUMBER('Raw Data'!G14), IFERROR('Raw Data'!G14 = ROUND('Raw Data'!G14, 4),FALSE)),"",_xlfn.REGEXEXTRACT(CELL("address",G14), "\$([A-Z]+)\$[0-9]+"))),_xlfn.REGEXEXTRACT(CELL("address",G14), "\$([A-Z]+)\$[0-9]+"))</f>
        <v/>
      </c>
      <c r="H14" s="7" t="str" cm="1">
        <f t="array" aca="1" ref="H14" ca="1">IFERROR(IF(OR('Raw Data'!H14="",LEN(TRIM('Raw Data'!H14))=0),"",IF(AND(ISNUMBER('Raw Data'!H14), IFERROR('Raw Data'!H14 = ROUND('Raw Data'!H14, 4),FALSE)),"",_xlfn.REGEXEXTRACT(CELL("address",H14), "\$([A-Z]+)\$[0-9]+"))),_xlfn.REGEXEXTRACT(CELL("address",H14), "\$([A-Z]+)\$[0-9]+"))</f>
        <v/>
      </c>
      <c r="I14" s="7" t="str" cm="1">
        <f t="array" aca="1" ref="I14" ca="1">IFERROR(IF(OR('Raw Data'!I14="",LEN(TRIM('Raw Data'!I14))=0),"",IF(AND(ISNUMBER('Raw Data'!I14), IFERROR('Raw Data'!I14 = ROUND('Raw Data'!I14, 4),FALSE)),"",_xlfn.REGEXEXTRACT(CELL("address",I14), "\$([A-Z]+)\$[0-9]+"))),_xlfn.REGEXEXTRACT(CELL("address",I14), "\$([A-Z]+)\$[0-9]+"))</f>
        <v/>
      </c>
      <c r="J14" s="7" t="str" cm="1">
        <f t="array" aca="1" ref="J14" ca="1">IFERROR(IF(OR('Raw Data'!J14="",LEN(TRIM('Raw Data'!J14))=0),"",IF(AND(ISNUMBER('Raw Data'!J14), IFERROR('Raw Data'!J14 = ROUND('Raw Data'!J14, 4),FALSE)),"",_xlfn.REGEXEXTRACT(CELL("address",J14), "\$([A-Z]+)\$[0-9]+"))),_xlfn.REGEXEXTRACT(CELL("address",J14), "\$([A-Z]+)\$[0-9]+"))</f>
        <v/>
      </c>
      <c r="K14" s="7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7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</row>
    <row r="15" spans="2:22" x14ac:dyDescent="0.25">
      <c r="B15" s="7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20,LEN('Raw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Data'!D15))=0),"",IF(AND(ISNUMBER('Raw Data'!D15),'Raw Data'!D15&gt;=Configuration!$D$2),"",_xlfn.REGEXEXTRACT(CELL("address",'Raw Data'!D15),"\$([A-Z]+)\$[0-9]+"))),_xlfn.REGEXEXTRACT(CELL("address",D15), "\$([A-Z]+)\$[0-9]+"))</f>
        <v>$D$15</v>
      </c>
      <c r="E15" s="7" t="str" cm="1">
        <f t="array" aca="1" ref="E15" ca="1">IFERROR(IF(OR('Raw Data'!E15="",LEN(TRIM('Raw Data'!E15))=0),"",IF(AND(ISNUMBER('Raw Data'!E15), IFERROR('Raw Data'!E15 = ROUND('Raw Data'!E15, 4),FALSE)),"",_xlfn.REGEXEXTRACT(CELL("address",E15), "\$([A-Z]+)\$[0-9]+"))),_xlfn.REGEXEXTRACT(CELL("address",E15), 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4),FALSE)),"",_xlfn.REGEXEXTRACT(CELL("address",F15), "\$([A-Z]+)\$[0-9]+"))),_xlfn.REGEXEXTRACT(CELL("address",F15), "\$([A-Z]+)\$[0-9]+"))</f>
        <v/>
      </c>
      <c r="G15" s="7" t="str" cm="1">
        <f t="array" aca="1" ref="G15" ca="1">IFERROR(IF(OR('Raw Data'!G15="",LEN(TRIM('Raw Data'!G15))=0),"",IF(AND(ISNUMBER('Raw Data'!G15), IFERROR('Raw Data'!G15 = ROUND('Raw Data'!G15, 4),FALSE)),"",_xlfn.REGEXEXTRACT(CELL("address",G15), "\$([A-Z]+)\$[0-9]+"))),_xlfn.REGEXEXTRACT(CELL("address",G15), "\$([A-Z]+)\$[0-9]+"))</f>
        <v/>
      </c>
      <c r="H15" s="7" t="str" cm="1">
        <f t="array" aca="1" ref="H15" ca="1">IFERROR(IF(OR('Raw Data'!H15="",LEN(TRIM('Raw Data'!H15))=0),"",IF(AND(ISNUMBER('Raw Data'!H15), IFERROR('Raw Data'!H15 = ROUND('Raw Data'!H15, 4),FALSE)),"",_xlfn.REGEXEXTRACT(CELL("address",H15), "\$([A-Z]+)\$[0-9]+"))),_xlfn.REGEXEXTRACT(CELL("address",H15), "\$([A-Z]+)\$[0-9]+"))</f>
        <v/>
      </c>
      <c r="I15" s="7" t="str" cm="1">
        <f t="array" aca="1" ref="I15" ca="1">IFERROR(IF(OR('Raw Data'!I15="",LEN(TRIM('Raw Data'!I15))=0),"",IF(AND(ISNUMBER('Raw Data'!I15), IFERROR('Raw Data'!I15 = ROUND('Raw Data'!I15, 4),FALSE)),"",_xlfn.REGEXEXTRACT(CELL("address",I15), "\$([A-Z]+)\$[0-9]+"))),_xlfn.REGEXEXTRACT(CELL("address",I15), "\$([A-Z]+)\$[0-9]+"))</f>
        <v/>
      </c>
      <c r="J15" s="7" t="str" cm="1">
        <f t="array" aca="1" ref="J15" ca="1">IFERROR(IF(OR('Raw Data'!J15="",LEN(TRIM('Raw Data'!J15))=0),"",IF(AND(ISNUMBER('Raw Data'!J15), IFERROR('Raw Data'!J15 = ROUND('Raw Data'!J15, 4),FALSE)),"",_xlfn.REGEXEXTRACT(CELL("address",J15), "\$([A-Z]+)\$[0-9]+"))),_xlfn.REGEXEXTRACT(CELL("address",J15), "\$([A-Z]+)\$[0-9]+"))</f>
        <v/>
      </c>
      <c r="K15" s="7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7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</row>
    <row r="16" spans="2:22" x14ac:dyDescent="0.25">
      <c r="B16" s="7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20,LEN('Raw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Data'!D16))=0),"",IF(AND(ISNUMBER('Raw Data'!D16),'Raw Data'!D16&gt;=Configuration!$D$2),"",_xlfn.REGEXEXTRACT(CELL("address",'Raw Data'!D16),"\$([A-Z]+)\$[0-9]+"))),_xlfn.REGEXEXTRACT(CELL("address",D16), "\$([A-Z]+)\$[0-9]+"))</f>
        <v>$D$16</v>
      </c>
      <c r="E16" s="7" t="str" cm="1">
        <f t="array" aca="1" ref="E16" ca="1">IFERROR(IF(OR('Raw Data'!E16="",LEN(TRIM('Raw Data'!E16))=0),"",IF(AND(ISNUMBER('Raw Data'!E16), IFERROR('Raw Data'!E16 = ROUND('Raw Data'!E16, 4),FALSE)),"",_xlfn.REGEXEXTRACT(CELL("address",E16), "\$([A-Z]+)\$[0-9]+"))),_xlfn.REGEXEXTRACT(CELL("address",E16), 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4),FALSE)),"",_xlfn.REGEXEXTRACT(CELL("address",F16), "\$([A-Z]+)\$[0-9]+"))),_xlfn.REGEXEXTRACT(CELL("address",F16), "\$([A-Z]+)\$[0-9]+"))</f>
        <v/>
      </c>
      <c r="G16" s="7" t="str" cm="1">
        <f t="array" aca="1" ref="G16" ca="1">IFERROR(IF(OR('Raw Data'!G16="",LEN(TRIM('Raw Data'!G16))=0),"",IF(AND(ISNUMBER('Raw Data'!G16), IFERROR('Raw Data'!G16 = ROUND('Raw Data'!G16, 4),FALSE)),"",_xlfn.REGEXEXTRACT(CELL("address",G16), "\$([A-Z]+)\$[0-9]+"))),_xlfn.REGEXEXTRACT(CELL("address",G16), "\$([A-Z]+)\$[0-9]+"))</f>
        <v/>
      </c>
      <c r="H16" s="7" t="str" cm="1">
        <f t="array" aca="1" ref="H16" ca="1">IFERROR(IF(OR('Raw Data'!H16="",LEN(TRIM('Raw Data'!H16))=0),"",IF(AND(ISNUMBER('Raw Data'!H16), IFERROR('Raw Data'!H16 = ROUND('Raw Data'!H16, 4),FALSE)),"",_xlfn.REGEXEXTRACT(CELL("address",H16), "\$([A-Z]+)\$[0-9]+"))),_xlfn.REGEXEXTRACT(CELL("address",H16), "\$([A-Z]+)\$[0-9]+"))</f>
        <v/>
      </c>
      <c r="I16" s="7" t="str" cm="1">
        <f t="array" aca="1" ref="I16" ca="1">IFERROR(IF(OR('Raw Data'!I16="",LEN(TRIM('Raw Data'!I16))=0),"",IF(AND(ISNUMBER('Raw Data'!I16), IFERROR('Raw Data'!I16 = ROUND('Raw Data'!I16, 4),FALSE)),"",_xlfn.REGEXEXTRACT(CELL("address",I16), "\$([A-Z]+)\$[0-9]+"))),_xlfn.REGEXEXTRACT(CELL("address",I16), "\$([A-Z]+)\$[0-9]+"))</f>
        <v/>
      </c>
      <c r="J16" s="7" t="str" cm="1">
        <f t="array" aca="1" ref="J16" ca="1">IFERROR(IF(OR('Raw Data'!J16="",LEN(TRIM('Raw Data'!J16))=0),"",IF(AND(ISNUMBER('Raw Data'!J16), IFERROR('Raw Data'!J16 = ROUND('Raw Data'!J16, 4),FALSE)),"",_xlfn.REGEXEXTRACT(CELL("address",J16), "\$([A-Z]+)\$[0-9]+"))),_xlfn.REGEXEXTRACT(CELL("address",J16), "\$([A-Z]+)\$[0-9]+"))</f>
        <v/>
      </c>
      <c r="K16" s="7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7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</row>
    <row r="17" spans="2:22" x14ac:dyDescent="0.25">
      <c r="B17" s="7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20,LEN('Raw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Data'!D17))=0),"",IF(AND(ISNUMBER('Raw Data'!D17),'Raw Data'!D17&gt;=Configuration!$D$2),"",_xlfn.REGEXEXTRACT(CELL("address",'Raw Data'!D17),"\$([A-Z]+)\$[0-9]+"))),_xlfn.REGEXEXTRACT(CELL("address",D17), "\$([A-Z]+)\$[0-9]+"))</f>
        <v>$D$17</v>
      </c>
      <c r="E17" s="7" t="str" cm="1">
        <f t="array" aca="1" ref="E17" ca="1">IFERROR(IF(OR('Raw Data'!E17="",LEN(TRIM('Raw Data'!E17))=0),"",IF(AND(ISNUMBER('Raw Data'!E17), IFERROR('Raw Data'!E17 = ROUND('Raw Data'!E17, 4),FALSE)),"",_xlfn.REGEXEXTRACT(CELL("address",E17), "\$([A-Z]+)\$[0-9]+"))),_xlfn.REGEXEXTRACT(CELL("address",E17), 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4),FALSE)),"",_xlfn.REGEXEXTRACT(CELL("address",F17), "\$([A-Z]+)\$[0-9]+"))),_xlfn.REGEXEXTRACT(CELL("address",F17), "\$([A-Z]+)\$[0-9]+"))</f>
        <v/>
      </c>
      <c r="G17" s="7" t="str" cm="1">
        <f t="array" aca="1" ref="G17" ca="1">IFERROR(IF(OR('Raw Data'!G17="",LEN(TRIM('Raw Data'!G17))=0),"",IF(AND(ISNUMBER('Raw Data'!G17), IFERROR('Raw Data'!G17 = ROUND('Raw Data'!G17, 4),FALSE)),"",_xlfn.REGEXEXTRACT(CELL("address",G17), "\$([A-Z]+)\$[0-9]+"))),_xlfn.REGEXEXTRACT(CELL("address",G17), "\$([A-Z]+)\$[0-9]+"))</f>
        <v/>
      </c>
      <c r="H17" s="7" t="str" cm="1">
        <f t="array" aca="1" ref="H17" ca="1">IFERROR(IF(OR('Raw Data'!H17="",LEN(TRIM('Raw Data'!H17))=0),"",IF(AND(ISNUMBER('Raw Data'!H17), IFERROR('Raw Data'!H17 = ROUND('Raw Data'!H17, 4),FALSE)),"",_xlfn.REGEXEXTRACT(CELL("address",H17), "\$([A-Z]+)\$[0-9]+"))),_xlfn.REGEXEXTRACT(CELL("address",H17), "\$([A-Z]+)\$[0-9]+"))</f>
        <v/>
      </c>
      <c r="I17" s="7" t="str" cm="1">
        <f t="array" aca="1" ref="I17" ca="1">IFERROR(IF(OR('Raw Data'!I17="",LEN(TRIM('Raw Data'!I17))=0),"",IF(AND(ISNUMBER('Raw Data'!I17), IFERROR('Raw Data'!I17 = ROUND('Raw Data'!I17, 4),FALSE)),"",_xlfn.REGEXEXTRACT(CELL("address",I17), "\$([A-Z]+)\$[0-9]+"))),_xlfn.REGEXEXTRACT(CELL("address",I17), "\$([A-Z]+)\$[0-9]+"))</f>
        <v/>
      </c>
      <c r="J17" s="7" t="str" cm="1">
        <f t="array" aca="1" ref="J17" ca="1">IFERROR(IF(OR('Raw Data'!J17="",LEN(TRIM('Raw Data'!J17))=0),"",IF(AND(ISNUMBER('Raw Data'!J17), IFERROR('Raw Data'!J17 = ROUND('Raw Data'!J17, 4),FALSE)),"",_xlfn.REGEXEXTRACT(CELL("address",J17), "\$([A-Z]+)\$[0-9]+"))),_xlfn.REGEXEXTRACT(CELL("address",J17), "\$([A-Z]+)\$[0-9]+"))</f>
        <v/>
      </c>
      <c r="K17" s="7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7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</row>
    <row r="18" spans="2:22" x14ac:dyDescent="0.25">
      <c r="B18" s="7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20,LEN('Raw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Data'!D18))=0),"",IF(AND(ISNUMBER('Raw Data'!D18),'Raw Data'!D18&gt;=Configuration!$D$2),"",_xlfn.REGEXEXTRACT(CELL("address",'Raw Data'!D18),"\$([A-Z]+)\$[0-9]+"))),_xlfn.REGEXEXTRACT(CELL("address",D18), "\$([A-Z]+)\$[0-9]+"))</f>
        <v>$D$18</v>
      </c>
      <c r="E18" s="7" t="str" cm="1">
        <f t="array" aca="1" ref="E18" ca="1">IFERROR(IF(OR('Raw Data'!E18="",LEN(TRIM('Raw Data'!E18))=0),"",IF(AND(ISNUMBER('Raw Data'!E18), IFERROR('Raw Data'!E18 = ROUND('Raw Data'!E18, 4),FALSE)),"",_xlfn.REGEXEXTRACT(CELL("address",E18), "\$([A-Z]+)\$[0-9]+"))),_xlfn.REGEXEXTRACT(CELL("address",E18), 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4),FALSE)),"",_xlfn.REGEXEXTRACT(CELL("address",F18), "\$([A-Z]+)\$[0-9]+"))),_xlfn.REGEXEXTRACT(CELL("address",F18), "\$([A-Z]+)\$[0-9]+"))</f>
        <v/>
      </c>
      <c r="G18" s="7" t="str" cm="1">
        <f t="array" aca="1" ref="G18" ca="1">IFERROR(IF(OR('Raw Data'!G18="",LEN(TRIM('Raw Data'!G18))=0),"",IF(AND(ISNUMBER('Raw Data'!G18), IFERROR('Raw Data'!G18 = ROUND('Raw Data'!G18, 4),FALSE)),"",_xlfn.REGEXEXTRACT(CELL("address",G18), "\$([A-Z]+)\$[0-9]+"))),_xlfn.REGEXEXTRACT(CELL("address",G18), "\$([A-Z]+)\$[0-9]+"))</f>
        <v/>
      </c>
      <c r="H18" s="7" t="str" cm="1">
        <f t="array" aca="1" ref="H18" ca="1">IFERROR(IF(OR('Raw Data'!H18="",LEN(TRIM('Raw Data'!H18))=0),"",IF(AND(ISNUMBER('Raw Data'!H18), IFERROR('Raw Data'!H18 = ROUND('Raw Data'!H18, 4),FALSE)),"",_xlfn.REGEXEXTRACT(CELL("address",H18), "\$([A-Z]+)\$[0-9]+"))),_xlfn.REGEXEXTRACT(CELL("address",H18), "\$([A-Z]+)\$[0-9]+"))</f>
        <v/>
      </c>
      <c r="I18" s="7" t="str" cm="1">
        <f t="array" aca="1" ref="I18" ca="1">IFERROR(IF(OR('Raw Data'!I18="",LEN(TRIM('Raw Data'!I18))=0),"",IF(AND(ISNUMBER('Raw Data'!I18), IFERROR('Raw Data'!I18 = ROUND('Raw Data'!I18, 4),FALSE)),"",_xlfn.REGEXEXTRACT(CELL("address",I18), "\$([A-Z]+)\$[0-9]+"))),_xlfn.REGEXEXTRACT(CELL("address",I18), "\$([A-Z]+)\$[0-9]+"))</f>
        <v/>
      </c>
      <c r="J18" s="7" t="str" cm="1">
        <f t="array" aca="1" ref="J18" ca="1">IFERROR(IF(OR('Raw Data'!J18="",LEN(TRIM('Raw Data'!J18))=0),"",IF(AND(ISNUMBER('Raw Data'!J18), IFERROR('Raw Data'!J18 = ROUND('Raw Data'!J18, 4),FALSE)),"",_xlfn.REGEXEXTRACT(CELL("address",J18), "\$([A-Z]+)\$[0-9]+"))),_xlfn.REGEXEXTRACT(CELL("address",J18), "\$([A-Z]+)\$[0-9]+"))</f>
        <v/>
      </c>
      <c r="K18" s="7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7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</row>
    <row r="19" spans="2:22" x14ac:dyDescent="0.25">
      <c r="B19" s="7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20,LEN('Raw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Data'!D19))=0),"",IF(AND(ISNUMBER('Raw Data'!D19),'Raw Data'!D19&gt;=Configuration!$D$2),"",_xlfn.REGEXEXTRACT(CELL("address",'Raw Data'!D19),"\$([A-Z]+)\$[0-9]+"))),_xlfn.REGEXEXTRACT(CELL("address",D19), "\$([A-Z]+)\$[0-9]+"))</f>
        <v>$D$19</v>
      </c>
      <c r="E19" s="7" t="str" cm="1">
        <f t="array" aca="1" ref="E19" ca="1">IFERROR(IF(OR('Raw Data'!E19="",LEN(TRIM('Raw Data'!E19))=0),"",IF(AND(ISNUMBER('Raw Data'!E19), IFERROR('Raw Data'!E19 = ROUND('Raw Data'!E19, 4),FALSE)),"",_xlfn.REGEXEXTRACT(CELL("address",E19), "\$([A-Z]+)\$[0-9]+"))),_xlfn.REGEXEXTRACT(CELL("address",E19), 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4),FALSE)),"",_xlfn.REGEXEXTRACT(CELL("address",F19), "\$([A-Z]+)\$[0-9]+"))),_xlfn.REGEXEXTRACT(CELL("address",F19), "\$([A-Z]+)\$[0-9]+"))</f>
        <v/>
      </c>
      <c r="G19" s="7" t="str" cm="1">
        <f t="array" aca="1" ref="G19" ca="1">IFERROR(IF(OR('Raw Data'!G19="",LEN(TRIM('Raw Data'!G19))=0),"",IF(AND(ISNUMBER('Raw Data'!G19), IFERROR('Raw Data'!G19 = ROUND('Raw Data'!G19, 4),FALSE)),"",_xlfn.REGEXEXTRACT(CELL("address",G19), "\$([A-Z]+)\$[0-9]+"))),_xlfn.REGEXEXTRACT(CELL("address",G19), "\$([A-Z]+)\$[0-9]+"))</f>
        <v/>
      </c>
      <c r="H19" s="7" t="str" cm="1">
        <f t="array" aca="1" ref="H19" ca="1">IFERROR(IF(OR('Raw Data'!H19="",LEN(TRIM('Raw Data'!H19))=0),"",IF(AND(ISNUMBER('Raw Data'!H19), IFERROR('Raw Data'!H19 = ROUND('Raw Data'!H19, 4),FALSE)),"",_xlfn.REGEXEXTRACT(CELL("address",H19), "\$([A-Z]+)\$[0-9]+"))),_xlfn.REGEXEXTRACT(CELL("address",H19), "\$([A-Z]+)\$[0-9]+"))</f>
        <v/>
      </c>
      <c r="I19" s="7" t="str" cm="1">
        <f t="array" aca="1" ref="I19" ca="1">IFERROR(IF(OR('Raw Data'!I19="",LEN(TRIM('Raw Data'!I19))=0),"",IF(AND(ISNUMBER('Raw Data'!I19), IFERROR('Raw Data'!I19 = ROUND('Raw Data'!I19, 4),FALSE)),"",_xlfn.REGEXEXTRACT(CELL("address",I19), "\$([A-Z]+)\$[0-9]+"))),_xlfn.REGEXEXTRACT(CELL("address",I19), "\$([A-Z]+)\$[0-9]+"))</f>
        <v/>
      </c>
      <c r="J19" s="7" t="str" cm="1">
        <f t="array" aca="1" ref="J19" ca="1">IFERROR(IF(OR('Raw Data'!J19="",LEN(TRIM('Raw Data'!J19))=0),"",IF(AND(ISNUMBER('Raw Data'!J19), IFERROR('Raw Data'!J19 = ROUND('Raw Data'!J19, 4),FALSE)),"",_xlfn.REGEXEXTRACT(CELL("address",J19), "\$([A-Z]+)\$[0-9]+"))),_xlfn.REGEXEXTRACT(CELL("address",J19), "\$([A-Z]+)\$[0-9]+"))</f>
        <v/>
      </c>
      <c r="K19" s="7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7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</row>
    <row r="20" spans="2:22" x14ac:dyDescent="0.25">
      <c r="B20" s="7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20,LEN('Raw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Data'!D20))=0),"",IF(AND(ISNUMBER('Raw Data'!D20),'Raw Data'!D20&gt;=Configuration!$D$2),"",_xlfn.REGEXEXTRACT(CELL("address",'Raw Data'!D20),"\$([A-Z]+)\$[0-9]+"))),_xlfn.REGEXEXTRACT(CELL("address",D20), "\$([A-Z]+)\$[0-9]+"))</f>
        <v>$D$20</v>
      </c>
      <c r="E20" s="7" t="str" cm="1">
        <f t="array" aca="1" ref="E20" ca="1">IFERROR(IF(OR('Raw Data'!E20="",LEN(TRIM('Raw Data'!E20))=0),"",IF(AND(ISNUMBER('Raw Data'!E20), IFERROR('Raw Data'!E20 = ROUND('Raw Data'!E20, 4),FALSE)),"",_xlfn.REGEXEXTRACT(CELL("address",E20), "\$([A-Z]+)\$[0-9]+"))),_xlfn.REGEXEXTRACT(CELL("address",E20), 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4),FALSE)),"",_xlfn.REGEXEXTRACT(CELL("address",F20), "\$([A-Z]+)\$[0-9]+"))),_xlfn.REGEXEXTRACT(CELL("address",F20), "\$([A-Z]+)\$[0-9]+"))</f>
        <v/>
      </c>
      <c r="G20" s="7" t="str" cm="1">
        <f t="array" aca="1" ref="G20" ca="1">IFERROR(IF(OR('Raw Data'!G20="",LEN(TRIM('Raw Data'!G20))=0),"",IF(AND(ISNUMBER('Raw Data'!G20), IFERROR('Raw Data'!G20 = ROUND('Raw Data'!G20, 4),FALSE)),"",_xlfn.REGEXEXTRACT(CELL("address",G20), "\$([A-Z]+)\$[0-9]+"))),_xlfn.REGEXEXTRACT(CELL("address",G20), "\$([A-Z]+)\$[0-9]+"))</f>
        <v/>
      </c>
      <c r="H20" s="7" t="str" cm="1">
        <f t="array" aca="1" ref="H20" ca="1">IFERROR(IF(OR('Raw Data'!H20="",LEN(TRIM('Raw Data'!H20))=0),"",IF(AND(ISNUMBER('Raw Data'!H20), IFERROR('Raw Data'!H20 = ROUND('Raw Data'!H20, 4),FALSE)),"",_xlfn.REGEXEXTRACT(CELL("address",H20), "\$([A-Z]+)\$[0-9]+"))),_xlfn.REGEXEXTRACT(CELL("address",H20), "\$([A-Z]+)\$[0-9]+"))</f>
        <v/>
      </c>
      <c r="I20" s="7" t="str" cm="1">
        <f t="array" aca="1" ref="I20" ca="1">IFERROR(IF(OR('Raw Data'!I20="",LEN(TRIM('Raw Data'!I20))=0),"",IF(AND(ISNUMBER('Raw Data'!I20), IFERROR('Raw Data'!I20 = ROUND('Raw Data'!I20, 4),FALSE)),"",_xlfn.REGEXEXTRACT(CELL("address",I20), "\$([A-Z]+)\$[0-9]+"))),_xlfn.REGEXEXTRACT(CELL("address",I20), "\$([A-Z]+)\$[0-9]+"))</f>
        <v/>
      </c>
      <c r="J20" s="7" t="str" cm="1">
        <f t="array" aca="1" ref="J20" ca="1">IFERROR(IF(OR('Raw Data'!J20="",LEN(TRIM('Raw Data'!J20))=0),"",IF(AND(ISNUMBER('Raw Data'!J20), IFERROR('Raw Data'!J20 = ROUND('Raw Data'!J20, 4),FALSE)),"",_xlfn.REGEXEXTRACT(CELL("address",J20), "\$([A-Z]+)\$[0-9]+"))),_xlfn.REGEXEXTRACT(CELL("address",J20), "\$([A-Z]+)\$[0-9]+"))</f>
        <v/>
      </c>
      <c r="K20" s="7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7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</row>
    <row r="21" spans="2:22" x14ac:dyDescent="0.25">
      <c r="B21" s="7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20,LEN('Raw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Data'!D21))=0),"",IF(AND(ISNUMBER('Raw Data'!D21),'Raw Data'!D21&gt;=Configuration!$D$2),"",_xlfn.REGEXEXTRACT(CELL("address",'Raw Data'!D21),"\$([A-Z]+)\$[0-9]+"))),_xlfn.REGEXEXTRACT(CELL("address",D21), "\$([A-Z]+)\$[0-9]+"))</f>
        <v>$D$21</v>
      </c>
      <c r="E21" s="7" t="str" cm="1">
        <f t="array" aca="1" ref="E21" ca="1">IFERROR(IF(OR('Raw Data'!E21="",LEN(TRIM('Raw Data'!E21))=0),"",IF(AND(ISNUMBER('Raw Data'!E21), IFERROR('Raw Data'!E21 = ROUND('Raw Data'!E21, 4),FALSE)),"",_xlfn.REGEXEXTRACT(CELL("address",E21), "\$([A-Z]+)\$[0-9]+"))),_xlfn.REGEXEXTRACT(CELL("address",E21), 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4),FALSE)),"",_xlfn.REGEXEXTRACT(CELL("address",F21), "\$([A-Z]+)\$[0-9]+"))),_xlfn.REGEXEXTRACT(CELL("address",F21), "\$([A-Z]+)\$[0-9]+"))</f>
        <v/>
      </c>
      <c r="G21" s="7" t="str" cm="1">
        <f t="array" aca="1" ref="G21" ca="1">IFERROR(IF(OR('Raw Data'!G21="",LEN(TRIM('Raw Data'!G21))=0),"",IF(AND(ISNUMBER('Raw Data'!G21), IFERROR('Raw Data'!G21 = ROUND('Raw Data'!G21, 4),FALSE)),"",_xlfn.REGEXEXTRACT(CELL("address",G21), "\$([A-Z]+)\$[0-9]+"))),_xlfn.REGEXEXTRACT(CELL("address",G21), "\$([A-Z]+)\$[0-9]+"))</f>
        <v/>
      </c>
      <c r="H21" s="7" t="str" cm="1">
        <f t="array" aca="1" ref="H21" ca="1">IFERROR(IF(OR('Raw Data'!H21="",LEN(TRIM('Raw Data'!H21))=0),"",IF(AND(ISNUMBER('Raw Data'!H21), IFERROR('Raw Data'!H21 = ROUND('Raw Data'!H21, 4),FALSE)),"",_xlfn.REGEXEXTRACT(CELL("address",H21), "\$([A-Z]+)\$[0-9]+"))),_xlfn.REGEXEXTRACT(CELL("address",H21), "\$([A-Z]+)\$[0-9]+"))</f>
        <v/>
      </c>
      <c r="I21" s="7" t="str" cm="1">
        <f t="array" aca="1" ref="I21" ca="1">IFERROR(IF(OR('Raw Data'!I21="",LEN(TRIM('Raw Data'!I21))=0),"",IF(AND(ISNUMBER('Raw Data'!I21), IFERROR('Raw Data'!I21 = ROUND('Raw Data'!I21, 4),FALSE)),"",_xlfn.REGEXEXTRACT(CELL("address",I21), "\$([A-Z]+)\$[0-9]+"))),_xlfn.REGEXEXTRACT(CELL("address",I21), "\$([A-Z]+)\$[0-9]+"))</f>
        <v/>
      </c>
      <c r="J21" s="7" t="str" cm="1">
        <f t="array" aca="1" ref="J21" ca="1">IFERROR(IF(OR('Raw Data'!J21="",LEN(TRIM('Raw Data'!J21))=0),"",IF(AND(ISNUMBER('Raw Data'!J21), IFERROR('Raw Data'!J21 = ROUND('Raw Data'!J21, 4),FALSE)),"",_xlfn.REGEXEXTRACT(CELL("address",J21), "\$([A-Z]+)\$[0-9]+"))),_xlfn.REGEXEXTRACT(CELL("address",J21), "\$([A-Z]+)\$[0-9]+"))</f>
        <v/>
      </c>
      <c r="K21" s="7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7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</row>
    <row r="22" spans="2:22" x14ac:dyDescent="0.25">
      <c r="B22" s="7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20,LEN('Raw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Data'!D22))=0),"",IF(AND(ISNUMBER('Raw Data'!D22),'Raw Data'!D22&gt;=Configuration!$D$2),"",_xlfn.REGEXEXTRACT(CELL("address",'Raw Data'!D22),"\$([A-Z]+)\$[0-9]+"))),_xlfn.REGEXEXTRACT(CELL("address",D22), "\$([A-Z]+)\$[0-9]+"))</f>
        <v>$D$22</v>
      </c>
      <c r="E22" s="7" t="str" cm="1">
        <f t="array" aca="1" ref="E22" ca="1">IFERROR(IF(OR('Raw Data'!E22="",LEN(TRIM('Raw Data'!E22))=0),"",IF(AND(ISNUMBER('Raw Data'!E22), IFERROR('Raw Data'!E22 = ROUND('Raw Data'!E22, 4),FALSE)),"",_xlfn.REGEXEXTRACT(CELL("address",E22), "\$([A-Z]+)\$[0-9]+"))),_xlfn.REGEXEXTRACT(CELL("address",E22), 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4),FALSE)),"",_xlfn.REGEXEXTRACT(CELL("address",F22), "\$([A-Z]+)\$[0-9]+"))),_xlfn.REGEXEXTRACT(CELL("address",F22), "\$([A-Z]+)\$[0-9]+"))</f>
        <v/>
      </c>
      <c r="G22" s="7" t="str" cm="1">
        <f t="array" aca="1" ref="G22" ca="1">IFERROR(IF(OR('Raw Data'!G22="",LEN(TRIM('Raw Data'!G22))=0),"",IF(AND(ISNUMBER('Raw Data'!G22), IFERROR('Raw Data'!G22 = ROUND('Raw Data'!G22, 4),FALSE)),"",_xlfn.REGEXEXTRACT(CELL("address",G22), "\$([A-Z]+)\$[0-9]+"))),_xlfn.REGEXEXTRACT(CELL("address",G22), "\$([A-Z]+)\$[0-9]+"))</f>
        <v/>
      </c>
      <c r="H22" s="7" t="str" cm="1">
        <f t="array" aca="1" ref="H22" ca="1">IFERROR(IF(OR('Raw Data'!H22="",LEN(TRIM('Raw Data'!H22))=0),"",IF(AND(ISNUMBER('Raw Data'!H22), IFERROR('Raw Data'!H22 = ROUND('Raw Data'!H22, 4),FALSE)),"",_xlfn.REGEXEXTRACT(CELL("address",H22), "\$([A-Z]+)\$[0-9]+"))),_xlfn.REGEXEXTRACT(CELL("address",H22), "\$([A-Z]+)\$[0-9]+"))</f>
        <v/>
      </c>
      <c r="I22" s="7" t="str" cm="1">
        <f t="array" aca="1" ref="I22" ca="1">IFERROR(IF(OR('Raw Data'!I22="",LEN(TRIM('Raw Data'!I22))=0),"",IF(AND(ISNUMBER('Raw Data'!I22), IFERROR('Raw Data'!I22 = ROUND('Raw Data'!I22, 4),FALSE)),"",_xlfn.REGEXEXTRACT(CELL("address",I22), "\$([A-Z]+)\$[0-9]+"))),_xlfn.REGEXEXTRACT(CELL("address",I22), "\$([A-Z]+)\$[0-9]+"))</f>
        <v/>
      </c>
      <c r="J22" s="7" t="str" cm="1">
        <f t="array" aca="1" ref="J22" ca="1">IFERROR(IF(OR('Raw Data'!J22="",LEN(TRIM('Raw Data'!J22))=0),"",IF(AND(ISNUMBER('Raw Data'!J22), IFERROR('Raw Data'!J22 = ROUND('Raw Data'!J22, 4),FALSE)),"",_xlfn.REGEXEXTRACT(CELL("address",J22), "\$([A-Z]+)\$[0-9]+"))),_xlfn.REGEXEXTRACT(CELL("address",J22), "\$([A-Z]+)\$[0-9]+"))</f>
        <v/>
      </c>
      <c r="K22" s="7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7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</row>
    <row r="23" spans="2:22" x14ac:dyDescent="0.25">
      <c r="B23" s="7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20,LEN('Raw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Data'!D23))=0),"",IF(AND(ISNUMBER('Raw Data'!D23),'Raw Data'!D23&gt;=Configuration!$D$2),"",_xlfn.REGEXEXTRACT(CELL("address",'Raw Data'!D23),"\$([A-Z]+)\$[0-9]+"))),_xlfn.REGEXEXTRACT(CELL("address",D23), "\$([A-Z]+)\$[0-9]+"))</f>
        <v>$D$23</v>
      </c>
      <c r="E23" s="7" t="str" cm="1">
        <f t="array" aca="1" ref="E23" ca="1">IFERROR(IF(OR('Raw Data'!E23="",LEN(TRIM('Raw Data'!E23))=0),"",IF(AND(ISNUMBER('Raw Data'!E23), IFERROR('Raw Data'!E23 = ROUND('Raw Data'!E23, 4),FALSE)),"",_xlfn.REGEXEXTRACT(CELL("address",E23), "\$([A-Z]+)\$[0-9]+"))),_xlfn.REGEXEXTRACT(CELL("address",E23), 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4),FALSE)),"",_xlfn.REGEXEXTRACT(CELL("address",F23), "\$([A-Z]+)\$[0-9]+"))),_xlfn.REGEXEXTRACT(CELL("address",F23), "\$([A-Z]+)\$[0-9]+"))</f>
        <v/>
      </c>
      <c r="G23" s="7" t="str" cm="1">
        <f t="array" aca="1" ref="G23" ca="1">IFERROR(IF(OR('Raw Data'!G23="",LEN(TRIM('Raw Data'!G23))=0),"",IF(AND(ISNUMBER('Raw Data'!G23), IFERROR('Raw Data'!G23 = ROUND('Raw Data'!G23, 4),FALSE)),"",_xlfn.REGEXEXTRACT(CELL("address",G23), "\$([A-Z]+)\$[0-9]+"))),_xlfn.REGEXEXTRACT(CELL("address",G23), "\$([A-Z]+)\$[0-9]+"))</f>
        <v/>
      </c>
      <c r="H23" s="7" t="str" cm="1">
        <f t="array" aca="1" ref="H23" ca="1">IFERROR(IF(OR('Raw Data'!H23="",LEN(TRIM('Raw Data'!H23))=0),"",IF(AND(ISNUMBER('Raw Data'!H23), IFERROR('Raw Data'!H23 = ROUND('Raw Data'!H23, 4),FALSE)),"",_xlfn.REGEXEXTRACT(CELL("address",H23), "\$([A-Z]+)\$[0-9]+"))),_xlfn.REGEXEXTRACT(CELL("address",H23), "\$([A-Z]+)\$[0-9]+"))</f>
        <v/>
      </c>
      <c r="I23" s="7" t="str" cm="1">
        <f t="array" aca="1" ref="I23" ca="1">IFERROR(IF(OR('Raw Data'!I23="",LEN(TRIM('Raw Data'!I23))=0),"",IF(AND(ISNUMBER('Raw Data'!I23), IFERROR('Raw Data'!I23 = ROUND('Raw Data'!I23, 4),FALSE)),"",_xlfn.REGEXEXTRACT(CELL("address",I23), "\$([A-Z]+)\$[0-9]+"))),_xlfn.REGEXEXTRACT(CELL("address",I23), "\$([A-Z]+)\$[0-9]+"))</f>
        <v/>
      </c>
      <c r="J23" s="7" t="str" cm="1">
        <f t="array" aca="1" ref="J23" ca="1">IFERROR(IF(OR('Raw Data'!J23="",LEN(TRIM('Raw Data'!J23))=0),"",IF(AND(ISNUMBER('Raw Data'!J23), IFERROR('Raw Data'!J23 = ROUND('Raw Data'!J23, 4),FALSE)),"",_xlfn.REGEXEXTRACT(CELL("address",J23), "\$([A-Z]+)\$[0-9]+"))),_xlfn.REGEXEXTRACT(CELL("address",J23), "\$([A-Z]+)\$[0-9]+"))</f>
        <v/>
      </c>
      <c r="K23" s="7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7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</row>
    <row r="24" spans="2:22" x14ac:dyDescent="0.25">
      <c r="B24" s="7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20,LEN('Raw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Data'!D24))=0),"",IF(AND(ISNUMBER('Raw Data'!D24),'Raw Data'!D24&gt;=Configuration!$D$2),"",_xlfn.REGEXEXTRACT(CELL("address",'Raw Data'!D24),"\$([A-Z]+)\$[0-9]+"))),_xlfn.REGEXEXTRACT(CELL("address",D24), "\$([A-Z]+)\$[0-9]+"))</f>
        <v>$D$24</v>
      </c>
      <c r="E24" s="7" t="str" cm="1">
        <f t="array" aca="1" ref="E24" ca="1">IFERROR(IF(OR('Raw Data'!E24="",LEN(TRIM('Raw Data'!E24))=0),"",IF(AND(ISNUMBER('Raw Data'!E24), IFERROR('Raw Data'!E24 = ROUND('Raw Data'!E24, 4),FALSE)),"",_xlfn.REGEXEXTRACT(CELL("address",E24), "\$([A-Z]+)\$[0-9]+"))),_xlfn.REGEXEXTRACT(CELL("address",E24), 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4),FALSE)),"",_xlfn.REGEXEXTRACT(CELL("address",F24), "\$([A-Z]+)\$[0-9]+"))),_xlfn.REGEXEXTRACT(CELL("address",F24), "\$([A-Z]+)\$[0-9]+"))</f>
        <v/>
      </c>
      <c r="G24" s="7" t="str" cm="1">
        <f t="array" aca="1" ref="G24" ca="1">IFERROR(IF(OR('Raw Data'!G24="",LEN(TRIM('Raw Data'!G24))=0),"",IF(AND(ISNUMBER('Raw Data'!G24), IFERROR('Raw Data'!G24 = ROUND('Raw Data'!G24, 4),FALSE)),"",_xlfn.REGEXEXTRACT(CELL("address",G24), "\$([A-Z]+)\$[0-9]+"))),_xlfn.REGEXEXTRACT(CELL("address",G24), "\$([A-Z]+)\$[0-9]+"))</f>
        <v/>
      </c>
      <c r="H24" s="7" t="str" cm="1">
        <f t="array" aca="1" ref="H24" ca="1">IFERROR(IF(OR('Raw Data'!H24="",LEN(TRIM('Raw Data'!H24))=0),"",IF(AND(ISNUMBER('Raw Data'!H24), IFERROR('Raw Data'!H24 = ROUND('Raw Data'!H24, 4),FALSE)),"",_xlfn.REGEXEXTRACT(CELL("address",H24), "\$([A-Z]+)\$[0-9]+"))),_xlfn.REGEXEXTRACT(CELL("address",H24), "\$([A-Z]+)\$[0-9]+"))</f>
        <v/>
      </c>
      <c r="I24" s="7" t="str" cm="1">
        <f t="array" aca="1" ref="I24" ca="1">IFERROR(IF(OR('Raw Data'!I24="",LEN(TRIM('Raw Data'!I24))=0),"",IF(AND(ISNUMBER('Raw Data'!I24), IFERROR('Raw Data'!I24 = ROUND('Raw Data'!I24, 4),FALSE)),"",_xlfn.REGEXEXTRACT(CELL("address",I24), "\$([A-Z]+)\$[0-9]+"))),_xlfn.REGEXEXTRACT(CELL("address",I24), "\$([A-Z]+)\$[0-9]+"))</f>
        <v/>
      </c>
      <c r="J24" s="7" t="str" cm="1">
        <f t="array" aca="1" ref="J24" ca="1">IFERROR(IF(OR('Raw Data'!J24="",LEN(TRIM('Raw Data'!J24))=0),"",IF(AND(ISNUMBER('Raw Data'!J24), IFERROR('Raw Data'!J24 = ROUND('Raw Data'!J24, 4),FALSE)),"",_xlfn.REGEXEXTRACT(CELL("address",J24), "\$([A-Z]+)\$[0-9]+"))),_xlfn.REGEXEXTRACT(CELL("address",J24), "\$([A-Z]+)\$[0-9]+"))</f>
        <v/>
      </c>
      <c r="K24" s="7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7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</row>
    <row r="25" spans="2:22" x14ac:dyDescent="0.25">
      <c r="B25" s="7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20,LEN('Raw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Data'!D25))=0),"",IF(AND(ISNUMBER('Raw Data'!D25),'Raw Data'!D25&gt;=Configuration!$D$2),"",_xlfn.REGEXEXTRACT(CELL("address",'Raw Data'!D25),"\$([A-Z]+)\$[0-9]+"))),_xlfn.REGEXEXTRACT(CELL("address",D25), "\$([A-Z]+)\$[0-9]+"))</f>
        <v>$D$25</v>
      </c>
      <c r="E25" s="7" t="str" cm="1">
        <f t="array" aca="1" ref="E25" ca="1">IFERROR(IF(OR('Raw Data'!E25="",LEN(TRIM('Raw Data'!E25))=0),"",IF(AND(ISNUMBER('Raw Data'!E25), IFERROR('Raw Data'!E25 = ROUND('Raw Data'!E25, 4),FALSE)),"",_xlfn.REGEXEXTRACT(CELL("address",E25), "\$([A-Z]+)\$[0-9]+"))),_xlfn.REGEXEXTRACT(CELL("address",E25), 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4),FALSE)),"",_xlfn.REGEXEXTRACT(CELL("address",F25), "\$([A-Z]+)\$[0-9]+"))),_xlfn.REGEXEXTRACT(CELL("address",F25), "\$([A-Z]+)\$[0-9]+"))</f>
        <v/>
      </c>
      <c r="G25" s="7" t="str" cm="1">
        <f t="array" aca="1" ref="G25" ca="1">IFERROR(IF(OR('Raw Data'!G25="",LEN(TRIM('Raw Data'!G25))=0),"",IF(AND(ISNUMBER('Raw Data'!G25), IFERROR('Raw Data'!G25 = ROUND('Raw Data'!G25, 4),FALSE)),"",_xlfn.REGEXEXTRACT(CELL("address",G25), "\$([A-Z]+)\$[0-9]+"))),_xlfn.REGEXEXTRACT(CELL("address",G25), "\$([A-Z]+)\$[0-9]+"))</f>
        <v/>
      </c>
      <c r="H25" s="7" t="str" cm="1">
        <f t="array" aca="1" ref="H25" ca="1">IFERROR(IF(OR('Raw Data'!H25="",LEN(TRIM('Raw Data'!H25))=0),"",IF(AND(ISNUMBER('Raw Data'!H25), IFERROR('Raw Data'!H25 = ROUND('Raw Data'!H25, 4),FALSE)),"",_xlfn.REGEXEXTRACT(CELL("address",H25), "\$([A-Z]+)\$[0-9]+"))),_xlfn.REGEXEXTRACT(CELL("address",H25), "\$([A-Z]+)\$[0-9]+"))</f>
        <v/>
      </c>
      <c r="I25" s="7" t="str" cm="1">
        <f t="array" aca="1" ref="I25" ca="1">IFERROR(IF(OR('Raw Data'!I25="",LEN(TRIM('Raw Data'!I25))=0),"",IF(AND(ISNUMBER('Raw Data'!I25), IFERROR('Raw Data'!I25 = ROUND('Raw Data'!I25, 4),FALSE)),"",_xlfn.REGEXEXTRACT(CELL("address",I25), "\$([A-Z]+)\$[0-9]+"))),_xlfn.REGEXEXTRACT(CELL("address",I25), "\$([A-Z]+)\$[0-9]+"))</f>
        <v/>
      </c>
      <c r="J25" s="7" t="str" cm="1">
        <f t="array" aca="1" ref="J25" ca="1">IFERROR(IF(OR('Raw Data'!J25="",LEN(TRIM('Raw Data'!J25))=0),"",IF(AND(ISNUMBER('Raw Data'!J25), IFERROR('Raw Data'!J25 = ROUND('Raw Data'!J25, 4),FALSE)),"",_xlfn.REGEXEXTRACT(CELL("address",J25), "\$([A-Z]+)\$[0-9]+"))),_xlfn.REGEXEXTRACT(CELL("address",J25), "\$([A-Z]+)\$[0-9]+"))</f>
        <v/>
      </c>
      <c r="K25" s="7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7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</row>
    <row r="26" spans="2:22" x14ac:dyDescent="0.25">
      <c r="B26" s="7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20,LEN('Raw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Data'!D26))=0),"",IF(AND(ISNUMBER('Raw Data'!D26),'Raw Data'!D26&gt;=Configuration!$D$2),"",_xlfn.REGEXEXTRACT(CELL("address",'Raw Data'!D26),"\$([A-Z]+)\$[0-9]+"))),_xlfn.REGEXEXTRACT(CELL("address",D26), "\$([A-Z]+)\$[0-9]+"))</f>
        <v>$D$26</v>
      </c>
      <c r="E26" s="7" t="str" cm="1">
        <f t="array" aca="1" ref="E26" ca="1">IFERROR(IF(OR('Raw Data'!E26="",LEN(TRIM('Raw Data'!E26))=0),"",IF(AND(ISNUMBER('Raw Data'!E26), IFERROR('Raw Data'!E26 = ROUND('Raw Data'!E26, 4),FALSE)),"",_xlfn.REGEXEXTRACT(CELL("address",E26), "\$([A-Z]+)\$[0-9]+"))),_xlfn.REGEXEXTRACT(CELL("address",E26), 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4),FALSE)),"",_xlfn.REGEXEXTRACT(CELL("address",F26), "\$([A-Z]+)\$[0-9]+"))),_xlfn.REGEXEXTRACT(CELL("address",F26), "\$([A-Z]+)\$[0-9]+"))</f>
        <v/>
      </c>
      <c r="G26" s="7" t="str" cm="1">
        <f t="array" aca="1" ref="G26" ca="1">IFERROR(IF(OR('Raw Data'!G26="",LEN(TRIM('Raw Data'!G26))=0),"",IF(AND(ISNUMBER('Raw Data'!G26), IFERROR('Raw Data'!G26 = ROUND('Raw Data'!G26, 4),FALSE)),"",_xlfn.REGEXEXTRACT(CELL("address",G26), "\$([A-Z]+)\$[0-9]+"))),_xlfn.REGEXEXTRACT(CELL("address",G26), "\$([A-Z]+)\$[0-9]+"))</f>
        <v/>
      </c>
      <c r="H26" s="7" t="str" cm="1">
        <f t="array" aca="1" ref="H26" ca="1">IFERROR(IF(OR('Raw Data'!H26="",LEN(TRIM('Raw Data'!H26))=0),"",IF(AND(ISNUMBER('Raw Data'!H26), IFERROR('Raw Data'!H26 = ROUND('Raw Data'!H26, 4),FALSE)),"",_xlfn.REGEXEXTRACT(CELL("address",H26), "\$([A-Z]+)\$[0-9]+"))),_xlfn.REGEXEXTRACT(CELL("address",H26), "\$([A-Z]+)\$[0-9]+"))</f>
        <v/>
      </c>
      <c r="I26" s="7" t="str" cm="1">
        <f t="array" aca="1" ref="I26" ca="1">IFERROR(IF(OR('Raw Data'!I26="",LEN(TRIM('Raw Data'!I26))=0),"",IF(AND(ISNUMBER('Raw Data'!I26), IFERROR('Raw Data'!I26 = ROUND('Raw Data'!I26, 4),FALSE)),"",_xlfn.REGEXEXTRACT(CELL("address",I26), "\$([A-Z]+)\$[0-9]+"))),_xlfn.REGEXEXTRACT(CELL("address",I26), "\$([A-Z]+)\$[0-9]+"))</f>
        <v/>
      </c>
      <c r="J26" s="7" t="str" cm="1">
        <f t="array" aca="1" ref="J26" ca="1">IFERROR(IF(OR('Raw Data'!J26="",LEN(TRIM('Raw Data'!J26))=0),"",IF(AND(ISNUMBER('Raw Data'!J26), IFERROR('Raw Data'!J26 = ROUND('Raw Data'!J26, 4),FALSE)),"",_xlfn.REGEXEXTRACT(CELL("address",J26), "\$([A-Z]+)\$[0-9]+"))),_xlfn.REGEXEXTRACT(CELL("address",J26), "\$([A-Z]+)\$[0-9]+"))</f>
        <v/>
      </c>
      <c r="K26" s="7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7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</row>
    <row r="27" spans="2:22" x14ac:dyDescent="0.25">
      <c r="B27" s="7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20,LEN('Raw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Data'!D27))=0),"",IF(AND(ISNUMBER('Raw Data'!D27),'Raw Data'!D27&gt;=Configuration!$D$2),"",_xlfn.REGEXEXTRACT(CELL("address",'Raw Data'!D27),"\$([A-Z]+)\$[0-9]+"))),_xlfn.REGEXEXTRACT(CELL("address",D27), "\$([A-Z]+)\$[0-9]+"))</f>
        <v>$D$27</v>
      </c>
      <c r="E27" s="7" t="str" cm="1">
        <f t="array" aca="1" ref="E27" ca="1">IFERROR(IF(OR('Raw Data'!E27="",LEN(TRIM('Raw Data'!E27))=0),"",IF(AND(ISNUMBER('Raw Data'!E27), IFERROR('Raw Data'!E27 = ROUND('Raw Data'!E27, 4),FALSE)),"",_xlfn.REGEXEXTRACT(CELL("address",E27), "\$([A-Z]+)\$[0-9]+"))),_xlfn.REGEXEXTRACT(CELL("address",E27), 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4),FALSE)),"",_xlfn.REGEXEXTRACT(CELL("address",F27), "\$([A-Z]+)\$[0-9]+"))),_xlfn.REGEXEXTRACT(CELL("address",F27), "\$([A-Z]+)\$[0-9]+"))</f>
        <v/>
      </c>
      <c r="G27" s="7" t="str" cm="1">
        <f t="array" aca="1" ref="G27" ca="1">IFERROR(IF(OR('Raw Data'!G27="",LEN(TRIM('Raw Data'!G27))=0),"",IF(AND(ISNUMBER('Raw Data'!G27), IFERROR('Raw Data'!G27 = ROUND('Raw Data'!G27, 4),FALSE)),"",_xlfn.REGEXEXTRACT(CELL("address",G27), "\$([A-Z]+)\$[0-9]+"))),_xlfn.REGEXEXTRACT(CELL("address",G27), "\$([A-Z]+)\$[0-9]+"))</f>
        <v/>
      </c>
      <c r="H27" s="7" t="str" cm="1">
        <f t="array" aca="1" ref="H27" ca="1">IFERROR(IF(OR('Raw Data'!H27="",LEN(TRIM('Raw Data'!H27))=0),"",IF(AND(ISNUMBER('Raw Data'!H27), IFERROR('Raw Data'!H27 = ROUND('Raw Data'!H27, 4),FALSE)),"",_xlfn.REGEXEXTRACT(CELL("address",H27), "\$([A-Z]+)\$[0-9]+"))),_xlfn.REGEXEXTRACT(CELL("address",H27), "\$([A-Z]+)\$[0-9]+"))</f>
        <v/>
      </c>
      <c r="I27" s="7" t="str" cm="1">
        <f t="array" aca="1" ref="I27" ca="1">IFERROR(IF(OR('Raw Data'!I27="",LEN(TRIM('Raw Data'!I27))=0),"",IF(AND(ISNUMBER('Raw Data'!I27), IFERROR('Raw Data'!I27 = ROUND('Raw Data'!I27, 4),FALSE)),"",_xlfn.REGEXEXTRACT(CELL("address",I27), "\$([A-Z]+)\$[0-9]+"))),_xlfn.REGEXEXTRACT(CELL("address",I27), "\$([A-Z]+)\$[0-9]+"))</f>
        <v/>
      </c>
      <c r="J27" s="7" t="str" cm="1">
        <f t="array" aca="1" ref="J27" ca="1">IFERROR(IF(OR('Raw Data'!J27="",LEN(TRIM('Raw Data'!J27))=0),"",IF(AND(ISNUMBER('Raw Data'!J27), IFERROR('Raw Data'!J27 = ROUND('Raw Data'!J27, 4),FALSE)),"",_xlfn.REGEXEXTRACT(CELL("address",J27), "\$([A-Z]+)\$[0-9]+"))),_xlfn.REGEXEXTRACT(CELL("address",J27), "\$([A-Z]+)\$[0-9]+"))</f>
        <v/>
      </c>
      <c r="K27" s="7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7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</row>
    <row r="28" spans="2:22" x14ac:dyDescent="0.25">
      <c r="B28" s="7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20,LEN('Raw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Data'!D28))=0),"",IF(AND(ISNUMBER('Raw Data'!D28),'Raw Data'!D28&gt;=Configuration!$D$2),"",_xlfn.REGEXEXTRACT(CELL("address",'Raw Data'!D28),"\$([A-Z]+)\$[0-9]+"))),_xlfn.REGEXEXTRACT(CELL("address",D28), "\$([A-Z]+)\$[0-9]+"))</f>
        <v>$D$28</v>
      </c>
      <c r="E28" s="7" t="str" cm="1">
        <f t="array" aca="1" ref="E28" ca="1">IFERROR(IF(OR('Raw Data'!E28="",LEN(TRIM('Raw Data'!E28))=0),"",IF(AND(ISNUMBER('Raw Data'!E28), IFERROR('Raw Data'!E28 = ROUND('Raw Data'!E28, 4),FALSE)),"",_xlfn.REGEXEXTRACT(CELL("address",E28), "\$([A-Z]+)\$[0-9]+"))),_xlfn.REGEXEXTRACT(CELL("address",E28), 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4),FALSE)),"",_xlfn.REGEXEXTRACT(CELL("address",F28), "\$([A-Z]+)\$[0-9]+"))),_xlfn.REGEXEXTRACT(CELL("address",F28), "\$([A-Z]+)\$[0-9]+"))</f>
        <v/>
      </c>
      <c r="G28" s="7" t="str" cm="1">
        <f t="array" aca="1" ref="G28" ca="1">IFERROR(IF(OR('Raw Data'!G28="",LEN(TRIM('Raw Data'!G28))=0),"",IF(AND(ISNUMBER('Raw Data'!G28), IFERROR('Raw Data'!G28 = ROUND('Raw Data'!G28, 4),FALSE)),"",_xlfn.REGEXEXTRACT(CELL("address",G28), "\$([A-Z]+)\$[0-9]+"))),_xlfn.REGEXEXTRACT(CELL("address",G28), "\$([A-Z]+)\$[0-9]+"))</f>
        <v/>
      </c>
      <c r="H28" s="7" t="str" cm="1">
        <f t="array" aca="1" ref="H28" ca="1">IFERROR(IF(OR('Raw Data'!H28="",LEN(TRIM('Raw Data'!H28))=0),"",IF(AND(ISNUMBER('Raw Data'!H28), IFERROR('Raw Data'!H28 = ROUND('Raw Data'!H28, 4),FALSE)),"",_xlfn.REGEXEXTRACT(CELL("address",H28), "\$([A-Z]+)\$[0-9]+"))),_xlfn.REGEXEXTRACT(CELL("address",H28), "\$([A-Z]+)\$[0-9]+"))</f>
        <v/>
      </c>
      <c r="I28" s="7" t="str" cm="1">
        <f t="array" aca="1" ref="I28" ca="1">IFERROR(IF(OR('Raw Data'!I28="",LEN(TRIM('Raw Data'!I28))=0),"",IF(AND(ISNUMBER('Raw Data'!I28), IFERROR('Raw Data'!I28 = ROUND('Raw Data'!I28, 4),FALSE)),"",_xlfn.REGEXEXTRACT(CELL("address",I28), "\$([A-Z]+)\$[0-9]+"))),_xlfn.REGEXEXTRACT(CELL("address",I28), "\$([A-Z]+)\$[0-9]+"))</f>
        <v/>
      </c>
      <c r="J28" s="7" t="str" cm="1">
        <f t="array" aca="1" ref="J28" ca="1">IFERROR(IF(OR('Raw Data'!J28="",LEN(TRIM('Raw Data'!J28))=0),"",IF(AND(ISNUMBER('Raw Data'!J28), IFERROR('Raw Data'!J28 = ROUND('Raw Data'!J28, 4),FALSE)),"",_xlfn.REGEXEXTRACT(CELL("address",J28), "\$([A-Z]+)\$[0-9]+"))),_xlfn.REGEXEXTRACT(CELL("address",J28), "\$([A-Z]+)\$[0-9]+"))</f>
        <v/>
      </c>
      <c r="K28" s="7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7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</row>
    <row r="29" spans="2:22" x14ac:dyDescent="0.25">
      <c r="B29" s="7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20,LEN('Raw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Data'!D29))=0),"",IF(AND(ISNUMBER('Raw Data'!D29),'Raw Data'!D29&gt;=Configuration!$D$2),"",_xlfn.REGEXEXTRACT(CELL("address",'Raw Data'!D29),"\$([A-Z]+)\$[0-9]+"))),_xlfn.REGEXEXTRACT(CELL("address",D29), "\$([A-Z]+)\$[0-9]+"))</f>
        <v>$D$29</v>
      </c>
      <c r="E29" s="7" t="str" cm="1">
        <f t="array" aca="1" ref="E29" ca="1">IFERROR(IF(OR('Raw Data'!E29="",LEN(TRIM('Raw Data'!E29))=0),"",IF(AND(ISNUMBER('Raw Data'!E29), IFERROR('Raw Data'!E29 = ROUND('Raw Data'!E29, 4),FALSE)),"",_xlfn.REGEXEXTRACT(CELL("address",E29), "\$([A-Z]+)\$[0-9]+"))),_xlfn.REGEXEXTRACT(CELL("address",E29), 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4),FALSE)),"",_xlfn.REGEXEXTRACT(CELL("address",F29), "\$([A-Z]+)\$[0-9]+"))),_xlfn.REGEXEXTRACT(CELL("address",F29), "\$([A-Z]+)\$[0-9]+"))</f>
        <v/>
      </c>
      <c r="G29" s="7" t="str" cm="1">
        <f t="array" aca="1" ref="G29" ca="1">IFERROR(IF(OR('Raw Data'!G29="",LEN(TRIM('Raw Data'!G29))=0),"",IF(AND(ISNUMBER('Raw Data'!G29), IFERROR('Raw Data'!G29 = ROUND('Raw Data'!G29, 4),FALSE)),"",_xlfn.REGEXEXTRACT(CELL("address",G29), "\$([A-Z]+)\$[0-9]+"))),_xlfn.REGEXEXTRACT(CELL("address",G29), "\$([A-Z]+)\$[0-9]+"))</f>
        <v/>
      </c>
      <c r="H29" s="7" t="str" cm="1">
        <f t="array" aca="1" ref="H29" ca="1">IFERROR(IF(OR('Raw Data'!H29="",LEN(TRIM('Raw Data'!H29))=0),"",IF(AND(ISNUMBER('Raw Data'!H29), IFERROR('Raw Data'!H29 = ROUND('Raw Data'!H29, 4),FALSE)),"",_xlfn.REGEXEXTRACT(CELL("address",H29), "\$([A-Z]+)\$[0-9]+"))),_xlfn.REGEXEXTRACT(CELL("address",H29), "\$([A-Z]+)\$[0-9]+"))</f>
        <v/>
      </c>
      <c r="I29" s="7" t="str" cm="1">
        <f t="array" aca="1" ref="I29" ca="1">IFERROR(IF(OR('Raw Data'!I29="",LEN(TRIM('Raw Data'!I29))=0),"",IF(AND(ISNUMBER('Raw Data'!I29), IFERROR('Raw Data'!I29 = ROUND('Raw Data'!I29, 4),FALSE)),"",_xlfn.REGEXEXTRACT(CELL("address",I29), "\$([A-Z]+)\$[0-9]+"))),_xlfn.REGEXEXTRACT(CELL("address",I29), "\$([A-Z]+)\$[0-9]+"))</f>
        <v/>
      </c>
      <c r="J29" s="7" t="str" cm="1">
        <f t="array" aca="1" ref="J29" ca="1">IFERROR(IF(OR('Raw Data'!J29="",LEN(TRIM('Raw Data'!J29))=0),"",IF(AND(ISNUMBER('Raw Data'!J29), IFERROR('Raw Data'!J29 = ROUND('Raw Data'!J29, 4),FALSE)),"",_xlfn.REGEXEXTRACT(CELL("address",J29), "\$([A-Z]+)\$[0-9]+"))),_xlfn.REGEXEXTRACT(CELL("address",J29), "\$([A-Z]+)\$[0-9]+"))</f>
        <v/>
      </c>
      <c r="K29" s="7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7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</row>
    <row r="30" spans="2:22" x14ac:dyDescent="0.25">
      <c r="B30" s="7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20,LEN('Raw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Data'!D30))=0),"",IF(AND(ISNUMBER('Raw Data'!D30),'Raw Data'!D30&gt;=Configuration!$D$2),"",_xlfn.REGEXEXTRACT(CELL("address",'Raw Data'!D30),"\$([A-Z]+)\$[0-9]+"))),_xlfn.REGEXEXTRACT(CELL("address",D30), "\$([A-Z]+)\$[0-9]+"))</f>
        <v>$D$30</v>
      </c>
      <c r="E30" s="7" t="str" cm="1">
        <f t="array" aca="1" ref="E30" ca="1">IFERROR(IF(OR('Raw Data'!E30="",LEN(TRIM('Raw Data'!E30))=0),"",IF(AND(ISNUMBER('Raw Data'!E30), IFERROR('Raw Data'!E30 = ROUND('Raw Data'!E30, 4),FALSE)),"",_xlfn.REGEXEXTRACT(CELL("address",E30), "\$([A-Z]+)\$[0-9]+"))),_xlfn.REGEXEXTRACT(CELL("address",E30), 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4),FALSE)),"",_xlfn.REGEXEXTRACT(CELL("address",F30), "\$([A-Z]+)\$[0-9]+"))),_xlfn.REGEXEXTRACT(CELL("address",F30), "\$([A-Z]+)\$[0-9]+"))</f>
        <v/>
      </c>
      <c r="G30" s="7" t="str" cm="1">
        <f t="array" aca="1" ref="G30" ca="1">IFERROR(IF(OR('Raw Data'!G30="",LEN(TRIM('Raw Data'!G30))=0),"",IF(AND(ISNUMBER('Raw Data'!G30), IFERROR('Raw Data'!G30 = ROUND('Raw Data'!G30, 4),FALSE)),"",_xlfn.REGEXEXTRACT(CELL("address",G30), "\$([A-Z]+)\$[0-9]+"))),_xlfn.REGEXEXTRACT(CELL("address",G30), "\$([A-Z]+)\$[0-9]+"))</f>
        <v/>
      </c>
      <c r="H30" s="7" t="str" cm="1">
        <f t="array" aca="1" ref="H30" ca="1">IFERROR(IF(OR('Raw Data'!H30="",LEN(TRIM('Raw Data'!H30))=0),"",IF(AND(ISNUMBER('Raw Data'!H30), IFERROR('Raw Data'!H30 = ROUND('Raw Data'!H30, 4),FALSE)),"",_xlfn.REGEXEXTRACT(CELL("address",H30), "\$([A-Z]+)\$[0-9]+"))),_xlfn.REGEXEXTRACT(CELL("address",H30), "\$([A-Z]+)\$[0-9]+"))</f>
        <v/>
      </c>
      <c r="I30" s="7" t="str" cm="1">
        <f t="array" aca="1" ref="I30" ca="1">IFERROR(IF(OR('Raw Data'!I30="",LEN(TRIM('Raw Data'!I30))=0),"",IF(AND(ISNUMBER('Raw Data'!I30), IFERROR('Raw Data'!I30 = ROUND('Raw Data'!I30, 4),FALSE)),"",_xlfn.REGEXEXTRACT(CELL("address",I30), "\$([A-Z]+)\$[0-9]+"))),_xlfn.REGEXEXTRACT(CELL("address",I30), "\$([A-Z]+)\$[0-9]+"))</f>
        <v/>
      </c>
      <c r="J30" s="7" t="str" cm="1">
        <f t="array" aca="1" ref="J30" ca="1">IFERROR(IF(OR('Raw Data'!J30="",LEN(TRIM('Raw Data'!J30))=0),"",IF(AND(ISNUMBER('Raw Data'!J30), IFERROR('Raw Data'!J30 = ROUND('Raw Data'!J30, 4),FALSE)),"",_xlfn.REGEXEXTRACT(CELL("address",J30), "\$([A-Z]+)\$[0-9]+"))),_xlfn.REGEXEXTRACT(CELL("address",J30), "\$([A-Z]+)\$[0-9]+"))</f>
        <v/>
      </c>
      <c r="K30" s="7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7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</row>
    <row r="31" spans="2:22" x14ac:dyDescent="0.25">
      <c r="B31" s="7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20,LEN('Raw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Data'!D31))=0),"",IF(AND(ISNUMBER('Raw Data'!D31),'Raw Data'!D31&gt;=Configuration!$D$2),"",_xlfn.REGEXEXTRACT(CELL("address",'Raw Data'!D31),"\$([A-Z]+)\$[0-9]+"))),_xlfn.REGEXEXTRACT(CELL("address",D31), "\$([A-Z]+)\$[0-9]+"))</f>
        <v>$D$31</v>
      </c>
      <c r="E31" s="7" t="str" cm="1">
        <f t="array" aca="1" ref="E31" ca="1">IFERROR(IF(OR('Raw Data'!E31="",LEN(TRIM('Raw Data'!E31))=0),"",IF(AND(ISNUMBER('Raw Data'!E31), IFERROR('Raw Data'!E31 = ROUND('Raw Data'!E31, 4),FALSE)),"",_xlfn.REGEXEXTRACT(CELL("address",E31), "\$([A-Z]+)\$[0-9]+"))),_xlfn.REGEXEXTRACT(CELL("address",E31), 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4),FALSE)),"",_xlfn.REGEXEXTRACT(CELL("address",F31), "\$([A-Z]+)\$[0-9]+"))),_xlfn.REGEXEXTRACT(CELL("address",F31), "\$([A-Z]+)\$[0-9]+"))</f>
        <v/>
      </c>
      <c r="G31" s="7" t="str" cm="1">
        <f t="array" aca="1" ref="G31" ca="1">IFERROR(IF(OR('Raw Data'!G31="",LEN(TRIM('Raw Data'!G31))=0),"",IF(AND(ISNUMBER('Raw Data'!G31), IFERROR('Raw Data'!G31 = ROUND('Raw Data'!G31, 4),FALSE)),"",_xlfn.REGEXEXTRACT(CELL("address",G31), "\$([A-Z]+)\$[0-9]+"))),_xlfn.REGEXEXTRACT(CELL("address",G31), "\$([A-Z]+)\$[0-9]+"))</f>
        <v/>
      </c>
      <c r="H31" s="7" t="str" cm="1">
        <f t="array" aca="1" ref="H31" ca="1">IFERROR(IF(OR('Raw Data'!H31="",LEN(TRIM('Raw Data'!H31))=0),"",IF(AND(ISNUMBER('Raw Data'!H31), IFERROR('Raw Data'!H31 = ROUND('Raw Data'!H31, 4),FALSE)),"",_xlfn.REGEXEXTRACT(CELL("address",H31), "\$([A-Z]+)\$[0-9]+"))),_xlfn.REGEXEXTRACT(CELL("address",H31), "\$([A-Z]+)\$[0-9]+"))</f>
        <v/>
      </c>
      <c r="I31" s="7" t="str" cm="1">
        <f t="array" aca="1" ref="I31" ca="1">IFERROR(IF(OR('Raw Data'!I31="",LEN(TRIM('Raw Data'!I31))=0),"",IF(AND(ISNUMBER('Raw Data'!I31), IFERROR('Raw Data'!I31 = ROUND('Raw Data'!I31, 4),FALSE)),"",_xlfn.REGEXEXTRACT(CELL("address",I31), "\$([A-Z]+)\$[0-9]+"))),_xlfn.REGEXEXTRACT(CELL("address",I31), "\$([A-Z]+)\$[0-9]+"))</f>
        <v/>
      </c>
      <c r="J31" s="7" t="str" cm="1">
        <f t="array" aca="1" ref="J31" ca="1">IFERROR(IF(OR('Raw Data'!J31="",LEN(TRIM('Raw Data'!J31))=0),"",IF(AND(ISNUMBER('Raw Data'!J31), IFERROR('Raw Data'!J31 = ROUND('Raw Data'!J31, 4),FALSE)),"",_xlfn.REGEXEXTRACT(CELL("address",J31), "\$([A-Z]+)\$[0-9]+"))),_xlfn.REGEXEXTRACT(CELL("address",J31), "\$([A-Z]+)\$[0-9]+"))</f>
        <v/>
      </c>
      <c r="K31" s="7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7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</row>
    <row r="32" spans="2:22" x14ac:dyDescent="0.25">
      <c r="B32" s="7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20,LEN('Raw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Data'!D32))=0),"",IF(AND(ISNUMBER('Raw Data'!D32),'Raw Data'!D32&gt;=Configuration!$D$2),"",_xlfn.REGEXEXTRACT(CELL("address",'Raw Data'!D32),"\$([A-Z]+)\$[0-9]+"))),_xlfn.REGEXEXTRACT(CELL("address",D32), "\$([A-Z]+)\$[0-9]+"))</f>
        <v>$D$32</v>
      </c>
      <c r="E32" s="7" t="str" cm="1">
        <f t="array" aca="1" ref="E32" ca="1">IFERROR(IF(OR('Raw Data'!E32="",LEN(TRIM('Raw Data'!E32))=0),"",IF(AND(ISNUMBER('Raw Data'!E32), IFERROR('Raw Data'!E32 = ROUND('Raw Data'!E32, 4),FALSE)),"",_xlfn.REGEXEXTRACT(CELL("address",E32), "\$([A-Z]+)\$[0-9]+"))),_xlfn.REGEXEXTRACT(CELL("address",E32), 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4),FALSE)),"",_xlfn.REGEXEXTRACT(CELL("address",F32), "\$([A-Z]+)\$[0-9]+"))),_xlfn.REGEXEXTRACT(CELL("address",F32), "\$([A-Z]+)\$[0-9]+"))</f>
        <v/>
      </c>
      <c r="G32" s="7" t="str" cm="1">
        <f t="array" aca="1" ref="G32" ca="1">IFERROR(IF(OR('Raw Data'!G32="",LEN(TRIM('Raw Data'!G32))=0),"",IF(AND(ISNUMBER('Raw Data'!G32), IFERROR('Raw Data'!G32 = ROUND('Raw Data'!G32, 4),FALSE)),"",_xlfn.REGEXEXTRACT(CELL("address",G32), "\$([A-Z]+)\$[0-9]+"))),_xlfn.REGEXEXTRACT(CELL("address",G32), "\$([A-Z]+)\$[0-9]+"))</f>
        <v/>
      </c>
      <c r="H32" s="7" t="str" cm="1">
        <f t="array" aca="1" ref="H32" ca="1">IFERROR(IF(OR('Raw Data'!H32="",LEN(TRIM('Raw Data'!H32))=0),"",IF(AND(ISNUMBER('Raw Data'!H32), IFERROR('Raw Data'!H32 = ROUND('Raw Data'!H32, 4),FALSE)),"",_xlfn.REGEXEXTRACT(CELL("address",H32), "\$([A-Z]+)\$[0-9]+"))),_xlfn.REGEXEXTRACT(CELL("address",H32), "\$([A-Z]+)\$[0-9]+"))</f>
        <v/>
      </c>
      <c r="I32" s="7" t="str" cm="1">
        <f t="array" aca="1" ref="I32" ca="1">IFERROR(IF(OR('Raw Data'!I32="",LEN(TRIM('Raw Data'!I32))=0),"",IF(AND(ISNUMBER('Raw Data'!I32), IFERROR('Raw Data'!I32 = ROUND('Raw Data'!I32, 4),FALSE)),"",_xlfn.REGEXEXTRACT(CELL("address",I32), "\$([A-Z]+)\$[0-9]+"))),_xlfn.REGEXEXTRACT(CELL("address",I32), "\$([A-Z]+)\$[0-9]+"))</f>
        <v/>
      </c>
      <c r="J32" s="7" t="str" cm="1">
        <f t="array" aca="1" ref="J32" ca="1">IFERROR(IF(OR('Raw Data'!J32="",LEN(TRIM('Raw Data'!J32))=0),"",IF(AND(ISNUMBER('Raw Data'!J32), IFERROR('Raw Data'!J32 = ROUND('Raw Data'!J32, 4),FALSE)),"",_xlfn.REGEXEXTRACT(CELL("address",J32), "\$([A-Z]+)\$[0-9]+"))),_xlfn.REGEXEXTRACT(CELL("address",J32), "\$([A-Z]+)\$[0-9]+"))</f>
        <v/>
      </c>
      <c r="K32" s="7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7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</row>
    <row r="33" spans="2:22" x14ac:dyDescent="0.25">
      <c r="B33" s="7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20,LEN('Raw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Data'!D33))=0),"",IF(AND(ISNUMBER('Raw Data'!D33),'Raw Data'!D33&gt;=Configuration!$D$2),"",_xlfn.REGEXEXTRACT(CELL("address",'Raw Data'!D33),"\$([A-Z]+)\$[0-9]+"))),_xlfn.REGEXEXTRACT(CELL("address",D33), "\$([A-Z]+)\$[0-9]+"))</f>
        <v>$D$33</v>
      </c>
      <c r="E33" s="7" t="str" cm="1">
        <f t="array" aca="1" ref="E33" ca="1">IFERROR(IF(OR('Raw Data'!E33="",LEN(TRIM('Raw Data'!E33))=0),"",IF(AND(ISNUMBER('Raw Data'!E33), IFERROR('Raw Data'!E33 = ROUND('Raw Data'!E33, 4),FALSE)),"",_xlfn.REGEXEXTRACT(CELL("address",E33), "\$([A-Z]+)\$[0-9]+"))),_xlfn.REGEXEXTRACT(CELL("address",E33), 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4),FALSE)),"",_xlfn.REGEXEXTRACT(CELL("address",F33), "\$([A-Z]+)\$[0-9]+"))),_xlfn.REGEXEXTRACT(CELL("address",F33), "\$([A-Z]+)\$[0-9]+"))</f>
        <v/>
      </c>
      <c r="G33" s="7" t="str" cm="1">
        <f t="array" aca="1" ref="G33" ca="1">IFERROR(IF(OR('Raw Data'!G33="",LEN(TRIM('Raw Data'!G33))=0),"",IF(AND(ISNUMBER('Raw Data'!G33), IFERROR('Raw Data'!G33 = ROUND('Raw Data'!G33, 4),FALSE)),"",_xlfn.REGEXEXTRACT(CELL("address",G33), "\$([A-Z]+)\$[0-9]+"))),_xlfn.REGEXEXTRACT(CELL("address",G33), "\$([A-Z]+)\$[0-9]+"))</f>
        <v/>
      </c>
      <c r="H33" s="7" t="str" cm="1">
        <f t="array" aca="1" ref="H33" ca="1">IFERROR(IF(OR('Raw Data'!H33="",LEN(TRIM('Raw Data'!H33))=0),"",IF(AND(ISNUMBER('Raw Data'!H33), IFERROR('Raw Data'!H33 = ROUND('Raw Data'!H33, 4),FALSE)),"",_xlfn.REGEXEXTRACT(CELL("address",H33), "\$([A-Z]+)\$[0-9]+"))),_xlfn.REGEXEXTRACT(CELL("address",H33), "\$([A-Z]+)\$[0-9]+"))</f>
        <v/>
      </c>
      <c r="I33" s="7" t="str" cm="1">
        <f t="array" aca="1" ref="I33" ca="1">IFERROR(IF(OR('Raw Data'!I33="",LEN(TRIM('Raw Data'!I33))=0),"",IF(AND(ISNUMBER('Raw Data'!I33), IFERROR('Raw Data'!I33 = ROUND('Raw Data'!I33, 4),FALSE)),"",_xlfn.REGEXEXTRACT(CELL("address",I33), "\$([A-Z]+)\$[0-9]+"))),_xlfn.REGEXEXTRACT(CELL("address",I33), "\$([A-Z]+)\$[0-9]+"))</f>
        <v/>
      </c>
      <c r="J33" s="7" t="str" cm="1">
        <f t="array" aca="1" ref="J33" ca="1">IFERROR(IF(OR('Raw Data'!J33="",LEN(TRIM('Raw Data'!J33))=0),"",IF(AND(ISNUMBER('Raw Data'!J33), IFERROR('Raw Data'!J33 = ROUND('Raw Data'!J33, 4),FALSE)),"",_xlfn.REGEXEXTRACT(CELL("address",J33), "\$([A-Z]+)\$[0-9]+"))),_xlfn.REGEXEXTRACT(CELL("address",J33), "\$([A-Z]+)\$[0-9]+"))</f>
        <v/>
      </c>
      <c r="K33" s="7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7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</row>
    <row r="34" spans="2:22" x14ac:dyDescent="0.25">
      <c r="B34" s="7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20,LEN('Raw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Data'!D34))=0),"",IF(AND(ISNUMBER('Raw Data'!D34),'Raw Data'!D34&gt;=Configuration!$D$2),"",_xlfn.REGEXEXTRACT(CELL("address",'Raw Data'!D34),"\$([A-Z]+)\$[0-9]+"))),_xlfn.REGEXEXTRACT(CELL("address",D34), "\$([A-Z]+)\$[0-9]+"))</f>
        <v>$D$34</v>
      </c>
      <c r="E34" s="7" t="str" cm="1">
        <f t="array" aca="1" ref="E34" ca="1">IFERROR(IF(OR('Raw Data'!E34="",LEN(TRIM('Raw Data'!E34))=0),"",IF(AND(ISNUMBER('Raw Data'!E34), IFERROR('Raw Data'!E34 = ROUND('Raw Data'!E34, 4),FALSE)),"",_xlfn.REGEXEXTRACT(CELL("address",E34), "\$([A-Z]+)\$[0-9]+"))),_xlfn.REGEXEXTRACT(CELL("address",E34), 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4),FALSE)),"",_xlfn.REGEXEXTRACT(CELL("address",F34), "\$([A-Z]+)\$[0-9]+"))),_xlfn.REGEXEXTRACT(CELL("address",F34), "\$([A-Z]+)\$[0-9]+"))</f>
        <v/>
      </c>
      <c r="G34" s="7" t="str" cm="1">
        <f t="array" aca="1" ref="G34" ca="1">IFERROR(IF(OR('Raw Data'!G34="",LEN(TRIM('Raw Data'!G34))=0),"",IF(AND(ISNUMBER('Raw Data'!G34), IFERROR('Raw Data'!G34 = ROUND('Raw Data'!G34, 4),FALSE)),"",_xlfn.REGEXEXTRACT(CELL("address",G34), "\$([A-Z]+)\$[0-9]+"))),_xlfn.REGEXEXTRACT(CELL("address",G34), "\$([A-Z]+)\$[0-9]+"))</f>
        <v/>
      </c>
      <c r="H34" s="7" t="str" cm="1">
        <f t="array" aca="1" ref="H34" ca="1">IFERROR(IF(OR('Raw Data'!H34="",LEN(TRIM('Raw Data'!H34))=0),"",IF(AND(ISNUMBER('Raw Data'!H34), IFERROR('Raw Data'!H34 = ROUND('Raw Data'!H34, 4),FALSE)),"",_xlfn.REGEXEXTRACT(CELL("address",H34), "\$([A-Z]+)\$[0-9]+"))),_xlfn.REGEXEXTRACT(CELL("address",H34), "\$([A-Z]+)\$[0-9]+"))</f>
        <v/>
      </c>
      <c r="I34" s="7" t="str" cm="1">
        <f t="array" aca="1" ref="I34" ca="1">IFERROR(IF(OR('Raw Data'!I34="",LEN(TRIM('Raw Data'!I34))=0),"",IF(AND(ISNUMBER('Raw Data'!I34), IFERROR('Raw Data'!I34 = ROUND('Raw Data'!I34, 4),FALSE)),"",_xlfn.REGEXEXTRACT(CELL("address",I34), "\$([A-Z]+)\$[0-9]+"))),_xlfn.REGEXEXTRACT(CELL("address",I34), "\$([A-Z]+)\$[0-9]+"))</f>
        <v/>
      </c>
      <c r="J34" s="7" t="str" cm="1">
        <f t="array" aca="1" ref="J34" ca="1">IFERROR(IF(OR('Raw Data'!J34="",LEN(TRIM('Raw Data'!J34))=0),"",IF(AND(ISNUMBER('Raw Data'!J34), IFERROR('Raw Data'!J34 = ROUND('Raw Data'!J34, 4),FALSE)),"",_xlfn.REGEXEXTRACT(CELL("address",J34), "\$([A-Z]+)\$[0-9]+"))),_xlfn.REGEXEXTRACT(CELL("address",J34), "\$([A-Z]+)\$[0-9]+"))</f>
        <v/>
      </c>
      <c r="K34" s="7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7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</row>
    <row r="35" spans="2:22" x14ac:dyDescent="0.25">
      <c r="B35" s="7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20,LEN('Raw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Data'!D35))=0),"",IF(AND(ISNUMBER('Raw Data'!D35),'Raw Data'!D35&gt;=Configuration!$D$2),"",_xlfn.REGEXEXTRACT(CELL("address",'Raw Data'!D35),"\$([A-Z]+)\$[0-9]+"))),_xlfn.REGEXEXTRACT(CELL("address",D35), "\$([A-Z]+)\$[0-9]+"))</f>
        <v>$D$35</v>
      </c>
      <c r="E35" s="7" t="str" cm="1">
        <f t="array" aca="1" ref="E35" ca="1">IFERROR(IF(OR('Raw Data'!E35="",LEN(TRIM('Raw Data'!E35))=0),"",IF(AND(ISNUMBER('Raw Data'!E35), IFERROR('Raw Data'!E35 = ROUND('Raw Data'!E35, 4),FALSE)),"",_xlfn.REGEXEXTRACT(CELL("address",E35), "\$([A-Z]+)\$[0-9]+"))),_xlfn.REGEXEXTRACT(CELL("address",E35), 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4),FALSE)),"",_xlfn.REGEXEXTRACT(CELL("address",F35), "\$([A-Z]+)\$[0-9]+"))),_xlfn.REGEXEXTRACT(CELL("address",F35), "\$([A-Z]+)\$[0-9]+"))</f>
        <v/>
      </c>
      <c r="G35" s="7" t="str" cm="1">
        <f t="array" aca="1" ref="G35" ca="1">IFERROR(IF(OR('Raw Data'!G35="",LEN(TRIM('Raw Data'!G35))=0),"",IF(AND(ISNUMBER('Raw Data'!G35), IFERROR('Raw Data'!G35 = ROUND('Raw Data'!G35, 4),FALSE)),"",_xlfn.REGEXEXTRACT(CELL("address",G35), "\$([A-Z]+)\$[0-9]+"))),_xlfn.REGEXEXTRACT(CELL("address",G35), "\$([A-Z]+)\$[0-9]+"))</f>
        <v/>
      </c>
      <c r="H35" s="7" t="str" cm="1">
        <f t="array" aca="1" ref="H35" ca="1">IFERROR(IF(OR('Raw Data'!H35="",LEN(TRIM('Raw Data'!H35))=0),"",IF(AND(ISNUMBER('Raw Data'!H35), IFERROR('Raw Data'!H35 = ROUND('Raw Data'!H35, 4),FALSE)),"",_xlfn.REGEXEXTRACT(CELL("address",H35), "\$([A-Z]+)\$[0-9]+"))),_xlfn.REGEXEXTRACT(CELL("address",H35), "\$([A-Z]+)\$[0-9]+"))</f>
        <v/>
      </c>
      <c r="I35" s="7" t="str" cm="1">
        <f t="array" aca="1" ref="I35" ca="1">IFERROR(IF(OR('Raw Data'!I35="",LEN(TRIM('Raw Data'!I35))=0),"",IF(AND(ISNUMBER('Raw Data'!I35), IFERROR('Raw Data'!I35 = ROUND('Raw Data'!I35, 4),FALSE)),"",_xlfn.REGEXEXTRACT(CELL("address",I35), "\$([A-Z]+)\$[0-9]+"))),_xlfn.REGEXEXTRACT(CELL("address",I35), "\$([A-Z]+)\$[0-9]+"))</f>
        <v/>
      </c>
      <c r="J35" s="7" t="str" cm="1">
        <f t="array" aca="1" ref="J35" ca="1">IFERROR(IF(OR('Raw Data'!J35="",LEN(TRIM('Raw Data'!J35))=0),"",IF(AND(ISNUMBER('Raw Data'!J35), IFERROR('Raw Data'!J35 = ROUND('Raw Data'!J35, 4),FALSE)),"",_xlfn.REGEXEXTRACT(CELL("address",J35), "\$([A-Z]+)\$[0-9]+"))),_xlfn.REGEXEXTRACT(CELL("address",J35), "\$([A-Z]+)\$[0-9]+"))</f>
        <v/>
      </c>
      <c r="K35" s="7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7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</row>
    <row r="36" spans="2:22" x14ac:dyDescent="0.25">
      <c r="B36" s="7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20,LEN('Raw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Data'!D36))=0),"",IF(AND(ISNUMBER('Raw Data'!D36),'Raw Data'!D36&gt;=Configuration!$D$2),"",_xlfn.REGEXEXTRACT(CELL("address",'Raw Data'!D36),"\$([A-Z]+)\$[0-9]+"))),_xlfn.REGEXEXTRACT(CELL("address",D36), "\$([A-Z]+)\$[0-9]+"))</f>
        <v>$D$36</v>
      </c>
      <c r="E36" s="7" t="str" cm="1">
        <f t="array" aca="1" ref="E36" ca="1">IFERROR(IF(OR('Raw Data'!E36="",LEN(TRIM('Raw Data'!E36))=0),"",IF(AND(ISNUMBER('Raw Data'!E36), IFERROR('Raw Data'!E36 = ROUND('Raw Data'!E36, 4),FALSE)),"",_xlfn.REGEXEXTRACT(CELL("address",E36), "\$([A-Z]+)\$[0-9]+"))),_xlfn.REGEXEXTRACT(CELL("address",E36), 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4),FALSE)),"",_xlfn.REGEXEXTRACT(CELL("address",F36), "\$([A-Z]+)\$[0-9]+"))),_xlfn.REGEXEXTRACT(CELL("address",F36), "\$([A-Z]+)\$[0-9]+"))</f>
        <v/>
      </c>
      <c r="G36" s="7" t="str" cm="1">
        <f t="array" aca="1" ref="G36" ca="1">IFERROR(IF(OR('Raw Data'!G36="",LEN(TRIM('Raw Data'!G36))=0),"",IF(AND(ISNUMBER('Raw Data'!G36), IFERROR('Raw Data'!G36 = ROUND('Raw Data'!G36, 4),FALSE)),"",_xlfn.REGEXEXTRACT(CELL("address",G36), "\$([A-Z]+)\$[0-9]+"))),_xlfn.REGEXEXTRACT(CELL("address",G36), "\$([A-Z]+)\$[0-9]+"))</f>
        <v/>
      </c>
      <c r="H36" s="7" t="str" cm="1">
        <f t="array" aca="1" ref="H36" ca="1">IFERROR(IF(OR('Raw Data'!H36="",LEN(TRIM('Raw Data'!H36))=0),"",IF(AND(ISNUMBER('Raw Data'!H36), IFERROR('Raw Data'!H36 = ROUND('Raw Data'!H36, 4),FALSE)),"",_xlfn.REGEXEXTRACT(CELL("address",H36), "\$([A-Z]+)\$[0-9]+"))),_xlfn.REGEXEXTRACT(CELL("address",H36), "\$([A-Z]+)\$[0-9]+"))</f>
        <v/>
      </c>
      <c r="I36" s="7" t="str" cm="1">
        <f t="array" aca="1" ref="I36" ca="1">IFERROR(IF(OR('Raw Data'!I36="",LEN(TRIM('Raw Data'!I36))=0),"",IF(AND(ISNUMBER('Raw Data'!I36), IFERROR('Raw Data'!I36 = ROUND('Raw Data'!I36, 4),FALSE)),"",_xlfn.REGEXEXTRACT(CELL("address",I36), "\$([A-Z]+)\$[0-9]+"))),_xlfn.REGEXEXTRACT(CELL("address",I36), "\$([A-Z]+)\$[0-9]+"))</f>
        <v/>
      </c>
      <c r="J36" s="7" t="str" cm="1">
        <f t="array" aca="1" ref="J36" ca="1">IFERROR(IF(OR('Raw Data'!J36="",LEN(TRIM('Raw Data'!J36))=0),"",IF(AND(ISNUMBER('Raw Data'!J36), IFERROR('Raw Data'!J36 = ROUND('Raw Data'!J36, 4),FALSE)),"",_xlfn.REGEXEXTRACT(CELL("address",J36), "\$([A-Z]+)\$[0-9]+"))),_xlfn.REGEXEXTRACT(CELL("address",J36), "\$([A-Z]+)\$[0-9]+"))</f>
        <v/>
      </c>
      <c r="K36" s="7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7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</row>
    <row r="37" spans="2:22" x14ac:dyDescent="0.25">
      <c r="B37" s="7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20,LEN('Raw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Data'!D37))=0),"",IF(AND(ISNUMBER('Raw Data'!D37),'Raw Data'!D37&gt;=Configuration!$D$2),"",_xlfn.REGEXEXTRACT(CELL("address",'Raw Data'!D37),"\$([A-Z]+)\$[0-9]+"))),_xlfn.REGEXEXTRACT(CELL("address",D37), "\$([A-Z]+)\$[0-9]+"))</f>
        <v>$D$37</v>
      </c>
      <c r="E37" s="7" t="str" cm="1">
        <f t="array" aca="1" ref="E37" ca="1">IFERROR(IF(OR('Raw Data'!E37="",LEN(TRIM('Raw Data'!E37))=0),"",IF(AND(ISNUMBER('Raw Data'!E37), IFERROR('Raw Data'!E37 = ROUND('Raw Data'!E37, 4),FALSE)),"",_xlfn.REGEXEXTRACT(CELL("address",E37), "\$([A-Z]+)\$[0-9]+"))),_xlfn.REGEXEXTRACT(CELL("address",E37), 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4),FALSE)),"",_xlfn.REGEXEXTRACT(CELL("address",F37), "\$([A-Z]+)\$[0-9]+"))),_xlfn.REGEXEXTRACT(CELL("address",F37), "\$([A-Z]+)\$[0-9]+"))</f>
        <v/>
      </c>
      <c r="G37" s="7" t="str" cm="1">
        <f t="array" aca="1" ref="G37" ca="1">IFERROR(IF(OR('Raw Data'!G37="",LEN(TRIM('Raw Data'!G37))=0),"",IF(AND(ISNUMBER('Raw Data'!G37), IFERROR('Raw Data'!G37 = ROUND('Raw Data'!G37, 4),FALSE)),"",_xlfn.REGEXEXTRACT(CELL("address",G37), "\$([A-Z]+)\$[0-9]+"))),_xlfn.REGEXEXTRACT(CELL("address",G37), "\$([A-Z]+)\$[0-9]+"))</f>
        <v/>
      </c>
      <c r="H37" s="7" t="str" cm="1">
        <f t="array" aca="1" ref="H37" ca="1">IFERROR(IF(OR('Raw Data'!H37="",LEN(TRIM('Raw Data'!H37))=0),"",IF(AND(ISNUMBER('Raw Data'!H37), IFERROR('Raw Data'!H37 = ROUND('Raw Data'!H37, 4),FALSE)),"",_xlfn.REGEXEXTRACT(CELL("address",H37), "\$([A-Z]+)\$[0-9]+"))),_xlfn.REGEXEXTRACT(CELL("address",H37), "\$([A-Z]+)\$[0-9]+"))</f>
        <v/>
      </c>
      <c r="I37" s="7" t="str" cm="1">
        <f t="array" aca="1" ref="I37" ca="1">IFERROR(IF(OR('Raw Data'!I37="",LEN(TRIM('Raw Data'!I37))=0),"",IF(AND(ISNUMBER('Raw Data'!I37), IFERROR('Raw Data'!I37 = ROUND('Raw Data'!I37, 4),FALSE)),"",_xlfn.REGEXEXTRACT(CELL("address",I37), "\$([A-Z]+)\$[0-9]+"))),_xlfn.REGEXEXTRACT(CELL("address",I37), "\$([A-Z]+)\$[0-9]+"))</f>
        <v/>
      </c>
      <c r="J37" s="7" t="str" cm="1">
        <f t="array" aca="1" ref="J37" ca="1">IFERROR(IF(OR('Raw Data'!J37="",LEN(TRIM('Raw Data'!J37))=0),"",IF(AND(ISNUMBER('Raw Data'!J37), IFERROR('Raw Data'!J37 = ROUND('Raw Data'!J37, 4),FALSE)),"",_xlfn.REGEXEXTRACT(CELL("address",J37), "\$([A-Z]+)\$[0-9]+"))),_xlfn.REGEXEXTRACT(CELL("address",J37), "\$([A-Z]+)\$[0-9]+"))</f>
        <v/>
      </c>
      <c r="K37" s="7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7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</row>
    <row r="38" spans="2:22" x14ac:dyDescent="0.25">
      <c r="B38" s="7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20,LEN('Raw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Data'!D38))=0),"",IF(AND(ISNUMBER('Raw Data'!D38),'Raw Data'!D38&gt;=Configuration!$D$2),"",_xlfn.REGEXEXTRACT(CELL("address",'Raw Data'!D38),"\$([A-Z]+)\$[0-9]+"))),_xlfn.REGEXEXTRACT(CELL("address",D38), "\$([A-Z]+)\$[0-9]+"))</f>
        <v>$D$38</v>
      </c>
      <c r="E38" s="7" t="str" cm="1">
        <f t="array" aca="1" ref="E38" ca="1">IFERROR(IF(OR('Raw Data'!E38="",LEN(TRIM('Raw Data'!E38))=0),"",IF(AND(ISNUMBER('Raw Data'!E38), IFERROR('Raw Data'!E38 = ROUND('Raw Data'!E38, 4),FALSE)),"",_xlfn.REGEXEXTRACT(CELL("address",E38), "\$([A-Z]+)\$[0-9]+"))),_xlfn.REGEXEXTRACT(CELL("address",E38), 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4),FALSE)),"",_xlfn.REGEXEXTRACT(CELL("address",F38), "\$([A-Z]+)\$[0-9]+"))),_xlfn.REGEXEXTRACT(CELL("address",F38), "\$([A-Z]+)\$[0-9]+"))</f>
        <v/>
      </c>
      <c r="G38" s="7" t="str" cm="1">
        <f t="array" aca="1" ref="G38" ca="1">IFERROR(IF(OR('Raw Data'!G38="",LEN(TRIM('Raw Data'!G38))=0),"",IF(AND(ISNUMBER('Raw Data'!G38), IFERROR('Raw Data'!G38 = ROUND('Raw Data'!G38, 4),FALSE)),"",_xlfn.REGEXEXTRACT(CELL("address",G38), "\$([A-Z]+)\$[0-9]+"))),_xlfn.REGEXEXTRACT(CELL("address",G38), "\$([A-Z]+)\$[0-9]+"))</f>
        <v/>
      </c>
      <c r="H38" s="7" t="str" cm="1">
        <f t="array" aca="1" ref="H38" ca="1">IFERROR(IF(OR('Raw Data'!H38="",LEN(TRIM('Raw Data'!H38))=0),"",IF(AND(ISNUMBER('Raw Data'!H38), IFERROR('Raw Data'!H38 = ROUND('Raw Data'!H38, 4),FALSE)),"",_xlfn.REGEXEXTRACT(CELL("address",H38), "\$([A-Z]+)\$[0-9]+"))),_xlfn.REGEXEXTRACT(CELL("address",H38), "\$([A-Z]+)\$[0-9]+"))</f>
        <v/>
      </c>
      <c r="I38" s="7" t="str" cm="1">
        <f t="array" aca="1" ref="I38" ca="1">IFERROR(IF(OR('Raw Data'!I38="",LEN(TRIM('Raw Data'!I38))=0),"",IF(AND(ISNUMBER('Raw Data'!I38), IFERROR('Raw Data'!I38 = ROUND('Raw Data'!I38, 4),FALSE)),"",_xlfn.REGEXEXTRACT(CELL("address",I38), "\$([A-Z]+)\$[0-9]+"))),_xlfn.REGEXEXTRACT(CELL("address",I38), "\$([A-Z]+)\$[0-9]+"))</f>
        <v/>
      </c>
      <c r="J38" s="7" t="str" cm="1">
        <f t="array" aca="1" ref="J38" ca="1">IFERROR(IF(OR('Raw Data'!J38="",LEN(TRIM('Raw Data'!J38))=0),"",IF(AND(ISNUMBER('Raw Data'!J38), IFERROR('Raw Data'!J38 = ROUND('Raw Data'!J38, 4),FALSE)),"",_xlfn.REGEXEXTRACT(CELL("address",J38), "\$([A-Z]+)\$[0-9]+"))),_xlfn.REGEXEXTRACT(CELL("address",J38), "\$([A-Z]+)\$[0-9]+"))</f>
        <v/>
      </c>
      <c r="K38" s="7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7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</row>
    <row r="39" spans="2:22" x14ac:dyDescent="0.25">
      <c r="B39" s="7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20,LEN('Raw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Data'!D39))=0),"",IF(AND(ISNUMBER('Raw Data'!D39),'Raw Data'!D39&gt;=Configuration!$D$2),"",_xlfn.REGEXEXTRACT(CELL("address",'Raw Data'!D39),"\$([A-Z]+)\$[0-9]+"))),_xlfn.REGEXEXTRACT(CELL("address",D39), "\$([A-Z]+)\$[0-9]+"))</f>
        <v>$D$39</v>
      </c>
      <c r="E39" s="7" t="str" cm="1">
        <f t="array" aca="1" ref="E39" ca="1">IFERROR(IF(OR('Raw Data'!E39="",LEN(TRIM('Raw Data'!E39))=0),"",IF(AND(ISNUMBER('Raw Data'!E39), IFERROR('Raw Data'!E39 = ROUND('Raw Data'!E39, 4),FALSE)),"",_xlfn.REGEXEXTRACT(CELL("address",E39), "\$([A-Z]+)\$[0-9]+"))),_xlfn.REGEXEXTRACT(CELL("address",E39), 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4),FALSE)),"",_xlfn.REGEXEXTRACT(CELL("address",F39), "\$([A-Z]+)\$[0-9]+"))),_xlfn.REGEXEXTRACT(CELL("address",F39), "\$([A-Z]+)\$[0-9]+"))</f>
        <v/>
      </c>
      <c r="G39" s="7" t="str" cm="1">
        <f t="array" aca="1" ref="G39" ca="1">IFERROR(IF(OR('Raw Data'!G39="",LEN(TRIM('Raw Data'!G39))=0),"",IF(AND(ISNUMBER('Raw Data'!G39), IFERROR('Raw Data'!G39 = ROUND('Raw Data'!G39, 4),FALSE)),"",_xlfn.REGEXEXTRACT(CELL("address",G39), "\$([A-Z]+)\$[0-9]+"))),_xlfn.REGEXEXTRACT(CELL("address",G39), "\$([A-Z]+)\$[0-9]+"))</f>
        <v/>
      </c>
      <c r="H39" s="7" t="str" cm="1">
        <f t="array" aca="1" ref="H39" ca="1">IFERROR(IF(OR('Raw Data'!H39="",LEN(TRIM('Raw Data'!H39))=0),"",IF(AND(ISNUMBER('Raw Data'!H39), IFERROR('Raw Data'!H39 = ROUND('Raw Data'!H39, 4),FALSE)),"",_xlfn.REGEXEXTRACT(CELL("address",H39), "\$([A-Z]+)\$[0-9]+"))),_xlfn.REGEXEXTRACT(CELL("address",H39), "\$([A-Z]+)\$[0-9]+"))</f>
        <v/>
      </c>
      <c r="I39" s="7" t="str" cm="1">
        <f t="array" aca="1" ref="I39" ca="1">IFERROR(IF(OR('Raw Data'!I39="",LEN(TRIM('Raw Data'!I39))=0),"",IF(AND(ISNUMBER('Raw Data'!I39), IFERROR('Raw Data'!I39 = ROUND('Raw Data'!I39, 4),FALSE)),"",_xlfn.REGEXEXTRACT(CELL("address",I39), "\$([A-Z]+)\$[0-9]+"))),_xlfn.REGEXEXTRACT(CELL("address",I39), "\$([A-Z]+)\$[0-9]+"))</f>
        <v/>
      </c>
      <c r="J39" s="7" t="str" cm="1">
        <f t="array" aca="1" ref="J39" ca="1">IFERROR(IF(OR('Raw Data'!J39="",LEN(TRIM('Raw Data'!J39))=0),"",IF(AND(ISNUMBER('Raw Data'!J39), IFERROR('Raw Data'!J39 = ROUND('Raw Data'!J39, 4),FALSE)),"",_xlfn.REGEXEXTRACT(CELL("address",J39), "\$([A-Z]+)\$[0-9]+"))),_xlfn.REGEXEXTRACT(CELL("address",J39), "\$([A-Z]+)\$[0-9]+"))</f>
        <v/>
      </c>
      <c r="K39" s="7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7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</row>
    <row r="40" spans="2:22" x14ac:dyDescent="0.25">
      <c r="B40" s="7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20,LEN('Raw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Data'!D40))=0),"",IF(AND(ISNUMBER('Raw Data'!D40),'Raw Data'!D40&gt;=Configuration!$D$2),"",_xlfn.REGEXEXTRACT(CELL("address",'Raw Data'!D40),"\$([A-Z]+)\$[0-9]+"))),_xlfn.REGEXEXTRACT(CELL("address",D40), "\$([A-Z]+)\$[0-9]+"))</f>
        <v>$D$40</v>
      </c>
      <c r="E40" s="7" t="str" cm="1">
        <f t="array" aca="1" ref="E40" ca="1">IFERROR(IF(OR('Raw Data'!E40="",LEN(TRIM('Raw Data'!E40))=0),"",IF(AND(ISNUMBER('Raw Data'!E40), IFERROR('Raw Data'!E40 = ROUND('Raw Data'!E40, 4),FALSE)),"",_xlfn.REGEXEXTRACT(CELL("address",E40), "\$([A-Z]+)\$[0-9]+"))),_xlfn.REGEXEXTRACT(CELL("address",E40), 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4),FALSE)),"",_xlfn.REGEXEXTRACT(CELL("address",F40), "\$([A-Z]+)\$[0-9]+"))),_xlfn.REGEXEXTRACT(CELL("address",F40), "\$([A-Z]+)\$[0-9]+"))</f>
        <v/>
      </c>
      <c r="G40" s="7" t="str" cm="1">
        <f t="array" aca="1" ref="G40" ca="1">IFERROR(IF(OR('Raw Data'!G40="",LEN(TRIM('Raw Data'!G40))=0),"",IF(AND(ISNUMBER('Raw Data'!G40), IFERROR('Raw Data'!G40 = ROUND('Raw Data'!G40, 4),FALSE)),"",_xlfn.REGEXEXTRACT(CELL("address",G40), "\$([A-Z]+)\$[0-9]+"))),_xlfn.REGEXEXTRACT(CELL("address",G40), "\$([A-Z]+)\$[0-9]+"))</f>
        <v/>
      </c>
      <c r="H40" s="7" t="str" cm="1">
        <f t="array" aca="1" ref="H40" ca="1">IFERROR(IF(OR('Raw Data'!H40="",LEN(TRIM('Raw Data'!H40))=0),"",IF(AND(ISNUMBER('Raw Data'!H40), IFERROR('Raw Data'!H40 = ROUND('Raw Data'!H40, 4),FALSE)),"",_xlfn.REGEXEXTRACT(CELL("address",H40), "\$([A-Z]+)\$[0-9]+"))),_xlfn.REGEXEXTRACT(CELL("address",H40), "\$([A-Z]+)\$[0-9]+"))</f>
        <v/>
      </c>
      <c r="I40" s="7" t="str" cm="1">
        <f t="array" aca="1" ref="I40" ca="1">IFERROR(IF(OR('Raw Data'!I40="",LEN(TRIM('Raw Data'!I40))=0),"",IF(AND(ISNUMBER('Raw Data'!I40), IFERROR('Raw Data'!I40 = ROUND('Raw Data'!I40, 4),FALSE)),"",_xlfn.REGEXEXTRACT(CELL("address",I40), "\$([A-Z]+)\$[0-9]+"))),_xlfn.REGEXEXTRACT(CELL("address",I40), "\$([A-Z]+)\$[0-9]+"))</f>
        <v/>
      </c>
      <c r="J40" s="7" t="str" cm="1">
        <f t="array" aca="1" ref="J40" ca="1">IFERROR(IF(OR('Raw Data'!J40="",LEN(TRIM('Raw Data'!J40))=0),"",IF(AND(ISNUMBER('Raw Data'!J40), IFERROR('Raw Data'!J40 = ROUND('Raw Data'!J40, 4),FALSE)),"",_xlfn.REGEXEXTRACT(CELL("address",J40), "\$([A-Z]+)\$[0-9]+"))),_xlfn.REGEXEXTRACT(CELL("address",J40), "\$([A-Z]+)\$[0-9]+"))</f>
        <v/>
      </c>
      <c r="K40" s="7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7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</row>
    <row r="41" spans="2:22" x14ac:dyDescent="0.25">
      <c r="B41" s="7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20,LEN('Raw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Data'!D41))=0),"",IF(AND(ISNUMBER('Raw Data'!D41),'Raw Data'!D41&gt;=Configuration!$D$2),"",_xlfn.REGEXEXTRACT(CELL("address",'Raw Data'!D41),"\$([A-Z]+)\$[0-9]+"))),_xlfn.REGEXEXTRACT(CELL("address",D41), "\$([A-Z]+)\$[0-9]+"))</f>
        <v>$D$41</v>
      </c>
      <c r="E41" s="7" t="str" cm="1">
        <f t="array" aca="1" ref="E41" ca="1">IFERROR(IF(OR('Raw Data'!E41="",LEN(TRIM('Raw Data'!E41))=0),"",IF(AND(ISNUMBER('Raw Data'!E41), IFERROR('Raw Data'!E41 = ROUND('Raw Data'!E41, 4),FALSE)),"",_xlfn.REGEXEXTRACT(CELL("address",E41), "\$([A-Z]+)\$[0-9]+"))),_xlfn.REGEXEXTRACT(CELL("address",E41), 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4),FALSE)),"",_xlfn.REGEXEXTRACT(CELL("address",F41), "\$([A-Z]+)\$[0-9]+"))),_xlfn.REGEXEXTRACT(CELL("address",F41), "\$([A-Z]+)\$[0-9]+"))</f>
        <v/>
      </c>
      <c r="G41" s="7" t="str" cm="1">
        <f t="array" aca="1" ref="G41" ca="1">IFERROR(IF(OR('Raw Data'!G41="",LEN(TRIM('Raw Data'!G41))=0),"",IF(AND(ISNUMBER('Raw Data'!G41), IFERROR('Raw Data'!G41 = ROUND('Raw Data'!G41, 4),FALSE)),"",_xlfn.REGEXEXTRACT(CELL("address",G41), "\$([A-Z]+)\$[0-9]+"))),_xlfn.REGEXEXTRACT(CELL("address",G41), "\$([A-Z]+)\$[0-9]+"))</f>
        <v/>
      </c>
      <c r="H41" s="7" t="str" cm="1">
        <f t="array" aca="1" ref="H41" ca="1">IFERROR(IF(OR('Raw Data'!H41="",LEN(TRIM('Raw Data'!H41))=0),"",IF(AND(ISNUMBER('Raw Data'!H41), IFERROR('Raw Data'!H41 = ROUND('Raw Data'!H41, 4),FALSE)),"",_xlfn.REGEXEXTRACT(CELL("address",H41), "\$([A-Z]+)\$[0-9]+"))),_xlfn.REGEXEXTRACT(CELL("address",H41), "\$([A-Z]+)\$[0-9]+"))</f>
        <v/>
      </c>
      <c r="I41" s="7" t="str" cm="1">
        <f t="array" aca="1" ref="I41" ca="1">IFERROR(IF(OR('Raw Data'!I41="",LEN(TRIM('Raw Data'!I41))=0),"",IF(AND(ISNUMBER('Raw Data'!I41), IFERROR('Raw Data'!I41 = ROUND('Raw Data'!I41, 4),FALSE)),"",_xlfn.REGEXEXTRACT(CELL("address",I41), "\$([A-Z]+)\$[0-9]+"))),_xlfn.REGEXEXTRACT(CELL("address",I41), "\$([A-Z]+)\$[0-9]+"))</f>
        <v/>
      </c>
      <c r="J41" s="7" t="str" cm="1">
        <f t="array" aca="1" ref="J41" ca="1">IFERROR(IF(OR('Raw Data'!J41="",LEN(TRIM('Raw Data'!J41))=0),"",IF(AND(ISNUMBER('Raw Data'!J41), IFERROR('Raw Data'!J41 = ROUND('Raw Data'!J41, 4),FALSE)),"",_xlfn.REGEXEXTRACT(CELL("address",J41), "\$([A-Z]+)\$[0-9]+"))),_xlfn.REGEXEXTRACT(CELL("address",J41), "\$([A-Z]+)\$[0-9]+"))</f>
        <v/>
      </c>
      <c r="K41" s="7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7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</row>
    <row r="42" spans="2:22" x14ac:dyDescent="0.25">
      <c r="B42" s="7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20,LEN('Raw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Data'!D42))=0),"",IF(AND(ISNUMBER('Raw Data'!D42),'Raw Data'!D42&gt;=Configuration!$D$2),"",_xlfn.REGEXEXTRACT(CELL("address",'Raw Data'!D42),"\$([A-Z]+)\$[0-9]+"))),_xlfn.REGEXEXTRACT(CELL("address",D42), "\$([A-Z]+)\$[0-9]+"))</f>
        <v>$D$42</v>
      </c>
      <c r="E42" s="7" t="str" cm="1">
        <f t="array" aca="1" ref="E42" ca="1">IFERROR(IF(OR('Raw Data'!E42="",LEN(TRIM('Raw Data'!E42))=0),"",IF(AND(ISNUMBER('Raw Data'!E42), IFERROR('Raw Data'!E42 = ROUND('Raw Data'!E42, 4),FALSE)),"",_xlfn.REGEXEXTRACT(CELL("address",E42), "\$([A-Z]+)\$[0-9]+"))),_xlfn.REGEXEXTRACT(CELL("address",E42), 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4),FALSE)),"",_xlfn.REGEXEXTRACT(CELL("address",F42), "\$([A-Z]+)\$[0-9]+"))),_xlfn.REGEXEXTRACT(CELL("address",F42), "\$([A-Z]+)\$[0-9]+"))</f>
        <v/>
      </c>
      <c r="G42" s="7" t="str" cm="1">
        <f t="array" aca="1" ref="G42" ca="1">IFERROR(IF(OR('Raw Data'!G42="",LEN(TRIM('Raw Data'!G42))=0),"",IF(AND(ISNUMBER('Raw Data'!G42), IFERROR('Raw Data'!G42 = ROUND('Raw Data'!G42, 4),FALSE)),"",_xlfn.REGEXEXTRACT(CELL("address",G42), "\$([A-Z]+)\$[0-9]+"))),_xlfn.REGEXEXTRACT(CELL("address",G42), "\$([A-Z]+)\$[0-9]+"))</f>
        <v/>
      </c>
      <c r="H42" s="7" t="str" cm="1">
        <f t="array" aca="1" ref="H42" ca="1">IFERROR(IF(OR('Raw Data'!H42="",LEN(TRIM('Raw Data'!H42))=0),"",IF(AND(ISNUMBER('Raw Data'!H42), IFERROR('Raw Data'!H42 = ROUND('Raw Data'!H42, 4),FALSE)),"",_xlfn.REGEXEXTRACT(CELL("address",H42), "\$([A-Z]+)\$[0-9]+"))),_xlfn.REGEXEXTRACT(CELL("address",H42), "\$([A-Z]+)\$[0-9]+"))</f>
        <v/>
      </c>
      <c r="I42" s="7" t="str" cm="1">
        <f t="array" aca="1" ref="I42" ca="1">IFERROR(IF(OR('Raw Data'!I42="",LEN(TRIM('Raw Data'!I42))=0),"",IF(AND(ISNUMBER('Raw Data'!I42), IFERROR('Raw Data'!I42 = ROUND('Raw Data'!I42, 4),FALSE)),"",_xlfn.REGEXEXTRACT(CELL("address",I42), "\$([A-Z]+)\$[0-9]+"))),_xlfn.REGEXEXTRACT(CELL("address",I42), "\$([A-Z]+)\$[0-9]+"))</f>
        <v/>
      </c>
      <c r="J42" s="7" t="str" cm="1">
        <f t="array" aca="1" ref="J42" ca="1">IFERROR(IF(OR('Raw Data'!J42="",LEN(TRIM('Raw Data'!J42))=0),"",IF(AND(ISNUMBER('Raw Data'!J42), IFERROR('Raw Data'!J42 = ROUND('Raw Data'!J42, 4),FALSE)),"",_xlfn.REGEXEXTRACT(CELL("address",J42), "\$([A-Z]+)\$[0-9]+"))),_xlfn.REGEXEXTRACT(CELL("address",J42), "\$([A-Z]+)\$[0-9]+"))</f>
        <v/>
      </c>
      <c r="K42" s="7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7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</row>
    <row r="43" spans="2:22" x14ac:dyDescent="0.25">
      <c r="B43" s="7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20,LEN('Raw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Data'!D43))=0),"",IF(AND(ISNUMBER('Raw Data'!D43),'Raw Data'!D43&gt;=Configuration!$D$2),"",_xlfn.REGEXEXTRACT(CELL("address",'Raw Data'!D43),"\$([A-Z]+)\$[0-9]+"))),_xlfn.REGEXEXTRACT(CELL("address",D43), "\$([A-Z]+)\$[0-9]+"))</f>
        <v>$D$43</v>
      </c>
      <c r="E43" s="7" t="str" cm="1">
        <f t="array" aca="1" ref="E43" ca="1">IFERROR(IF(OR('Raw Data'!E43="",LEN(TRIM('Raw Data'!E43))=0),"",IF(AND(ISNUMBER('Raw Data'!E43), IFERROR('Raw Data'!E43 = ROUND('Raw Data'!E43, 4),FALSE)),"",_xlfn.REGEXEXTRACT(CELL("address",E43), "\$([A-Z]+)\$[0-9]+"))),_xlfn.REGEXEXTRACT(CELL("address",E43), 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4),FALSE)),"",_xlfn.REGEXEXTRACT(CELL("address",F43), "\$([A-Z]+)\$[0-9]+"))),_xlfn.REGEXEXTRACT(CELL("address",F43), "\$([A-Z]+)\$[0-9]+"))</f>
        <v/>
      </c>
      <c r="G43" s="7" t="str" cm="1">
        <f t="array" aca="1" ref="G43" ca="1">IFERROR(IF(OR('Raw Data'!G43="",LEN(TRIM('Raw Data'!G43))=0),"",IF(AND(ISNUMBER('Raw Data'!G43), IFERROR('Raw Data'!G43 = ROUND('Raw Data'!G43, 4),FALSE)),"",_xlfn.REGEXEXTRACT(CELL("address",G43), "\$([A-Z]+)\$[0-9]+"))),_xlfn.REGEXEXTRACT(CELL("address",G43), "\$([A-Z]+)\$[0-9]+"))</f>
        <v/>
      </c>
      <c r="H43" s="7" t="str" cm="1">
        <f t="array" aca="1" ref="H43" ca="1">IFERROR(IF(OR('Raw Data'!H43="",LEN(TRIM('Raw Data'!H43))=0),"",IF(AND(ISNUMBER('Raw Data'!H43), IFERROR('Raw Data'!H43 = ROUND('Raw Data'!H43, 4),FALSE)),"",_xlfn.REGEXEXTRACT(CELL("address",H43), "\$([A-Z]+)\$[0-9]+"))),_xlfn.REGEXEXTRACT(CELL("address",H43), "\$([A-Z]+)\$[0-9]+"))</f>
        <v/>
      </c>
      <c r="I43" s="7" t="str" cm="1">
        <f t="array" aca="1" ref="I43" ca="1">IFERROR(IF(OR('Raw Data'!I43="",LEN(TRIM('Raw Data'!I43))=0),"",IF(AND(ISNUMBER('Raw Data'!I43), IFERROR('Raw Data'!I43 = ROUND('Raw Data'!I43, 4),FALSE)),"",_xlfn.REGEXEXTRACT(CELL("address",I43), "\$([A-Z]+)\$[0-9]+"))),_xlfn.REGEXEXTRACT(CELL("address",I43), "\$([A-Z]+)\$[0-9]+"))</f>
        <v/>
      </c>
      <c r="J43" s="7" t="str" cm="1">
        <f t="array" aca="1" ref="J43" ca="1">IFERROR(IF(OR('Raw Data'!J43="",LEN(TRIM('Raw Data'!J43))=0),"",IF(AND(ISNUMBER('Raw Data'!J43), IFERROR('Raw Data'!J43 = ROUND('Raw Data'!J43, 4),FALSE)),"",_xlfn.REGEXEXTRACT(CELL("address",J43), "\$([A-Z]+)\$[0-9]+"))),_xlfn.REGEXEXTRACT(CELL("address",J43), "\$([A-Z]+)\$[0-9]+"))</f>
        <v/>
      </c>
      <c r="K43" s="7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7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</row>
    <row r="44" spans="2:22" x14ac:dyDescent="0.25">
      <c r="B44" s="7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20,LEN('Raw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Data'!D44))=0),"",IF(AND(ISNUMBER('Raw Data'!D44),'Raw Data'!D44&gt;=Configuration!$D$2),"",_xlfn.REGEXEXTRACT(CELL("address",'Raw Data'!D44),"\$([A-Z]+)\$[0-9]+"))),_xlfn.REGEXEXTRACT(CELL("address",D44), "\$([A-Z]+)\$[0-9]+"))</f>
        <v>$D$44</v>
      </c>
      <c r="E44" s="7" t="str" cm="1">
        <f t="array" aca="1" ref="E44" ca="1">IFERROR(IF(OR('Raw Data'!E44="",LEN(TRIM('Raw Data'!E44))=0),"",IF(AND(ISNUMBER('Raw Data'!E44), IFERROR('Raw Data'!E44 = ROUND('Raw Data'!E44, 4),FALSE)),"",_xlfn.REGEXEXTRACT(CELL("address",E44), "\$([A-Z]+)\$[0-9]+"))),_xlfn.REGEXEXTRACT(CELL("address",E44), 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4),FALSE)),"",_xlfn.REGEXEXTRACT(CELL("address",F44), "\$([A-Z]+)\$[0-9]+"))),_xlfn.REGEXEXTRACT(CELL("address",F44), "\$([A-Z]+)\$[0-9]+"))</f>
        <v/>
      </c>
      <c r="G44" s="7" t="str" cm="1">
        <f t="array" aca="1" ref="G44" ca="1">IFERROR(IF(OR('Raw Data'!G44="",LEN(TRIM('Raw Data'!G44))=0),"",IF(AND(ISNUMBER('Raw Data'!G44), IFERROR('Raw Data'!G44 = ROUND('Raw Data'!G44, 4),FALSE)),"",_xlfn.REGEXEXTRACT(CELL("address",G44), "\$([A-Z]+)\$[0-9]+"))),_xlfn.REGEXEXTRACT(CELL("address",G44), "\$([A-Z]+)\$[0-9]+"))</f>
        <v/>
      </c>
      <c r="H44" s="7" t="str" cm="1">
        <f t="array" aca="1" ref="H44" ca="1">IFERROR(IF(OR('Raw Data'!H44="",LEN(TRIM('Raw Data'!H44))=0),"",IF(AND(ISNUMBER('Raw Data'!H44), IFERROR('Raw Data'!H44 = ROUND('Raw Data'!H44, 4),FALSE)),"",_xlfn.REGEXEXTRACT(CELL("address",H44), "\$([A-Z]+)\$[0-9]+"))),_xlfn.REGEXEXTRACT(CELL("address",H44), "\$([A-Z]+)\$[0-9]+"))</f>
        <v/>
      </c>
      <c r="I44" s="7" t="str" cm="1">
        <f t="array" aca="1" ref="I44" ca="1">IFERROR(IF(OR('Raw Data'!I44="",LEN(TRIM('Raw Data'!I44))=0),"",IF(AND(ISNUMBER('Raw Data'!I44), IFERROR('Raw Data'!I44 = ROUND('Raw Data'!I44, 4),FALSE)),"",_xlfn.REGEXEXTRACT(CELL("address",I44), "\$([A-Z]+)\$[0-9]+"))),_xlfn.REGEXEXTRACT(CELL("address",I44), "\$([A-Z]+)\$[0-9]+"))</f>
        <v/>
      </c>
      <c r="J44" s="7" t="str" cm="1">
        <f t="array" aca="1" ref="J44" ca="1">IFERROR(IF(OR('Raw Data'!J44="",LEN(TRIM('Raw Data'!J44))=0),"",IF(AND(ISNUMBER('Raw Data'!J44), IFERROR('Raw Data'!J44 = ROUND('Raw Data'!J44, 4),FALSE)),"",_xlfn.REGEXEXTRACT(CELL("address",J44), "\$([A-Z]+)\$[0-9]+"))),_xlfn.REGEXEXTRACT(CELL("address",J44), "\$([A-Z]+)\$[0-9]+"))</f>
        <v/>
      </c>
      <c r="K44" s="7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7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</row>
    <row r="45" spans="2:22" x14ac:dyDescent="0.25">
      <c r="B45" s="7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20,LEN('Raw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Data'!D45))=0),"",IF(AND(ISNUMBER('Raw Data'!D45),'Raw Data'!D45&gt;=Configuration!$D$2),"",_xlfn.REGEXEXTRACT(CELL("address",'Raw Data'!D45),"\$([A-Z]+)\$[0-9]+"))),_xlfn.REGEXEXTRACT(CELL("address",D45), "\$([A-Z]+)\$[0-9]+"))</f>
        <v>$D$45</v>
      </c>
      <c r="E45" s="7" t="str" cm="1">
        <f t="array" aca="1" ref="E45" ca="1">IFERROR(IF(OR('Raw Data'!E45="",LEN(TRIM('Raw Data'!E45))=0),"",IF(AND(ISNUMBER('Raw Data'!E45), IFERROR('Raw Data'!E45 = ROUND('Raw Data'!E45, 4),FALSE)),"",_xlfn.REGEXEXTRACT(CELL("address",E45), "\$([A-Z]+)\$[0-9]+"))),_xlfn.REGEXEXTRACT(CELL("address",E45), 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4),FALSE)),"",_xlfn.REGEXEXTRACT(CELL("address",F45), "\$([A-Z]+)\$[0-9]+"))),_xlfn.REGEXEXTRACT(CELL("address",F45), "\$([A-Z]+)\$[0-9]+"))</f>
        <v/>
      </c>
      <c r="G45" s="7" t="str" cm="1">
        <f t="array" aca="1" ref="G45" ca="1">IFERROR(IF(OR('Raw Data'!G45="",LEN(TRIM('Raw Data'!G45))=0),"",IF(AND(ISNUMBER('Raw Data'!G45), IFERROR('Raw Data'!G45 = ROUND('Raw Data'!G45, 4),FALSE)),"",_xlfn.REGEXEXTRACT(CELL("address",G45), "\$([A-Z]+)\$[0-9]+"))),_xlfn.REGEXEXTRACT(CELL("address",G45), "\$([A-Z]+)\$[0-9]+"))</f>
        <v/>
      </c>
      <c r="H45" s="7" t="str" cm="1">
        <f t="array" aca="1" ref="H45" ca="1">IFERROR(IF(OR('Raw Data'!H45="",LEN(TRIM('Raw Data'!H45))=0),"",IF(AND(ISNUMBER('Raw Data'!H45), IFERROR('Raw Data'!H45 = ROUND('Raw Data'!H45, 4),FALSE)),"",_xlfn.REGEXEXTRACT(CELL("address",H45), "\$([A-Z]+)\$[0-9]+"))),_xlfn.REGEXEXTRACT(CELL("address",H45), "\$([A-Z]+)\$[0-9]+"))</f>
        <v/>
      </c>
      <c r="I45" s="7" t="str" cm="1">
        <f t="array" aca="1" ref="I45" ca="1">IFERROR(IF(OR('Raw Data'!I45="",LEN(TRIM('Raw Data'!I45))=0),"",IF(AND(ISNUMBER('Raw Data'!I45), IFERROR('Raw Data'!I45 = ROUND('Raw Data'!I45, 4),FALSE)),"",_xlfn.REGEXEXTRACT(CELL("address",I45), "\$([A-Z]+)\$[0-9]+"))),_xlfn.REGEXEXTRACT(CELL("address",I45), "\$([A-Z]+)\$[0-9]+"))</f>
        <v/>
      </c>
      <c r="J45" s="7" t="str" cm="1">
        <f t="array" aca="1" ref="J45" ca="1">IFERROR(IF(OR('Raw Data'!J45="",LEN(TRIM('Raw Data'!J45))=0),"",IF(AND(ISNUMBER('Raw Data'!J45), IFERROR('Raw Data'!J45 = ROUND('Raw Data'!J45, 4),FALSE)),"",_xlfn.REGEXEXTRACT(CELL("address",J45), "\$([A-Z]+)\$[0-9]+"))),_xlfn.REGEXEXTRACT(CELL("address",J45), "\$([A-Z]+)\$[0-9]+"))</f>
        <v/>
      </c>
      <c r="K45" s="7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7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</row>
    <row r="46" spans="2:22" x14ac:dyDescent="0.25">
      <c r="B46" s="7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20,LEN('Raw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Data'!D46))=0),"",IF(AND(ISNUMBER('Raw Data'!D46),'Raw Data'!D46&gt;=Configuration!$D$2),"",_xlfn.REGEXEXTRACT(CELL("address",'Raw Data'!D46),"\$([A-Z]+)\$[0-9]+"))),_xlfn.REGEXEXTRACT(CELL("address",D46), "\$([A-Z]+)\$[0-9]+"))</f>
        <v>$D$46</v>
      </c>
      <c r="E46" s="7" t="str" cm="1">
        <f t="array" aca="1" ref="E46" ca="1">IFERROR(IF(OR('Raw Data'!E46="",LEN(TRIM('Raw Data'!E46))=0),"",IF(AND(ISNUMBER('Raw Data'!E46), IFERROR('Raw Data'!E46 = ROUND('Raw Data'!E46, 4),FALSE)),"",_xlfn.REGEXEXTRACT(CELL("address",E46), "\$([A-Z]+)\$[0-9]+"))),_xlfn.REGEXEXTRACT(CELL("address",E46), 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4),FALSE)),"",_xlfn.REGEXEXTRACT(CELL("address",F46), "\$([A-Z]+)\$[0-9]+"))),_xlfn.REGEXEXTRACT(CELL("address",F46), "\$([A-Z]+)\$[0-9]+"))</f>
        <v/>
      </c>
      <c r="G46" s="7" t="str" cm="1">
        <f t="array" aca="1" ref="G46" ca="1">IFERROR(IF(OR('Raw Data'!G46="",LEN(TRIM('Raw Data'!G46))=0),"",IF(AND(ISNUMBER('Raw Data'!G46), IFERROR('Raw Data'!G46 = ROUND('Raw Data'!G46, 4),FALSE)),"",_xlfn.REGEXEXTRACT(CELL("address",G46), "\$([A-Z]+)\$[0-9]+"))),_xlfn.REGEXEXTRACT(CELL("address",G46), "\$([A-Z]+)\$[0-9]+"))</f>
        <v/>
      </c>
      <c r="H46" s="7" t="str" cm="1">
        <f t="array" aca="1" ref="H46" ca="1">IFERROR(IF(OR('Raw Data'!H46="",LEN(TRIM('Raw Data'!H46))=0),"",IF(AND(ISNUMBER('Raw Data'!H46), IFERROR('Raw Data'!H46 = ROUND('Raw Data'!H46, 4),FALSE)),"",_xlfn.REGEXEXTRACT(CELL("address",H46), "\$([A-Z]+)\$[0-9]+"))),_xlfn.REGEXEXTRACT(CELL("address",H46), "\$([A-Z]+)\$[0-9]+"))</f>
        <v/>
      </c>
      <c r="I46" s="7" t="str" cm="1">
        <f t="array" aca="1" ref="I46" ca="1">IFERROR(IF(OR('Raw Data'!I46="",LEN(TRIM('Raw Data'!I46))=0),"",IF(AND(ISNUMBER('Raw Data'!I46), IFERROR('Raw Data'!I46 = ROUND('Raw Data'!I46, 4),FALSE)),"",_xlfn.REGEXEXTRACT(CELL("address",I46), "\$([A-Z]+)\$[0-9]+"))),_xlfn.REGEXEXTRACT(CELL("address",I46), "\$([A-Z]+)\$[0-9]+"))</f>
        <v/>
      </c>
      <c r="J46" s="7" t="str" cm="1">
        <f t="array" aca="1" ref="J46" ca="1">IFERROR(IF(OR('Raw Data'!J46="",LEN(TRIM('Raw Data'!J46))=0),"",IF(AND(ISNUMBER('Raw Data'!J46), IFERROR('Raw Data'!J46 = ROUND('Raw Data'!J46, 4),FALSE)),"",_xlfn.REGEXEXTRACT(CELL("address",J46), "\$([A-Z]+)\$[0-9]+"))),_xlfn.REGEXEXTRACT(CELL("address",J46), "\$([A-Z]+)\$[0-9]+"))</f>
        <v/>
      </c>
      <c r="K46" s="7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7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</row>
    <row r="47" spans="2:22" x14ac:dyDescent="0.25">
      <c r="B47" s="7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20,LEN('Raw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Data'!D47))=0),"",IF(AND(ISNUMBER('Raw Data'!D47),'Raw Data'!D47&gt;=Configuration!$D$2),"",_xlfn.REGEXEXTRACT(CELL("address",'Raw Data'!D47),"\$([A-Z]+)\$[0-9]+"))),_xlfn.REGEXEXTRACT(CELL("address",D47), "\$([A-Z]+)\$[0-9]+"))</f>
        <v>$D$47</v>
      </c>
      <c r="E47" s="7" t="str" cm="1">
        <f t="array" aca="1" ref="E47" ca="1">IFERROR(IF(OR('Raw Data'!E47="",LEN(TRIM('Raw Data'!E47))=0),"",IF(AND(ISNUMBER('Raw Data'!E47), IFERROR('Raw Data'!E47 = ROUND('Raw Data'!E47, 4),FALSE)),"",_xlfn.REGEXEXTRACT(CELL("address",E47), "\$([A-Z]+)\$[0-9]+"))),_xlfn.REGEXEXTRACT(CELL("address",E47), 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4),FALSE)),"",_xlfn.REGEXEXTRACT(CELL("address",F47), "\$([A-Z]+)\$[0-9]+"))),_xlfn.REGEXEXTRACT(CELL("address",F47), "\$([A-Z]+)\$[0-9]+"))</f>
        <v/>
      </c>
      <c r="G47" s="7" t="str" cm="1">
        <f t="array" aca="1" ref="G47" ca="1">IFERROR(IF(OR('Raw Data'!G47="",LEN(TRIM('Raw Data'!G47))=0),"",IF(AND(ISNUMBER('Raw Data'!G47), IFERROR('Raw Data'!G47 = ROUND('Raw Data'!G47, 4),FALSE)),"",_xlfn.REGEXEXTRACT(CELL("address",G47), "\$([A-Z]+)\$[0-9]+"))),_xlfn.REGEXEXTRACT(CELL("address",G47), "\$([A-Z]+)\$[0-9]+"))</f>
        <v/>
      </c>
      <c r="H47" s="7" t="str" cm="1">
        <f t="array" aca="1" ref="H47" ca="1">IFERROR(IF(OR('Raw Data'!H47="",LEN(TRIM('Raw Data'!H47))=0),"",IF(AND(ISNUMBER('Raw Data'!H47), IFERROR('Raw Data'!H47 = ROUND('Raw Data'!H47, 4),FALSE)),"",_xlfn.REGEXEXTRACT(CELL("address",H47), "\$([A-Z]+)\$[0-9]+"))),_xlfn.REGEXEXTRACT(CELL("address",H47), "\$([A-Z]+)\$[0-9]+"))</f>
        <v/>
      </c>
      <c r="I47" s="7" t="str" cm="1">
        <f t="array" aca="1" ref="I47" ca="1">IFERROR(IF(OR('Raw Data'!I47="",LEN(TRIM('Raw Data'!I47))=0),"",IF(AND(ISNUMBER('Raw Data'!I47), IFERROR('Raw Data'!I47 = ROUND('Raw Data'!I47, 4),FALSE)),"",_xlfn.REGEXEXTRACT(CELL("address",I47), "\$([A-Z]+)\$[0-9]+"))),_xlfn.REGEXEXTRACT(CELL("address",I47), "\$([A-Z]+)\$[0-9]+"))</f>
        <v/>
      </c>
      <c r="J47" s="7" t="str" cm="1">
        <f t="array" aca="1" ref="J47" ca="1">IFERROR(IF(OR('Raw Data'!J47="",LEN(TRIM('Raw Data'!J47))=0),"",IF(AND(ISNUMBER('Raw Data'!J47), IFERROR('Raw Data'!J47 = ROUND('Raw Data'!J47, 4),FALSE)),"",_xlfn.REGEXEXTRACT(CELL("address",J47), "\$([A-Z]+)\$[0-9]+"))),_xlfn.REGEXEXTRACT(CELL("address",J47), "\$([A-Z]+)\$[0-9]+"))</f>
        <v/>
      </c>
      <c r="K47" s="7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7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</row>
    <row r="48" spans="2:22" x14ac:dyDescent="0.25">
      <c r="B48" s="7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20,LEN('Raw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Data'!D48))=0),"",IF(AND(ISNUMBER('Raw Data'!D48),'Raw Data'!D48&gt;=Configuration!$D$2),"",_xlfn.REGEXEXTRACT(CELL("address",'Raw Data'!D48),"\$([A-Z]+)\$[0-9]+"))),_xlfn.REGEXEXTRACT(CELL("address",D48), "\$([A-Z]+)\$[0-9]+"))</f>
        <v>$D$48</v>
      </c>
      <c r="E48" s="7" t="str" cm="1">
        <f t="array" aca="1" ref="E48" ca="1">IFERROR(IF(OR('Raw Data'!E48="",LEN(TRIM('Raw Data'!E48))=0),"",IF(AND(ISNUMBER('Raw Data'!E48), IFERROR('Raw Data'!E48 = ROUND('Raw Data'!E48, 4),FALSE)),"",_xlfn.REGEXEXTRACT(CELL("address",E48), "\$([A-Z]+)\$[0-9]+"))),_xlfn.REGEXEXTRACT(CELL("address",E48), 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4),FALSE)),"",_xlfn.REGEXEXTRACT(CELL("address",F48), "\$([A-Z]+)\$[0-9]+"))),_xlfn.REGEXEXTRACT(CELL("address",F48), "\$([A-Z]+)\$[0-9]+"))</f>
        <v/>
      </c>
      <c r="G48" s="7" t="str" cm="1">
        <f t="array" aca="1" ref="G48" ca="1">IFERROR(IF(OR('Raw Data'!G48="",LEN(TRIM('Raw Data'!G48))=0),"",IF(AND(ISNUMBER('Raw Data'!G48), IFERROR('Raw Data'!G48 = ROUND('Raw Data'!G48, 4),FALSE)),"",_xlfn.REGEXEXTRACT(CELL("address",G48), "\$([A-Z]+)\$[0-9]+"))),_xlfn.REGEXEXTRACT(CELL("address",G48), "\$([A-Z]+)\$[0-9]+"))</f>
        <v/>
      </c>
      <c r="H48" s="7" t="str" cm="1">
        <f t="array" aca="1" ref="H48" ca="1">IFERROR(IF(OR('Raw Data'!H48="",LEN(TRIM('Raw Data'!H48))=0),"",IF(AND(ISNUMBER('Raw Data'!H48), IFERROR('Raw Data'!H48 = ROUND('Raw Data'!H48, 4),FALSE)),"",_xlfn.REGEXEXTRACT(CELL("address",H48), "\$([A-Z]+)\$[0-9]+"))),_xlfn.REGEXEXTRACT(CELL("address",H48), "\$([A-Z]+)\$[0-9]+"))</f>
        <v/>
      </c>
      <c r="I48" s="7" t="str" cm="1">
        <f t="array" aca="1" ref="I48" ca="1">IFERROR(IF(OR('Raw Data'!I48="",LEN(TRIM('Raw Data'!I48))=0),"",IF(AND(ISNUMBER('Raw Data'!I48), IFERROR('Raw Data'!I48 = ROUND('Raw Data'!I48, 4),FALSE)),"",_xlfn.REGEXEXTRACT(CELL("address",I48), "\$([A-Z]+)\$[0-9]+"))),_xlfn.REGEXEXTRACT(CELL("address",I48), "\$([A-Z]+)\$[0-9]+"))</f>
        <v/>
      </c>
      <c r="J48" s="7" t="str" cm="1">
        <f t="array" aca="1" ref="J48" ca="1">IFERROR(IF(OR('Raw Data'!J48="",LEN(TRIM('Raw Data'!J48))=0),"",IF(AND(ISNUMBER('Raw Data'!J48), IFERROR('Raw Data'!J48 = ROUND('Raw Data'!J48, 4),FALSE)),"",_xlfn.REGEXEXTRACT(CELL("address",J48), "\$([A-Z]+)\$[0-9]+"))),_xlfn.REGEXEXTRACT(CELL("address",J48), "\$([A-Z]+)\$[0-9]+"))</f>
        <v/>
      </c>
      <c r="K48" s="7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7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</row>
    <row r="49" spans="2:22" x14ac:dyDescent="0.25">
      <c r="B49" s="7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20,LEN('Raw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Data'!D49))=0),"",IF(AND(ISNUMBER('Raw Data'!D49),'Raw Data'!D49&gt;=Configuration!$D$2),"",_xlfn.REGEXEXTRACT(CELL("address",'Raw Data'!D49),"\$([A-Z]+)\$[0-9]+"))),_xlfn.REGEXEXTRACT(CELL("address",D49), "\$([A-Z]+)\$[0-9]+"))</f>
        <v>$D$49</v>
      </c>
      <c r="E49" s="7" t="str" cm="1">
        <f t="array" aca="1" ref="E49" ca="1">IFERROR(IF(OR('Raw Data'!E49="",LEN(TRIM('Raw Data'!E49))=0),"",IF(AND(ISNUMBER('Raw Data'!E49), IFERROR('Raw Data'!E49 = ROUND('Raw Data'!E49, 4),FALSE)),"",_xlfn.REGEXEXTRACT(CELL("address",E49), "\$([A-Z]+)\$[0-9]+"))),_xlfn.REGEXEXTRACT(CELL("address",E49), 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4),FALSE)),"",_xlfn.REGEXEXTRACT(CELL("address",F49), "\$([A-Z]+)\$[0-9]+"))),_xlfn.REGEXEXTRACT(CELL("address",F49), "\$([A-Z]+)\$[0-9]+"))</f>
        <v/>
      </c>
      <c r="G49" s="7" t="str" cm="1">
        <f t="array" aca="1" ref="G49" ca="1">IFERROR(IF(OR('Raw Data'!G49="",LEN(TRIM('Raw Data'!G49))=0),"",IF(AND(ISNUMBER('Raw Data'!G49), IFERROR('Raw Data'!G49 = ROUND('Raw Data'!G49, 4),FALSE)),"",_xlfn.REGEXEXTRACT(CELL("address",G49), "\$([A-Z]+)\$[0-9]+"))),_xlfn.REGEXEXTRACT(CELL("address",G49), "\$([A-Z]+)\$[0-9]+"))</f>
        <v/>
      </c>
      <c r="H49" s="7" t="str" cm="1">
        <f t="array" aca="1" ref="H49" ca="1">IFERROR(IF(OR('Raw Data'!H49="",LEN(TRIM('Raw Data'!H49))=0),"",IF(AND(ISNUMBER('Raw Data'!H49), IFERROR('Raw Data'!H49 = ROUND('Raw Data'!H49, 4),FALSE)),"",_xlfn.REGEXEXTRACT(CELL("address",H49), "\$([A-Z]+)\$[0-9]+"))),_xlfn.REGEXEXTRACT(CELL("address",H49), "\$([A-Z]+)\$[0-9]+"))</f>
        <v/>
      </c>
      <c r="I49" s="7" t="str" cm="1">
        <f t="array" aca="1" ref="I49" ca="1">IFERROR(IF(OR('Raw Data'!I49="",LEN(TRIM('Raw Data'!I49))=0),"",IF(AND(ISNUMBER('Raw Data'!I49), IFERROR('Raw Data'!I49 = ROUND('Raw Data'!I49, 4),FALSE)),"",_xlfn.REGEXEXTRACT(CELL("address",I49), "\$([A-Z]+)\$[0-9]+"))),_xlfn.REGEXEXTRACT(CELL("address",I49), "\$([A-Z]+)\$[0-9]+"))</f>
        <v/>
      </c>
      <c r="J49" s="7" t="str" cm="1">
        <f t="array" aca="1" ref="J49" ca="1">IFERROR(IF(OR('Raw Data'!J49="",LEN(TRIM('Raw Data'!J49))=0),"",IF(AND(ISNUMBER('Raw Data'!J49), IFERROR('Raw Data'!J49 = ROUND('Raw Data'!J49, 4),FALSE)),"",_xlfn.REGEXEXTRACT(CELL("address",J49), "\$([A-Z]+)\$[0-9]+"))),_xlfn.REGEXEXTRACT(CELL("address",J49), "\$([A-Z]+)\$[0-9]+"))</f>
        <v/>
      </c>
      <c r="K49" s="7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7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</row>
    <row r="50" spans="2:22" x14ac:dyDescent="0.25">
      <c r="B50" s="7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20,LEN('Raw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Data'!D50))=0),"",IF(AND(ISNUMBER('Raw Data'!D50),'Raw Data'!D50&gt;=Configuration!$D$2),"",_xlfn.REGEXEXTRACT(CELL("address",'Raw Data'!D50),"\$([A-Z]+)\$[0-9]+"))),_xlfn.REGEXEXTRACT(CELL("address",D50), "\$([A-Z]+)\$[0-9]+"))</f>
        <v>$D$50</v>
      </c>
      <c r="E50" s="7" t="str" cm="1">
        <f t="array" aca="1" ref="E50" ca="1">IFERROR(IF(OR('Raw Data'!E50="",LEN(TRIM('Raw Data'!E50))=0),"",IF(AND(ISNUMBER('Raw Data'!E50), IFERROR('Raw Data'!E50 = ROUND('Raw Data'!E50, 4),FALSE)),"",_xlfn.REGEXEXTRACT(CELL("address",E50), "\$([A-Z]+)\$[0-9]+"))),_xlfn.REGEXEXTRACT(CELL("address",E50), 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4),FALSE)),"",_xlfn.REGEXEXTRACT(CELL("address",F50), "\$([A-Z]+)\$[0-9]+"))),_xlfn.REGEXEXTRACT(CELL("address",F50), "\$([A-Z]+)\$[0-9]+"))</f>
        <v/>
      </c>
      <c r="G50" s="7" t="str" cm="1">
        <f t="array" aca="1" ref="G50" ca="1">IFERROR(IF(OR('Raw Data'!G50="",LEN(TRIM('Raw Data'!G50))=0),"",IF(AND(ISNUMBER('Raw Data'!G50), IFERROR('Raw Data'!G50 = ROUND('Raw Data'!G50, 4),FALSE)),"",_xlfn.REGEXEXTRACT(CELL("address",G50), "\$([A-Z]+)\$[0-9]+"))),_xlfn.REGEXEXTRACT(CELL("address",G50), "\$([A-Z]+)\$[0-9]+"))</f>
        <v/>
      </c>
      <c r="H50" s="7" t="str" cm="1">
        <f t="array" aca="1" ref="H50" ca="1">IFERROR(IF(OR('Raw Data'!H50="",LEN(TRIM('Raw Data'!H50))=0),"",IF(AND(ISNUMBER('Raw Data'!H50), IFERROR('Raw Data'!H50 = ROUND('Raw Data'!H50, 4),FALSE)),"",_xlfn.REGEXEXTRACT(CELL("address",H50), "\$([A-Z]+)\$[0-9]+"))),_xlfn.REGEXEXTRACT(CELL("address",H50), "\$([A-Z]+)\$[0-9]+"))</f>
        <v/>
      </c>
      <c r="I50" s="7" t="str" cm="1">
        <f t="array" aca="1" ref="I50" ca="1">IFERROR(IF(OR('Raw Data'!I50="",LEN(TRIM('Raw Data'!I50))=0),"",IF(AND(ISNUMBER('Raw Data'!I50), IFERROR('Raw Data'!I50 = ROUND('Raw Data'!I50, 4),FALSE)),"",_xlfn.REGEXEXTRACT(CELL("address",I50), "\$([A-Z]+)\$[0-9]+"))),_xlfn.REGEXEXTRACT(CELL("address",I50), "\$([A-Z]+)\$[0-9]+"))</f>
        <v/>
      </c>
      <c r="J50" s="7" t="str" cm="1">
        <f t="array" aca="1" ref="J50" ca="1">IFERROR(IF(OR('Raw Data'!J50="",LEN(TRIM('Raw Data'!J50))=0),"",IF(AND(ISNUMBER('Raw Data'!J50), IFERROR('Raw Data'!J50 = ROUND('Raw Data'!J50, 4),FALSE)),"",_xlfn.REGEXEXTRACT(CELL("address",J50), "\$([A-Z]+)\$[0-9]+"))),_xlfn.REGEXEXTRACT(CELL("address",J50), "\$([A-Z]+)\$[0-9]+"))</f>
        <v/>
      </c>
      <c r="K50" s="7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7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</row>
    <row r="51" spans="2:22" x14ac:dyDescent="0.25">
      <c r="B51" s="7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20,LEN('Raw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Data'!D51))=0),"",IF(AND(ISNUMBER('Raw Data'!D51),'Raw Data'!D51&gt;=Configuration!$D$2),"",_xlfn.REGEXEXTRACT(CELL("address",'Raw Data'!D51),"\$([A-Z]+)\$[0-9]+"))),_xlfn.REGEXEXTRACT(CELL("address",D51), "\$([A-Z]+)\$[0-9]+"))</f>
        <v>$D$51</v>
      </c>
      <c r="E51" s="7" t="str" cm="1">
        <f t="array" aca="1" ref="E51" ca="1">IFERROR(IF(OR('Raw Data'!E51="",LEN(TRIM('Raw Data'!E51))=0),"",IF(AND(ISNUMBER('Raw Data'!E51), IFERROR('Raw Data'!E51 = ROUND('Raw Data'!E51, 4),FALSE)),"",_xlfn.REGEXEXTRACT(CELL("address",E51), "\$([A-Z]+)\$[0-9]+"))),_xlfn.REGEXEXTRACT(CELL("address",E51), 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4),FALSE)),"",_xlfn.REGEXEXTRACT(CELL("address",F51), "\$([A-Z]+)\$[0-9]+"))),_xlfn.REGEXEXTRACT(CELL("address",F51), "\$([A-Z]+)\$[0-9]+"))</f>
        <v/>
      </c>
      <c r="G51" s="7" t="str" cm="1">
        <f t="array" aca="1" ref="G51" ca="1">IFERROR(IF(OR('Raw Data'!G51="",LEN(TRIM('Raw Data'!G51))=0),"",IF(AND(ISNUMBER('Raw Data'!G51), IFERROR('Raw Data'!G51 = ROUND('Raw Data'!G51, 4),FALSE)),"",_xlfn.REGEXEXTRACT(CELL("address",G51), "\$([A-Z]+)\$[0-9]+"))),_xlfn.REGEXEXTRACT(CELL("address",G51), "\$([A-Z]+)\$[0-9]+"))</f>
        <v/>
      </c>
      <c r="H51" s="7" t="str" cm="1">
        <f t="array" aca="1" ref="H51" ca="1">IFERROR(IF(OR('Raw Data'!H51="",LEN(TRIM('Raw Data'!H51))=0),"",IF(AND(ISNUMBER('Raw Data'!H51), IFERROR('Raw Data'!H51 = ROUND('Raw Data'!H51, 4),FALSE)),"",_xlfn.REGEXEXTRACT(CELL("address",H51), "\$([A-Z]+)\$[0-9]+"))),_xlfn.REGEXEXTRACT(CELL("address",H51), "\$([A-Z]+)\$[0-9]+"))</f>
        <v/>
      </c>
      <c r="I51" s="7" t="str" cm="1">
        <f t="array" aca="1" ref="I51" ca="1">IFERROR(IF(OR('Raw Data'!I51="",LEN(TRIM('Raw Data'!I51))=0),"",IF(AND(ISNUMBER('Raw Data'!I51), IFERROR('Raw Data'!I51 = ROUND('Raw Data'!I51, 4),FALSE)),"",_xlfn.REGEXEXTRACT(CELL("address",I51), "\$([A-Z]+)\$[0-9]+"))),_xlfn.REGEXEXTRACT(CELL("address",I51), "\$([A-Z]+)\$[0-9]+"))</f>
        <v/>
      </c>
      <c r="J51" s="7" t="str" cm="1">
        <f t="array" aca="1" ref="J51" ca="1">IFERROR(IF(OR('Raw Data'!J51="",LEN(TRIM('Raw Data'!J51))=0),"",IF(AND(ISNUMBER('Raw Data'!J51), IFERROR('Raw Data'!J51 = ROUND('Raw Data'!J51, 4),FALSE)),"",_xlfn.REGEXEXTRACT(CELL("address",J51), "\$([A-Z]+)\$[0-9]+"))),_xlfn.REGEXEXTRACT(CELL("address",J51), "\$([A-Z]+)\$[0-9]+"))</f>
        <v/>
      </c>
      <c r="K51" s="7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7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</row>
    <row r="52" spans="2:22" x14ac:dyDescent="0.25">
      <c r="B52" s="7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20,LEN('Raw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Data'!D52))=0),"",IF(AND(ISNUMBER('Raw Data'!D52),'Raw Data'!D52&gt;=Configuration!$D$2),"",_xlfn.REGEXEXTRACT(CELL("address",'Raw Data'!D52),"\$([A-Z]+)\$[0-9]+"))),_xlfn.REGEXEXTRACT(CELL("address",D52), "\$([A-Z]+)\$[0-9]+"))</f>
        <v>$D$52</v>
      </c>
      <c r="E52" s="7" t="str" cm="1">
        <f t="array" aca="1" ref="E52" ca="1">IFERROR(IF(OR('Raw Data'!E52="",LEN(TRIM('Raw Data'!E52))=0),"",IF(AND(ISNUMBER('Raw Data'!E52), IFERROR('Raw Data'!E52 = ROUND('Raw Data'!E52, 4),FALSE)),"",_xlfn.REGEXEXTRACT(CELL("address",E52), "\$([A-Z]+)\$[0-9]+"))),_xlfn.REGEXEXTRACT(CELL("address",E52), 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4),FALSE)),"",_xlfn.REGEXEXTRACT(CELL("address",F52), "\$([A-Z]+)\$[0-9]+"))),_xlfn.REGEXEXTRACT(CELL("address",F52), "\$([A-Z]+)\$[0-9]+"))</f>
        <v/>
      </c>
      <c r="G52" s="7" t="str" cm="1">
        <f t="array" aca="1" ref="G52" ca="1">IFERROR(IF(OR('Raw Data'!G52="",LEN(TRIM('Raw Data'!G52))=0),"",IF(AND(ISNUMBER('Raw Data'!G52), IFERROR('Raw Data'!G52 = ROUND('Raw Data'!G52, 4),FALSE)),"",_xlfn.REGEXEXTRACT(CELL("address",G52), "\$([A-Z]+)\$[0-9]+"))),_xlfn.REGEXEXTRACT(CELL("address",G52), "\$([A-Z]+)\$[0-9]+"))</f>
        <v/>
      </c>
      <c r="H52" s="7" t="str" cm="1">
        <f t="array" aca="1" ref="H52" ca="1">IFERROR(IF(OR('Raw Data'!H52="",LEN(TRIM('Raw Data'!H52))=0),"",IF(AND(ISNUMBER('Raw Data'!H52), IFERROR('Raw Data'!H52 = ROUND('Raw Data'!H52, 4),FALSE)),"",_xlfn.REGEXEXTRACT(CELL("address",H52), "\$([A-Z]+)\$[0-9]+"))),_xlfn.REGEXEXTRACT(CELL("address",H52), "\$([A-Z]+)\$[0-9]+"))</f>
        <v/>
      </c>
      <c r="I52" s="7" t="str" cm="1">
        <f t="array" aca="1" ref="I52" ca="1">IFERROR(IF(OR('Raw Data'!I52="",LEN(TRIM('Raw Data'!I52))=0),"",IF(AND(ISNUMBER('Raw Data'!I52), IFERROR('Raw Data'!I52 = ROUND('Raw Data'!I52, 4),FALSE)),"",_xlfn.REGEXEXTRACT(CELL("address",I52), "\$([A-Z]+)\$[0-9]+"))),_xlfn.REGEXEXTRACT(CELL("address",I52), "\$([A-Z]+)\$[0-9]+"))</f>
        <v/>
      </c>
      <c r="J52" s="7" t="str" cm="1">
        <f t="array" aca="1" ref="J52" ca="1">IFERROR(IF(OR('Raw Data'!J52="",LEN(TRIM('Raw Data'!J52))=0),"",IF(AND(ISNUMBER('Raw Data'!J52), IFERROR('Raw Data'!J52 = ROUND('Raw Data'!J52, 4),FALSE)),"",_xlfn.REGEXEXTRACT(CELL("address",J52), "\$([A-Z]+)\$[0-9]+"))),_xlfn.REGEXEXTRACT(CELL("address",J52), "\$([A-Z]+)\$[0-9]+"))</f>
        <v/>
      </c>
      <c r="K52" s="7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7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</row>
    <row r="53" spans="2:22" x14ac:dyDescent="0.25">
      <c r="B53" s="7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20,LEN('Raw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Data'!D53))=0),"",IF(AND(ISNUMBER('Raw Data'!D53),'Raw Data'!D53&gt;=Configuration!$D$2),"",_xlfn.REGEXEXTRACT(CELL("address",'Raw Data'!D53),"\$([A-Z]+)\$[0-9]+"))),_xlfn.REGEXEXTRACT(CELL("address",D53), "\$([A-Z]+)\$[0-9]+"))</f>
        <v>$D$53</v>
      </c>
      <c r="E53" s="7" t="str" cm="1">
        <f t="array" aca="1" ref="E53" ca="1">IFERROR(IF(OR('Raw Data'!E53="",LEN(TRIM('Raw Data'!E53))=0),"",IF(AND(ISNUMBER('Raw Data'!E53), IFERROR('Raw Data'!E53 = ROUND('Raw Data'!E53, 4),FALSE)),"",_xlfn.REGEXEXTRACT(CELL("address",E53), "\$([A-Z]+)\$[0-9]+"))),_xlfn.REGEXEXTRACT(CELL("address",E53), 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4),FALSE)),"",_xlfn.REGEXEXTRACT(CELL("address",F53), "\$([A-Z]+)\$[0-9]+"))),_xlfn.REGEXEXTRACT(CELL("address",F53), "\$([A-Z]+)\$[0-9]+"))</f>
        <v/>
      </c>
      <c r="G53" s="7" t="str" cm="1">
        <f t="array" aca="1" ref="G53" ca="1">IFERROR(IF(OR('Raw Data'!G53="",LEN(TRIM('Raw Data'!G53))=0),"",IF(AND(ISNUMBER('Raw Data'!G53), IFERROR('Raw Data'!G53 = ROUND('Raw Data'!G53, 4),FALSE)),"",_xlfn.REGEXEXTRACT(CELL("address",G53), "\$([A-Z]+)\$[0-9]+"))),_xlfn.REGEXEXTRACT(CELL("address",G53), "\$([A-Z]+)\$[0-9]+"))</f>
        <v/>
      </c>
      <c r="H53" s="7" t="str" cm="1">
        <f t="array" aca="1" ref="H53" ca="1">IFERROR(IF(OR('Raw Data'!H53="",LEN(TRIM('Raw Data'!H53))=0),"",IF(AND(ISNUMBER('Raw Data'!H53), IFERROR('Raw Data'!H53 = ROUND('Raw Data'!H53, 4),FALSE)),"",_xlfn.REGEXEXTRACT(CELL("address",H53), "\$([A-Z]+)\$[0-9]+"))),_xlfn.REGEXEXTRACT(CELL("address",H53), "\$([A-Z]+)\$[0-9]+"))</f>
        <v/>
      </c>
      <c r="I53" s="7" t="str" cm="1">
        <f t="array" aca="1" ref="I53" ca="1">IFERROR(IF(OR('Raw Data'!I53="",LEN(TRIM('Raw Data'!I53))=0),"",IF(AND(ISNUMBER('Raw Data'!I53), IFERROR('Raw Data'!I53 = ROUND('Raw Data'!I53, 4),FALSE)),"",_xlfn.REGEXEXTRACT(CELL("address",I53), "\$([A-Z]+)\$[0-9]+"))),_xlfn.REGEXEXTRACT(CELL("address",I53), "\$([A-Z]+)\$[0-9]+"))</f>
        <v/>
      </c>
      <c r="J53" s="7" t="str" cm="1">
        <f t="array" aca="1" ref="J53" ca="1">IFERROR(IF(OR('Raw Data'!J53="",LEN(TRIM('Raw Data'!J53))=0),"",IF(AND(ISNUMBER('Raw Data'!J53), IFERROR('Raw Data'!J53 = ROUND('Raw Data'!J53, 4),FALSE)),"",_xlfn.REGEXEXTRACT(CELL("address",J53), "\$([A-Z]+)\$[0-9]+"))),_xlfn.REGEXEXTRACT(CELL("address",J53), "\$([A-Z]+)\$[0-9]+"))</f>
        <v/>
      </c>
      <c r="K53" s="7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7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</row>
    <row r="54" spans="2:22" x14ac:dyDescent="0.25">
      <c r="B54" s="7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20,LEN('Raw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Data'!D54))=0),"",IF(AND(ISNUMBER('Raw Data'!D54),'Raw Data'!D54&gt;=Configuration!$D$2),"",_xlfn.REGEXEXTRACT(CELL("address",'Raw Data'!D54),"\$([A-Z]+)\$[0-9]+"))),_xlfn.REGEXEXTRACT(CELL("address",D54), "\$([A-Z]+)\$[0-9]+"))</f>
        <v>$D$54</v>
      </c>
      <c r="E54" s="7" t="str" cm="1">
        <f t="array" aca="1" ref="E54" ca="1">IFERROR(IF(OR('Raw Data'!E54="",LEN(TRIM('Raw Data'!E54))=0),"",IF(AND(ISNUMBER('Raw Data'!E54), IFERROR('Raw Data'!E54 = ROUND('Raw Data'!E54, 4),FALSE)),"",_xlfn.REGEXEXTRACT(CELL("address",E54), "\$([A-Z]+)\$[0-9]+"))),_xlfn.REGEXEXTRACT(CELL("address",E54), 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4),FALSE)),"",_xlfn.REGEXEXTRACT(CELL("address",F54), "\$([A-Z]+)\$[0-9]+"))),_xlfn.REGEXEXTRACT(CELL("address",F54), "\$([A-Z]+)\$[0-9]+"))</f>
        <v/>
      </c>
      <c r="G54" s="7" t="str" cm="1">
        <f t="array" aca="1" ref="G54" ca="1">IFERROR(IF(OR('Raw Data'!G54="",LEN(TRIM('Raw Data'!G54))=0),"",IF(AND(ISNUMBER('Raw Data'!G54), IFERROR('Raw Data'!G54 = ROUND('Raw Data'!G54, 4),FALSE)),"",_xlfn.REGEXEXTRACT(CELL("address",G54), "\$([A-Z]+)\$[0-9]+"))),_xlfn.REGEXEXTRACT(CELL("address",G54), "\$([A-Z]+)\$[0-9]+"))</f>
        <v/>
      </c>
      <c r="H54" s="7" t="str" cm="1">
        <f t="array" aca="1" ref="H54" ca="1">IFERROR(IF(OR('Raw Data'!H54="",LEN(TRIM('Raw Data'!H54))=0),"",IF(AND(ISNUMBER('Raw Data'!H54), IFERROR('Raw Data'!H54 = ROUND('Raw Data'!H54, 4),FALSE)),"",_xlfn.REGEXEXTRACT(CELL("address",H54), "\$([A-Z]+)\$[0-9]+"))),_xlfn.REGEXEXTRACT(CELL("address",H54), "\$([A-Z]+)\$[0-9]+"))</f>
        <v/>
      </c>
      <c r="I54" s="7" t="str" cm="1">
        <f t="array" aca="1" ref="I54" ca="1">IFERROR(IF(OR('Raw Data'!I54="",LEN(TRIM('Raw Data'!I54))=0),"",IF(AND(ISNUMBER('Raw Data'!I54), IFERROR('Raw Data'!I54 = ROUND('Raw Data'!I54, 4),FALSE)),"",_xlfn.REGEXEXTRACT(CELL("address",I54), "\$([A-Z]+)\$[0-9]+"))),_xlfn.REGEXEXTRACT(CELL("address",I54), "\$([A-Z]+)\$[0-9]+"))</f>
        <v/>
      </c>
      <c r="J54" s="7" t="str" cm="1">
        <f t="array" aca="1" ref="J54" ca="1">IFERROR(IF(OR('Raw Data'!J54="",LEN(TRIM('Raw Data'!J54))=0),"",IF(AND(ISNUMBER('Raw Data'!J54), IFERROR('Raw Data'!J54 = ROUND('Raw Data'!J54, 4),FALSE)),"",_xlfn.REGEXEXTRACT(CELL("address",J54), "\$([A-Z]+)\$[0-9]+"))),_xlfn.REGEXEXTRACT(CELL("address",J54), "\$([A-Z]+)\$[0-9]+"))</f>
        <v/>
      </c>
      <c r="K54" s="7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7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</row>
    <row r="55" spans="2:22" x14ac:dyDescent="0.25">
      <c r="B55" s="7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20,LEN('Raw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Data'!D55))=0),"",IF(AND(ISNUMBER('Raw Data'!D55),'Raw Data'!D55&gt;=Configuration!$D$2),"",_xlfn.REGEXEXTRACT(CELL("address",'Raw Data'!D55),"\$([A-Z]+)\$[0-9]+"))),_xlfn.REGEXEXTRACT(CELL("address",D55), "\$([A-Z]+)\$[0-9]+"))</f>
        <v>$D$55</v>
      </c>
      <c r="E55" s="7" t="str" cm="1">
        <f t="array" aca="1" ref="E55" ca="1">IFERROR(IF(OR('Raw Data'!E55="",LEN(TRIM('Raw Data'!E55))=0),"",IF(AND(ISNUMBER('Raw Data'!E55), IFERROR('Raw Data'!E55 = ROUND('Raw Data'!E55, 4),FALSE)),"",_xlfn.REGEXEXTRACT(CELL("address",E55), "\$([A-Z]+)\$[0-9]+"))),_xlfn.REGEXEXTRACT(CELL("address",E55), 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4),FALSE)),"",_xlfn.REGEXEXTRACT(CELL("address",F55), "\$([A-Z]+)\$[0-9]+"))),_xlfn.REGEXEXTRACT(CELL("address",F55), "\$([A-Z]+)\$[0-9]+"))</f>
        <v/>
      </c>
      <c r="G55" s="7" t="str" cm="1">
        <f t="array" aca="1" ref="G55" ca="1">IFERROR(IF(OR('Raw Data'!G55="",LEN(TRIM('Raw Data'!G55))=0),"",IF(AND(ISNUMBER('Raw Data'!G55), IFERROR('Raw Data'!G55 = ROUND('Raw Data'!G55, 4),FALSE)),"",_xlfn.REGEXEXTRACT(CELL("address",G55), "\$([A-Z]+)\$[0-9]+"))),_xlfn.REGEXEXTRACT(CELL("address",G55), "\$([A-Z]+)\$[0-9]+"))</f>
        <v/>
      </c>
      <c r="H55" s="7" t="str" cm="1">
        <f t="array" aca="1" ref="H55" ca="1">IFERROR(IF(OR('Raw Data'!H55="",LEN(TRIM('Raw Data'!H55))=0),"",IF(AND(ISNUMBER('Raw Data'!H55), IFERROR('Raw Data'!H55 = ROUND('Raw Data'!H55, 4),FALSE)),"",_xlfn.REGEXEXTRACT(CELL("address",H55), "\$([A-Z]+)\$[0-9]+"))),_xlfn.REGEXEXTRACT(CELL("address",H55), "\$([A-Z]+)\$[0-9]+"))</f>
        <v/>
      </c>
      <c r="I55" s="7" t="str" cm="1">
        <f t="array" aca="1" ref="I55" ca="1">IFERROR(IF(OR('Raw Data'!I55="",LEN(TRIM('Raw Data'!I55))=0),"",IF(AND(ISNUMBER('Raw Data'!I55), IFERROR('Raw Data'!I55 = ROUND('Raw Data'!I55, 4),FALSE)),"",_xlfn.REGEXEXTRACT(CELL("address",I55), "\$([A-Z]+)\$[0-9]+"))),_xlfn.REGEXEXTRACT(CELL("address",I55), "\$([A-Z]+)\$[0-9]+"))</f>
        <v/>
      </c>
      <c r="J55" s="7" t="str" cm="1">
        <f t="array" aca="1" ref="J55" ca="1">IFERROR(IF(OR('Raw Data'!J55="",LEN(TRIM('Raw Data'!J55))=0),"",IF(AND(ISNUMBER('Raw Data'!J55), IFERROR('Raw Data'!J55 = ROUND('Raw Data'!J55, 4),FALSE)),"",_xlfn.REGEXEXTRACT(CELL("address",J55), "\$([A-Z]+)\$[0-9]+"))),_xlfn.REGEXEXTRACT(CELL("address",J55), "\$([A-Z]+)\$[0-9]+"))</f>
        <v/>
      </c>
      <c r="K55" s="7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7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</row>
    <row r="56" spans="2:22" x14ac:dyDescent="0.25">
      <c r="B56" s="7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20,LEN('Raw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Data'!D56))=0),"",IF(AND(ISNUMBER('Raw Data'!D56),'Raw Data'!D56&gt;=Configuration!$D$2),"",_xlfn.REGEXEXTRACT(CELL("address",'Raw Data'!D56),"\$([A-Z]+)\$[0-9]+"))),_xlfn.REGEXEXTRACT(CELL("address",D56), "\$([A-Z]+)\$[0-9]+"))</f>
        <v>$D$56</v>
      </c>
      <c r="E56" s="7" t="str" cm="1">
        <f t="array" aca="1" ref="E56" ca="1">IFERROR(IF(OR('Raw Data'!E56="",LEN(TRIM('Raw Data'!E56))=0),"",IF(AND(ISNUMBER('Raw Data'!E56), IFERROR('Raw Data'!E56 = ROUND('Raw Data'!E56, 4),FALSE)),"",_xlfn.REGEXEXTRACT(CELL("address",E56), "\$([A-Z]+)\$[0-9]+"))),_xlfn.REGEXEXTRACT(CELL("address",E56), 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4),FALSE)),"",_xlfn.REGEXEXTRACT(CELL("address",F56), "\$([A-Z]+)\$[0-9]+"))),_xlfn.REGEXEXTRACT(CELL("address",F56), "\$([A-Z]+)\$[0-9]+"))</f>
        <v/>
      </c>
      <c r="G56" s="7" t="str" cm="1">
        <f t="array" aca="1" ref="G56" ca="1">IFERROR(IF(OR('Raw Data'!G56="",LEN(TRIM('Raw Data'!G56))=0),"",IF(AND(ISNUMBER('Raw Data'!G56), IFERROR('Raw Data'!G56 = ROUND('Raw Data'!G56, 4),FALSE)),"",_xlfn.REGEXEXTRACT(CELL("address",G56), "\$([A-Z]+)\$[0-9]+"))),_xlfn.REGEXEXTRACT(CELL("address",G56), "\$([A-Z]+)\$[0-9]+"))</f>
        <v/>
      </c>
      <c r="H56" s="7" t="str" cm="1">
        <f t="array" aca="1" ref="H56" ca="1">IFERROR(IF(OR('Raw Data'!H56="",LEN(TRIM('Raw Data'!H56))=0),"",IF(AND(ISNUMBER('Raw Data'!H56), IFERROR('Raw Data'!H56 = ROUND('Raw Data'!H56, 4),FALSE)),"",_xlfn.REGEXEXTRACT(CELL("address",H56), "\$([A-Z]+)\$[0-9]+"))),_xlfn.REGEXEXTRACT(CELL("address",H56), "\$([A-Z]+)\$[0-9]+"))</f>
        <v/>
      </c>
      <c r="I56" s="7" t="str" cm="1">
        <f t="array" aca="1" ref="I56" ca="1">IFERROR(IF(OR('Raw Data'!I56="",LEN(TRIM('Raw Data'!I56))=0),"",IF(AND(ISNUMBER('Raw Data'!I56), IFERROR('Raw Data'!I56 = ROUND('Raw Data'!I56, 4),FALSE)),"",_xlfn.REGEXEXTRACT(CELL("address",I56), "\$([A-Z]+)\$[0-9]+"))),_xlfn.REGEXEXTRACT(CELL("address",I56), "\$([A-Z]+)\$[0-9]+"))</f>
        <v/>
      </c>
      <c r="J56" s="7" t="str" cm="1">
        <f t="array" aca="1" ref="J56" ca="1">IFERROR(IF(OR('Raw Data'!J56="",LEN(TRIM('Raw Data'!J56))=0),"",IF(AND(ISNUMBER('Raw Data'!J56), IFERROR('Raw Data'!J56 = ROUND('Raw Data'!J56, 4),FALSE)),"",_xlfn.REGEXEXTRACT(CELL("address",J56), "\$([A-Z]+)\$[0-9]+"))),_xlfn.REGEXEXTRACT(CELL("address",J56), "\$([A-Z]+)\$[0-9]+"))</f>
        <v/>
      </c>
      <c r="K56" s="7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7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</row>
    <row r="57" spans="2:22" x14ac:dyDescent="0.25">
      <c r="B57" s="7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20,LEN('Raw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Data'!D57))=0),"",IF(AND(ISNUMBER('Raw Data'!D57),'Raw Data'!D57&gt;=Configuration!$D$2),"",_xlfn.REGEXEXTRACT(CELL("address",'Raw Data'!D57),"\$([A-Z]+)\$[0-9]+"))),_xlfn.REGEXEXTRACT(CELL("address",D57), "\$([A-Z]+)\$[0-9]+"))</f>
        <v>$D$57</v>
      </c>
      <c r="E57" s="7" t="str" cm="1">
        <f t="array" aca="1" ref="E57" ca="1">IFERROR(IF(OR('Raw Data'!E57="",LEN(TRIM('Raw Data'!E57))=0),"",IF(AND(ISNUMBER('Raw Data'!E57), IFERROR('Raw Data'!E57 = ROUND('Raw Data'!E57, 4),FALSE)),"",_xlfn.REGEXEXTRACT(CELL("address",E57), "\$([A-Z]+)\$[0-9]+"))),_xlfn.REGEXEXTRACT(CELL("address",E57), 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4),FALSE)),"",_xlfn.REGEXEXTRACT(CELL("address",F57), "\$([A-Z]+)\$[0-9]+"))),_xlfn.REGEXEXTRACT(CELL("address",F57), "\$([A-Z]+)\$[0-9]+"))</f>
        <v/>
      </c>
      <c r="G57" s="7" t="str" cm="1">
        <f t="array" aca="1" ref="G57" ca="1">IFERROR(IF(OR('Raw Data'!G57="",LEN(TRIM('Raw Data'!G57))=0),"",IF(AND(ISNUMBER('Raw Data'!G57), IFERROR('Raw Data'!G57 = ROUND('Raw Data'!G57, 4),FALSE)),"",_xlfn.REGEXEXTRACT(CELL("address",G57), "\$([A-Z]+)\$[0-9]+"))),_xlfn.REGEXEXTRACT(CELL("address",G57), "\$([A-Z]+)\$[0-9]+"))</f>
        <v/>
      </c>
      <c r="H57" s="7" t="str" cm="1">
        <f t="array" aca="1" ref="H57" ca="1">IFERROR(IF(OR('Raw Data'!H57="",LEN(TRIM('Raw Data'!H57))=0),"",IF(AND(ISNUMBER('Raw Data'!H57), IFERROR('Raw Data'!H57 = ROUND('Raw Data'!H57, 4),FALSE)),"",_xlfn.REGEXEXTRACT(CELL("address",H57), "\$([A-Z]+)\$[0-9]+"))),_xlfn.REGEXEXTRACT(CELL("address",H57), "\$([A-Z]+)\$[0-9]+"))</f>
        <v/>
      </c>
      <c r="I57" s="7" t="str" cm="1">
        <f t="array" aca="1" ref="I57" ca="1">IFERROR(IF(OR('Raw Data'!I57="",LEN(TRIM('Raw Data'!I57))=0),"",IF(AND(ISNUMBER('Raw Data'!I57), IFERROR('Raw Data'!I57 = ROUND('Raw Data'!I57, 4),FALSE)),"",_xlfn.REGEXEXTRACT(CELL("address",I57), "\$([A-Z]+)\$[0-9]+"))),_xlfn.REGEXEXTRACT(CELL("address",I57), "\$([A-Z]+)\$[0-9]+"))</f>
        <v/>
      </c>
      <c r="J57" s="7" t="str" cm="1">
        <f t="array" aca="1" ref="J57" ca="1">IFERROR(IF(OR('Raw Data'!J57="",LEN(TRIM('Raw Data'!J57))=0),"",IF(AND(ISNUMBER('Raw Data'!J57), IFERROR('Raw Data'!J57 = ROUND('Raw Data'!J57, 4),FALSE)),"",_xlfn.REGEXEXTRACT(CELL("address",J57), "\$([A-Z]+)\$[0-9]+"))),_xlfn.REGEXEXTRACT(CELL("address",J57), "\$([A-Z]+)\$[0-9]+"))</f>
        <v/>
      </c>
      <c r="K57" s="7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7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</row>
    <row r="58" spans="2:22" x14ac:dyDescent="0.25">
      <c r="B58" s="7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20,LEN('Raw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Data'!D58))=0),"",IF(AND(ISNUMBER('Raw Data'!D58),'Raw Data'!D58&gt;=Configuration!$D$2),"",_xlfn.REGEXEXTRACT(CELL("address",'Raw Data'!D58),"\$([A-Z]+)\$[0-9]+"))),_xlfn.REGEXEXTRACT(CELL("address",D58), "\$([A-Z]+)\$[0-9]+"))</f>
        <v>$D$58</v>
      </c>
      <c r="E58" s="7" t="str" cm="1">
        <f t="array" aca="1" ref="E58" ca="1">IFERROR(IF(OR('Raw Data'!E58="",LEN(TRIM('Raw Data'!E58))=0),"",IF(AND(ISNUMBER('Raw Data'!E58), IFERROR('Raw Data'!E58 = ROUND('Raw Data'!E58, 4),FALSE)),"",_xlfn.REGEXEXTRACT(CELL("address",E58), "\$([A-Z]+)\$[0-9]+"))),_xlfn.REGEXEXTRACT(CELL("address",E58), 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4),FALSE)),"",_xlfn.REGEXEXTRACT(CELL("address",F58), "\$([A-Z]+)\$[0-9]+"))),_xlfn.REGEXEXTRACT(CELL("address",F58), "\$([A-Z]+)\$[0-9]+"))</f>
        <v/>
      </c>
      <c r="G58" s="7" t="str" cm="1">
        <f t="array" aca="1" ref="G58" ca="1">IFERROR(IF(OR('Raw Data'!G58="",LEN(TRIM('Raw Data'!G58))=0),"",IF(AND(ISNUMBER('Raw Data'!G58), IFERROR('Raw Data'!G58 = ROUND('Raw Data'!G58, 4),FALSE)),"",_xlfn.REGEXEXTRACT(CELL("address",G58), "\$([A-Z]+)\$[0-9]+"))),_xlfn.REGEXEXTRACT(CELL("address",G58), "\$([A-Z]+)\$[0-9]+"))</f>
        <v/>
      </c>
      <c r="H58" s="7" t="str" cm="1">
        <f t="array" aca="1" ref="H58" ca="1">IFERROR(IF(OR('Raw Data'!H58="",LEN(TRIM('Raw Data'!H58))=0),"",IF(AND(ISNUMBER('Raw Data'!H58), IFERROR('Raw Data'!H58 = ROUND('Raw Data'!H58, 4),FALSE)),"",_xlfn.REGEXEXTRACT(CELL("address",H58), "\$([A-Z]+)\$[0-9]+"))),_xlfn.REGEXEXTRACT(CELL("address",H58), "\$([A-Z]+)\$[0-9]+"))</f>
        <v/>
      </c>
      <c r="I58" s="7" t="str" cm="1">
        <f t="array" aca="1" ref="I58" ca="1">IFERROR(IF(OR('Raw Data'!I58="",LEN(TRIM('Raw Data'!I58))=0),"",IF(AND(ISNUMBER('Raw Data'!I58), IFERROR('Raw Data'!I58 = ROUND('Raw Data'!I58, 4),FALSE)),"",_xlfn.REGEXEXTRACT(CELL("address",I58), "\$([A-Z]+)\$[0-9]+"))),_xlfn.REGEXEXTRACT(CELL("address",I58), "\$([A-Z]+)\$[0-9]+"))</f>
        <v/>
      </c>
      <c r="J58" s="7" t="str" cm="1">
        <f t="array" aca="1" ref="J58" ca="1">IFERROR(IF(OR('Raw Data'!J58="",LEN(TRIM('Raw Data'!J58))=0),"",IF(AND(ISNUMBER('Raw Data'!J58), IFERROR('Raw Data'!J58 = ROUND('Raw Data'!J58, 4),FALSE)),"",_xlfn.REGEXEXTRACT(CELL("address",J58), "\$([A-Z]+)\$[0-9]+"))),_xlfn.REGEXEXTRACT(CELL("address",J58), "\$([A-Z]+)\$[0-9]+"))</f>
        <v/>
      </c>
      <c r="K58" s="7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7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</row>
    <row r="59" spans="2:22" x14ac:dyDescent="0.25">
      <c r="B59" s="7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20,LEN('Raw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Data'!D59))=0),"",IF(AND(ISNUMBER('Raw Data'!D59),'Raw Data'!D59&gt;=Configuration!$D$2),"",_xlfn.REGEXEXTRACT(CELL("address",'Raw Data'!D59),"\$([A-Z]+)\$[0-9]+"))),_xlfn.REGEXEXTRACT(CELL("address",D59), "\$([A-Z]+)\$[0-9]+"))</f>
        <v>$D$59</v>
      </c>
      <c r="E59" s="7" t="str" cm="1">
        <f t="array" aca="1" ref="E59" ca="1">IFERROR(IF(OR('Raw Data'!E59="",LEN(TRIM('Raw Data'!E59))=0),"",IF(AND(ISNUMBER('Raw Data'!E59), IFERROR('Raw Data'!E59 = ROUND('Raw Data'!E59, 4),FALSE)),"",_xlfn.REGEXEXTRACT(CELL("address",E59), "\$([A-Z]+)\$[0-9]+"))),_xlfn.REGEXEXTRACT(CELL("address",E59), 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4),FALSE)),"",_xlfn.REGEXEXTRACT(CELL("address",F59), "\$([A-Z]+)\$[0-9]+"))),_xlfn.REGEXEXTRACT(CELL("address",F59), "\$([A-Z]+)\$[0-9]+"))</f>
        <v/>
      </c>
      <c r="G59" s="7" t="str" cm="1">
        <f t="array" aca="1" ref="G59" ca="1">IFERROR(IF(OR('Raw Data'!G59="",LEN(TRIM('Raw Data'!G59))=0),"",IF(AND(ISNUMBER('Raw Data'!G59), IFERROR('Raw Data'!G59 = ROUND('Raw Data'!G59, 4),FALSE)),"",_xlfn.REGEXEXTRACT(CELL("address",G59), "\$([A-Z]+)\$[0-9]+"))),_xlfn.REGEXEXTRACT(CELL("address",G59), "\$([A-Z]+)\$[0-9]+"))</f>
        <v/>
      </c>
      <c r="H59" s="7" t="str" cm="1">
        <f t="array" aca="1" ref="H59" ca="1">IFERROR(IF(OR('Raw Data'!H59="",LEN(TRIM('Raw Data'!H59))=0),"",IF(AND(ISNUMBER('Raw Data'!H59), IFERROR('Raw Data'!H59 = ROUND('Raw Data'!H59, 4),FALSE)),"",_xlfn.REGEXEXTRACT(CELL("address",H59), "\$([A-Z]+)\$[0-9]+"))),_xlfn.REGEXEXTRACT(CELL("address",H59), "\$([A-Z]+)\$[0-9]+"))</f>
        <v/>
      </c>
      <c r="I59" s="7" t="str" cm="1">
        <f t="array" aca="1" ref="I59" ca="1">IFERROR(IF(OR('Raw Data'!I59="",LEN(TRIM('Raw Data'!I59))=0),"",IF(AND(ISNUMBER('Raw Data'!I59), IFERROR('Raw Data'!I59 = ROUND('Raw Data'!I59, 4),FALSE)),"",_xlfn.REGEXEXTRACT(CELL("address",I59), "\$([A-Z]+)\$[0-9]+"))),_xlfn.REGEXEXTRACT(CELL("address",I59), "\$([A-Z]+)\$[0-9]+"))</f>
        <v/>
      </c>
      <c r="J59" s="7" t="str" cm="1">
        <f t="array" aca="1" ref="J59" ca="1">IFERROR(IF(OR('Raw Data'!J59="",LEN(TRIM('Raw Data'!J59))=0),"",IF(AND(ISNUMBER('Raw Data'!J59), IFERROR('Raw Data'!J59 = ROUND('Raw Data'!J59, 4),FALSE)),"",_xlfn.REGEXEXTRACT(CELL("address",J59), "\$([A-Z]+)\$[0-9]+"))),_xlfn.REGEXEXTRACT(CELL("address",J59), "\$([A-Z]+)\$[0-9]+"))</f>
        <v/>
      </c>
      <c r="K59" s="7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7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</row>
    <row r="60" spans="2:22" x14ac:dyDescent="0.25">
      <c r="B60" s="7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20,LEN('Raw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Data'!D60))=0),"",IF(AND(ISNUMBER('Raw Data'!D60),'Raw Data'!D60&gt;=Configuration!$D$2),"",_xlfn.REGEXEXTRACT(CELL("address",'Raw Data'!D60),"\$([A-Z]+)\$[0-9]+"))),_xlfn.REGEXEXTRACT(CELL("address",D60), "\$([A-Z]+)\$[0-9]+"))</f>
        <v>$D$60</v>
      </c>
      <c r="E60" s="7" t="str" cm="1">
        <f t="array" aca="1" ref="E60" ca="1">IFERROR(IF(OR('Raw Data'!E60="",LEN(TRIM('Raw Data'!E60))=0),"",IF(AND(ISNUMBER('Raw Data'!E60), IFERROR('Raw Data'!E60 = ROUND('Raw Data'!E60, 4),FALSE)),"",_xlfn.REGEXEXTRACT(CELL("address",E60), "\$([A-Z]+)\$[0-9]+"))),_xlfn.REGEXEXTRACT(CELL("address",E60), 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4),FALSE)),"",_xlfn.REGEXEXTRACT(CELL("address",F60), "\$([A-Z]+)\$[0-9]+"))),_xlfn.REGEXEXTRACT(CELL("address",F60), "\$([A-Z]+)\$[0-9]+"))</f>
        <v/>
      </c>
      <c r="G60" s="7" t="str" cm="1">
        <f t="array" aca="1" ref="G60" ca="1">IFERROR(IF(OR('Raw Data'!G60="",LEN(TRIM('Raw Data'!G60))=0),"",IF(AND(ISNUMBER('Raw Data'!G60), IFERROR('Raw Data'!G60 = ROUND('Raw Data'!G60, 4),FALSE)),"",_xlfn.REGEXEXTRACT(CELL("address",G60), "\$([A-Z]+)\$[0-9]+"))),_xlfn.REGEXEXTRACT(CELL("address",G60), "\$([A-Z]+)\$[0-9]+"))</f>
        <v/>
      </c>
      <c r="H60" s="7" t="str" cm="1">
        <f t="array" aca="1" ref="H60" ca="1">IFERROR(IF(OR('Raw Data'!H60="",LEN(TRIM('Raw Data'!H60))=0),"",IF(AND(ISNUMBER('Raw Data'!H60), IFERROR('Raw Data'!H60 = ROUND('Raw Data'!H60, 4),FALSE)),"",_xlfn.REGEXEXTRACT(CELL("address",H60), "\$([A-Z]+)\$[0-9]+"))),_xlfn.REGEXEXTRACT(CELL("address",H60), "\$([A-Z]+)\$[0-9]+"))</f>
        <v/>
      </c>
      <c r="I60" s="7" t="str" cm="1">
        <f t="array" aca="1" ref="I60" ca="1">IFERROR(IF(OR('Raw Data'!I60="",LEN(TRIM('Raw Data'!I60))=0),"",IF(AND(ISNUMBER('Raw Data'!I60), IFERROR('Raw Data'!I60 = ROUND('Raw Data'!I60, 4),FALSE)),"",_xlfn.REGEXEXTRACT(CELL("address",I60), "\$([A-Z]+)\$[0-9]+"))),_xlfn.REGEXEXTRACT(CELL("address",I60), "\$([A-Z]+)\$[0-9]+"))</f>
        <v/>
      </c>
      <c r="J60" s="7" t="str" cm="1">
        <f t="array" aca="1" ref="J60" ca="1">IFERROR(IF(OR('Raw Data'!J60="",LEN(TRIM('Raw Data'!J60))=0),"",IF(AND(ISNUMBER('Raw Data'!J60), IFERROR('Raw Data'!J60 = ROUND('Raw Data'!J60, 4),FALSE)),"",_xlfn.REGEXEXTRACT(CELL("address",J60), "\$([A-Z]+)\$[0-9]+"))),_xlfn.REGEXEXTRACT(CELL("address",J60), "\$([A-Z]+)\$[0-9]+"))</f>
        <v/>
      </c>
      <c r="K60" s="7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7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</row>
    <row r="61" spans="2:22" x14ac:dyDescent="0.25">
      <c r="B61" s="7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20,LEN('Raw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Data'!D61))=0),"",IF(AND(ISNUMBER('Raw Data'!D61),'Raw Data'!D61&gt;=Configuration!$D$2),"",_xlfn.REGEXEXTRACT(CELL("address",'Raw Data'!D61),"\$([A-Z]+)\$[0-9]+"))),_xlfn.REGEXEXTRACT(CELL("address",D61), "\$([A-Z]+)\$[0-9]+"))</f>
        <v>$D$61</v>
      </c>
      <c r="E61" s="7" t="str" cm="1">
        <f t="array" aca="1" ref="E61" ca="1">IFERROR(IF(OR('Raw Data'!E61="",LEN(TRIM('Raw Data'!E61))=0),"",IF(AND(ISNUMBER('Raw Data'!E61), IFERROR('Raw Data'!E61 = ROUND('Raw Data'!E61, 4),FALSE)),"",_xlfn.REGEXEXTRACT(CELL("address",E61), "\$([A-Z]+)\$[0-9]+"))),_xlfn.REGEXEXTRACT(CELL("address",E61), 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4),FALSE)),"",_xlfn.REGEXEXTRACT(CELL("address",F61), "\$([A-Z]+)\$[0-9]+"))),_xlfn.REGEXEXTRACT(CELL("address",F61), "\$([A-Z]+)\$[0-9]+"))</f>
        <v/>
      </c>
      <c r="G61" s="7" t="str" cm="1">
        <f t="array" aca="1" ref="G61" ca="1">IFERROR(IF(OR('Raw Data'!G61="",LEN(TRIM('Raw Data'!G61))=0),"",IF(AND(ISNUMBER('Raw Data'!G61), IFERROR('Raw Data'!G61 = ROUND('Raw Data'!G61, 4),FALSE)),"",_xlfn.REGEXEXTRACT(CELL("address",G61), "\$([A-Z]+)\$[0-9]+"))),_xlfn.REGEXEXTRACT(CELL("address",G61), "\$([A-Z]+)\$[0-9]+"))</f>
        <v/>
      </c>
      <c r="H61" s="7" t="str" cm="1">
        <f t="array" aca="1" ref="H61" ca="1">IFERROR(IF(OR('Raw Data'!H61="",LEN(TRIM('Raw Data'!H61))=0),"",IF(AND(ISNUMBER('Raw Data'!H61), IFERROR('Raw Data'!H61 = ROUND('Raw Data'!H61, 4),FALSE)),"",_xlfn.REGEXEXTRACT(CELL("address",H61), "\$([A-Z]+)\$[0-9]+"))),_xlfn.REGEXEXTRACT(CELL("address",H61), "\$([A-Z]+)\$[0-9]+"))</f>
        <v/>
      </c>
      <c r="I61" s="7" t="str" cm="1">
        <f t="array" aca="1" ref="I61" ca="1">IFERROR(IF(OR('Raw Data'!I61="",LEN(TRIM('Raw Data'!I61))=0),"",IF(AND(ISNUMBER('Raw Data'!I61), IFERROR('Raw Data'!I61 = ROUND('Raw Data'!I61, 4),FALSE)),"",_xlfn.REGEXEXTRACT(CELL("address",I61), "\$([A-Z]+)\$[0-9]+"))),_xlfn.REGEXEXTRACT(CELL("address",I61), "\$([A-Z]+)\$[0-9]+"))</f>
        <v/>
      </c>
      <c r="J61" s="7" t="str" cm="1">
        <f t="array" aca="1" ref="J61" ca="1">IFERROR(IF(OR('Raw Data'!J61="",LEN(TRIM('Raw Data'!J61))=0),"",IF(AND(ISNUMBER('Raw Data'!J61), IFERROR('Raw Data'!J61 = ROUND('Raw Data'!J61, 4),FALSE)),"",_xlfn.REGEXEXTRACT(CELL("address",J61), "\$([A-Z]+)\$[0-9]+"))),_xlfn.REGEXEXTRACT(CELL("address",J61), "\$([A-Z]+)\$[0-9]+"))</f>
        <v/>
      </c>
      <c r="K61" s="7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7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</row>
    <row r="62" spans="2:22" x14ac:dyDescent="0.25">
      <c r="B62" s="7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20,LEN('Raw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Data'!D62))=0),"",IF(AND(ISNUMBER('Raw Data'!D62),'Raw Data'!D62&gt;=Configuration!$D$2),"",_xlfn.REGEXEXTRACT(CELL("address",'Raw Data'!D62),"\$([A-Z]+)\$[0-9]+"))),_xlfn.REGEXEXTRACT(CELL("address",D62), "\$([A-Z]+)\$[0-9]+"))</f>
        <v>$D$62</v>
      </c>
      <c r="E62" s="7" t="str" cm="1">
        <f t="array" aca="1" ref="E62" ca="1">IFERROR(IF(OR('Raw Data'!E62="",LEN(TRIM('Raw Data'!E62))=0),"",IF(AND(ISNUMBER('Raw Data'!E62), IFERROR('Raw Data'!E62 = ROUND('Raw Data'!E62, 4),FALSE)),"",_xlfn.REGEXEXTRACT(CELL("address",E62), "\$([A-Z]+)\$[0-9]+"))),_xlfn.REGEXEXTRACT(CELL("address",E62), 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4),FALSE)),"",_xlfn.REGEXEXTRACT(CELL("address",F62), "\$([A-Z]+)\$[0-9]+"))),_xlfn.REGEXEXTRACT(CELL("address",F62), "\$([A-Z]+)\$[0-9]+"))</f>
        <v/>
      </c>
      <c r="G62" s="7" t="str" cm="1">
        <f t="array" aca="1" ref="G62" ca="1">IFERROR(IF(OR('Raw Data'!G62="",LEN(TRIM('Raw Data'!G62))=0),"",IF(AND(ISNUMBER('Raw Data'!G62), IFERROR('Raw Data'!G62 = ROUND('Raw Data'!G62, 4),FALSE)),"",_xlfn.REGEXEXTRACT(CELL("address",G62), "\$([A-Z]+)\$[0-9]+"))),_xlfn.REGEXEXTRACT(CELL("address",G62), "\$([A-Z]+)\$[0-9]+"))</f>
        <v/>
      </c>
      <c r="H62" s="7" t="str" cm="1">
        <f t="array" aca="1" ref="H62" ca="1">IFERROR(IF(OR('Raw Data'!H62="",LEN(TRIM('Raw Data'!H62))=0),"",IF(AND(ISNUMBER('Raw Data'!H62), IFERROR('Raw Data'!H62 = ROUND('Raw Data'!H62, 4),FALSE)),"",_xlfn.REGEXEXTRACT(CELL("address",H62), "\$([A-Z]+)\$[0-9]+"))),_xlfn.REGEXEXTRACT(CELL("address",H62), "\$([A-Z]+)\$[0-9]+"))</f>
        <v/>
      </c>
      <c r="I62" s="7" t="str" cm="1">
        <f t="array" aca="1" ref="I62" ca="1">IFERROR(IF(OR('Raw Data'!I62="",LEN(TRIM('Raw Data'!I62))=0),"",IF(AND(ISNUMBER('Raw Data'!I62), IFERROR('Raw Data'!I62 = ROUND('Raw Data'!I62, 4),FALSE)),"",_xlfn.REGEXEXTRACT(CELL("address",I62), "\$([A-Z]+)\$[0-9]+"))),_xlfn.REGEXEXTRACT(CELL("address",I62), "\$([A-Z]+)\$[0-9]+"))</f>
        <v/>
      </c>
      <c r="J62" s="7" t="str" cm="1">
        <f t="array" aca="1" ref="J62" ca="1">IFERROR(IF(OR('Raw Data'!J62="",LEN(TRIM('Raw Data'!J62))=0),"",IF(AND(ISNUMBER('Raw Data'!J62), IFERROR('Raw Data'!J62 = ROUND('Raw Data'!J62, 4),FALSE)),"",_xlfn.REGEXEXTRACT(CELL("address",J62), "\$([A-Z]+)\$[0-9]+"))),_xlfn.REGEXEXTRACT(CELL("address",J62), "\$([A-Z]+)\$[0-9]+"))</f>
        <v/>
      </c>
      <c r="K62" s="7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7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</row>
    <row r="63" spans="2:22" x14ac:dyDescent="0.25">
      <c r="B63" s="7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20,LEN('Raw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Data'!D63))=0),"",IF(AND(ISNUMBER('Raw Data'!D63),'Raw Data'!D63&gt;=Configuration!$D$2),"",_xlfn.REGEXEXTRACT(CELL("address",'Raw Data'!D63),"\$([A-Z]+)\$[0-9]+"))),_xlfn.REGEXEXTRACT(CELL("address",D63), "\$([A-Z]+)\$[0-9]+"))</f>
        <v>$D$63</v>
      </c>
      <c r="E63" s="7" t="str" cm="1">
        <f t="array" aca="1" ref="E63" ca="1">IFERROR(IF(OR('Raw Data'!E63="",LEN(TRIM('Raw Data'!E63))=0),"",IF(AND(ISNUMBER('Raw Data'!E63), IFERROR('Raw Data'!E63 = ROUND('Raw Data'!E63, 4),FALSE)),"",_xlfn.REGEXEXTRACT(CELL("address",E63), "\$([A-Z]+)\$[0-9]+"))),_xlfn.REGEXEXTRACT(CELL("address",E63), 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4),FALSE)),"",_xlfn.REGEXEXTRACT(CELL("address",F63), "\$([A-Z]+)\$[0-9]+"))),_xlfn.REGEXEXTRACT(CELL("address",F63), "\$([A-Z]+)\$[0-9]+"))</f>
        <v/>
      </c>
      <c r="G63" s="7" t="str" cm="1">
        <f t="array" aca="1" ref="G63" ca="1">IFERROR(IF(OR('Raw Data'!G63="",LEN(TRIM('Raw Data'!G63))=0),"",IF(AND(ISNUMBER('Raw Data'!G63), IFERROR('Raw Data'!G63 = ROUND('Raw Data'!G63, 4),FALSE)),"",_xlfn.REGEXEXTRACT(CELL("address",G63), "\$([A-Z]+)\$[0-9]+"))),_xlfn.REGEXEXTRACT(CELL("address",G63), "\$([A-Z]+)\$[0-9]+"))</f>
        <v/>
      </c>
      <c r="H63" s="7" t="str" cm="1">
        <f t="array" aca="1" ref="H63" ca="1">IFERROR(IF(OR('Raw Data'!H63="",LEN(TRIM('Raw Data'!H63))=0),"",IF(AND(ISNUMBER('Raw Data'!H63), IFERROR('Raw Data'!H63 = ROUND('Raw Data'!H63, 4),FALSE)),"",_xlfn.REGEXEXTRACT(CELL("address",H63), "\$([A-Z]+)\$[0-9]+"))),_xlfn.REGEXEXTRACT(CELL("address",H63), "\$([A-Z]+)\$[0-9]+"))</f>
        <v/>
      </c>
      <c r="I63" s="7" t="str" cm="1">
        <f t="array" aca="1" ref="I63" ca="1">IFERROR(IF(OR('Raw Data'!I63="",LEN(TRIM('Raw Data'!I63))=0),"",IF(AND(ISNUMBER('Raw Data'!I63), IFERROR('Raw Data'!I63 = ROUND('Raw Data'!I63, 4),FALSE)),"",_xlfn.REGEXEXTRACT(CELL("address",I63), "\$([A-Z]+)\$[0-9]+"))),_xlfn.REGEXEXTRACT(CELL("address",I63), "\$([A-Z]+)\$[0-9]+"))</f>
        <v/>
      </c>
      <c r="J63" s="7" t="str" cm="1">
        <f t="array" aca="1" ref="J63" ca="1">IFERROR(IF(OR('Raw Data'!J63="",LEN(TRIM('Raw Data'!J63))=0),"",IF(AND(ISNUMBER('Raw Data'!J63), IFERROR('Raw Data'!J63 = ROUND('Raw Data'!J63, 4),FALSE)),"",_xlfn.REGEXEXTRACT(CELL("address",J63), "\$([A-Z]+)\$[0-9]+"))),_xlfn.REGEXEXTRACT(CELL("address",J63), "\$([A-Z]+)\$[0-9]+"))</f>
        <v/>
      </c>
      <c r="K63" s="7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7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</row>
    <row r="64" spans="2:22" x14ac:dyDescent="0.25">
      <c r="B64" s="7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20,LEN('Raw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Data'!D64))=0),"",IF(AND(ISNUMBER('Raw Data'!D64),'Raw Data'!D64&gt;=Configuration!$D$2),"",_xlfn.REGEXEXTRACT(CELL("address",'Raw Data'!D64),"\$([A-Z]+)\$[0-9]+"))),_xlfn.REGEXEXTRACT(CELL("address",D64), "\$([A-Z]+)\$[0-9]+"))</f>
        <v>$D$64</v>
      </c>
      <c r="E64" s="7" t="str" cm="1">
        <f t="array" aca="1" ref="E64" ca="1">IFERROR(IF(OR('Raw Data'!E64="",LEN(TRIM('Raw Data'!E64))=0),"",IF(AND(ISNUMBER('Raw Data'!E64), IFERROR('Raw Data'!E64 = ROUND('Raw Data'!E64, 4),FALSE)),"",_xlfn.REGEXEXTRACT(CELL("address",E64), "\$([A-Z]+)\$[0-9]+"))),_xlfn.REGEXEXTRACT(CELL("address",E64), 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4),FALSE)),"",_xlfn.REGEXEXTRACT(CELL("address",F64), "\$([A-Z]+)\$[0-9]+"))),_xlfn.REGEXEXTRACT(CELL("address",F64), "\$([A-Z]+)\$[0-9]+"))</f>
        <v/>
      </c>
      <c r="G64" s="7" t="str" cm="1">
        <f t="array" aca="1" ref="G64" ca="1">IFERROR(IF(OR('Raw Data'!G64="",LEN(TRIM('Raw Data'!G64))=0),"",IF(AND(ISNUMBER('Raw Data'!G64), IFERROR('Raw Data'!G64 = ROUND('Raw Data'!G64, 4),FALSE)),"",_xlfn.REGEXEXTRACT(CELL("address",G64), "\$([A-Z]+)\$[0-9]+"))),_xlfn.REGEXEXTRACT(CELL("address",G64), "\$([A-Z]+)\$[0-9]+"))</f>
        <v/>
      </c>
      <c r="H64" s="7" t="str" cm="1">
        <f t="array" aca="1" ref="H64" ca="1">IFERROR(IF(OR('Raw Data'!H64="",LEN(TRIM('Raw Data'!H64))=0),"",IF(AND(ISNUMBER('Raw Data'!H64), IFERROR('Raw Data'!H64 = ROUND('Raw Data'!H64, 4),FALSE)),"",_xlfn.REGEXEXTRACT(CELL("address",H64), "\$([A-Z]+)\$[0-9]+"))),_xlfn.REGEXEXTRACT(CELL("address",H64), "\$([A-Z]+)\$[0-9]+"))</f>
        <v/>
      </c>
      <c r="I64" s="7" t="str" cm="1">
        <f t="array" aca="1" ref="I64" ca="1">IFERROR(IF(OR('Raw Data'!I64="",LEN(TRIM('Raw Data'!I64))=0),"",IF(AND(ISNUMBER('Raw Data'!I64), IFERROR('Raw Data'!I64 = ROUND('Raw Data'!I64, 4),FALSE)),"",_xlfn.REGEXEXTRACT(CELL("address",I64), "\$([A-Z]+)\$[0-9]+"))),_xlfn.REGEXEXTRACT(CELL("address",I64), "\$([A-Z]+)\$[0-9]+"))</f>
        <v/>
      </c>
      <c r="J64" s="7" t="str" cm="1">
        <f t="array" aca="1" ref="J64" ca="1">IFERROR(IF(OR('Raw Data'!J64="",LEN(TRIM('Raw Data'!J64))=0),"",IF(AND(ISNUMBER('Raw Data'!J64), IFERROR('Raw Data'!J64 = ROUND('Raw Data'!J64, 4),FALSE)),"",_xlfn.REGEXEXTRACT(CELL("address",J64), "\$([A-Z]+)\$[0-9]+"))),_xlfn.REGEXEXTRACT(CELL("address",J64), "\$([A-Z]+)\$[0-9]+"))</f>
        <v/>
      </c>
      <c r="K64" s="7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7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</row>
    <row r="65" spans="2:22" x14ac:dyDescent="0.25">
      <c r="B65" s="7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20,LEN('Raw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Data'!D65))=0),"",IF(AND(ISNUMBER('Raw Data'!D65),'Raw Data'!D65&gt;=Configuration!$D$2),"",_xlfn.REGEXEXTRACT(CELL("address",'Raw Data'!D65),"\$([A-Z]+)\$[0-9]+"))),_xlfn.REGEXEXTRACT(CELL("address",D65), "\$([A-Z]+)\$[0-9]+"))</f>
        <v>$D$65</v>
      </c>
      <c r="E65" s="7" t="str" cm="1">
        <f t="array" aca="1" ref="E65" ca="1">IFERROR(IF(OR('Raw Data'!E65="",LEN(TRIM('Raw Data'!E65))=0),"",IF(AND(ISNUMBER('Raw Data'!E65), IFERROR('Raw Data'!E65 = ROUND('Raw Data'!E65, 4),FALSE)),"",_xlfn.REGEXEXTRACT(CELL("address",E65), "\$([A-Z]+)\$[0-9]+"))),_xlfn.REGEXEXTRACT(CELL("address",E65), 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4),FALSE)),"",_xlfn.REGEXEXTRACT(CELL("address",F65), "\$([A-Z]+)\$[0-9]+"))),_xlfn.REGEXEXTRACT(CELL("address",F65), "\$([A-Z]+)\$[0-9]+"))</f>
        <v/>
      </c>
      <c r="G65" s="7" t="str" cm="1">
        <f t="array" aca="1" ref="G65" ca="1">IFERROR(IF(OR('Raw Data'!G65="",LEN(TRIM('Raw Data'!G65))=0),"",IF(AND(ISNUMBER('Raw Data'!G65), IFERROR('Raw Data'!G65 = ROUND('Raw Data'!G65, 4),FALSE)),"",_xlfn.REGEXEXTRACT(CELL("address",G65), "\$([A-Z]+)\$[0-9]+"))),_xlfn.REGEXEXTRACT(CELL("address",G65), "\$([A-Z]+)\$[0-9]+"))</f>
        <v/>
      </c>
      <c r="H65" s="7" t="str" cm="1">
        <f t="array" aca="1" ref="H65" ca="1">IFERROR(IF(OR('Raw Data'!H65="",LEN(TRIM('Raw Data'!H65))=0),"",IF(AND(ISNUMBER('Raw Data'!H65), IFERROR('Raw Data'!H65 = ROUND('Raw Data'!H65, 4),FALSE)),"",_xlfn.REGEXEXTRACT(CELL("address",H65), "\$([A-Z]+)\$[0-9]+"))),_xlfn.REGEXEXTRACT(CELL("address",H65), "\$([A-Z]+)\$[0-9]+"))</f>
        <v/>
      </c>
      <c r="I65" s="7" t="str" cm="1">
        <f t="array" aca="1" ref="I65" ca="1">IFERROR(IF(OR('Raw Data'!I65="",LEN(TRIM('Raw Data'!I65))=0),"",IF(AND(ISNUMBER('Raw Data'!I65), IFERROR('Raw Data'!I65 = ROUND('Raw Data'!I65, 4),FALSE)),"",_xlfn.REGEXEXTRACT(CELL("address",I65), "\$([A-Z]+)\$[0-9]+"))),_xlfn.REGEXEXTRACT(CELL("address",I65), "\$([A-Z]+)\$[0-9]+"))</f>
        <v/>
      </c>
      <c r="J65" s="7" t="str" cm="1">
        <f t="array" aca="1" ref="J65" ca="1">IFERROR(IF(OR('Raw Data'!J65="",LEN(TRIM('Raw Data'!J65))=0),"",IF(AND(ISNUMBER('Raw Data'!J65), IFERROR('Raw Data'!J65 = ROUND('Raw Data'!J65, 4),FALSE)),"",_xlfn.REGEXEXTRACT(CELL("address",J65), "\$([A-Z]+)\$[0-9]+"))),_xlfn.REGEXEXTRACT(CELL("address",J65), "\$([A-Z]+)\$[0-9]+"))</f>
        <v/>
      </c>
      <c r="K65" s="7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7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</row>
    <row r="66" spans="2:22" x14ac:dyDescent="0.25">
      <c r="B66" s="7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20,LEN('Raw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Data'!D66))=0),"",IF(AND(ISNUMBER('Raw Data'!D66),'Raw Data'!D66&gt;=Configuration!$D$2),"",_xlfn.REGEXEXTRACT(CELL("address",'Raw Data'!D66),"\$([A-Z]+)\$[0-9]+"))),_xlfn.REGEXEXTRACT(CELL("address",D66), "\$([A-Z]+)\$[0-9]+"))</f>
        <v>$D$66</v>
      </c>
      <c r="E66" s="7" t="str" cm="1">
        <f t="array" aca="1" ref="E66" ca="1">IFERROR(IF(OR('Raw Data'!E66="",LEN(TRIM('Raw Data'!E66))=0),"",IF(AND(ISNUMBER('Raw Data'!E66), IFERROR('Raw Data'!E66 = ROUND('Raw Data'!E66, 4),FALSE)),"",_xlfn.REGEXEXTRACT(CELL("address",E66), "\$([A-Z]+)\$[0-9]+"))),_xlfn.REGEXEXTRACT(CELL("address",E66), 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4),FALSE)),"",_xlfn.REGEXEXTRACT(CELL("address",F66), "\$([A-Z]+)\$[0-9]+"))),_xlfn.REGEXEXTRACT(CELL("address",F66), "\$([A-Z]+)\$[0-9]+"))</f>
        <v/>
      </c>
      <c r="G66" s="7" t="str" cm="1">
        <f t="array" aca="1" ref="G66" ca="1">IFERROR(IF(OR('Raw Data'!G66="",LEN(TRIM('Raw Data'!G66))=0),"",IF(AND(ISNUMBER('Raw Data'!G66), IFERROR('Raw Data'!G66 = ROUND('Raw Data'!G66, 4),FALSE)),"",_xlfn.REGEXEXTRACT(CELL("address",G66), "\$([A-Z]+)\$[0-9]+"))),_xlfn.REGEXEXTRACT(CELL("address",G66), "\$([A-Z]+)\$[0-9]+"))</f>
        <v/>
      </c>
      <c r="H66" s="7" t="str" cm="1">
        <f t="array" aca="1" ref="H66" ca="1">IFERROR(IF(OR('Raw Data'!H66="",LEN(TRIM('Raw Data'!H66))=0),"",IF(AND(ISNUMBER('Raw Data'!H66), IFERROR('Raw Data'!H66 = ROUND('Raw Data'!H66, 4),FALSE)),"",_xlfn.REGEXEXTRACT(CELL("address",H66), "\$([A-Z]+)\$[0-9]+"))),_xlfn.REGEXEXTRACT(CELL("address",H66), "\$([A-Z]+)\$[0-9]+"))</f>
        <v/>
      </c>
      <c r="I66" s="7" t="str" cm="1">
        <f t="array" aca="1" ref="I66" ca="1">IFERROR(IF(OR('Raw Data'!I66="",LEN(TRIM('Raw Data'!I66))=0),"",IF(AND(ISNUMBER('Raw Data'!I66), IFERROR('Raw Data'!I66 = ROUND('Raw Data'!I66, 4),FALSE)),"",_xlfn.REGEXEXTRACT(CELL("address",I66), "\$([A-Z]+)\$[0-9]+"))),_xlfn.REGEXEXTRACT(CELL("address",I66), "\$([A-Z]+)\$[0-9]+"))</f>
        <v/>
      </c>
      <c r="J66" s="7" t="str" cm="1">
        <f t="array" aca="1" ref="J66" ca="1">IFERROR(IF(OR('Raw Data'!J66="",LEN(TRIM('Raw Data'!J66))=0),"",IF(AND(ISNUMBER('Raw Data'!J66), IFERROR('Raw Data'!J66 = ROUND('Raw Data'!J66, 4),FALSE)),"",_xlfn.REGEXEXTRACT(CELL("address",J66), "\$([A-Z]+)\$[0-9]+"))),_xlfn.REGEXEXTRACT(CELL("address",J66), "\$([A-Z]+)\$[0-9]+"))</f>
        <v/>
      </c>
      <c r="K66" s="7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7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</row>
    <row r="67" spans="2:22" x14ac:dyDescent="0.25">
      <c r="B67" s="7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20,LEN('Raw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Data'!D67))=0),"",IF(AND(ISNUMBER('Raw Data'!D67),'Raw Data'!D67&gt;=Configuration!$D$2),"",_xlfn.REGEXEXTRACT(CELL("address",'Raw Data'!D67),"\$([A-Z]+)\$[0-9]+"))),_xlfn.REGEXEXTRACT(CELL("address",D67), "\$([A-Z]+)\$[0-9]+"))</f>
        <v>$D$67</v>
      </c>
      <c r="E67" s="7" t="str" cm="1">
        <f t="array" aca="1" ref="E67" ca="1">IFERROR(IF(OR('Raw Data'!E67="",LEN(TRIM('Raw Data'!E67))=0),"",IF(AND(ISNUMBER('Raw Data'!E67), IFERROR('Raw Data'!E67 = ROUND('Raw Data'!E67, 4),FALSE)),"",_xlfn.REGEXEXTRACT(CELL("address",E67), "\$([A-Z]+)\$[0-9]+"))),_xlfn.REGEXEXTRACT(CELL("address",E67), 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4),FALSE)),"",_xlfn.REGEXEXTRACT(CELL("address",F67), "\$([A-Z]+)\$[0-9]+"))),_xlfn.REGEXEXTRACT(CELL("address",F67), "\$([A-Z]+)\$[0-9]+"))</f>
        <v/>
      </c>
      <c r="G67" s="7" t="str" cm="1">
        <f t="array" aca="1" ref="G67" ca="1">IFERROR(IF(OR('Raw Data'!G67="",LEN(TRIM('Raw Data'!G67))=0),"",IF(AND(ISNUMBER('Raw Data'!G67), IFERROR('Raw Data'!G67 = ROUND('Raw Data'!G67, 4),FALSE)),"",_xlfn.REGEXEXTRACT(CELL("address",G67), "\$([A-Z]+)\$[0-9]+"))),_xlfn.REGEXEXTRACT(CELL("address",G67), "\$([A-Z]+)\$[0-9]+"))</f>
        <v/>
      </c>
      <c r="H67" s="7" t="str" cm="1">
        <f t="array" aca="1" ref="H67" ca="1">IFERROR(IF(OR('Raw Data'!H67="",LEN(TRIM('Raw Data'!H67))=0),"",IF(AND(ISNUMBER('Raw Data'!H67), IFERROR('Raw Data'!H67 = ROUND('Raw Data'!H67, 4),FALSE)),"",_xlfn.REGEXEXTRACT(CELL("address",H67), "\$([A-Z]+)\$[0-9]+"))),_xlfn.REGEXEXTRACT(CELL("address",H67), "\$([A-Z]+)\$[0-9]+"))</f>
        <v/>
      </c>
      <c r="I67" s="7" t="str" cm="1">
        <f t="array" aca="1" ref="I67" ca="1">IFERROR(IF(OR('Raw Data'!I67="",LEN(TRIM('Raw Data'!I67))=0),"",IF(AND(ISNUMBER('Raw Data'!I67), IFERROR('Raw Data'!I67 = ROUND('Raw Data'!I67, 4),FALSE)),"",_xlfn.REGEXEXTRACT(CELL("address",I67), "\$([A-Z]+)\$[0-9]+"))),_xlfn.REGEXEXTRACT(CELL("address",I67), "\$([A-Z]+)\$[0-9]+"))</f>
        <v/>
      </c>
      <c r="J67" s="7" t="str" cm="1">
        <f t="array" aca="1" ref="J67" ca="1">IFERROR(IF(OR('Raw Data'!J67="",LEN(TRIM('Raw Data'!J67))=0),"",IF(AND(ISNUMBER('Raw Data'!J67), IFERROR('Raw Data'!J67 = ROUND('Raw Data'!J67, 4),FALSE)),"",_xlfn.REGEXEXTRACT(CELL("address",J67), "\$([A-Z]+)\$[0-9]+"))),_xlfn.REGEXEXTRACT(CELL("address",J67), "\$([A-Z]+)\$[0-9]+"))</f>
        <v/>
      </c>
      <c r="K67" s="7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7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</row>
    <row r="68" spans="2:22" x14ac:dyDescent="0.25">
      <c r="B68" s="7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20,LEN('Raw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Data'!D68))=0),"",IF(AND(ISNUMBER('Raw Data'!D68),'Raw Data'!D68&gt;=Configuration!$D$2),"",_xlfn.REGEXEXTRACT(CELL("address",'Raw Data'!D68),"\$([A-Z]+)\$[0-9]+"))),_xlfn.REGEXEXTRACT(CELL("address",D68), "\$([A-Z]+)\$[0-9]+"))</f>
        <v>$D$68</v>
      </c>
      <c r="E68" s="7" t="str" cm="1">
        <f t="array" aca="1" ref="E68" ca="1">IFERROR(IF(OR('Raw Data'!E68="",LEN(TRIM('Raw Data'!E68))=0),"",IF(AND(ISNUMBER('Raw Data'!E68), IFERROR('Raw Data'!E68 = ROUND('Raw Data'!E68, 4),FALSE)),"",_xlfn.REGEXEXTRACT(CELL("address",E68), "\$([A-Z]+)\$[0-9]+"))),_xlfn.REGEXEXTRACT(CELL("address",E68), 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4),FALSE)),"",_xlfn.REGEXEXTRACT(CELL("address",F68), "\$([A-Z]+)\$[0-9]+"))),_xlfn.REGEXEXTRACT(CELL("address",F68), "\$([A-Z]+)\$[0-9]+"))</f>
        <v/>
      </c>
      <c r="G68" s="7" t="str" cm="1">
        <f t="array" aca="1" ref="G68" ca="1">IFERROR(IF(OR('Raw Data'!G68="",LEN(TRIM('Raw Data'!G68))=0),"",IF(AND(ISNUMBER('Raw Data'!G68), IFERROR('Raw Data'!G68 = ROUND('Raw Data'!G68, 4),FALSE)),"",_xlfn.REGEXEXTRACT(CELL("address",G68), "\$([A-Z]+)\$[0-9]+"))),_xlfn.REGEXEXTRACT(CELL("address",G68), "\$([A-Z]+)\$[0-9]+"))</f>
        <v/>
      </c>
      <c r="H68" s="7" t="str" cm="1">
        <f t="array" aca="1" ref="H68" ca="1">IFERROR(IF(OR('Raw Data'!H68="",LEN(TRIM('Raw Data'!H68))=0),"",IF(AND(ISNUMBER('Raw Data'!H68), IFERROR('Raw Data'!H68 = ROUND('Raw Data'!H68, 4),FALSE)),"",_xlfn.REGEXEXTRACT(CELL("address",H68), "\$([A-Z]+)\$[0-9]+"))),_xlfn.REGEXEXTRACT(CELL("address",H68), "\$([A-Z]+)\$[0-9]+"))</f>
        <v/>
      </c>
      <c r="I68" s="7" t="str" cm="1">
        <f t="array" aca="1" ref="I68" ca="1">IFERROR(IF(OR('Raw Data'!I68="",LEN(TRIM('Raw Data'!I68))=0),"",IF(AND(ISNUMBER('Raw Data'!I68), IFERROR('Raw Data'!I68 = ROUND('Raw Data'!I68, 4),FALSE)),"",_xlfn.REGEXEXTRACT(CELL("address",I68), "\$([A-Z]+)\$[0-9]+"))),_xlfn.REGEXEXTRACT(CELL("address",I68), "\$([A-Z]+)\$[0-9]+"))</f>
        <v/>
      </c>
      <c r="J68" s="7" t="str" cm="1">
        <f t="array" aca="1" ref="J68" ca="1">IFERROR(IF(OR('Raw Data'!J68="",LEN(TRIM('Raw Data'!J68))=0),"",IF(AND(ISNUMBER('Raw Data'!J68), IFERROR('Raw Data'!J68 = ROUND('Raw Data'!J68, 4),FALSE)),"",_xlfn.REGEXEXTRACT(CELL("address",J68), "\$([A-Z]+)\$[0-9]+"))),_xlfn.REGEXEXTRACT(CELL("address",J68), "\$([A-Z]+)\$[0-9]+"))</f>
        <v/>
      </c>
      <c r="K68" s="7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7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</row>
    <row r="69" spans="2:22" x14ac:dyDescent="0.25">
      <c r="B69" s="7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20,LEN('Raw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Data'!D69))=0),"",IF(AND(ISNUMBER('Raw Data'!D69),'Raw Data'!D69&gt;=Configuration!$D$2),"",_xlfn.REGEXEXTRACT(CELL("address",'Raw Data'!D69),"\$([A-Z]+)\$[0-9]+"))),_xlfn.REGEXEXTRACT(CELL("address",D69), "\$([A-Z]+)\$[0-9]+"))</f>
        <v>$D$69</v>
      </c>
      <c r="E69" s="7" t="str" cm="1">
        <f t="array" aca="1" ref="E69" ca="1">IFERROR(IF(OR('Raw Data'!E69="",LEN(TRIM('Raw Data'!E69))=0),"",IF(AND(ISNUMBER('Raw Data'!E69), IFERROR('Raw Data'!E69 = ROUND('Raw Data'!E69, 4),FALSE)),"",_xlfn.REGEXEXTRACT(CELL("address",E69), "\$([A-Z]+)\$[0-9]+"))),_xlfn.REGEXEXTRACT(CELL("address",E69), 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4),FALSE)),"",_xlfn.REGEXEXTRACT(CELL("address",F69), "\$([A-Z]+)\$[0-9]+"))),_xlfn.REGEXEXTRACT(CELL("address",F69), "\$([A-Z]+)\$[0-9]+"))</f>
        <v/>
      </c>
      <c r="G69" s="7" t="str" cm="1">
        <f t="array" aca="1" ref="G69" ca="1">IFERROR(IF(OR('Raw Data'!G69="",LEN(TRIM('Raw Data'!G69))=0),"",IF(AND(ISNUMBER('Raw Data'!G69), IFERROR('Raw Data'!G69 = ROUND('Raw Data'!G69, 4),FALSE)),"",_xlfn.REGEXEXTRACT(CELL("address",G69), "\$([A-Z]+)\$[0-9]+"))),_xlfn.REGEXEXTRACT(CELL("address",G69), "\$([A-Z]+)\$[0-9]+"))</f>
        <v/>
      </c>
      <c r="H69" s="7" t="str" cm="1">
        <f t="array" aca="1" ref="H69" ca="1">IFERROR(IF(OR('Raw Data'!H69="",LEN(TRIM('Raw Data'!H69))=0),"",IF(AND(ISNUMBER('Raw Data'!H69), IFERROR('Raw Data'!H69 = ROUND('Raw Data'!H69, 4),FALSE)),"",_xlfn.REGEXEXTRACT(CELL("address",H69), "\$([A-Z]+)\$[0-9]+"))),_xlfn.REGEXEXTRACT(CELL("address",H69), "\$([A-Z]+)\$[0-9]+"))</f>
        <v/>
      </c>
      <c r="I69" s="7" t="str" cm="1">
        <f t="array" aca="1" ref="I69" ca="1">IFERROR(IF(OR('Raw Data'!I69="",LEN(TRIM('Raw Data'!I69))=0),"",IF(AND(ISNUMBER('Raw Data'!I69), IFERROR('Raw Data'!I69 = ROUND('Raw Data'!I69, 4),FALSE)),"",_xlfn.REGEXEXTRACT(CELL("address",I69), "\$([A-Z]+)\$[0-9]+"))),_xlfn.REGEXEXTRACT(CELL("address",I69), "\$([A-Z]+)\$[0-9]+"))</f>
        <v/>
      </c>
      <c r="J69" s="7" t="str" cm="1">
        <f t="array" aca="1" ref="J69" ca="1">IFERROR(IF(OR('Raw Data'!J69="",LEN(TRIM('Raw Data'!J69))=0),"",IF(AND(ISNUMBER('Raw Data'!J69), IFERROR('Raw Data'!J69 = ROUND('Raw Data'!J69, 4),FALSE)),"",_xlfn.REGEXEXTRACT(CELL("address",J69), "\$([A-Z]+)\$[0-9]+"))),_xlfn.REGEXEXTRACT(CELL("address",J69), "\$([A-Z]+)\$[0-9]+"))</f>
        <v/>
      </c>
      <c r="K69" s="7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7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</row>
    <row r="70" spans="2:22" x14ac:dyDescent="0.25">
      <c r="B70" s="7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20,LEN('Raw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Data'!D70))=0),"",IF(AND(ISNUMBER('Raw Data'!D70),'Raw Data'!D70&gt;=Configuration!$D$2),"",_xlfn.REGEXEXTRACT(CELL("address",'Raw Data'!D70),"\$([A-Z]+)\$[0-9]+"))),_xlfn.REGEXEXTRACT(CELL("address",D70), "\$([A-Z]+)\$[0-9]+"))</f>
        <v>$D$70</v>
      </c>
      <c r="E70" s="7" t="str" cm="1">
        <f t="array" aca="1" ref="E70" ca="1">IFERROR(IF(OR('Raw Data'!E70="",LEN(TRIM('Raw Data'!E70))=0),"",IF(AND(ISNUMBER('Raw Data'!E70), IFERROR('Raw Data'!E70 = ROUND('Raw Data'!E70, 4),FALSE)),"",_xlfn.REGEXEXTRACT(CELL("address",E70), "\$([A-Z]+)\$[0-9]+"))),_xlfn.REGEXEXTRACT(CELL("address",E70), 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4),FALSE)),"",_xlfn.REGEXEXTRACT(CELL("address",F70), "\$([A-Z]+)\$[0-9]+"))),_xlfn.REGEXEXTRACT(CELL("address",F70), "\$([A-Z]+)\$[0-9]+"))</f>
        <v/>
      </c>
      <c r="G70" s="7" t="str" cm="1">
        <f t="array" aca="1" ref="G70" ca="1">IFERROR(IF(OR('Raw Data'!G70="",LEN(TRIM('Raw Data'!G70))=0),"",IF(AND(ISNUMBER('Raw Data'!G70), IFERROR('Raw Data'!G70 = ROUND('Raw Data'!G70, 4),FALSE)),"",_xlfn.REGEXEXTRACT(CELL("address",G70), "\$([A-Z]+)\$[0-9]+"))),_xlfn.REGEXEXTRACT(CELL("address",G70), "\$([A-Z]+)\$[0-9]+"))</f>
        <v/>
      </c>
      <c r="H70" s="7" t="str" cm="1">
        <f t="array" aca="1" ref="H70" ca="1">IFERROR(IF(OR('Raw Data'!H70="",LEN(TRIM('Raw Data'!H70))=0),"",IF(AND(ISNUMBER('Raw Data'!H70), IFERROR('Raw Data'!H70 = ROUND('Raw Data'!H70, 4),FALSE)),"",_xlfn.REGEXEXTRACT(CELL("address",H70), "\$([A-Z]+)\$[0-9]+"))),_xlfn.REGEXEXTRACT(CELL("address",H70), "\$([A-Z]+)\$[0-9]+"))</f>
        <v/>
      </c>
      <c r="I70" s="7" t="str" cm="1">
        <f t="array" aca="1" ref="I70" ca="1">IFERROR(IF(OR('Raw Data'!I70="",LEN(TRIM('Raw Data'!I70))=0),"",IF(AND(ISNUMBER('Raw Data'!I70), IFERROR('Raw Data'!I70 = ROUND('Raw Data'!I70, 4),FALSE)),"",_xlfn.REGEXEXTRACT(CELL("address",I70), "\$([A-Z]+)\$[0-9]+"))),_xlfn.REGEXEXTRACT(CELL("address",I70), "\$([A-Z]+)\$[0-9]+"))</f>
        <v/>
      </c>
      <c r="J70" s="7" t="str" cm="1">
        <f t="array" aca="1" ref="J70" ca="1">IFERROR(IF(OR('Raw Data'!J70="",LEN(TRIM('Raw Data'!J70))=0),"",IF(AND(ISNUMBER('Raw Data'!J70), IFERROR('Raw Data'!J70 = ROUND('Raw Data'!J70, 4),FALSE)),"",_xlfn.REGEXEXTRACT(CELL("address",J70), "\$([A-Z]+)\$[0-9]+"))),_xlfn.REGEXEXTRACT(CELL("address",J70), "\$([A-Z]+)\$[0-9]+"))</f>
        <v/>
      </c>
      <c r="K70" s="7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7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</row>
    <row r="71" spans="2:22" x14ac:dyDescent="0.25">
      <c r="B71" s="7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20,LEN('Raw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Data'!D71))=0),"",IF(AND(ISNUMBER('Raw Data'!D71),'Raw Data'!D71&gt;=Configuration!$D$2),"",_xlfn.REGEXEXTRACT(CELL("address",'Raw Data'!D71),"\$([A-Z]+)\$[0-9]+"))),_xlfn.REGEXEXTRACT(CELL("address",D71), "\$([A-Z]+)\$[0-9]+"))</f>
        <v>$D$71</v>
      </c>
      <c r="E71" s="7" t="str" cm="1">
        <f t="array" aca="1" ref="E71" ca="1">IFERROR(IF(OR('Raw Data'!E71="",LEN(TRIM('Raw Data'!E71))=0),"",IF(AND(ISNUMBER('Raw Data'!E71), IFERROR('Raw Data'!E71 = ROUND('Raw Data'!E71, 4),FALSE)),"",_xlfn.REGEXEXTRACT(CELL("address",E71), "\$([A-Z]+)\$[0-9]+"))),_xlfn.REGEXEXTRACT(CELL("address",E71), 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4),FALSE)),"",_xlfn.REGEXEXTRACT(CELL("address",F71), "\$([A-Z]+)\$[0-9]+"))),_xlfn.REGEXEXTRACT(CELL("address",F71), "\$([A-Z]+)\$[0-9]+"))</f>
        <v/>
      </c>
      <c r="G71" s="7" t="str" cm="1">
        <f t="array" aca="1" ref="G71" ca="1">IFERROR(IF(OR('Raw Data'!G71="",LEN(TRIM('Raw Data'!G71))=0),"",IF(AND(ISNUMBER('Raw Data'!G71), IFERROR('Raw Data'!G71 = ROUND('Raw Data'!G71, 4),FALSE)),"",_xlfn.REGEXEXTRACT(CELL("address",G71), "\$([A-Z]+)\$[0-9]+"))),_xlfn.REGEXEXTRACT(CELL("address",G71), "\$([A-Z]+)\$[0-9]+"))</f>
        <v/>
      </c>
      <c r="H71" s="7" t="str" cm="1">
        <f t="array" aca="1" ref="H71" ca="1">IFERROR(IF(OR('Raw Data'!H71="",LEN(TRIM('Raw Data'!H71))=0),"",IF(AND(ISNUMBER('Raw Data'!H71), IFERROR('Raw Data'!H71 = ROUND('Raw Data'!H71, 4),FALSE)),"",_xlfn.REGEXEXTRACT(CELL("address",H71), "\$([A-Z]+)\$[0-9]+"))),_xlfn.REGEXEXTRACT(CELL("address",H71), "\$([A-Z]+)\$[0-9]+"))</f>
        <v/>
      </c>
      <c r="I71" s="7" t="str" cm="1">
        <f t="array" aca="1" ref="I71" ca="1">IFERROR(IF(OR('Raw Data'!I71="",LEN(TRIM('Raw Data'!I71))=0),"",IF(AND(ISNUMBER('Raw Data'!I71), IFERROR('Raw Data'!I71 = ROUND('Raw Data'!I71, 4),FALSE)),"",_xlfn.REGEXEXTRACT(CELL("address",I71), "\$([A-Z]+)\$[0-9]+"))),_xlfn.REGEXEXTRACT(CELL("address",I71), "\$([A-Z]+)\$[0-9]+"))</f>
        <v/>
      </c>
      <c r="J71" s="7" t="str" cm="1">
        <f t="array" aca="1" ref="J71" ca="1">IFERROR(IF(OR('Raw Data'!J71="",LEN(TRIM('Raw Data'!J71))=0),"",IF(AND(ISNUMBER('Raw Data'!J71), IFERROR('Raw Data'!J71 = ROUND('Raw Data'!J71, 4),FALSE)),"",_xlfn.REGEXEXTRACT(CELL("address",J71), "\$([A-Z]+)\$[0-9]+"))),_xlfn.REGEXEXTRACT(CELL("address",J71), "\$([A-Z]+)\$[0-9]+"))</f>
        <v/>
      </c>
      <c r="K71" s="7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7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</row>
    <row r="72" spans="2:22" x14ac:dyDescent="0.25">
      <c r="B72" s="7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20,LEN('Raw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Data'!D72))=0),"",IF(AND(ISNUMBER('Raw Data'!D72),'Raw Data'!D72&gt;=Configuration!$D$2),"",_xlfn.REGEXEXTRACT(CELL("address",'Raw Data'!D72),"\$([A-Z]+)\$[0-9]+"))),_xlfn.REGEXEXTRACT(CELL("address",D72), "\$([A-Z]+)\$[0-9]+"))</f>
        <v>$D$72</v>
      </c>
      <c r="E72" s="7" t="str" cm="1">
        <f t="array" aca="1" ref="E72" ca="1">IFERROR(IF(OR('Raw Data'!E72="",LEN(TRIM('Raw Data'!E72))=0),"",IF(AND(ISNUMBER('Raw Data'!E72), IFERROR('Raw Data'!E72 = ROUND('Raw Data'!E72, 4),FALSE)),"",_xlfn.REGEXEXTRACT(CELL("address",E72), "\$([A-Z]+)\$[0-9]+"))),_xlfn.REGEXEXTRACT(CELL("address",E72), 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4),FALSE)),"",_xlfn.REGEXEXTRACT(CELL("address",F72), "\$([A-Z]+)\$[0-9]+"))),_xlfn.REGEXEXTRACT(CELL("address",F72), "\$([A-Z]+)\$[0-9]+"))</f>
        <v/>
      </c>
      <c r="G72" s="7" t="str" cm="1">
        <f t="array" aca="1" ref="G72" ca="1">IFERROR(IF(OR('Raw Data'!G72="",LEN(TRIM('Raw Data'!G72))=0),"",IF(AND(ISNUMBER('Raw Data'!G72), IFERROR('Raw Data'!G72 = ROUND('Raw Data'!G72, 4),FALSE)),"",_xlfn.REGEXEXTRACT(CELL("address",G72), "\$([A-Z]+)\$[0-9]+"))),_xlfn.REGEXEXTRACT(CELL("address",G72), "\$([A-Z]+)\$[0-9]+"))</f>
        <v/>
      </c>
      <c r="H72" s="7" t="str" cm="1">
        <f t="array" aca="1" ref="H72" ca="1">IFERROR(IF(OR('Raw Data'!H72="",LEN(TRIM('Raw Data'!H72))=0),"",IF(AND(ISNUMBER('Raw Data'!H72), IFERROR('Raw Data'!H72 = ROUND('Raw Data'!H72, 4),FALSE)),"",_xlfn.REGEXEXTRACT(CELL("address",H72), "\$([A-Z]+)\$[0-9]+"))),_xlfn.REGEXEXTRACT(CELL("address",H72), "\$([A-Z]+)\$[0-9]+"))</f>
        <v/>
      </c>
      <c r="I72" s="7" t="str" cm="1">
        <f t="array" aca="1" ref="I72" ca="1">IFERROR(IF(OR('Raw Data'!I72="",LEN(TRIM('Raw Data'!I72))=0),"",IF(AND(ISNUMBER('Raw Data'!I72), IFERROR('Raw Data'!I72 = ROUND('Raw Data'!I72, 4),FALSE)),"",_xlfn.REGEXEXTRACT(CELL("address",I72), "\$([A-Z]+)\$[0-9]+"))),_xlfn.REGEXEXTRACT(CELL("address",I72), "\$([A-Z]+)\$[0-9]+"))</f>
        <v/>
      </c>
      <c r="J72" s="7" t="str" cm="1">
        <f t="array" aca="1" ref="J72" ca="1">IFERROR(IF(OR('Raw Data'!J72="",LEN(TRIM('Raw Data'!J72))=0),"",IF(AND(ISNUMBER('Raw Data'!J72), IFERROR('Raw Data'!J72 = ROUND('Raw Data'!J72, 4),FALSE)),"",_xlfn.REGEXEXTRACT(CELL("address",J72), "\$([A-Z]+)\$[0-9]+"))),_xlfn.REGEXEXTRACT(CELL("address",J72), "\$([A-Z]+)\$[0-9]+"))</f>
        <v/>
      </c>
      <c r="K72" s="7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7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</row>
    <row r="73" spans="2:22" x14ac:dyDescent="0.25">
      <c r="B73" s="7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20,LEN('Raw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Data'!D73))=0),"",IF(AND(ISNUMBER('Raw Data'!D73),'Raw Data'!D73&gt;=Configuration!$D$2),"",_xlfn.REGEXEXTRACT(CELL("address",'Raw Data'!D73),"\$([A-Z]+)\$[0-9]+"))),_xlfn.REGEXEXTRACT(CELL("address",D73), "\$([A-Z]+)\$[0-9]+"))</f>
        <v>$D$73</v>
      </c>
      <c r="E73" s="7" t="str" cm="1">
        <f t="array" aca="1" ref="E73" ca="1">IFERROR(IF(OR('Raw Data'!E73="",LEN(TRIM('Raw Data'!E73))=0),"",IF(AND(ISNUMBER('Raw Data'!E73), IFERROR('Raw Data'!E73 = ROUND('Raw Data'!E73, 4),FALSE)),"",_xlfn.REGEXEXTRACT(CELL("address",E73), "\$([A-Z]+)\$[0-9]+"))),_xlfn.REGEXEXTRACT(CELL("address",E73), 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4),FALSE)),"",_xlfn.REGEXEXTRACT(CELL("address",F73), "\$([A-Z]+)\$[0-9]+"))),_xlfn.REGEXEXTRACT(CELL("address",F73), "\$([A-Z]+)\$[0-9]+"))</f>
        <v/>
      </c>
      <c r="G73" s="7" t="str" cm="1">
        <f t="array" aca="1" ref="G73" ca="1">IFERROR(IF(OR('Raw Data'!G73="",LEN(TRIM('Raw Data'!G73))=0),"",IF(AND(ISNUMBER('Raw Data'!G73), IFERROR('Raw Data'!G73 = ROUND('Raw Data'!G73, 4),FALSE)),"",_xlfn.REGEXEXTRACT(CELL("address",G73), "\$([A-Z]+)\$[0-9]+"))),_xlfn.REGEXEXTRACT(CELL("address",G73), "\$([A-Z]+)\$[0-9]+"))</f>
        <v/>
      </c>
      <c r="H73" s="7" t="str" cm="1">
        <f t="array" aca="1" ref="H73" ca="1">IFERROR(IF(OR('Raw Data'!H73="",LEN(TRIM('Raw Data'!H73))=0),"",IF(AND(ISNUMBER('Raw Data'!H73), IFERROR('Raw Data'!H73 = ROUND('Raw Data'!H73, 4),FALSE)),"",_xlfn.REGEXEXTRACT(CELL("address",H73), "\$([A-Z]+)\$[0-9]+"))),_xlfn.REGEXEXTRACT(CELL("address",H73), "\$([A-Z]+)\$[0-9]+"))</f>
        <v/>
      </c>
      <c r="I73" s="7" t="str" cm="1">
        <f t="array" aca="1" ref="I73" ca="1">IFERROR(IF(OR('Raw Data'!I73="",LEN(TRIM('Raw Data'!I73))=0),"",IF(AND(ISNUMBER('Raw Data'!I73), IFERROR('Raw Data'!I73 = ROUND('Raw Data'!I73, 4),FALSE)),"",_xlfn.REGEXEXTRACT(CELL("address",I73), "\$([A-Z]+)\$[0-9]+"))),_xlfn.REGEXEXTRACT(CELL("address",I73), "\$([A-Z]+)\$[0-9]+"))</f>
        <v/>
      </c>
      <c r="J73" s="7" t="str" cm="1">
        <f t="array" aca="1" ref="J73" ca="1">IFERROR(IF(OR('Raw Data'!J73="",LEN(TRIM('Raw Data'!J73))=0),"",IF(AND(ISNUMBER('Raw Data'!J73), IFERROR('Raw Data'!J73 = ROUND('Raw Data'!J73, 4),FALSE)),"",_xlfn.REGEXEXTRACT(CELL("address",J73), "\$([A-Z]+)\$[0-9]+"))),_xlfn.REGEXEXTRACT(CELL("address",J73), "\$([A-Z]+)\$[0-9]+"))</f>
        <v/>
      </c>
      <c r="K73" s="7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7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</row>
    <row r="74" spans="2:22" x14ac:dyDescent="0.25">
      <c r="B74" s="7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20,LEN('Raw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Data'!D74))=0),"",IF(AND(ISNUMBER('Raw Data'!D74),'Raw Data'!D74&gt;=Configuration!$D$2),"",_xlfn.REGEXEXTRACT(CELL("address",'Raw Data'!D74),"\$([A-Z]+)\$[0-9]+"))),_xlfn.REGEXEXTRACT(CELL("address",D74), "\$([A-Z]+)\$[0-9]+"))</f>
        <v>$D$74</v>
      </c>
      <c r="E74" s="7" t="str" cm="1">
        <f t="array" aca="1" ref="E74" ca="1">IFERROR(IF(OR('Raw Data'!E74="",LEN(TRIM('Raw Data'!E74))=0),"",IF(AND(ISNUMBER('Raw Data'!E74), IFERROR('Raw Data'!E74 = ROUND('Raw Data'!E74, 4),FALSE)),"",_xlfn.REGEXEXTRACT(CELL("address",E74), "\$([A-Z]+)\$[0-9]+"))),_xlfn.REGEXEXTRACT(CELL("address",E74), 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4),FALSE)),"",_xlfn.REGEXEXTRACT(CELL("address",F74), "\$([A-Z]+)\$[0-9]+"))),_xlfn.REGEXEXTRACT(CELL("address",F74), "\$([A-Z]+)\$[0-9]+"))</f>
        <v/>
      </c>
      <c r="G74" s="7" t="str" cm="1">
        <f t="array" aca="1" ref="G74" ca="1">IFERROR(IF(OR('Raw Data'!G74="",LEN(TRIM('Raw Data'!G74))=0),"",IF(AND(ISNUMBER('Raw Data'!G74), IFERROR('Raw Data'!G74 = ROUND('Raw Data'!G74, 4),FALSE)),"",_xlfn.REGEXEXTRACT(CELL("address",G74), "\$([A-Z]+)\$[0-9]+"))),_xlfn.REGEXEXTRACT(CELL("address",G74), "\$([A-Z]+)\$[0-9]+"))</f>
        <v/>
      </c>
      <c r="H74" s="7" t="str" cm="1">
        <f t="array" aca="1" ref="H74" ca="1">IFERROR(IF(OR('Raw Data'!H74="",LEN(TRIM('Raw Data'!H74))=0),"",IF(AND(ISNUMBER('Raw Data'!H74), IFERROR('Raw Data'!H74 = ROUND('Raw Data'!H74, 4),FALSE)),"",_xlfn.REGEXEXTRACT(CELL("address",H74), "\$([A-Z]+)\$[0-9]+"))),_xlfn.REGEXEXTRACT(CELL("address",H74), "\$([A-Z]+)\$[0-9]+"))</f>
        <v/>
      </c>
      <c r="I74" s="7" t="str" cm="1">
        <f t="array" aca="1" ref="I74" ca="1">IFERROR(IF(OR('Raw Data'!I74="",LEN(TRIM('Raw Data'!I74))=0),"",IF(AND(ISNUMBER('Raw Data'!I74), IFERROR('Raw Data'!I74 = ROUND('Raw Data'!I74, 4),FALSE)),"",_xlfn.REGEXEXTRACT(CELL("address",I74), "\$([A-Z]+)\$[0-9]+"))),_xlfn.REGEXEXTRACT(CELL("address",I74), "\$([A-Z]+)\$[0-9]+"))</f>
        <v/>
      </c>
      <c r="J74" s="7" t="str" cm="1">
        <f t="array" aca="1" ref="J74" ca="1">IFERROR(IF(OR('Raw Data'!J74="",LEN(TRIM('Raw Data'!J74))=0),"",IF(AND(ISNUMBER('Raw Data'!J74), IFERROR('Raw Data'!J74 = ROUND('Raw Data'!J74, 4),FALSE)),"",_xlfn.REGEXEXTRACT(CELL("address",J74), "\$([A-Z]+)\$[0-9]+"))),_xlfn.REGEXEXTRACT(CELL("address",J74), "\$([A-Z]+)\$[0-9]+"))</f>
        <v/>
      </c>
      <c r="K74" s="7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7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</row>
    <row r="75" spans="2:22" x14ac:dyDescent="0.25">
      <c r="B75" s="7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20,LEN('Raw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Data'!D75))=0),"",IF(AND(ISNUMBER('Raw Data'!D75),'Raw Data'!D75&gt;=Configuration!$D$2),"",_xlfn.REGEXEXTRACT(CELL("address",'Raw Data'!D75),"\$([A-Z]+)\$[0-9]+"))),_xlfn.REGEXEXTRACT(CELL("address",D75), "\$([A-Z]+)\$[0-9]+"))</f>
        <v>$D$75</v>
      </c>
      <c r="E75" s="7" t="str" cm="1">
        <f t="array" aca="1" ref="E75" ca="1">IFERROR(IF(OR('Raw Data'!E75="",LEN(TRIM('Raw Data'!E75))=0),"",IF(AND(ISNUMBER('Raw Data'!E75), IFERROR('Raw Data'!E75 = ROUND('Raw Data'!E75, 4),FALSE)),"",_xlfn.REGEXEXTRACT(CELL("address",E75), "\$([A-Z]+)\$[0-9]+"))),_xlfn.REGEXEXTRACT(CELL("address",E75), 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4),FALSE)),"",_xlfn.REGEXEXTRACT(CELL("address",F75), "\$([A-Z]+)\$[0-9]+"))),_xlfn.REGEXEXTRACT(CELL("address",F75), "\$([A-Z]+)\$[0-9]+"))</f>
        <v/>
      </c>
      <c r="G75" s="7" t="str" cm="1">
        <f t="array" aca="1" ref="G75" ca="1">IFERROR(IF(OR('Raw Data'!G75="",LEN(TRIM('Raw Data'!G75))=0),"",IF(AND(ISNUMBER('Raw Data'!G75), IFERROR('Raw Data'!G75 = ROUND('Raw Data'!G75, 4),FALSE)),"",_xlfn.REGEXEXTRACT(CELL("address",G75), "\$([A-Z]+)\$[0-9]+"))),_xlfn.REGEXEXTRACT(CELL("address",G75), "\$([A-Z]+)\$[0-9]+"))</f>
        <v/>
      </c>
      <c r="H75" s="7" t="str" cm="1">
        <f t="array" aca="1" ref="H75" ca="1">IFERROR(IF(OR('Raw Data'!H75="",LEN(TRIM('Raw Data'!H75))=0),"",IF(AND(ISNUMBER('Raw Data'!H75), IFERROR('Raw Data'!H75 = ROUND('Raw Data'!H75, 4),FALSE)),"",_xlfn.REGEXEXTRACT(CELL("address",H75), "\$([A-Z]+)\$[0-9]+"))),_xlfn.REGEXEXTRACT(CELL("address",H75), "\$([A-Z]+)\$[0-9]+"))</f>
        <v/>
      </c>
      <c r="I75" s="7" t="str" cm="1">
        <f t="array" aca="1" ref="I75" ca="1">IFERROR(IF(OR('Raw Data'!I75="",LEN(TRIM('Raw Data'!I75))=0),"",IF(AND(ISNUMBER('Raw Data'!I75), IFERROR('Raw Data'!I75 = ROUND('Raw Data'!I75, 4),FALSE)),"",_xlfn.REGEXEXTRACT(CELL("address",I75), "\$([A-Z]+)\$[0-9]+"))),_xlfn.REGEXEXTRACT(CELL("address",I75), "\$([A-Z]+)\$[0-9]+"))</f>
        <v/>
      </c>
      <c r="J75" s="7" t="str" cm="1">
        <f t="array" aca="1" ref="J75" ca="1">IFERROR(IF(OR('Raw Data'!J75="",LEN(TRIM('Raw Data'!J75))=0),"",IF(AND(ISNUMBER('Raw Data'!J75), IFERROR('Raw Data'!J75 = ROUND('Raw Data'!J75, 4),FALSE)),"",_xlfn.REGEXEXTRACT(CELL("address",J75), "\$([A-Z]+)\$[0-9]+"))),_xlfn.REGEXEXTRACT(CELL("address",J75), "\$([A-Z]+)\$[0-9]+"))</f>
        <v/>
      </c>
      <c r="K75" s="7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7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</row>
    <row r="76" spans="2:22" x14ac:dyDescent="0.25">
      <c r="B76" s="7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20,LEN('Raw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Data'!D76))=0),"",IF(AND(ISNUMBER('Raw Data'!D76),'Raw Data'!D76&gt;=Configuration!$D$2),"",_xlfn.REGEXEXTRACT(CELL("address",'Raw Data'!D76),"\$([A-Z]+)\$[0-9]+"))),_xlfn.REGEXEXTRACT(CELL("address",D76), "\$([A-Z]+)\$[0-9]+"))</f>
        <v>$D$76</v>
      </c>
      <c r="E76" s="7" t="str" cm="1">
        <f t="array" aca="1" ref="E76" ca="1">IFERROR(IF(OR('Raw Data'!E76="",LEN(TRIM('Raw Data'!E76))=0),"",IF(AND(ISNUMBER('Raw Data'!E76), IFERROR('Raw Data'!E76 = ROUND('Raw Data'!E76, 4),FALSE)),"",_xlfn.REGEXEXTRACT(CELL("address",E76), "\$([A-Z]+)\$[0-9]+"))),_xlfn.REGEXEXTRACT(CELL("address",E76), 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4),FALSE)),"",_xlfn.REGEXEXTRACT(CELL("address",F76), "\$([A-Z]+)\$[0-9]+"))),_xlfn.REGEXEXTRACT(CELL("address",F76), "\$([A-Z]+)\$[0-9]+"))</f>
        <v/>
      </c>
      <c r="G76" s="7" t="str" cm="1">
        <f t="array" aca="1" ref="G76" ca="1">IFERROR(IF(OR('Raw Data'!G76="",LEN(TRIM('Raw Data'!G76))=0),"",IF(AND(ISNUMBER('Raw Data'!G76), IFERROR('Raw Data'!G76 = ROUND('Raw Data'!G76, 4),FALSE)),"",_xlfn.REGEXEXTRACT(CELL("address",G76), "\$([A-Z]+)\$[0-9]+"))),_xlfn.REGEXEXTRACT(CELL("address",G76), "\$([A-Z]+)\$[0-9]+"))</f>
        <v/>
      </c>
      <c r="H76" s="7" t="str" cm="1">
        <f t="array" aca="1" ref="H76" ca="1">IFERROR(IF(OR('Raw Data'!H76="",LEN(TRIM('Raw Data'!H76))=0),"",IF(AND(ISNUMBER('Raw Data'!H76), IFERROR('Raw Data'!H76 = ROUND('Raw Data'!H76, 4),FALSE)),"",_xlfn.REGEXEXTRACT(CELL("address",H76), "\$([A-Z]+)\$[0-9]+"))),_xlfn.REGEXEXTRACT(CELL("address",H76), "\$([A-Z]+)\$[0-9]+"))</f>
        <v/>
      </c>
      <c r="I76" s="7" t="str" cm="1">
        <f t="array" aca="1" ref="I76" ca="1">IFERROR(IF(OR('Raw Data'!I76="",LEN(TRIM('Raw Data'!I76))=0),"",IF(AND(ISNUMBER('Raw Data'!I76), IFERROR('Raw Data'!I76 = ROUND('Raw Data'!I76, 4),FALSE)),"",_xlfn.REGEXEXTRACT(CELL("address",I76), "\$([A-Z]+)\$[0-9]+"))),_xlfn.REGEXEXTRACT(CELL("address",I76), "\$([A-Z]+)\$[0-9]+"))</f>
        <v/>
      </c>
      <c r="J76" s="7" t="str" cm="1">
        <f t="array" aca="1" ref="J76" ca="1">IFERROR(IF(OR('Raw Data'!J76="",LEN(TRIM('Raw Data'!J76))=0),"",IF(AND(ISNUMBER('Raw Data'!J76), IFERROR('Raw Data'!J76 = ROUND('Raw Data'!J76, 4),FALSE)),"",_xlfn.REGEXEXTRACT(CELL("address",J76), "\$([A-Z]+)\$[0-9]+"))),_xlfn.REGEXEXTRACT(CELL("address",J76), "\$([A-Z]+)\$[0-9]+"))</f>
        <v/>
      </c>
      <c r="K76" s="7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7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</row>
    <row r="77" spans="2:22" x14ac:dyDescent="0.25">
      <c r="B77" s="7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20,LEN('Raw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Data'!D77))=0),"",IF(AND(ISNUMBER('Raw Data'!D77),'Raw Data'!D77&gt;=Configuration!$D$2),"",_xlfn.REGEXEXTRACT(CELL("address",'Raw Data'!D77),"\$([A-Z]+)\$[0-9]+"))),_xlfn.REGEXEXTRACT(CELL("address",D77), "\$([A-Z]+)\$[0-9]+"))</f>
        <v>$D$77</v>
      </c>
      <c r="E77" s="7" t="str" cm="1">
        <f t="array" aca="1" ref="E77" ca="1">IFERROR(IF(OR('Raw Data'!E77="",LEN(TRIM('Raw Data'!E77))=0),"",IF(AND(ISNUMBER('Raw Data'!E77), IFERROR('Raw Data'!E77 = ROUND('Raw Data'!E77, 4),FALSE)),"",_xlfn.REGEXEXTRACT(CELL("address",E77), "\$([A-Z]+)\$[0-9]+"))),_xlfn.REGEXEXTRACT(CELL("address",E77), 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4),FALSE)),"",_xlfn.REGEXEXTRACT(CELL("address",F77), "\$([A-Z]+)\$[0-9]+"))),_xlfn.REGEXEXTRACT(CELL("address",F77), "\$([A-Z]+)\$[0-9]+"))</f>
        <v/>
      </c>
      <c r="G77" s="7" t="str" cm="1">
        <f t="array" aca="1" ref="G77" ca="1">IFERROR(IF(OR('Raw Data'!G77="",LEN(TRIM('Raw Data'!G77))=0),"",IF(AND(ISNUMBER('Raw Data'!G77), IFERROR('Raw Data'!G77 = ROUND('Raw Data'!G77, 4),FALSE)),"",_xlfn.REGEXEXTRACT(CELL("address",G77), "\$([A-Z]+)\$[0-9]+"))),_xlfn.REGEXEXTRACT(CELL("address",G77), "\$([A-Z]+)\$[0-9]+"))</f>
        <v/>
      </c>
      <c r="H77" s="7" t="str" cm="1">
        <f t="array" aca="1" ref="H77" ca="1">IFERROR(IF(OR('Raw Data'!H77="",LEN(TRIM('Raw Data'!H77))=0),"",IF(AND(ISNUMBER('Raw Data'!H77), IFERROR('Raw Data'!H77 = ROUND('Raw Data'!H77, 4),FALSE)),"",_xlfn.REGEXEXTRACT(CELL("address",H77), "\$([A-Z]+)\$[0-9]+"))),_xlfn.REGEXEXTRACT(CELL("address",H77), "\$([A-Z]+)\$[0-9]+"))</f>
        <v/>
      </c>
      <c r="I77" s="7" t="str" cm="1">
        <f t="array" aca="1" ref="I77" ca="1">IFERROR(IF(OR('Raw Data'!I77="",LEN(TRIM('Raw Data'!I77))=0),"",IF(AND(ISNUMBER('Raw Data'!I77), IFERROR('Raw Data'!I77 = ROUND('Raw Data'!I77, 4),FALSE)),"",_xlfn.REGEXEXTRACT(CELL("address",I77), "\$([A-Z]+)\$[0-9]+"))),_xlfn.REGEXEXTRACT(CELL("address",I77), "\$([A-Z]+)\$[0-9]+"))</f>
        <v/>
      </c>
      <c r="J77" s="7" t="str" cm="1">
        <f t="array" aca="1" ref="J77" ca="1">IFERROR(IF(OR('Raw Data'!J77="",LEN(TRIM('Raw Data'!J77))=0),"",IF(AND(ISNUMBER('Raw Data'!J77), IFERROR('Raw Data'!J77 = ROUND('Raw Data'!J77, 4),FALSE)),"",_xlfn.REGEXEXTRACT(CELL("address",J77), "\$([A-Z]+)\$[0-9]+"))),_xlfn.REGEXEXTRACT(CELL("address",J77), "\$([A-Z]+)\$[0-9]+"))</f>
        <v/>
      </c>
      <c r="K77" s="7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7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</row>
    <row r="78" spans="2:22" x14ac:dyDescent="0.25">
      <c r="B78" s="7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20,LEN('Raw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Data'!D78))=0),"",IF(AND(ISNUMBER('Raw Data'!D78),'Raw Data'!D78&gt;=Configuration!$D$2),"",_xlfn.REGEXEXTRACT(CELL("address",'Raw Data'!D78),"\$([A-Z]+)\$[0-9]+"))),_xlfn.REGEXEXTRACT(CELL("address",D78), "\$([A-Z]+)\$[0-9]+"))</f>
        <v>$D$78</v>
      </c>
      <c r="E78" s="7" t="str" cm="1">
        <f t="array" aca="1" ref="E78" ca="1">IFERROR(IF(OR('Raw Data'!E78="",LEN(TRIM('Raw Data'!E78))=0),"",IF(AND(ISNUMBER('Raw Data'!E78), IFERROR('Raw Data'!E78 = ROUND('Raw Data'!E78, 4),FALSE)),"",_xlfn.REGEXEXTRACT(CELL("address",E78), "\$([A-Z]+)\$[0-9]+"))),_xlfn.REGEXEXTRACT(CELL("address",E78), 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4),FALSE)),"",_xlfn.REGEXEXTRACT(CELL("address",F78), "\$([A-Z]+)\$[0-9]+"))),_xlfn.REGEXEXTRACT(CELL("address",F78), "\$([A-Z]+)\$[0-9]+"))</f>
        <v/>
      </c>
      <c r="G78" s="7" t="str" cm="1">
        <f t="array" aca="1" ref="G78" ca="1">IFERROR(IF(OR('Raw Data'!G78="",LEN(TRIM('Raw Data'!G78))=0),"",IF(AND(ISNUMBER('Raw Data'!G78), IFERROR('Raw Data'!G78 = ROUND('Raw Data'!G78, 4),FALSE)),"",_xlfn.REGEXEXTRACT(CELL("address",G78), "\$([A-Z]+)\$[0-9]+"))),_xlfn.REGEXEXTRACT(CELL("address",G78), "\$([A-Z]+)\$[0-9]+"))</f>
        <v/>
      </c>
      <c r="H78" s="7" t="str" cm="1">
        <f t="array" aca="1" ref="H78" ca="1">IFERROR(IF(OR('Raw Data'!H78="",LEN(TRIM('Raw Data'!H78))=0),"",IF(AND(ISNUMBER('Raw Data'!H78), IFERROR('Raw Data'!H78 = ROUND('Raw Data'!H78, 4),FALSE)),"",_xlfn.REGEXEXTRACT(CELL("address",H78), "\$([A-Z]+)\$[0-9]+"))),_xlfn.REGEXEXTRACT(CELL("address",H78), "\$([A-Z]+)\$[0-9]+"))</f>
        <v/>
      </c>
      <c r="I78" s="7" t="str" cm="1">
        <f t="array" aca="1" ref="I78" ca="1">IFERROR(IF(OR('Raw Data'!I78="",LEN(TRIM('Raw Data'!I78))=0),"",IF(AND(ISNUMBER('Raw Data'!I78), IFERROR('Raw Data'!I78 = ROUND('Raw Data'!I78, 4),FALSE)),"",_xlfn.REGEXEXTRACT(CELL("address",I78), "\$([A-Z]+)\$[0-9]+"))),_xlfn.REGEXEXTRACT(CELL("address",I78), "\$([A-Z]+)\$[0-9]+"))</f>
        <v/>
      </c>
      <c r="J78" s="7" t="str" cm="1">
        <f t="array" aca="1" ref="J78" ca="1">IFERROR(IF(OR('Raw Data'!J78="",LEN(TRIM('Raw Data'!J78))=0),"",IF(AND(ISNUMBER('Raw Data'!J78), IFERROR('Raw Data'!J78 = ROUND('Raw Data'!J78, 4),FALSE)),"",_xlfn.REGEXEXTRACT(CELL("address",J78), "\$([A-Z]+)\$[0-9]+"))),_xlfn.REGEXEXTRACT(CELL("address",J78), "\$([A-Z]+)\$[0-9]+"))</f>
        <v/>
      </c>
      <c r="K78" s="7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7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</row>
    <row r="79" spans="2:22" x14ac:dyDescent="0.25">
      <c r="B79" s="7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20,LEN('Raw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Data'!D79))=0),"",IF(AND(ISNUMBER('Raw Data'!D79),'Raw Data'!D79&gt;=Configuration!$D$2),"",_xlfn.REGEXEXTRACT(CELL("address",'Raw Data'!D79),"\$([A-Z]+)\$[0-9]+"))),_xlfn.REGEXEXTRACT(CELL("address",D79), "\$([A-Z]+)\$[0-9]+"))</f>
        <v>$D$79</v>
      </c>
      <c r="E79" s="7" t="str" cm="1">
        <f t="array" aca="1" ref="E79" ca="1">IFERROR(IF(OR('Raw Data'!E79="",LEN(TRIM('Raw Data'!E79))=0),"",IF(AND(ISNUMBER('Raw Data'!E79), IFERROR('Raw Data'!E79 = ROUND('Raw Data'!E79, 4),FALSE)),"",_xlfn.REGEXEXTRACT(CELL("address",E79), "\$([A-Z]+)\$[0-9]+"))),_xlfn.REGEXEXTRACT(CELL("address",E79), 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4),FALSE)),"",_xlfn.REGEXEXTRACT(CELL("address",F79), "\$([A-Z]+)\$[0-9]+"))),_xlfn.REGEXEXTRACT(CELL("address",F79), "\$([A-Z]+)\$[0-9]+"))</f>
        <v/>
      </c>
      <c r="G79" s="7" t="str" cm="1">
        <f t="array" aca="1" ref="G79" ca="1">IFERROR(IF(OR('Raw Data'!G79="",LEN(TRIM('Raw Data'!G79))=0),"",IF(AND(ISNUMBER('Raw Data'!G79), IFERROR('Raw Data'!G79 = ROUND('Raw Data'!G79, 4),FALSE)),"",_xlfn.REGEXEXTRACT(CELL("address",G79), "\$([A-Z]+)\$[0-9]+"))),_xlfn.REGEXEXTRACT(CELL("address",G79), "\$([A-Z]+)\$[0-9]+"))</f>
        <v/>
      </c>
      <c r="H79" s="7" t="str" cm="1">
        <f t="array" aca="1" ref="H79" ca="1">IFERROR(IF(OR('Raw Data'!H79="",LEN(TRIM('Raw Data'!H79))=0),"",IF(AND(ISNUMBER('Raw Data'!H79), IFERROR('Raw Data'!H79 = ROUND('Raw Data'!H79, 4),FALSE)),"",_xlfn.REGEXEXTRACT(CELL("address",H79), "\$([A-Z]+)\$[0-9]+"))),_xlfn.REGEXEXTRACT(CELL("address",H79), "\$([A-Z]+)\$[0-9]+"))</f>
        <v/>
      </c>
      <c r="I79" s="7" t="str" cm="1">
        <f t="array" aca="1" ref="I79" ca="1">IFERROR(IF(OR('Raw Data'!I79="",LEN(TRIM('Raw Data'!I79))=0),"",IF(AND(ISNUMBER('Raw Data'!I79), IFERROR('Raw Data'!I79 = ROUND('Raw Data'!I79, 4),FALSE)),"",_xlfn.REGEXEXTRACT(CELL("address",I79), "\$([A-Z]+)\$[0-9]+"))),_xlfn.REGEXEXTRACT(CELL("address",I79), "\$([A-Z]+)\$[0-9]+"))</f>
        <v/>
      </c>
      <c r="J79" s="7" t="str" cm="1">
        <f t="array" aca="1" ref="J79" ca="1">IFERROR(IF(OR('Raw Data'!J79="",LEN(TRIM('Raw Data'!J79))=0),"",IF(AND(ISNUMBER('Raw Data'!J79), IFERROR('Raw Data'!J79 = ROUND('Raw Data'!J79, 4),FALSE)),"",_xlfn.REGEXEXTRACT(CELL("address",J79), "\$([A-Z]+)\$[0-9]+"))),_xlfn.REGEXEXTRACT(CELL("address",J79), "\$([A-Z]+)\$[0-9]+"))</f>
        <v/>
      </c>
      <c r="K79" s="7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7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</row>
    <row r="80" spans="2:22" x14ac:dyDescent="0.25">
      <c r="B80" s="7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20,LEN('Raw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Data'!D80))=0),"",IF(AND(ISNUMBER('Raw Data'!D80),'Raw Data'!D80&gt;=Configuration!$D$2),"",_xlfn.REGEXEXTRACT(CELL("address",'Raw Data'!D80),"\$([A-Z]+)\$[0-9]+"))),_xlfn.REGEXEXTRACT(CELL("address",D80), "\$([A-Z]+)\$[0-9]+"))</f>
        <v>$D$80</v>
      </c>
      <c r="E80" s="7" t="str" cm="1">
        <f t="array" aca="1" ref="E80" ca="1">IFERROR(IF(OR('Raw Data'!E80="",LEN(TRIM('Raw Data'!E80))=0),"",IF(AND(ISNUMBER('Raw Data'!E80), IFERROR('Raw Data'!E80 = ROUND('Raw Data'!E80, 4),FALSE)),"",_xlfn.REGEXEXTRACT(CELL("address",E80), "\$([A-Z]+)\$[0-9]+"))),_xlfn.REGEXEXTRACT(CELL("address",E80), 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4),FALSE)),"",_xlfn.REGEXEXTRACT(CELL("address",F80), "\$([A-Z]+)\$[0-9]+"))),_xlfn.REGEXEXTRACT(CELL("address",F80), "\$([A-Z]+)\$[0-9]+"))</f>
        <v/>
      </c>
      <c r="G80" s="7" t="str" cm="1">
        <f t="array" aca="1" ref="G80" ca="1">IFERROR(IF(OR('Raw Data'!G80="",LEN(TRIM('Raw Data'!G80))=0),"",IF(AND(ISNUMBER('Raw Data'!G80), IFERROR('Raw Data'!G80 = ROUND('Raw Data'!G80, 4),FALSE)),"",_xlfn.REGEXEXTRACT(CELL("address",G80), "\$([A-Z]+)\$[0-9]+"))),_xlfn.REGEXEXTRACT(CELL("address",G80), "\$([A-Z]+)\$[0-9]+"))</f>
        <v/>
      </c>
      <c r="H80" s="7" t="str" cm="1">
        <f t="array" aca="1" ref="H80" ca="1">IFERROR(IF(OR('Raw Data'!H80="",LEN(TRIM('Raw Data'!H80))=0),"",IF(AND(ISNUMBER('Raw Data'!H80), IFERROR('Raw Data'!H80 = ROUND('Raw Data'!H80, 4),FALSE)),"",_xlfn.REGEXEXTRACT(CELL("address",H80), "\$([A-Z]+)\$[0-9]+"))),_xlfn.REGEXEXTRACT(CELL("address",H80), "\$([A-Z]+)\$[0-9]+"))</f>
        <v/>
      </c>
      <c r="I80" s="7" t="str" cm="1">
        <f t="array" aca="1" ref="I80" ca="1">IFERROR(IF(OR('Raw Data'!I80="",LEN(TRIM('Raw Data'!I80))=0),"",IF(AND(ISNUMBER('Raw Data'!I80), IFERROR('Raw Data'!I80 = ROUND('Raw Data'!I80, 4),FALSE)),"",_xlfn.REGEXEXTRACT(CELL("address",I80), "\$([A-Z]+)\$[0-9]+"))),_xlfn.REGEXEXTRACT(CELL("address",I80), "\$([A-Z]+)\$[0-9]+"))</f>
        <v/>
      </c>
      <c r="J80" s="7" t="str" cm="1">
        <f t="array" aca="1" ref="J80" ca="1">IFERROR(IF(OR('Raw Data'!J80="",LEN(TRIM('Raw Data'!J80))=0),"",IF(AND(ISNUMBER('Raw Data'!J80), IFERROR('Raw Data'!J80 = ROUND('Raw Data'!J80, 4),FALSE)),"",_xlfn.REGEXEXTRACT(CELL("address",J80), "\$([A-Z]+)\$[0-9]+"))),_xlfn.REGEXEXTRACT(CELL("address",J80), "\$([A-Z]+)\$[0-9]+"))</f>
        <v/>
      </c>
      <c r="K80" s="7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7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</row>
    <row r="81" spans="2:22" x14ac:dyDescent="0.25">
      <c r="B81" s="7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20,LEN('Raw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Data'!D81))=0),"",IF(AND(ISNUMBER('Raw Data'!D81),'Raw Data'!D81&gt;=Configuration!$D$2),"",_xlfn.REGEXEXTRACT(CELL("address",'Raw Data'!D81),"\$([A-Z]+)\$[0-9]+"))),_xlfn.REGEXEXTRACT(CELL("address",D81), "\$([A-Z]+)\$[0-9]+"))</f>
        <v>$D$81</v>
      </c>
      <c r="E81" s="7" t="str" cm="1">
        <f t="array" aca="1" ref="E81" ca="1">IFERROR(IF(OR('Raw Data'!E81="",LEN(TRIM('Raw Data'!E81))=0),"",IF(AND(ISNUMBER('Raw Data'!E81), IFERROR('Raw Data'!E81 = ROUND('Raw Data'!E81, 4),FALSE)),"",_xlfn.REGEXEXTRACT(CELL("address",E81), "\$([A-Z]+)\$[0-9]+"))),_xlfn.REGEXEXTRACT(CELL("address",E81), 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4),FALSE)),"",_xlfn.REGEXEXTRACT(CELL("address",F81), "\$([A-Z]+)\$[0-9]+"))),_xlfn.REGEXEXTRACT(CELL("address",F81), "\$([A-Z]+)\$[0-9]+"))</f>
        <v/>
      </c>
      <c r="G81" s="7" t="str" cm="1">
        <f t="array" aca="1" ref="G81" ca="1">IFERROR(IF(OR('Raw Data'!G81="",LEN(TRIM('Raw Data'!G81))=0),"",IF(AND(ISNUMBER('Raw Data'!G81), IFERROR('Raw Data'!G81 = ROUND('Raw Data'!G81, 4),FALSE)),"",_xlfn.REGEXEXTRACT(CELL("address",G81), "\$([A-Z]+)\$[0-9]+"))),_xlfn.REGEXEXTRACT(CELL("address",G81), "\$([A-Z]+)\$[0-9]+"))</f>
        <v/>
      </c>
      <c r="H81" s="7" t="str" cm="1">
        <f t="array" aca="1" ref="H81" ca="1">IFERROR(IF(OR('Raw Data'!H81="",LEN(TRIM('Raw Data'!H81))=0),"",IF(AND(ISNUMBER('Raw Data'!H81), IFERROR('Raw Data'!H81 = ROUND('Raw Data'!H81, 4),FALSE)),"",_xlfn.REGEXEXTRACT(CELL("address",H81), "\$([A-Z]+)\$[0-9]+"))),_xlfn.REGEXEXTRACT(CELL("address",H81), "\$([A-Z]+)\$[0-9]+"))</f>
        <v/>
      </c>
      <c r="I81" s="7" t="str" cm="1">
        <f t="array" aca="1" ref="I81" ca="1">IFERROR(IF(OR('Raw Data'!I81="",LEN(TRIM('Raw Data'!I81))=0),"",IF(AND(ISNUMBER('Raw Data'!I81), IFERROR('Raw Data'!I81 = ROUND('Raw Data'!I81, 4),FALSE)),"",_xlfn.REGEXEXTRACT(CELL("address",I81), "\$([A-Z]+)\$[0-9]+"))),_xlfn.REGEXEXTRACT(CELL("address",I81), "\$([A-Z]+)\$[0-9]+"))</f>
        <v/>
      </c>
      <c r="J81" s="7" t="str" cm="1">
        <f t="array" aca="1" ref="J81" ca="1">IFERROR(IF(OR('Raw Data'!J81="",LEN(TRIM('Raw Data'!J81))=0),"",IF(AND(ISNUMBER('Raw Data'!J81), IFERROR('Raw Data'!J81 = ROUND('Raw Data'!J81, 4),FALSE)),"",_xlfn.REGEXEXTRACT(CELL("address",J81), "\$([A-Z]+)\$[0-9]+"))),_xlfn.REGEXEXTRACT(CELL("address",J81), "\$([A-Z]+)\$[0-9]+"))</f>
        <v/>
      </c>
      <c r="K81" s="7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7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</row>
    <row r="82" spans="2:22" x14ac:dyDescent="0.25">
      <c r="B82" s="7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20,LEN('Raw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Data'!D82))=0),"",IF(AND(ISNUMBER('Raw Data'!D82),'Raw Data'!D82&gt;=Configuration!$D$2),"",_xlfn.REGEXEXTRACT(CELL("address",'Raw Data'!D82),"\$([A-Z]+)\$[0-9]+"))),_xlfn.REGEXEXTRACT(CELL("address",D82), "\$([A-Z]+)\$[0-9]+"))</f>
        <v>$D$82</v>
      </c>
      <c r="E82" s="7" t="str" cm="1">
        <f t="array" aca="1" ref="E82" ca="1">IFERROR(IF(OR('Raw Data'!E82="",LEN(TRIM('Raw Data'!E82))=0),"",IF(AND(ISNUMBER('Raw Data'!E82), IFERROR('Raw Data'!E82 = ROUND('Raw Data'!E82, 4),FALSE)),"",_xlfn.REGEXEXTRACT(CELL("address",E82), "\$([A-Z]+)\$[0-9]+"))),_xlfn.REGEXEXTRACT(CELL("address",E82), 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4),FALSE)),"",_xlfn.REGEXEXTRACT(CELL("address",F82), "\$([A-Z]+)\$[0-9]+"))),_xlfn.REGEXEXTRACT(CELL("address",F82), "\$([A-Z]+)\$[0-9]+"))</f>
        <v/>
      </c>
      <c r="G82" s="7" t="str" cm="1">
        <f t="array" aca="1" ref="G82" ca="1">IFERROR(IF(OR('Raw Data'!G82="",LEN(TRIM('Raw Data'!G82))=0),"",IF(AND(ISNUMBER('Raw Data'!G82), IFERROR('Raw Data'!G82 = ROUND('Raw Data'!G82, 4),FALSE)),"",_xlfn.REGEXEXTRACT(CELL("address",G82), "\$([A-Z]+)\$[0-9]+"))),_xlfn.REGEXEXTRACT(CELL("address",G82), "\$([A-Z]+)\$[0-9]+"))</f>
        <v/>
      </c>
      <c r="H82" s="7" t="str" cm="1">
        <f t="array" aca="1" ref="H82" ca="1">IFERROR(IF(OR('Raw Data'!H82="",LEN(TRIM('Raw Data'!H82))=0),"",IF(AND(ISNUMBER('Raw Data'!H82), IFERROR('Raw Data'!H82 = ROUND('Raw Data'!H82, 4),FALSE)),"",_xlfn.REGEXEXTRACT(CELL("address",H82), "\$([A-Z]+)\$[0-9]+"))),_xlfn.REGEXEXTRACT(CELL("address",H82), "\$([A-Z]+)\$[0-9]+"))</f>
        <v/>
      </c>
      <c r="I82" s="7" t="str" cm="1">
        <f t="array" aca="1" ref="I82" ca="1">IFERROR(IF(OR('Raw Data'!I82="",LEN(TRIM('Raw Data'!I82))=0),"",IF(AND(ISNUMBER('Raw Data'!I82), IFERROR('Raw Data'!I82 = ROUND('Raw Data'!I82, 4),FALSE)),"",_xlfn.REGEXEXTRACT(CELL("address",I82), "\$([A-Z]+)\$[0-9]+"))),_xlfn.REGEXEXTRACT(CELL("address",I82), "\$([A-Z]+)\$[0-9]+"))</f>
        <v/>
      </c>
      <c r="J82" s="7" t="str" cm="1">
        <f t="array" aca="1" ref="J82" ca="1">IFERROR(IF(OR('Raw Data'!J82="",LEN(TRIM('Raw Data'!J82))=0),"",IF(AND(ISNUMBER('Raw Data'!J82), IFERROR('Raw Data'!J82 = ROUND('Raw Data'!J82, 4),FALSE)),"",_xlfn.REGEXEXTRACT(CELL("address",J82), "\$([A-Z]+)\$[0-9]+"))),_xlfn.REGEXEXTRACT(CELL("address",J82), "\$([A-Z]+)\$[0-9]+"))</f>
        <v/>
      </c>
      <c r="K82" s="7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7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</row>
    <row r="83" spans="2:22" x14ac:dyDescent="0.25">
      <c r="B83" s="7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20,LEN('Raw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Data'!D83))=0),"",IF(AND(ISNUMBER('Raw Data'!D83),'Raw Data'!D83&gt;=Configuration!$D$2),"",_xlfn.REGEXEXTRACT(CELL("address",'Raw Data'!D83),"\$([A-Z]+)\$[0-9]+"))),_xlfn.REGEXEXTRACT(CELL("address",D83), "\$([A-Z]+)\$[0-9]+"))</f>
        <v>$D$83</v>
      </c>
      <c r="E83" s="7" t="str" cm="1">
        <f t="array" aca="1" ref="E83" ca="1">IFERROR(IF(OR('Raw Data'!E83="",LEN(TRIM('Raw Data'!E83))=0),"",IF(AND(ISNUMBER('Raw Data'!E83), IFERROR('Raw Data'!E83 = ROUND('Raw Data'!E83, 4),FALSE)),"",_xlfn.REGEXEXTRACT(CELL("address",E83), "\$([A-Z]+)\$[0-9]+"))),_xlfn.REGEXEXTRACT(CELL("address",E83), 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4),FALSE)),"",_xlfn.REGEXEXTRACT(CELL("address",F83), "\$([A-Z]+)\$[0-9]+"))),_xlfn.REGEXEXTRACT(CELL("address",F83), "\$([A-Z]+)\$[0-9]+"))</f>
        <v/>
      </c>
      <c r="G83" s="7" t="str" cm="1">
        <f t="array" aca="1" ref="G83" ca="1">IFERROR(IF(OR('Raw Data'!G83="",LEN(TRIM('Raw Data'!G83))=0),"",IF(AND(ISNUMBER('Raw Data'!G83), IFERROR('Raw Data'!G83 = ROUND('Raw Data'!G83, 4),FALSE)),"",_xlfn.REGEXEXTRACT(CELL("address",G83), "\$([A-Z]+)\$[0-9]+"))),_xlfn.REGEXEXTRACT(CELL("address",G83), "\$([A-Z]+)\$[0-9]+"))</f>
        <v/>
      </c>
      <c r="H83" s="7" t="str" cm="1">
        <f t="array" aca="1" ref="H83" ca="1">IFERROR(IF(OR('Raw Data'!H83="",LEN(TRIM('Raw Data'!H83))=0),"",IF(AND(ISNUMBER('Raw Data'!H83), IFERROR('Raw Data'!H83 = ROUND('Raw Data'!H83, 4),FALSE)),"",_xlfn.REGEXEXTRACT(CELL("address",H83), "\$([A-Z]+)\$[0-9]+"))),_xlfn.REGEXEXTRACT(CELL("address",H83), "\$([A-Z]+)\$[0-9]+"))</f>
        <v/>
      </c>
      <c r="I83" s="7" t="str" cm="1">
        <f t="array" aca="1" ref="I83" ca="1">IFERROR(IF(OR('Raw Data'!I83="",LEN(TRIM('Raw Data'!I83))=0),"",IF(AND(ISNUMBER('Raw Data'!I83), IFERROR('Raw Data'!I83 = ROUND('Raw Data'!I83, 4),FALSE)),"",_xlfn.REGEXEXTRACT(CELL("address",I83), "\$([A-Z]+)\$[0-9]+"))),_xlfn.REGEXEXTRACT(CELL("address",I83), "\$([A-Z]+)\$[0-9]+"))</f>
        <v/>
      </c>
      <c r="J83" s="7" t="str" cm="1">
        <f t="array" aca="1" ref="J83" ca="1">IFERROR(IF(OR('Raw Data'!J83="",LEN(TRIM('Raw Data'!J83))=0),"",IF(AND(ISNUMBER('Raw Data'!J83), IFERROR('Raw Data'!J83 = ROUND('Raw Data'!J83, 4),FALSE)),"",_xlfn.REGEXEXTRACT(CELL("address",J83), "\$([A-Z]+)\$[0-9]+"))),_xlfn.REGEXEXTRACT(CELL("address",J83), "\$([A-Z]+)\$[0-9]+"))</f>
        <v/>
      </c>
      <c r="K83" s="7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7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</row>
    <row r="84" spans="2:22" x14ac:dyDescent="0.25">
      <c r="B84" s="7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20,LEN('Raw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Data'!D84))=0),"",IF(AND(ISNUMBER('Raw Data'!D84),'Raw Data'!D84&gt;=Configuration!$D$2),"",_xlfn.REGEXEXTRACT(CELL("address",'Raw Data'!D84),"\$([A-Z]+)\$[0-9]+"))),_xlfn.REGEXEXTRACT(CELL("address",D84), "\$([A-Z]+)\$[0-9]+"))</f>
        <v>$D$84</v>
      </c>
      <c r="E84" s="7" t="str" cm="1">
        <f t="array" aca="1" ref="E84" ca="1">IFERROR(IF(OR('Raw Data'!E84="",LEN(TRIM('Raw Data'!E84))=0),"",IF(AND(ISNUMBER('Raw Data'!E84), IFERROR('Raw Data'!E84 = ROUND('Raw Data'!E84, 4),FALSE)),"",_xlfn.REGEXEXTRACT(CELL("address",E84), "\$([A-Z]+)\$[0-9]+"))),_xlfn.REGEXEXTRACT(CELL("address",E84), 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4),FALSE)),"",_xlfn.REGEXEXTRACT(CELL("address",F84), "\$([A-Z]+)\$[0-9]+"))),_xlfn.REGEXEXTRACT(CELL("address",F84), "\$([A-Z]+)\$[0-9]+"))</f>
        <v/>
      </c>
      <c r="G84" s="7" t="str" cm="1">
        <f t="array" aca="1" ref="G84" ca="1">IFERROR(IF(OR('Raw Data'!G84="",LEN(TRIM('Raw Data'!G84))=0),"",IF(AND(ISNUMBER('Raw Data'!G84), IFERROR('Raw Data'!G84 = ROUND('Raw Data'!G84, 4),FALSE)),"",_xlfn.REGEXEXTRACT(CELL("address",G84), "\$([A-Z]+)\$[0-9]+"))),_xlfn.REGEXEXTRACT(CELL("address",G84), "\$([A-Z]+)\$[0-9]+"))</f>
        <v/>
      </c>
      <c r="H84" s="7" t="str" cm="1">
        <f t="array" aca="1" ref="H84" ca="1">IFERROR(IF(OR('Raw Data'!H84="",LEN(TRIM('Raw Data'!H84))=0),"",IF(AND(ISNUMBER('Raw Data'!H84), IFERROR('Raw Data'!H84 = ROUND('Raw Data'!H84, 4),FALSE)),"",_xlfn.REGEXEXTRACT(CELL("address",H84), "\$([A-Z]+)\$[0-9]+"))),_xlfn.REGEXEXTRACT(CELL("address",H84), "\$([A-Z]+)\$[0-9]+"))</f>
        <v/>
      </c>
      <c r="I84" s="7" t="str" cm="1">
        <f t="array" aca="1" ref="I84" ca="1">IFERROR(IF(OR('Raw Data'!I84="",LEN(TRIM('Raw Data'!I84))=0),"",IF(AND(ISNUMBER('Raw Data'!I84), IFERROR('Raw Data'!I84 = ROUND('Raw Data'!I84, 4),FALSE)),"",_xlfn.REGEXEXTRACT(CELL("address",I84), "\$([A-Z]+)\$[0-9]+"))),_xlfn.REGEXEXTRACT(CELL("address",I84), "\$([A-Z]+)\$[0-9]+"))</f>
        <v/>
      </c>
      <c r="J84" s="7" t="str" cm="1">
        <f t="array" aca="1" ref="J84" ca="1">IFERROR(IF(OR('Raw Data'!J84="",LEN(TRIM('Raw Data'!J84))=0),"",IF(AND(ISNUMBER('Raw Data'!J84), IFERROR('Raw Data'!J84 = ROUND('Raw Data'!J84, 4),FALSE)),"",_xlfn.REGEXEXTRACT(CELL("address",J84), "\$([A-Z]+)\$[0-9]+"))),_xlfn.REGEXEXTRACT(CELL("address",J84), "\$([A-Z]+)\$[0-9]+"))</f>
        <v/>
      </c>
      <c r="K84" s="7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7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</row>
    <row r="85" spans="2:22" x14ac:dyDescent="0.25">
      <c r="B85" s="7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20,LEN('Raw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Data'!D85))=0),"",IF(AND(ISNUMBER('Raw Data'!D85),'Raw Data'!D85&gt;=Configuration!$D$2),"",_xlfn.REGEXEXTRACT(CELL("address",'Raw Data'!D85),"\$([A-Z]+)\$[0-9]+"))),_xlfn.REGEXEXTRACT(CELL("address",D85), "\$([A-Z]+)\$[0-9]+"))</f>
        <v>$D$85</v>
      </c>
      <c r="E85" s="7" t="str" cm="1">
        <f t="array" aca="1" ref="E85" ca="1">IFERROR(IF(OR('Raw Data'!E85="",LEN(TRIM('Raw Data'!E85))=0),"",IF(AND(ISNUMBER('Raw Data'!E85), IFERROR('Raw Data'!E85 = ROUND('Raw Data'!E85, 4),FALSE)),"",_xlfn.REGEXEXTRACT(CELL("address",E85), "\$([A-Z]+)\$[0-9]+"))),_xlfn.REGEXEXTRACT(CELL("address",E85), 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4),FALSE)),"",_xlfn.REGEXEXTRACT(CELL("address",F85), "\$([A-Z]+)\$[0-9]+"))),_xlfn.REGEXEXTRACT(CELL("address",F85), "\$([A-Z]+)\$[0-9]+"))</f>
        <v/>
      </c>
      <c r="G85" s="7" t="str" cm="1">
        <f t="array" aca="1" ref="G85" ca="1">IFERROR(IF(OR('Raw Data'!G85="",LEN(TRIM('Raw Data'!G85))=0),"",IF(AND(ISNUMBER('Raw Data'!G85), IFERROR('Raw Data'!G85 = ROUND('Raw Data'!G85, 4),FALSE)),"",_xlfn.REGEXEXTRACT(CELL("address",G85), "\$([A-Z]+)\$[0-9]+"))),_xlfn.REGEXEXTRACT(CELL("address",G85), "\$([A-Z]+)\$[0-9]+"))</f>
        <v/>
      </c>
      <c r="H85" s="7" t="str" cm="1">
        <f t="array" aca="1" ref="H85" ca="1">IFERROR(IF(OR('Raw Data'!H85="",LEN(TRIM('Raw Data'!H85))=0),"",IF(AND(ISNUMBER('Raw Data'!H85), IFERROR('Raw Data'!H85 = ROUND('Raw Data'!H85, 4),FALSE)),"",_xlfn.REGEXEXTRACT(CELL("address",H85), "\$([A-Z]+)\$[0-9]+"))),_xlfn.REGEXEXTRACT(CELL("address",H85), "\$([A-Z]+)\$[0-9]+"))</f>
        <v/>
      </c>
      <c r="I85" s="7" t="str" cm="1">
        <f t="array" aca="1" ref="I85" ca="1">IFERROR(IF(OR('Raw Data'!I85="",LEN(TRIM('Raw Data'!I85))=0),"",IF(AND(ISNUMBER('Raw Data'!I85), IFERROR('Raw Data'!I85 = ROUND('Raw Data'!I85, 4),FALSE)),"",_xlfn.REGEXEXTRACT(CELL("address",I85), "\$([A-Z]+)\$[0-9]+"))),_xlfn.REGEXEXTRACT(CELL("address",I85), "\$([A-Z]+)\$[0-9]+"))</f>
        <v/>
      </c>
      <c r="J85" s="7" t="str" cm="1">
        <f t="array" aca="1" ref="J85" ca="1">IFERROR(IF(OR('Raw Data'!J85="",LEN(TRIM('Raw Data'!J85))=0),"",IF(AND(ISNUMBER('Raw Data'!J85), IFERROR('Raw Data'!J85 = ROUND('Raw Data'!J85, 4),FALSE)),"",_xlfn.REGEXEXTRACT(CELL("address",J85), "\$([A-Z]+)\$[0-9]+"))),_xlfn.REGEXEXTRACT(CELL("address",J85), "\$([A-Z]+)\$[0-9]+"))</f>
        <v/>
      </c>
      <c r="K85" s="7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7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</row>
    <row r="86" spans="2:22" x14ac:dyDescent="0.25">
      <c r="B86" s="7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20,LEN('Raw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Data'!D86))=0),"",IF(AND(ISNUMBER('Raw Data'!D86),'Raw Data'!D86&gt;=Configuration!$D$2),"",_xlfn.REGEXEXTRACT(CELL("address",'Raw Data'!D86),"\$([A-Z]+)\$[0-9]+"))),_xlfn.REGEXEXTRACT(CELL("address",D86), "\$([A-Z]+)\$[0-9]+"))</f>
        <v>$D$86</v>
      </c>
      <c r="E86" s="7" t="str" cm="1">
        <f t="array" aca="1" ref="E86" ca="1">IFERROR(IF(OR('Raw Data'!E86="",LEN(TRIM('Raw Data'!E86))=0),"",IF(AND(ISNUMBER('Raw Data'!E86), IFERROR('Raw Data'!E86 = ROUND('Raw Data'!E86, 4),FALSE)),"",_xlfn.REGEXEXTRACT(CELL("address",E86), "\$([A-Z]+)\$[0-9]+"))),_xlfn.REGEXEXTRACT(CELL("address",E86), 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4),FALSE)),"",_xlfn.REGEXEXTRACT(CELL("address",F86), "\$([A-Z]+)\$[0-9]+"))),_xlfn.REGEXEXTRACT(CELL("address",F86), "\$([A-Z]+)\$[0-9]+"))</f>
        <v/>
      </c>
      <c r="G86" s="7" t="str" cm="1">
        <f t="array" aca="1" ref="G86" ca="1">IFERROR(IF(OR('Raw Data'!G86="",LEN(TRIM('Raw Data'!G86))=0),"",IF(AND(ISNUMBER('Raw Data'!G86), IFERROR('Raw Data'!G86 = ROUND('Raw Data'!G86, 4),FALSE)),"",_xlfn.REGEXEXTRACT(CELL("address",G86), "\$([A-Z]+)\$[0-9]+"))),_xlfn.REGEXEXTRACT(CELL("address",G86), "\$([A-Z]+)\$[0-9]+"))</f>
        <v/>
      </c>
      <c r="H86" s="7" t="str" cm="1">
        <f t="array" aca="1" ref="H86" ca="1">IFERROR(IF(OR('Raw Data'!H86="",LEN(TRIM('Raw Data'!H86))=0),"",IF(AND(ISNUMBER('Raw Data'!H86), IFERROR('Raw Data'!H86 = ROUND('Raw Data'!H86, 4),FALSE)),"",_xlfn.REGEXEXTRACT(CELL("address",H86), "\$([A-Z]+)\$[0-9]+"))),_xlfn.REGEXEXTRACT(CELL("address",H86), "\$([A-Z]+)\$[0-9]+"))</f>
        <v/>
      </c>
      <c r="I86" s="7" t="str" cm="1">
        <f t="array" aca="1" ref="I86" ca="1">IFERROR(IF(OR('Raw Data'!I86="",LEN(TRIM('Raw Data'!I86))=0),"",IF(AND(ISNUMBER('Raw Data'!I86), IFERROR('Raw Data'!I86 = ROUND('Raw Data'!I86, 4),FALSE)),"",_xlfn.REGEXEXTRACT(CELL("address",I86), "\$([A-Z]+)\$[0-9]+"))),_xlfn.REGEXEXTRACT(CELL("address",I86), "\$([A-Z]+)\$[0-9]+"))</f>
        <v/>
      </c>
      <c r="J86" s="7" t="str" cm="1">
        <f t="array" aca="1" ref="J86" ca="1">IFERROR(IF(OR('Raw Data'!J86="",LEN(TRIM('Raw Data'!J86))=0),"",IF(AND(ISNUMBER('Raw Data'!J86), IFERROR('Raw Data'!J86 = ROUND('Raw Data'!J86, 4),FALSE)),"",_xlfn.REGEXEXTRACT(CELL("address",J86), "\$([A-Z]+)\$[0-9]+"))),_xlfn.REGEXEXTRACT(CELL("address",J86), "\$([A-Z]+)\$[0-9]+"))</f>
        <v/>
      </c>
      <c r="K86" s="7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7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</row>
    <row r="87" spans="2:22" x14ac:dyDescent="0.25">
      <c r="B87" s="7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20,LEN('Raw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Data'!D87))=0),"",IF(AND(ISNUMBER('Raw Data'!D87),'Raw Data'!D87&gt;=Configuration!$D$2),"",_xlfn.REGEXEXTRACT(CELL("address",'Raw Data'!D87),"\$([A-Z]+)\$[0-9]+"))),_xlfn.REGEXEXTRACT(CELL("address",D87), "\$([A-Z]+)\$[0-9]+"))</f>
        <v>$D$87</v>
      </c>
      <c r="E87" s="7" t="str" cm="1">
        <f t="array" aca="1" ref="E87" ca="1">IFERROR(IF(OR('Raw Data'!E87="",LEN(TRIM('Raw Data'!E87))=0),"",IF(AND(ISNUMBER('Raw Data'!E87), IFERROR('Raw Data'!E87 = ROUND('Raw Data'!E87, 4),FALSE)),"",_xlfn.REGEXEXTRACT(CELL("address",E87), "\$([A-Z]+)\$[0-9]+"))),_xlfn.REGEXEXTRACT(CELL("address",E87), 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4),FALSE)),"",_xlfn.REGEXEXTRACT(CELL("address",F87), "\$([A-Z]+)\$[0-9]+"))),_xlfn.REGEXEXTRACT(CELL("address",F87), "\$([A-Z]+)\$[0-9]+"))</f>
        <v/>
      </c>
      <c r="G87" s="7" t="str" cm="1">
        <f t="array" aca="1" ref="G87" ca="1">IFERROR(IF(OR('Raw Data'!G87="",LEN(TRIM('Raw Data'!G87))=0),"",IF(AND(ISNUMBER('Raw Data'!G87), IFERROR('Raw Data'!G87 = ROUND('Raw Data'!G87, 4),FALSE)),"",_xlfn.REGEXEXTRACT(CELL("address",G87), "\$([A-Z]+)\$[0-9]+"))),_xlfn.REGEXEXTRACT(CELL("address",G87), "\$([A-Z]+)\$[0-9]+"))</f>
        <v/>
      </c>
      <c r="H87" s="7" t="str" cm="1">
        <f t="array" aca="1" ref="H87" ca="1">IFERROR(IF(OR('Raw Data'!H87="",LEN(TRIM('Raw Data'!H87))=0),"",IF(AND(ISNUMBER('Raw Data'!H87), IFERROR('Raw Data'!H87 = ROUND('Raw Data'!H87, 4),FALSE)),"",_xlfn.REGEXEXTRACT(CELL("address",H87), "\$([A-Z]+)\$[0-9]+"))),_xlfn.REGEXEXTRACT(CELL("address",H87), "\$([A-Z]+)\$[0-9]+"))</f>
        <v/>
      </c>
      <c r="I87" s="7" t="str" cm="1">
        <f t="array" aca="1" ref="I87" ca="1">IFERROR(IF(OR('Raw Data'!I87="",LEN(TRIM('Raw Data'!I87))=0),"",IF(AND(ISNUMBER('Raw Data'!I87), IFERROR('Raw Data'!I87 = ROUND('Raw Data'!I87, 4),FALSE)),"",_xlfn.REGEXEXTRACT(CELL("address",I87), "\$([A-Z]+)\$[0-9]+"))),_xlfn.REGEXEXTRACT(CELL("address",I87), "\$([A-Z]+)\$[0-9]+"))</f>
        <v/>
      </c>
      <c r="J87" s="7" t="str" cm="1">
        <f t="array" aca="1" ref="J87" ca="1">IFERROR(IF(OR('Raw Data'!J87="",LEN(TRIM('Raw Data'!J87))=0),"",IF(AND(ISNUMBER('Raw Data'!J87), IFERROR('Raw Data'!J87 = ROUND('Raw Data'!J87, 4),FALSE)),"",_xlfn.REGEXEXTRACT(CELL("address",J87), "\$([A-Z]+)\$[0-9]+"))),_xlfn.REGEXEXTRACT(CELL("address",J87), "\$([A-Z]+)\$[0-9]+"))</f>
        <v/>
      </c>
      <c r="K87" s="7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7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</row>
    <row r="88" spans="2:22" x14ac:dyDescent="0.25">
      <c r="B88" s="7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20,LEN('Raw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Data'!D88))=0),"",IF(AND(ISNUMBER('Raw Data'!D88),'Raw Data'!D88&gt;=Configuration!$D$2),"",_xlfn.REGEXEXTRACT(CELL("address",'Raw Data'!D88),"\$([A-Z]+)\$[0-9]+"))),_xlfn.REGEXEXTRACT(CELL("address",D88), "\$([A-Z]+)\$[0-9]+"))</f>
        <v>$D$88</v>
      </c>
      <c r="E88" s="7" t="str" cm="1">
        <f t="array" aca="1" ref="E88" ca="1">IFERROR(IF(OR('Raw Data'!E88="",LEN(TRIM('Raw Data'!E88))=0),"",IF(AND(ISNUMBER('Raw Data'!E88), IFERROR('Raw Data'!E88 = ROUND('Raw Data'!E88, 4),FALSE)),"",_xlfn.REGEXEXTRACT(CELL("address",E88), "\$([A-Z]+)\$[0-9]+"))),_xlfn.REGEXEXTRACT(CELL("address",E88), 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4),FALSE)),"",_xlfn.REGEXEXTRACT(CELL("address",F88), "\$([A-Z]+)\$[0-9]+"))),_xlfn.REGEXEXTRACT(CELL("address",F88), "\$([A-Z]+)\$[0-9]+"))</f>
        <v/>
      </c>
      <c r="G88" s="7" t="str" cm="1">
        <f t="array" aca="1" ref="G88" ca="1">IFERROR(IF(OR('Raw Data'!G88="",LEN(TRIM('Raw Data'!G88))=0),"",IF(AND(ISNUMBER('Raw Data'!G88), IFERROR('Raw Data'!G88 = ROUND('Raw Data'!G88, 4),FALSE)),"",_xlfn.REGEXEXTRACT(CELL("address",G88), "\$([A-Z]+)\$[0-9]+"))),_xlfn.REGEXEXTRACT(CELL("address",G88), "\$([A-Z]+)\$[0-9]+"))</f>
        <v/>
      </c>
      <c r="H88" s="7" t="str" cm="1">
        <f t="array" aca="1" ref="H88" ca="1">IFERROR(IF(OR('Raw Data'!H88="",LEN(TRIM('Raw Data'!H88))=0),"",IF(AND(ISNUMBER('Raw Data'!H88), IFERROR('Raw Data'!H88 = ROUND('Raw Data'!H88, 4),FALSE)),"",_xlfn.REGEXEXTRACT(CELL("address",H88), "\$([A-Z]+)\$[0-9]+"))),_xlfn.REGEXEXTRACT(CELL("address",H88), "\$([A-Z]+)\$[0-9]+"))</f>
        <v/>
      </c>
      <c r="I88" s="7" t="str" cm="1">
        <f t="array" aca="1" ref="I88" ca="1">IFERROR(IF(OR('Raw Data'!I88="",LEN(TRIM('Raw Data'!I88))=0),"",IF(AND(ISNUMBER('Raw Data'!I88), IFERROR('Raw Data'!I88 = ROUND('Raw Data'!I88, 4),FALSE)),"",_xlfn.REGEXEXTRACT(CELL("address",I88), "\$([A-Z]+)\$[0-9]+"))),_xlfn.REGEXEXTRACT(CELL("address",I88), "\$([A-Z]+)\$[0-9]+"))</f>
        <v/>
      </c>
      <c r="J88" s="7" t="str" cm="1">
        <f t="array" aca="1" ref="J88" ca="1">IFERROR(IF(OR('Raw Data'!J88="",LEN(TRIM('Raw Data'!J88))=0),"",IF(AND(ISNUMBER('Raw Data'!J88), IFERROR('Raw Data'!J88 = ROUND('Raw Data'!J88, 4),FALSE)),"",_xlfn.REGEXEXTRACT(CELL("address",J88), "\$([A-Z]+)\$[0-9]+"))),_xlfn.REGEXEXTRACT(CELL("address",J88), "\$([A-Z]+)\$[0-9]+"))</f>
        <v/>
      </c>
      <c r="K88" s="7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7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</row>
    <row r="89" spans="2:22" x14ac:dyDescent="0.25">
      <c r="B89" s="7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20,LEN('Raw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Data'!D89))=0),"",IF(AND(ISNUMBER('Raw Data'!D89),'Raw Data'!D89&gt;=Configuration!$D$2),"",_xlfn.REGEXEXTRACT(CELL("address",'Raw Data'!D89),"\$([A-Z]+)\$[0-9]+"))),_xlfn.REGEXEXTRACT(CELL("address",D89), "\$([A-Z]+)\$[0-9]+"))</f>
        <v>$D$89</v>
      </c>
      <c r="E89" s="7" t="str" cm="1">
        <f t="array" aca="1" ref="E89" ca="1">IFERROR(IF(OR('Raw Data'!E89="",LEN(TRIM('Raw Data'!E89))=0),"",IF(AND(ISNUMBER('Raw Data'!E89), IFERROR('Raw Data'!E89 = ROUND('Raw Data'!E89, 4),FALSE)),"",_xlfn.REGEXEXTRACT(CELL("address",E89), "\$([A-Z]+)\$[0-9]+"))),_xlfn.REGEXEXTRACT(CELL("address",E89), 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4),FALSE)),"",_xlfn.REGEXEXTRACT(CELL("address",F89), "\$([A-Z]+)\$[0-9]+"))),_xlfn.REGEXEXTRACT(CELL("address",F89), "\$([A-Z]+)\$[0-9]+"))</f>
        <v/>
      </c>
      <c r="G89" s="7" t="str" cm="1">
        <f t="array" aca="1" ref="G89" ca="1">IFERROR(IF(OR('Raw Data'!G89="",LEN(TRIM('Raw Data'!G89))=0),"",IF(AND(ISNUMBER('Raw Data'!G89), IFERROR('Raw Data'!G89 = ROUND('Raw Data'!G89, 4),FALSE)),"",_xlfn.REGEXEXTRACT(CELL("address",G89), "\$([A-Z]+)\$[0-9]+"))),_xlfn.REGEXEXTRACT(CELL("address",G89), "\$([A-Z]+)\$[0-9]+"))</f>
        <v/>
      </c>
      <c r="H89" s="7" t="str" cm="1">
        <f t="array" aca="1" ref="H89" ca="1">IFERROR(IF(OR('Raw Data'!H89="",LEN(TRIM('Raw Data'!H89))=0),"",IF(AND(ISNUMBER('Raw Data'!H89), IFERROR('Raw Data'!H89 = ROUND('Raw Data'!H89, 4),FALSE)),"",_xlfn.REGEXEXTRACT(CELL("address",H89), "\$([A-Z]+)\$[0-9]+"))),_xlfn.REGEXEXTRACT(CELL("address",H89), "\$([A-Z]+)\$[0-9]+"))</f>
        <v/>
      </c>
      <c r="I89" s="7" t="str" cm="1">
        <f t="array" aca="1" ref="I89" ca="1">IFERROR(IF(OR('Raw Data'!I89="",LEN(TRIM('Raw Data'!I89))=0),"",IF(AND(ISNUMBER('Raw Data'!I89), IFERROR('Raw Data'!I89 = ROUND('Raw Data'!I89, 4),FALSE)),"",_xlfn.REGEXEXTRACT(CELL("address",I89), "\$([A-Z]+)\$[0-9]+"))),_xlfn.REGEXEXTRACT(CELL("address",I89), "\$([A-Z]+)\$[0-9]+"))</f>
        <v/>
      </c>
      <c r="J89" s="7" t="str" cm="1">
        <f t="array" aca="1" ref="J89" ca="1">IFERROR(IF(OR('Raw Data'!J89="",LEN(TRIM('Raw Data'!J89))=0),"",IF(AND(ISNUMBER('Raw Data'!J89), IFERROR('Raw Data'!J89 = ROUND('Raw Data'!J89, 4),FALSE)),"",_xlfn.REGEXEXTRACT(CELL("address",J89), "\$([A-Z]+)\$[0-9]+"))),_xlfn.REGEXEXTRACT(CELL("address",J89), "\$([A-Z]+)\$[0-9]+"))</f>
        <v/>
      </c>
      <c r="K89" s="7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7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</row>
    <row r="90" spans="2:22" x14ac:dyDescent="0.25">
      <c r="B90" s="7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20,LEN('Raw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Data'!D90))=0),"",IF(AND(ISNUMBER('Raw Data'!D90),'Raw Data'!D90&gt;=Configuration!$D$2),"",_xlfn.REGEXEXTRACT(CELL("address",'Raw Data'!D90),"\$([A-Z]+)\$[0-9]+"))),_xlfn.REGEXEXTRACT(CELL("address",D90), "\$([A-Z]+)\$[0-9]+"))</f>
        <v>$D$90</v>
      </c>
      <c r="E90" s="7" t="str" cm="1">
        <f t="array" aca="1" ref="E90" ca="1">IFERROR(IF(OR('Raw Data'!E90="",LEN(TRIM('Raw Data'!E90))=0),"",IF(AND(ISNUMBER('Raw Data'!E90), IFERROR('Raw Data'!E90 = ROUND('Raw Data'!E90, 4),FALSE)),"",_xlfn.REGEXEXTRACT(CELL("address",E90), "\$([A-Z]+)\$[0-9]+"))),_xlfn.REGEXEXTRACT(CELL("address",E90), 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4),FALSE)),"",_xlfn.REGEXEXTRACT(CELL("address",F90), "\$([A-Z]+)\$[0-9]+"))),_xlfn.REGEXEXTRACT(CELL("address",F90), "\$([A-Z]+)\$[0-9]+"))</f>
        <v/>
      </c>
      <c r="G90" s="7" t="str" cm="1">
        <f t="array" aca="1" ref="G90" ca="1">IFERROR(IF(OR('Raw Data'!G90="",LEN(TRIM('Raw Data'!G90))=0),"",IF(AND(ISNUMBER('Raw Data'!G90), IFERROR('Raw Data'!G90 = ROUND('Raw Data'!G90, 4),FALSE)),"",_xlfn.REGEXEXTRACT(CELL("address",G90), "\$([A-Z]+)\$[0-9]+"))),_xlfn.REGEXEXTRACT(CELL("address",G90), "\$([A-Z]+)\$[0-9]+"))</f>
        <v/>
      </c>
      <c r="H90" s="7" t="str" cm="1">
        <f t="array" aca="1" ref="H90" ca="1">IFERROR(IF(OR('Raw Data'!H90="",LEN(TRIM('Raw Data'!H90))=0),"",IF(AND(ISNUMBER('Raw Data'!H90), IFERROR('Raw Data'!H90 = ROUND('Raw Data'!H90, 4),FALSE)),"",_xlfn.REGEXEXTRACT(CELL("address",H90), "\$([A-Z]+)\$[0-9]+"))),_xlfn.REGEXEXTRACT(CELL("address",H90), "\$([A-Z]+)\$[0-9]+"))</f>
        <v/>
      </c>
      <c r="I90" s="7" t="str" cm="1">
        <f t="array" aca="1" ref="I90" ca="1">IFERROR(IF(OR('Raw Data'!I90="",LEN(TRIM('Raw Data'!I90))=0),"",IF(AND(ISNUMBER('Raw Data'!I90), IFERROR('Raw Data'!I90 = ROUND('Raw Data'!I90, 4),FALSE)),"",_xlfn.REGEXEXTRACT(CELL("address",I90), "\$([A-Z]+)\$[0-9]+"))),_xlfn.REGEXEXTRACT(CELL("address",I90), "\$([A-Z]+)\$[0-9]+"))</f>
        <v/>
      </c>
      <c r="J90" s="7" t="str" cm="1">
        <f t="array" aca="1" ref="J90" ca="1">IFERROR(IF(OR('Raw Data'!J90="",LEN(TRIM('Raw Data'!J90))=0),"",IF(AND(ISNUMBER('Raw Data'!J90), IFERROR('Raw Data'!J90 = ROUND('Raw Data'!J90, 4),FALSE)),"",_xlfn.REGEXEXTRACT(CELL("address",J90), "\$([A-Z]+)\$[0-9]+"))),_xlfn.REGEXEXTRACT(CELL("address",J90), "\$([A-Z]+)\$[0-9]+"))</f>
        <v/>
      </c>
      <c r="K90" s="7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7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</row>
    <row r="91" spans="2:22" x14ac:dyDescent="0.25">
      <c r="B91" s="7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20,LEN('Raw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Data'!D91))=0),"",IF(AND(ISNUMBER('Raw Data'!D91),'Raw Data'!D91&gt;=Configuration!$D$2),"",_xlfn.REGEXEXTRACT(CELL("address",'Raw Data'!D91),"\$([A-Z]+)\$[0-9]+"))),_xlfn.REGEXEXTRACT(CELL("address",D91), "\$([A-Z]+)\$[0-9]+"))</f>
        <v>$D$91</v>
      </c>
      <c r="E91" s="7" t="str" cm="1">
        <f t="array" aca="1" ref="E91" ca="1">IFERROR(IF(OR('Raw Data'!E91="",LEN(TRIM('Raw Data'!E91))=0),"",IF(AND(ISNUMBER('Raw Data'!E91), IFERROR('Raw Data'!E91 = ROUND('Raw Data'!E91, 4),FALSE)),"",_xlfn.REGEXEXTRACT(CELL("address",E91), "\$([A-Z]+)\$[0-9]+"))),_xlfn.REGEXEXTRACT(CELL("address",E91), 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4),FALSE)),"",_xlfn.REGEXEXTRACT(CELL("address",F91), "\$([A-Z]+)\$[0-9]+"))),_xlfn.REGEXEXTRACT(CELL("address",F91), "\$([A-Z]+)\$[0-9]+"))</f>
        <v/>
      </c>
      <c r="G91" s="7" t="str" cm="1">
        <f t="array" aca="1" ref="G91" ca="1">IFERROR(IF(OR('Raw Data'!G91="",LEN(TRIM('Raw Data'!G91))=0),"",IF(AND(ISNUMBER('Raw Data'!G91), IFERROR('Raw Data'!G91 = ROUND('Raw Data'!G91, 4),FALSE)),"",_xlfn.REGEXEXTRACT(CELL("address",G91), "\$([A-Z]+)\$[0-9]+"))),_xlfn.REGEXEXTRACT(CELL("address",G91), "\$([A-Z]+)\$[0-9]+"))</f>
        <v/>
      </c>
      <c r="H91" s="7" t="str" cm="1">
        <f t="array" aca="1" ref="H91" ca="1">IFERROR(IF(OR('Raw Data'!H91="",LEN(TRIM('Raw Data'!H91))=0),"",IF(AND(ISNUMBER('Raw Data'!H91), IFERROR('Raw Data'!H91 = ROUND('Raw Data'!H91, 4),FALSE)),"",_xlfn.REGEXEXTRACT(CELL("address",H91), "\$([A-Z]+)\$[0-9]+"))),_xlfn.REGEXEXTRACT(CELL("address",H91), "\$([A-Z]+)\$[0-9]+"))</f>
        <v/>
      </c>
      <c r="I91" s="7" t="str" cm="1">
        <f t="array" aca="1" ref="I91" ca="1">IFERROR(IF(OR('Raw Data'!I91="",LEN(TRIM('Raw Data'!I91))=0),"",IF(AND(ISNUMBER('Raw Data'!I91), IFERROR('Raw Data'!I91 = ROUND('Raw Data'!I91, 4),FALSE)),"",_xlfn.REGEXEXTRACT(CELL("address",I91), "\$([A-Z]+)\$[0-9]+"))),_xlfn.REGEXEXTRACT(CELL("address",I91), "\$([A-Z]+)\$[0-9]+"))</f>
        <v/>
      </c>
      <c r="J91" s="7" t="str" cm="1">
        <f t="array" aca="1" ref="J91" ca="1">IFERROR(IF(OR('Raw Data'!J91="",LEN(TRIM('Raw Data'!J91))=0),"",IF(AND(ISNUMBER('Raw Data'!J91), IFERROR('Raw Data'!J91 = ROUND('Raw Data'!J91, 4),FALSE)),"",_xlfn.REGEXEXTRACT(CELL("address",J91), "\$([A-Z]+)\$[0-9]+"))),_xlfn.REGEXEXTRACT(CELL("address",J91), "\$([A-Z]+)\$[0-9]+"))</f>
        <v/>
      </c>
      <c r="K91" s="7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7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</row>
    <row r="92" spans="2:22" x14ac:dyDescent="0.25">
      <c r="B92" s="7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20,LEN('Raw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Data'!D92))=0),"",IF(AND(ISNUMBER('Raw Data'!D92),'Raw Data'!D92&gt;=Configuration!$D$2),"",_xlfn.REGEXEXTRACT(CELL("address",'Raw Data'!D92),"\$([A-Z]+)\$[0-9]+"))),_xlfn.REGEXEXTRACT(CELL("address",D92), "\$([A-Z]+)\$[0-9]+"))</f>
        <v>$D$92</v>
      </c>
      <c r="E92" s="7" t="str" cm="1">
        <f t="array" aca="1" ref="E92" ca="1">IFERROR(IF(OR('Raw Data'!E92="",LEN(TRIM('Raw Data'!E92))=0),"",IF(AND(ISNUMBER('Raw Data'!E92), IFERROR('Raw Data'!E92 = ROUND('Raw Data'!E92, 4),FALSE)),"",_xlfn.REGEXEXTRACT(CELL("address",E92), "\$([A-Z]+)\$[0-9]+"))),_xlfn.REGEXEXTRACT(CELL("address",E92), 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4),FALSE)),"",_xlfn.REGEXEXTRACT(CELL("address",F92), "\$([A-Z]+)\$[0-9]+"))),_xlfn.REGEXEXTRACT(CELL("address",F92), "\$([A-Z]+)\$[0-9]+"))</f>
        <v/>
      </c>
      <c r="G92" s="7" t="str" cm="1">
        <f t="array" aca="1" ref="G92" ca="1">IFERROR(IF(OR('Raw Data'!G92="",LEN(TRIM('Raw Data'!G92))=0),"",IF(AND(ISNUMBER('Raw Data'!G92), IFERROR('Raw Data'!G92 = ROUND('Raw Data'!G92, 4),FALSE)),"",_xlfn.REGEXEXTRACT(CELL("address",G92), "\$([A-Z]+)\$[0-9]+"))),_xlfn.REGEXEXTRACT(CELL("address",G92), "\$([A-Z]+)\$[0-9]+"))</f>
        <v/>
      </c>
      <c r="H92" s="7" t="str" cm="1">
        <f t="array" aca="1" ref="H92" ca="1">IFERROR(IF(OR('Raw Data'!H92="",LEN(TRIM('Raw Data'!H92))=0),"",IF(AND(ISNUMBER('Raw Data'!H92), IFERROR('Raw Data'!H92 = ROUND('Raw Data'!H92, 4),FALSE)),"",_xlfn.REGEXEXTRACT(CELL("address",H92), "\$([A-Z]+)\$[0-9]+"))),_xlfn.REGEXEXTRACT(CELL("address",H92), "\$([A-Z]+)\$[0-9]+"))</f>
        <v/>
      </c>
      <c r="I92" s="7" t="str" cm="1">
        <f t="array" aca="1" ref="I92" ca="1">IFERROR(IF(OR('Raw Data'!I92="",LEN(TRIM('Raw Data'!I92))=0),"",IF(AND(ISNUMBER('Raw Data'!I92), IFERROR('Raw Data'!I92 = ROUND('Raw Data'!I92, 4),FALSE)),"",_xlfn.REGEXEXTRACT(CELL("address",I92), "\$([A-Z]+)\$[0-9]+"))),_xlfn.REGEXEXTRACT(CELL("address",I92), "\$([A-Z]+)\$[0-9]+"))</f>
        <v/>
      </c>
      <c r="J92" s="7" t="str" cm="1">
        <f t="array" aca="1" ref="J92" ca="1">IFERROR(IF(OR('Raw Data'!J92="",LEN(TRIM('Raw Data'!J92))=0),"",IF(AND(ISNUMBER('Raw Data'!J92), IFERROR('Raw Data'!J92 = ROUND('Raw Data'!J92, 4),FALSE)),"",_xlfn.REGEXEXTRACT(CELL("address",J92), "\$([A-Z]+)\$[0-9]+"))),_xlfn.REGEXEXTRACT(CELL("address",J92), "\$([A-Z]+)\$[0-9]+"))</f>
        <v/>
      </c>
      <c r="K92" s="7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7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</row>
    <row r="93" spans="2:22" x14ac:dyDescent="0.25">
      <c r="B93" s="7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20,LEN('Raw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Data'!D93))=0),"",IF(AND(ISNUMBER('Raw Data'!D93),'Raw Data'!D93&gt;=Configuration!$D$2),"",_xlfn.REGEXEXTRACT(CELL("address",'Raw Data'!D93),"\$([A-Z]+)\$[0-9]+"))),_xlfn.REGEXEXTRACT(CELL("address",D93), "\$([A-Z]+)\$[0-9]+"))</f>
        <v>$D$93</v>
      </c>
      <c r="E93" s="7" t="str" cm="1">
        <f t="array" aca="1" ref="E93" ca="1">IFERROR(IF(OR('Raw Data'!E93="",LEN(TRIM('Raw Data'!E93))=0),"",IF(AND(ISNUMBER('Raw Data'!E93), IFERROR('Raw Data'!E93 = ROUND('Raw Data'!E93, 4),FALSE)),"",_xlfn.REGEXEXTRACT(CELL("address",E93), "\$([A-Z]+)\$[0-9]+"))),_xlfn.REGEXEXTRACT(CELL("address",E93), 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4),FALSE)),"",_xlfn.REGEXEXTRACT(CELL("address",F93), "\$([A-Z]+)\$[0-9]+"))),_xlfn.REGEXEXTRACT(CELL("address",F93), "\$([A-Z]+)\$[0-9]+"))</f>
        <v/>
      </c>
      <c r="G93" s="7" t="str" cm="1">
        <f t="array" aca="1" ref="G93" ca="1">IFERROR(IF(OR('Raw Data'!G93="",LEN(TRIM('Raw Data'!G93))=0),"",IF(AND(ISNUMBER('Raw Data'!G93), IFERROR('Raw Data'!G93 = ROUND('Raw Data'!G93, 4),FALSE)),"",_xlfn.REGEXEXTRACT(CELL("address",G93), "\$([A-Z]+)\$[0-9]+"))),_xlfn.REGEXEXTRACT(CELL("address",G93), "\$([A-Z]+)\$[0-9]+"))</f>
        <v/>
      </c>
      <c r="H93" s="7" t="str" cm="1">
        <f t="array" aca="1" ref="H93" ca="1">IFERROR(IF(OR('Raw Data'!H93="",LEN(TRIM('Raw Data'!H93))=0),"",IF(AND(ISNUMBER('Raw Data'!H93), IFERROR('Raw Data'!H93 = ROUND('Raw Data'!H93, 4),FALSE)),"",_xlfn.REGEXEXTRACT(CELL("address",H93), "\$([A-Z]+)\$[0-9]+"))),_xlfn.REGEXEXTRACT(CELL("address",H93), "\$([A-Z]+)\$[0-9]+"))</f>
        <v/>
      </c>
      <c r="I93" s="7" t="str" cm="1">
        <f t="array" aca="1" ref="I93" ca="1">IFERROR(IF(OR('Raw Data'!I93="",LEN(TRIM('Raw Data'!I93))=0),"",IF(AND(ISNUMBER('Raw Data'!I93), IFERROR('Raw Data'!I93 = ROUND('Raw Data'!I93, 4),FALSE)),"",_xlfn.REGEXEXTRACT(CELL("address",I93), "\$([A-Z]+)\$[0-9]+"))),_xlfn.REGEXEXTRACT(CELL("address",I93), "\$([A-Z]+)\$[0-9]+"))</f>
        <v/>
      </c>
      <c r="J93" s="7" t="str" cm="1">
        <f t="array" aca="1" ref="J93" ca="1">IFERROR(IF(OR('Raw Data'!J93="",LEN(TRIM('Raw Data'!J93))=0),"",IF(AND(ISNUMBER('Raw Data'!J93), IFERROR('Raw Data'!J93 = ROUND('Raw Data'!J93, 4),FALSE)),"",_xlfn.REGEXEXTRACT(CELL("address",J93), "\$([A-Z]+)\$[0-9]+"))),_xlfn.REGEXEXTRACT(CELL("address",J93), "\$([A-Z]+)\$[0-9]+"))</f>
        <v/>
      </c>
      <c r="K93" s="7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7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</row>
    <row r="94" spans="2:22" x14ac:dyDescent="0.25">
      <c r="B94" s="7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20,LEN('Raw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Data'!D94))=0),"",IF(AND(ISNUMBER('Raw Data'!D94),'Raw Data'!D94&gt;=Configuration!$D$2),"",_xlfn.REGEXEXTRACT(CELL("address",'Raw Data'!D94),"\$([A-Z]+)\$[0-9]+"))),_xlfn.REGEXEXTRACT(CELL("address",D94), "\$([A-Z]+)\$[0-9]+"))</f>
        <v>$D$94</v>
      </c>
      <c r="E94" s="7" t="str" cm="1">
        <f t="array" aca="1" ref="E94" ca="1">IFERROR(IF(OR('Raw Data'!E94="",LEN(TRIM('Raw Data'!E94))=0),"",IF(AND(ISNUMBER('Raw Data'!E94), IFERROR('Raw Data'!E94 = ROUND('Raw Data'!E94, 4),FALSE)),"",_xlfn.REGEXEXTRACT(CELL("address",E94), "\$([A-Z]+)\$[0-9]+"))),_xlfn.REGEXEXTRACT(CELL("address",E94), 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4),FALSE)),"",_xlfn.REGEXEXTRACT(CELL("address",F94), "\$([A-Z]+)\$[0-9]+"))),_xlfn.REGEXEXTRACT(CELL("address",F94), "\$([A-Z]+)\$[0-9]+"))</f>
        <v/>
      </c>
      <c r="G94" s="7" t="str" cm="1">
        <f t="array" aca="1" ref="G94" ca="1">IFERROR(IF(OR('Raw Data'!G94="",LEN(TRIM('Raw Data'!G94))=0),"",IF(AND(ISNUMBER('Raw Data'!G94), IFERROR('Raw Data'!G94 = ROUND('Raw Data'!G94, 4),FALSE)),"",_xlfn.REGEXEXTRACT(CELL("address",G94), "\$([A-Z]+)\$[0-9]+"))),_xlfn.REGEXEXTRACT(CELL("address",G94), "\$([A-Z]+)\$[0-9]+"))</f>
        <v/>
      </c>
      <c r="H94" s="7" t="str" cm="1">
        <f t="array" aca="1" ref="H94" ca="1">IFERROR(IF(OR('Raw Data'!H94="",LEN(TRIM('Raw Data'!H94))=0),"",IF(AND(ISNUMBER('Raw Data'!H94), IFERROR('Raw Data'!H94 = ROUND('Raw Data'!H94, 4),FALSE)),"",_xlfn.REGEXEXTRACT(CELL("address",H94), "\$([A-Z]+)\$[0-9]+"))),_xlfn.REGEXEXTRACT(CELL("address",H94), "\$([A-Z]+)\$[0-9]+"))</f>
        <v/>
      </c>
      <c r="I94" s="7" t="str" cm="1">
        <f t="array" aca="1" ref="I94" ca="1">IFERROR(IF(OR('Raw Data'!I94="",LEN(TRIM('Raw Data'!I94))=0),"",IF(AND(ISNUMBER('Raw Data'!I94), IFERROR('Raw Data'!I94 = ROUND('Raw Data'!I94, 4),FALSE)),"",_xlfn.REGEXEXTRACT(CELL("address",I94), "\$([A-Z]+)\$[0-9]+"))),_xlfn.REGEXEXTRACT(CELL("address",I94), "\$([A-Z]+)\$[0-9]+"))</f>
        <v/>
      </c>
      <c r="J94" s="7" t="str" cm="1">
        <f t="array" aca="1" ref="J94" ca="1">IFERROR(IF(OR('Raw Data'!J94="",LEN(TRIM('Raw Data'!J94))=0),"",IF(AND(ISNUMBER('Raw Data'!J94), IFERROR('Raw Data'!J94 = ROUND('Raw Data'!J94, 4),FALSE)),"",_xlfn.REGEXEXTRACT(CELL("address",J94), "\$([A-Z]+)\$[0-9]+"))),_xlfn.REGEXEXTRACT(CELL("address",J94), "\$([A-Z]+)\$[0-9]+"))</f>
        <v/>
      </c>
      <c r="K94" s="7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7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</row>
    <row r="95" spans="2:22" x14ac:dyDescent="0.25">
      <c r="B95" s="7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20,LEN('Raw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Data'!D95))=0),"",IF(AND(ISNUMBER('Raw Data'!D95),'Raw Data'!D95&gt;=Configuration!$D$2),"",_xlfn.REGEXEXTRACT(CELL("address",'Raw Data'!D95),"\$([A-Z]+)\$[0-9]+"))),_xlfn.REGEXEXTRACT(CELL("address",D95), "\$([A-Z]+)\$[0-9]+"))</f>
        <v>$D$95</v>
      </c>
      <c r="E95" s="7" t="str" cm="1">
        <f t="array" aca="1" ref="E95" ca="1">IFERROR(IF(OR('Raw Data'!E95="",LEN(TRIM('Raw Data'!E95))=0),"",IF(AND(ISNUMBER('Raw Data'!E95), IFERROR('Raw Data'!E95 = ROUND('Raw Data'!E95, 4),FALSE)),"",_xlfn.REGEXEXTRACT(CELL("address",E95), "\$([A-Z]+)\$[0-9]+"))),_xlfn.REGEXEXTRACT(CELL("address",E95), 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4),FALSE)),"",_xlfn.REGEXEXTRACT(CELL("address",F95), "\$([A-Z]+)\$[0-9]+"))),_xlfn.REGEXEXTRACT(CELL("address",F95), "\$([A-Z]+)\$[0-9]+"))</f>
        <v/>
      </c>
      <c r="G95" s="7" t="str" cm="1">
        <f t="array" aca="1" ref="G95" ca="1">IFERROR(IF(OR('Raw Data'!G95="",LEN(TRIM('Raw Data'!G95))=0),"",IF(AND(ISNUMBER('Raw Data'!G95), IFERROR('Raw Data'!G95 = ROUND('Raw Data'!G95, 4),FALSE)),"",_xlfn.REGEXEXTRACT(CELL("address",G95), "\$([A-Z]+)\$[0-9]+"))),_xlfn.REGEXEXTRACT(CELL("address",G95), "\$([A-Z]+)\$[0-9]+"))</f>
        <v/>
      </c>
      <c r="H95" s="7" t="str" cm="1">
        <f t="array" aca="1" ref="H95" ca="1">IFERROR(IF(OR('Raw Data'!H95="",LEN(TRIM('Raw Data'!H95))=0),"",IF(AND(ISNUMBER('Raw Data'!H95), IFERROR('Raw Data'!H95 = ROUND('Raw Data'!H95, 4),FALSE)),"",_xlfn.REGEXEXTRACT(CELL("address",H95), "\$([A-Z]+)\$[0-9]+"))),_xlfn.REGEXEXTRACT(CELL("address",H95), "\$([A-Z]+)\$[0-9]+"))</f>
        <v/>
      </c>
      <c r="I95" s="7" t="str" cm="1">
        <f t="array" aca="1" ref="I95" ca="1">IFERROR(IF(OR('Raw Data'!I95="",LEN(TRIM('Raw Data'!I95))=0),"",IF(AND(ISNUMBER('Raw Data'!I95), IFERROR('Raw Data'!I95 = ROUND('Raw Data'!I95, 4),FALSE)),"",_xlfn.REGEXEXTRACT(CELL("address",I95), "\$([A-Z]+)\$[0-9]+"))),_xlfn.REGEXEXTRACT(CELL("address",I95), "\$([A-Z]+)\$[0-9]+"))</f>
        <v/>
      </c>
      <c r="J95" s="7" t="str" cm="1">
        <f t="array" aca="1" ref="J95" ca="1">IFERROR(IF(OR('Raw Data'!J95="",LEN(TRIM('Raw Data'!J95))=0),"",IF(AND(ISNUMBER('Raw Data'!J95), IFERROR('Raw Data'!J95 = ROUND('Raw Data'!J95, 4),FALSE)),"",_xlfn.REGEXEXTRACT(CELL("address",J95), "\$([A-Z]+)\$[0-9]+"))),_xlfn.REGEXEXTRACT(CELL("address",J95), "\$([A-Z]+)\$[0-9]+"))</f>
        <v/>
      </c>
      <c r="K95" s="7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7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</row>
    <row r="96" spans="2:22" x14ac:dyDescent="0.25">
      <c r="B96" s="7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20,LEN('Raw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Data'!D96))=0),"",IF(AND(ISNUMBER('Raw Data'!D96),'Raw Data'!D96&gt;=Configuration!$D$2),"",_xlfn.REGEXEXTRACT(CELL("address",'Raw Data'!D96),"\$([A-Z]+)\$[0-9]+"))),_xlfn.REGEXEXTRACT(CELL("address",D96), "\$([A-Z]+)\$[0-9]+"))</f>
        <v>$D$96</v>
      </c>
      <c r="E96" s="7" t="str" cm="1">
        <f t="array" aca="1" ref="E96" ca="1">IFERROR(IF(OR('Raw Data'!E96="",LEN(TRIM('Raw Data'!E96))=0),"",IF(AND(ISNUMBER('Raw Data'!E96), IFERROR('Raw Data'!E96 = ROUND('Raw Data'!E96, 4),FALSE)),"",_xlfn.REGEXEXTRACT(CELL("address",E96), "\$([A-Z]+)\$[0-9]+"))),_xlfn.REGEXEXTRACT(CELL("address",E96), 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4),FALSE)),"",_xlfn.REGEXEXTRACT(CELL("address",F96), "\$([A-Z]+)\$[0-9]+"))),_xlfn.REGEXEXTRACT(CELL("address",F96), "\$([A-Z]+)\$[0-9]+"))</f>
        <v/>
      </c>
      <c r="G96" s="7" t="str" cm="1">
        <f t="array" aca="1" ref="G96" ca="1">IFERROR(IF(OR('Raw Data'!G96="",LEN(TRIM('Raw Data'!G96))=0),"",IF(AND(ISNUMBER('Raw Data'!G96), IFERROR('Raw Data'!G96 = ROUND('Raw Data'!G96, 4),FALSE)),"",_xlfn.REGEXEXTRACT(CELL("address",G96), "\$([A-Z]+)\$[0-9]+"))),_xlfn.REGEXEXTRACT(CELL("address",G96), "\$([A-Z]+)\$[0-9]+"))</f>
        <v/>
      </c>
      <c r="H96" s="7" t="str" cm="1">
        <f t="array" aca="1" ref="H96" ca="1">IFERROR(IF(OR('Raw Data'!H96="",LEN(TRIM('Raw Data'!H96))=0),"",IF(AND(ISNUMBER('Raw Data'!H96), IFERROR('Raw Data'!H96 = ROUND('Raw Data'!H96, 4),FALSE)),"",_xlfn.REGEXEXTRACT(CELL("address",H96), "\$([A-Z]+)\$[0-9]+"))),_xlfn.REGEXEXTRACT(CELL("address",H96), "\$([A-Z]+)\$[0-9]+"))</f>
        <v/>
      </c>
      <c r="I96" s="7" t="str" cm="1">
        <f t="array" aca="1" ref="I96" ca="1">IFERROR(IF(OR('Raw Data'!I96="",LEN(TRIM('Raw Data'!I96))=0),"",IF(AND(ISNUMBER('Raw Data'!I96), IFERROR('Raw Data'!I96 = ROUND('Raw Data'!I96, 4),FALSE)),"",_xlfn.REGEXEXTRACT(CELL("address",I96), "\$([A-Z]+)\$[0-9]+"))),_xlfn.REGEXEXTRACT(CELL("address",I96), "\$([A-Z]+)\$[0-9]+"))</f>
        <v/>
      </c>
      <c r="J96" s="7" t="str" cm="1">
        <f t="array" aca="1" ref="J96" ca="1">IFERROR(IF(OR('Raw Data'!J96="",LEN(TRIM('Raw Data'!J96))=0),"",IF(AND(ISNUMBER('Raw Data'!J96), IFERROR('Raw Data'!J96 = ROUND('Raw Data'!J96, 4),FALSE)),"",_xlfn.REGEXEXTRACT(CELL("address",J96), "\$([A-Z]+)\$[0-9]+"))),_xlfn.REGEXEXTRACT(CELL("address",J96), "\$([A-Z]+)\$[0-9]+"))</f>
        <v/>
      </c>
      <c r="K96" s="7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7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</row>
    <row r="97" spans="2:22" x14ac:dyDescent="0.25">
      <c r="B97" s="7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20,LEN('Raw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Data'!D97))=0),"",IF(AND(ISNUMBER('Raw Data'!D97),'Raw Data'!D97&gt;=Configuration!$D$2),"",_xlfn.REGEXEXTRACT(CELL("address",'Raw Data'!D97),"\$([A-Z]+)\$[0-9]+"))),_xlfn.REGEXEXTRACT(CELL("address",D97), "\$([A-Z]+)\$[0-9]+"))</f>
        <v>$D$97</v>
      </c>
      <c r="E97" s="7" t="str" cm="1">
        <f t="array" aca="1" ref="E97" ca="1">IFERROR(IF(OR('Raw Data'!E97="",LEN(TRIM('Raw Data'!E97))=0),"",IF(AND(ISNUMBER('Raw Data'!E97), IFERROR('Raw Data'!E97 = ROUND('Raw Data'!E97, 4),FALSE)),"",_xlfn.REGEXEXTRACT(CELL("address",E97), "\$([A-Z]+)\$[0-9]+"))),_xlfn.REGEXEXTRACT(CELL("address",E97), 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4),FALSE)),"",_xlfn.REGEXEXTRACT(CELL("address",F97), "\$([A-Z]+)\$[0-9]+"))),_xlfn.REGEXEXTRACT(CELL("address",F97), "\$([A-Z]+)\$[0-9]+"))</f>
        <v/>
      </c>
      <c r="G97" s="7" t="str" cm="1">
        <f t="array" aca="1" ref="G97" ca="1">IFERROR(IF(OR('Raw Data'!G97="",LEN(TRIM('Raw Data'!G97))=0),"",IF(AND(ISNUMBER('Raw Data'!G97), IFERROR('Raw Data'!G97 = ROUND('Raw Data'!G97, 4),FALSE)),"",_xlfn.REGEXEXTRACT(CELL("address",G97), "\$([A-Z]+)\$[0-9]+"))),_xlfn.REGEXEXTRACT(CELL("address",G97), "\$([A-Z]+)\$[0-9]+"))</f>
        <v/>
      </c>
      <c r="H97" s="7" t="str" cm="1">
        <f t="array" aca="1" ref="H97" ca="1">IFERROR(IF(OR('Raw Data'!H97="",LEN(TRIM('Raw Data'!H97))=0),"",IF(AND(ISNUMBER('Raw Data'!H97), IFERROR('Raw Data'!H97 = ROUND('Raw Data'!H97, 4),FALSE)),"",_xlfn.REGEXEXTRACT(CELL("address",H97), "\$([A-Z]+)\$[0-9]+"))),_xlfn.REGEXEXTRACT(CELL("address",H97), "\$([A-Z]+)\$[0-9]+"))</f>
        <v/>
      </c>
      <c r="I97" s="7" t="str" cm="1">
        <f t="array" aca="1" ref="I97" ca="1">IFERROR(IF(OR('Raw Data'!I97="",LEN(TRIM('Raw Data'!I97))=0),"",IF(AND(ISNUMBER('Raw Data'!I97), IFERROR('Raw Data'!I97 = ROUND('Raw Data'!I97, 4),FALSE)),"",_xlfn.REGEXEXTRACT(CELL("address",I97), "\$([A-Z]+)\$[0-9]+"))),_xlfn.REGEXEXTRACT(CELL("address",I97), "\$([A-Z]+)\$[0-9]+"))</f>
        <v/>
      </c>
      <c r="J97" s="7" t="str" cm="1">
        <f t="array" aca="1" ref="J97" ca="1">IFERROR(IF(OR('Raw Data'!J97="",LEN(TRIM('Raw Data'!J97))=0),"",IF(AND(ISNUMBER('Raw Data'!J97), IFERROR('Raw Data'!J97 = ROUND('Raw Data'!J97, 4),FALSE)),"",_xlfn.REGEXEXTRACT(CELL("address",J97), "\$([A-Z]+)\$[0-9]+"))),_xlfn.REGEXEXTRACT(CELL("address",J97), "\$([A-Z]+)\$[0-9]+"))</f>
        <v/>
      </c>
      <c r="K97" s="7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7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</row>
    <row r="98" spans="2:22" x14ac:dyDescent="0.25">
      <c r="B98" s="7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20,LEN('Raw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Data'!D98))=0),"",IF(AND(ISNUMBER('Raw Data'!D98),'Raw Data'!D98&gt;=Configuration!$D$2),"",_xlfn.REGEXEXTRACT(CELL("address",'Raw Data'!D98),"\$([A-Z]+)\$[0-9]+"))),_xlfn.REGEXEXTRACT(CELL("address",D98), "\$([A-Z]+)\$[0-9]+"))</f>
        <v>$D$98</v>
      </c>
      <c r="E98" s="7" t="str" cm="1">
        <f t="array" aca="1" ref="E98" ca="1">IFERROR(IF(OR('Raw Data'!E98="",LEN(TRIM('Raw Data'!E98))=0),"",IF(AND(ISNUMBER('Raw Data'!E98), IFERROR('Raw Data'!E98 = ROUND('Raw Data'!E98, 4),FALSE)),"",_xlfn.REGEXEXTRACT(CELL("address",E98), "\$([A-Z]+)\$[0-9]+"))),_xlfn.REGEXEXTRACT(CELL("address",E98), 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4),FALSE)),"",_xlfn.REGEXEXTRACT(CELL("address",F98), "\$([A-Z]+)\$[0-9]+"))),_xlfn.REGEXEXTRACT(CELL("address",F98), "\$([A-Z]+)\$[0-9]+"))</f>
        <v/>
      </c>
      <c r="G98" s="7" t="str" cm="1">
        <f t="array" aca="1" ref="G98" ca="1">IFERROR(IF(OR('Raw Data'!G98="",LEN(TRIM('Raw Data'!G98))=0),"",IF(AND(ISNUMBER('Raw Data'!G98), IFERROR('Raw Data'!G98 = ROUND('Raw Data'!G98, 4),FALSE)),"",_xlfn.REGEXEXTRACT(CELL("address",G98), "\$([A-Z]+)\$[0-9]+"))),_xlfn.REGEXEXTRACT(CELL("address",G98), "\$([A-Z]+)\$[0-9]+"))</f>
        <v/>
      </c>
      <c r="H98" s="7" t="str" cm="1">
        <f t="array" aca="1" ref="H98" ca="1">IFERROR(IF(OR('Raw Data'!H98="",LEN(TRIM('Raw Data'!H98))=0),"",IF(AND(ISNUMBER('Raw Data'!H98), IFERROR('Raw Data'!H98 = ROUND('Raw Data'!H98, 4),FALSE)),"",_xlfn.REGEXEXTRACT(CELL("address",H98), "\$([A-Z]+)\$[0-9]+"))),_xlfn.REGEXEXTRACT(CELL("address",H98), "\$([A-Z]+)\$[0-9]+"))</f>
        <v/>
      </c>
      <c r="I98" s="7" t="str" cm="1">
        <f t="array" aca="1" ref="I98" ca="1">IFERROR(IF(OR('Raw Data'!I98="",LEN(TRIM('Raw Data'!I98))=0),"",IF(AND(ISNUMBER('Raw Data'!I98), IFERROR('Raw Data'!I98 = ROUND('Raw Data'!I98, 4),FALSE)),"",_xlfn.REGEXEXTRACT(CELL("address",I98), "\$([A-Z]+)\$[0-9]+"))),_xlfn.REGEXEXTRACT(CELL("address",I98), "\$([A-Z]+)\$[0-9]+"))</f>
        <v/>
      </c>
      <c r="J98" s="7" t="str" cm="1">
        <f t="array" aca="1" ref="J98" ca="1">IFERROR(IF(OR('Raw Data'!J98="",LEN(TRIM('Raw Data'!J98))=0),"",IF(AND(ISNUMBER('Raw Data'!J98), IFERROR('Raw Data'!J98 = ROUND('Raw Data'!J98, 4),FALSE)),"",_xlfn.REGEXEXTRACT(CELL("address",J98), "\$([A-Z]+)\$[0-9]+"))),_xlfn.REGEXEXTRACT(CELL("address",J98), "\$([A-Z]+)\$[0-9]+"))</f>
        <v/>
      </c>
      <c r="K98" s="7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7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</row>
    <row r="99" spans="2:22" x14ac:dyDescent="0.25">
      <c r="B99" s="7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20,LEN('Raw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Data'!D99))=0),"",IF(AND(ISNUMBER('Raw Data'!D99),'Raw Data'!D99&gt;=Configuration!$D$2),"",_xlfn.REGEXEXTRACT(CELL("address",'Raw Data'!D99),"\$([A-Z]+)\$[0-9]+"))),_xlfn.REGEXEXTRACT(CELL("address",D99), "\$([A-Z]+)\$[0-9]+"))</f>
        <v>$D$99</v>
      </c>
      <c r="E99" s="7" t="str" cm="1">
        <f t="array" aca="1" ref="E99" ca="1">IFERROR(IF(OR('Raw Data'!E99="",LEN(TRIM('Raw Data'!E99))=0),"",IF(AND(ISNUMBER('Raw Data'!E99), IFERROR('Raw Data'!E99 = ROUND('Raw Data'!E99, 4),FALSE)),"",_xlfn.REGEXEXTRACT(CELL("address",E99), "\$([A-Z]+)\$[0-9]+"))),_xlfn.REGEXEXTRACT(CELL("address",E99), 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4),FALSE)),"",_xlfn.REGEXEXTRACT(CELL("address",F99), "\$([A-Z]+)\$[0-9]+"))),_xlfn.REGEXEXTRACT(CELL("address",F99), "\$([A-Z]+)\$[0-9]+"))</f>
        <v/>
      </c>
      <c r="G99" s="7" t="str" cm="1">
        <f t="array" aca="1" ref="G99" ca="1">IFERROR(IF(OR('Raw Data'!G99="",LEN(TRIM('Raw Data'!G99))=0),"",IF(AND(ISNUMBER('Raw Data'!G99), IFERROR('Raw Data'!G99 = ROUND('Raw Data'!G99, 4),FALSE)),"",_xlfn.REGEXEXTRACT(CELL("address",G99), "\$([A-Z]+)\$[0-9]+"))),_xlfn.REGEXEXTRACT(CELL("address",G99), "\$([A-Z]+)\$[0-9]+"))</f>
        <v/>
      </c>
      <c r="H99" s="7" t="str" cm="1">
        <f t="array" aca="1" ref="H99" ca="1">IFERROR(IF(OR('Raw Data'!H99="",LEN(TRIM('Raw Data'!H99))=0),"",IF(AND(ISNUMBER('Raw Data'!H99), IFERROR('Raw Data'!H99 = ROUND('Raw Data'!H99, 4),FALSE)),"",_xlfn.REGEXEXTRACT(CELL("address",H99), "\$([A-Z]+)\$[0-9]+"))),_xlfn.REGEXEXTRACT(CELL("address",H99), "\$([A-Z]+)\$[0-9]+"))</f>
        <v/>
      </c>
      <c r="I99" s="7" t="str" cm="1">
        <f t="array" aca="1" ref="I99" ca="1">IFERROR(IF(OR('Raw Data'!I99="",LEN(TRIM('Raw Data'!I99))=0),"",IF(AND(ISNUMBER('Raw Data'!I99), IFERROR('Raw Data'!I99 = ROUND('Raw Data'!I99, 4),FALSE)),"",_xlfn.REGEXEXTRACT(CELL("address",I99), "\$([A-Z]+)\$[0-9]+"))),_xlfn.REGEXEXTRACT(CELL("address",I99), "\$([A-Z]+)\$[0-9]+"))</f>
        <v/>
      </c>
      <c r="J99" s="7" t="str" cm="1">
        <f t="array" aca="1" ref="J99" ca="1">IFERROR(IF(OR('Raw Data'!J99="",LEN(TRIM('Raw Data'!J99))=0),"",IF(AND(ISNUMBER('Raw Data'!J99), IFERROR('Raw Data'!J99 = ROUND('Raw Data'!J99, 4),FALSE)),"",_xlfn.REGEXEXTRACT(CELL("address",J99), "\$([A-Z]+)\$[0-9]+"))),_xlfn.REGEXEXTRACT(CELL("address",J99), "\$([A-Z]+)\$[0-9]+"))</f>
        <v/>
      </c>
      <c r="K99" s="7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7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</row>
    <row r="100" spans="2:22" x14ac:dyDescent="0.25">
      <c r="B100" s="7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20,LEN('Raw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Data'!D100))=0),"",IF(AND(ISNUMBER('Raw Data'!D100),'Raw Data'!D100&gt;=Configuration!$D$2),"",_xlfn.REGEXEXTRACT(CELL("address",'Raw Data'!D100),"\$([A-Z]+)\$[0-9]+"))),_xlfn.REGEXEXTRACT(CELL("address",D100), "\$([A-Z]+)\$[0-9]+"))</f>
        <v>$D$100</v>
      </c>
      <c r="E100" s="7" t="str" cm="1">
        <f t="array" aca="1" ref="E100" ca="1">IFERROR(IF(OR('Raw Data'!E100="",LEN(TRIM('Raw Data'!E100))=0),"",IF(AND(ISNUMBER('Raw Data'!E100), IFERROR('Raw Data'!E100 = ROUND('Raw Data'!E100, 4),FALSE)),"",_xlfn.REGEXEXTRACT(CELL("address",E100), "\$([A-Z]+)\$[0-9]+"))),_xlfn.REGEXEXTRACT(CELL("address",E100), 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4),FALSE)),"",_xlfn.REGEXEXTRACT(CELL("address",F100), "\$([A-Z]+)\$[0-9]+"))),_xlfn.REGEXEXTRACT(CELL("address",F100), "\$([A-Z]+)\$[0-9]+"))</f>
        <v/>
      </c>
      <c r="G100" s="7" t="str" cm="1">
        <f t="array" aca="1" ref="G100" ca="1">IFERROR(IF(OR('Raw Data'!G100="",LEN(TRIM('Raw Data'!G100))=0),"",IF(AND(ISNUMBER('Raw Data'!G100), IFERROR('Raw Data'!G100 = ROUND('Raw Data'!G100, 4),FALSE)),"",_xlfn.REGEXEXTRACT(CELL("address",G100), "\$([A-Z]+)\$[0-9]+"))),_xlfn.REGEXEXTRACT(CELL("address",G100), "\$([A-Z]+)\$[0-9]+"))</f>
        <v/>
      </c>
      <c r="H100" s="7" t="str" cm="1">
        <f t="array" aca="1" ref="H100" ca="1">IFERROR(IF(OR('Raw Data'!H100="",LEN(TRIM('Raw Data'!H100))=0),"",IF(AND(ISNUMBER('Raw Data'!H100), IFERROR('Raw Data'!H100 = ROUND('Raw Data'!H100, 4),FALSE)),"",_xlfn.REGEXEXTRACT(CELL("address",H100), "\$([A-Z]+)\$[0-9]+"))),_xlfn.REGEXEXTRACT(CELL("address",H100), "\$([A-Z]+)\$[0-9]+"))</f>
        <v/>
      </c>
      <c r="I100" s="7" t="str" cm="1">
        <f t="array" aca="1" ref="I100" ca="1">IFERROR(IF(OR('Raw Data'!I100="",LEN(TRIM('Raw Data'!I100))=0),"",IF(AND(ISNUMBER('Raw Data'!I100), IFERROR('Raw Data'!I100 = ROUND('Raw Data'!I100, 4),FALSE)),"",_xlfn.REGEXEXTRACT(CELL("address",I100), "\$([A-Z]+)\$[0-9]+"))),_xlfn.REGEXEXTRACT(CELL("address",I100), "\$([A-Z]+)\$[0-9]+"))</f>
        <v/>
      </c>
      <c r="J100" s="7" t="str" cm="1">
        <f t="array" aca="1" ref="J100" ca="1">IFERROR(IF(OR('Raw Data'!J100="",LEN(TRIM('Raw Data'!J100))=0),"",IF(AND(ISNUMBER('Raw Data'!J100), IFERROR('Raw Data'!J100 = ROUND('Raw Data'!J100, 4),FALSE)),"",_xlfn.REGEXEXTRACT(CELL("address",J100), "\$([A-Z]+)\$[0-9]+"))),_xlfn.REGEXEXTRACT(CELL("address",J100), "\$([A-Z]+)\$[0-9]+"))</f>
        <v/>
      </c>
      <c r="K100" s="7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7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</row>
    <row r="101" spans="2:22" x14ac:dyDescent="0.25">
      <c r="B101" s="7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20,LEN('Raw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Data'!D101))=0),"",IF(AND(ISNUMBER('Raw Data'!D101),'Raw Data'!D101&gt;=Configuration!$D$2),"",_xlfn.REGEXEXTRACT(CELL("address",'Raw Data'!D101),"\$([A-Z]+)\$[0-9]+"))),_xlfn.REGEXEXTRACT(CELL("address",D101), "\$([A-Z]+)\$[0-9]+"))</f>
        <v>$D$101</v>
      </c>
      <c r="E101" s="7" t="str" cm="1">
        <f t="array" aca="1" ref="E101" ca="1">IFERROR(IF(OR('Raw Data'!E101="",LEN(TRIM('Raw Data'!E101))=0),"",IF(AND(ISNUMBER('Raw Data'!E101), IFERROR('Raw Data'!E101 = ROUND('Raw Data'!E101, 4),FALSE)),"",_xlfn.REGEXEXTRACT(CELL("address",E101), "\$([A-Z]+)\$[0-9]+"))),_xlfn.REGEXEXTRACT(CELL("address",E101), 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4),FALSE)),"",_xlfn.REGEXEXTRACT(CELL("address",F101), "\$([A-Z]+)\$[0-9]+"))),_xlfn.REGEXEXTRACT(CELL("address",F101), "\$([A-Z]+)\$[0-9]+"))</f>
        <v/>
      </c>
      <c r="G101" s="7" t="str" cm="1">
        <f t="array" aca="1" ref="G101" ca="1">IFERROR(IF(OR('Raw Data'!G101="",LEN(TRIM('Raw Data'!G101))=0),"",IF(AND(ISNUMBER('Raw Data'!G101), IFERROR('Raw Data'!G101 = ROUND('Raw Data'!G101, 4),FALSE)),"",_xlfn.REGEXEXTRACT(CELL("address",G101), "\$([A-Z]+)\$[0-9]+"))),_xlfn.REGEXEXTRACT(CELL("address",G101), "\$([A-Z]+)\$[0-9]+"))</f>
        <v/>
      </c>
      <c r="H101" s="7" t="str" cm="1">
        <f t="array" aca="1" ref="H101" ca="1">IFERROR(IF(OR('Raw Data'!H101="",LEN(TRIM('Raw Data'!H101))=0),"",IF(AND(ISNUMBER('Raw Data'!H101), IFERROR('Raw Data'!H101 = ROUND('Raw Data'!H101, 4),FALSE)),"",_xlfn.REGEXEXTRACT(CELL("address",H101), "\$([A-Z]+)\$[0-9]+"))),_xlfn.REGEXEXTRACT(CELL("address",H101), "\$([A-Z]+)\$[0-9]+"))</f>
        <v/>
      </c>
      <c r="I101" s="7" t="str" cm="1">
        <f t="array" aca="1" ref="I101" ca="1">IFERROR(IF(OR('Raw Data'!I101="",LEN(TRIM('Raw Data'!I101))=0),"",IF(AND(ISNUMBER('Raw Data'!I101), IFERROR('Raw Data'!I101 = ROUND('Raw Data'!I101, 4),FALSE)),"",_xlfn.REGEXEXTRACT(CELL("address",I101), "\$([A-Z]+)\$[0-9]+"))),_xlfn.REGEXEXTRACT(CELL("address",I101), "\$([A-Z]+)\$[0-9]+"))</f>
        <v/>
      </c>
      <c r="J101" s="7" t="str" cm="1">
        <f t="array" aca="1" ref="J101" ca="1">IFERROR(IF(OR('Raw Data'!J101="",LEN(TRIM('Raw Data'!J101))=0),"",IF(AND(ISNUMBER('Raw Data'!J101), IFERROR('Raw Data'!J101 = ROUND('Raw Data'!J101, 4),FALSE)),"",_xlfn.REGEXEXTRACT(CELL("address",J101), "\$([A-Z]+)\$[0-9]+"))),_xlfn.REGEXEXTRACT(CELL("address",J101), "\$([A-Z]+)\$[0-9]+"))</f>
        <v/>
      </c>
      <c r="K101" s="7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7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</row>
    <row r="102" spans="2:22" x14ac:dyDescent="0.25">
      <c r="B102" s="7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20,LEN('Raw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Data'!D102))=0),"",IF(AND(ISNUMBER('Raw Data'!D102),'Raw Data'!D102&gt;=Configuration!$D$2),"",_xlfn.REGEXEXTRACT(CELL("address",'Raw Data'!D102),"\$([A-Z]+)\$[0-9]+"))),_xlfn.REGEXEXTRACT(CELL("address",D102), "\$([A-Z]+)\$[0-9]+"))</f>
        <v>$D$102</v>
      </c>
      <c r="E102" s="7" t="str" cm="1">
        <f t="array" aca="1" ref="E102" ca="1">IFERROR(IF(OR('Raw Data'!E102="",LEN(TRIM('Raw Data'!E102))=0),"",IF(AND(ISNUMBER('Raw Data'!E102), IFERROR('Raw Data'!E102 = ROUND('Raw Data'!E102, 4),FALSE)),"",_xlfn.REGEXEXTRACT(CELL("address",E102), "\$([A-Z]+)\$[0-9]+"))),_xlfn.REGEXEXTRACT(CELL("address",E102), 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4),FALSE)),"",_xlfn.REGEXEXTRACT(CELL("address",F102), "\$([A-Z]+)\$[0-9]+"))),_xlfn.REGEXEXTRACT(CELL("address",F102), "\$([A-Z]+)\$[0-9]+"))</f>
        <v/>
      </c>
      <c r="G102" s="7" t="str" cm="1">
        <f t="array" aca="1" ref="G102" ca="1">IFERROR(IF(OR('Raw Data'!G102="",LEN(TRIM('Raw Data'!G102))=0),"",IF(AND(ISNUMBER('Raw Data'!G102), IFERROR('Raw Data'!G102 = ROUND('Raw Data'!G102, 4),FALSE)),"",_xlfn.REGEXEXTRACT(CELL("address",G102), "\$([A-Z]+)\$[0-9]+"))),_xlfn.REGEXEXTRACT(CELL("address",G102), "\$([A-Z]+)\$[0-9]+"))</f>
        <v/>
      </c>
      <c r="H102" s="7" t="str" cm="1">
        <f t="array" aca="1" ref="H102" ca="1">IFERROR(IF(OR('Raw Data'!H102="",LEN(TRIM('Raw Data'!H102))=0),"",IF(AND(ISNUMBER('Raw Data'!H102), IFERROR('Raw Data'!H102 = ROUND('Raw Data'!H102, 4),FALSE)),"",_xlfn.REGEXEXTRACT(CELL("address",H102), "\$([A-Z]+)\$[0-9]+"))),_xlfn.REGEXEXTRACT(CELL("address",H102), "\$([A-Z]+)\$[0-9]+"))</f>
        <v/>
      </c>
      <c r="I102" s="7" t="str" cm="1">
        <f t="array" aca="1" ref="I102" ca="1">IFERROR(IF(OR('Raw Data'!I102="",LEN(TRIM('Raw Data'!I102))=0),"",IF(AND(ISNUMBER('Raw Data'!I102), IFERROR('Raw Data'!I102 = ROUND('Raw Data'!I102, 4),FALSE)),"",_xlfn.REGEXEXTRACT(CELL("address",I102), "\$([A-Z]+)\$[0-9]+"))),_xlfn.REGEXEXTRACT(CELL("address",I102), "\$([A-Z]+)\$[0-9]+"))</f>
        <v/>
      </c>
      <c r="J102" s="7" t="str" cm="1">
        <f t="array" aca="1" ref="J102" ca="1">IFERROR(IF(OR('Raw Data'!J102="",LEN(TRIM('Raw Data'!J102))=0),"",IF(AND(ISNUMBER('Raw Data'!J102), IFERROR('Raw Data'!J102 = ROUND('Raw Data'!J102, 4),FALSE)),"",_xlfn.REGEXEXTRACT(CELL("address",J102), "\$([A-Z]+)\$[0-9]+"))),_xlfn.REGEXEXTRACT(CELL("address",J102), "\$([A-Z]+)\$[0-9]+"))</f>
        <v/>
      </c>
      <c r="K102" s="7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7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</row>
    <row r="103" spans="2:22" x14ac:dyDescent="0.25">
      <c r="B103" s="7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20,LEN('Raw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Data'!D103))=0),"",IF(AND(ISNUMBER('Raw Data'!D103),'Raw Data'!D103&gt;=Configuration!$D$2),"",_xlfn.REGEXEXTRACT(CELL("address",'Raw Data'!D103),"\$([A-Z]+)\$[0-9]+"))),_xlfn.REGEXEXTRACT(CELL("address",D103), "\$([A-Z]+)\$[0-9]+"))</f>
        <v>$D$103</v>
      </c>
      <c r="E103" s="7" t="str" cm="1">
        <f t="array" aca="1" ref="E103" ca="1">IFERROR(IF(OR('Raw Data'!E103="",LEN(TRIM('Raw Data'!E103))=0),"",IF(AND(ISNUMBER('Raw Data'!E103), IFERROR('Raw Data'!E103 = ROUND('Raw Data'!E103, 4),FALSE)),"",_xlfn.REGEXEXTRACT(CELL("address",E103), "\$([A-Z]+)\$[0-9]+"))),_xlfn.REGEXEXTRACT(CELL("address",E103), 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4),FALSE)),"",_xlfn.REGEXEXTRACT(CELL("address",F103), "\$([A-Z]+)\$[0-9]+"))),_xlfn.REGEXEXTRACT(CELL("address",F103), "\$([A-Z]+)\$[0-9]+"))</f>
        <v/>
      </c>
      <c r="G103" s="7" t="str" cm="1">
        <f t="array" aca="1" ref="G103" ca="1">IFERROR(IF(OR('Raw Data'!G103="",LEN(TRIM('Raw Data'!G103))=0),"",IF(AND(ISNUMBER('Raw Data'!G103), IFERROR('Raw Data'!G103 = ROUND('Raw Data'!G103, 4),FALSE)),"",_xlfn.REGEXEXTRACT(CELL("address",G103), "\$([A-Z]+)\$[0-9]+"))),_xlfn.REGEXEXTRACT(CELL("address",G103), "\$([A-Z]+)\$[0-9]+"))</f>
        <v/>
      </c>
      <c r="H103" s="7" t="str" cm="1">
        <f t="array" aca="1" ref="H103" ca="1">IFERROR(IF(OR('Raw Data'!H103="",LEN(TRIM('Raw Data'!H103))=0),"",IF(AND(ISNUMBER('Raw Data'!H103), IFERROR('Raw Data'!H103 = ROUND('Raw Data'!H103, 4),FALSE)),"",_xlfn.REGEXEXTRACT(CELL("address",H103), "\$([A-Z]+)\$[0-9]+"))),_xlfn.REGEXEXTRACT(CELL("address",H103), "\$([A-Z]+)\$[0-9]+"))</f>
        <v/>
      </c>
      <c r="I103" s="7" t="str" cm="1">
        <f t="array" aca="1" ref="I103" ca="1">IFERROR(IF(OR('Raw Data'!I103="",LEN(TRIM('Raw Data'!I103))=0),"",IF(AND(ISNUMBER('Raw Data'!I103), IFERROR('Raw Data'!I103 = ROUND('Raw Data'!I103, 4),FALSE)),"",_xlfn.REGEXEXTRACT(CELL("address",I103), "\$([A-Z]+)\$[0-9]+"))),_xlfn.REGEXEXTRACT(CELL("address",I103), "\$([A-Z]+)\$[0-9]+"))</f>
        <v/>
      </c>
      <c r="J103" s="7" t="str" cm="1">
        <f t="array" aca="1" ref="J103" ca="1">IFERROR(IF(OR('Raw Data'!J103="",LEN(TRIM('Raw Data'!J103))=0),"",IF(AND(ISNUMBER('Raw Data'!J103), IFERROR('Raw Data'!J103 = ROUND('Raw Data'!J103, 4),FALSE)),"",_xlfn.REGEXEXTRACT(CELL("address",J103), "\$([A-Z]+)\$[0-9]+"))),_xlfn.REGEXEXTRACT(CELL("address",J103), "\$([A-Z]+)\$[0-9]+"))</f>
        <v/>
      </c>
      <c r="K103" s="7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7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</row>
    <row r="104" spans="2:22" x14ac:dyDescent="0.25">
      <c r="B104" s="7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20,LEN('Raw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Data'!D104))=0),"",IF(AND(ISNUMBER('Raw Data'!D104),'Raw Data'!D104&gt;=Configuration!$D$2),"",_xlfn.REGEXEXTRACT(CELL("address",'Raw Data'!D104),"\$([A-Z]+)\$[0-9]+"))),_xlfn.REGEXEXTRACT(CELL("address",D104), "\$([A-Z]+)\$[0-9]+"))</f>
        <v>$D$104</v>
      </c>
      <c r="E104" s="7" t="str" cm="1">
        <f t="array" aca="1" ref="E104" ca="1">IFERROR(IF(OR('Raw Data'!E104="",LEN(TRIM('Raw Data'!E104))=0),"",IF(AND(ISNUMBER('Raw Data'!E104), IFERROR('Raw Data'!E104 = ROUND('Raw Data'!E104, 4),FALSE)),"",_xlfn.REGEXEXTRACT(CELL("address",E104), "\$([A-Z]+)\$[0-9]+"))),_xlfn.REGEXEXTRACT(CELL("address",E104), 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4),FALSE)),"",_xlfn.REGEXEXTRACT(CELL("address",F104), "\$([A-Z]+)\$[0-9]+"))),_xlfn.REGEXEXTRACT(CELL("address",F104), "\$([A-Z]+)\$[0-9]+"))</f>
        <v/>
      </c>
      <c r="G104" s="7" t="str" cm="1">
        <f t="array" aca="1" ref="G104" ca="1">IFERROR(IF(OR('Raw Data'!G104="",LEN(TRIM('Raw Data'!G104))=0),"",IF(AND(ISNUMBER('Raw Data'!G104), IFERROR('Raw Data'!G104 = ROUND('Raw Data'!G104, 4),FALSE)),"",_xlfn.REGEXEXTRACT(CELL("address",G104), "\$([A-Z]+)\$[0-9]+"))),_xlfn.REGEXEXTRACT(CELL("address",G104), "\$([A-Z]+)\$[0-9]+"))</f>
        <v/>
      </c>
      <c r="H104" s="7" t="str" cm="1">
        <f t="array" aca="1" ref="H104" ca="1">IFERROR(IF(OR('Raw Data'!H104="",LEN(TRIM('Raw Data'!H104))=0),"",IF(AND(ISNUMBER('Raw Data'!H104), IFERROR('Raw Data'!H104 = ROUND('Raw Data'!H104, 4),FALSE)),"",_xlfn.REGEXEXTRACT(CELL("address",H104), "\$([A-Z]+)\$[0-9]+"))),_xlfn.REGEXEXTRACT(CELL("address",H104), "\$([A-Z]+)\$[0-9]+"))</f>
        <v/>
      </c>
      <c r="I104" s="7" t="str" cm="1">
        <f t="array" aca="1" ref="I104" ca="1">IFERROR(IF(OR('Raw Data'!I104="",LEN(TRIM('Raw Data'!I104))=0),"",IF(AND(ISNUMBER('Raw Data'!I104), IFERROR('Raw Data'!I104 = ROUND('Raw Data'!I104, 4),FALSE)),"",_xlfn.REGEXEXTRACT(CELL("address",I104), "\$([A-Z]+)\$[0-9]+"))),_xlfn.REGEXEXTRACT(CELL("address",I104), "\$([A-Z]+)\$[0-9]+"))</f>
        <v/>
      </c>
      <c r="J104" s="7" t="str" cm="1">
        <f t="array" aca="1" ref="J104" ca="1">IFERROR(IF(OR('Raw Data'!J104="",LEN(TRIM('Raw Data'!J104))=0),"",IF(AND(ISNUMBER('Raw Data'!J104), IFERROR('Raw Data'!J104 = ROUND('Raw Data'!J104, 4),FALSE)),"",_xlfn.REGEXEXTRACT(CELL("address",J104), "\$([A-Z]+)\$[0-9]+"))),_xlfn.REGEXEXTRACT(CELL("address",J104), "\$([A-Z]+)\$[0-9]+"))</f>
        <v/>
      </c>
      <c r="K104" s="7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7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</row>
    <row r="105" spans="2:22" x14ac:dyDescent="0.25">
      <c r="B105" s="7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20,LEN('Raw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Data'!D105))=0),"",IF(AND(ISNUMBER('Raw Data'!D105),'Raw Data'!D105&gt;=Configuration!$D$2),"",_xlfn.REGEXEXTRACT(CELL("address",'Raw Data'!D105),"\$([A-Z]+)\$[0-9]+"))),_xlfn.REGEXEXTRACT(CELL("address",D105), "\$([A-Z]+)\$[0-9]+"))</f>
        <v>$D$105</v>
      </c>
      <c r="E105" s="7" t="str" cm="1">
        <f t="array" aca="1" ref="E105" ca="1">IFERROR(IF(OR('Raw Data'!E105="",LEN(TRIM('Raw Data'!E105))=0),"",IF(AND(ISNUMBER('Raw Data'!E105), IFERROR('Raw Data'!E105 = ROUND('Raw Data'!E105, 4),FALSE)),"",_xlfn.REGEXEXTRACT(CELL("address",E105), "\$([A-Z]+)\$[0-9]+"))),_xlfn.REGEXEXTRACT(CELL("address",E105), 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4),FALSE)),"",_xlfn.REGEXEXTRACT(CELL("address",F105), "\$([A-Z]+)\$[0-9]+"))),_xlfn.REGEXEXTRACT(CELL("address",F105), "\$([A-Z]+)\$[0-9]+"))</f>
        <v/>
      </c>
      <c r="G105" s="7" t="str" cm="1">
        <f t="array" aca="1" ref="G105" ca="1">IFERROR(IF(OR('Raw Data'!G105="",LEN(TRIM('Raw Data'!G105))=0),"",IF(AND(ISNUMBER('Raw Data'!G105), IFERROR('Raw Data'!G105 = ROUND('Raw Data'!G105, 4),FALSE)),"",_xlfn.REGEXEXTRACT(CELL("address",G105), "\$([A-Z]+)\$[0-9]+"))),_xlfn.REGEXEXTRACT(CELL("address",G105), "\$([A-Z]+)\$[0-9]+"))</f>
        <v/>
      </c>
      <c r="H105" s="7" t="str" cm="1">
        <f t="array" aca="1" ref="H105" ca="1">IFERROR(IF(OR('Raw Data'!H105="",LEN(TRIM('Raw Data'!H105))=0),"",IF(AND(ISNUMBER('Raw Data'!H105), IFERROR('Raw Data'!H105 = ROUND('Raw Data'!H105, 4),FALSE)),"",_xlfn.REGEXEXTRACT(CELL("address",H105), "\$([A-Z]+)\$[0-9]+"))),_xlfn.REGEXEXTRACT(CELL("address",H105), "\$([A-Z]+)\$[0-9]+"))</f>
        <v/>
      </c>
      <c r="I105" s="7" t="str" cm="1">
        <f t="array" aca="1" ref="I105" ca="1">IFERROR(IF(OR('Raw Data'!I105="",LEN(TRIM('Raw Data'!I105))=0),"",IF(AND(ISNUMBER('Raw Data'!I105), IFERROR('Raw Data'!I105 = ROUND('Raw Data'!I105, 4),FALSE)),"",_xlfn.REGEXEXTRACT(CELL("address",I105), "\$([A-Z]+)\$[0-9]+"))),_xlfn.REGEXEXTRACT(CELL("address",I105), "\$([A-Z]+)\$[0-9]+"))</f>
        <v/>
      </c>
      <c r="J105" s="7" t="str" cm="1">
        <f t="array" aca="1" ref="J105" ca="1">IFERROR(IF(OR('Raw Data'!J105="",LEN(TRIM('Raw Data'!J105))=0),"",IF(AND(ISNUMBER('Raw Data'!J105), IFERROR('Raw Data'!J105 = ROUND('Raw Data'!J105, 4),FALSE)),"",_xlfn.REGEXEXTRACT(CELL("address",J105), "\$([A-Z]+)\$[0-9]+"))),_xlfn.REGEXEXTRACT(CELL("address",J105), "\$([A-Z]+)\$[0-9]+"))</f>
        <v/>
      </c>
      <c r="K105" s="7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7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</row>
    <row r="106" spans="2:22" x14ac:dyDescent="0.25">
      <c r="B106" s="7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20,LEN('Raw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Data'!D106))=0),"",IF(AND(ISNUMBER('Raw Data'!D106),'Raw Data'!D106&gt;=Configuration!$D$2),"",_xlfn.REGEXEXTRACT(CELL("address",'Raw Data'!D106),"\$([A-Z]+)\$[0-9]+"))),_xlfn.REGEXEXTRACT(CELL("address",D106), "\$([A-Z]+)\$[0-9]+"))</f>
        <v>$D$106</v>
      </c>
      <c r="E106" s="7" t="str" cm="1">
        <f t="array" aca="1" ref="E106" ca="1">IFERROR(IF(OR('Raw Data'!E106="",LEN(TRIM('Raw Data'!E106))=0),"",IF(AND(ISNUMBER('Raw Data'!E106), IFERROR('Raw Data'!E106 = ROUND('Raw Data'!E106, 4),FALSE)),"",_xlfn.REGEXEXTRACT(CELL("address",E106), "\$([A-Z]+)\$[0-9]+"))),_xlfn.REGEXEXTRACT(CELL("address",E106), 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4),FALSE)),"",_xlfn.REGEXEXTRACT(CELL("address",F106), "\$([A-Z]+)\$[0-9]+"))),_xlfn.REGEXEXTRACT(CELL("address",F106), "\$([A-Z]+)\$[0-9]+"))</f>
        <v/>
      </c>
      <c r="G106" s="7" t="str" cm="1">
        <f t="array" aca="1" ref="G106" ca="1">IFERROR(IF(OR('Raw Data'!G106="",LEN(TRIM('Raw Data'!G106))=0),"",IF(AND(ISNUMBER('Raw Data'!G106), IFERROR('Raw Data'!G106 = ROUND('Raw Data'!G106, 4),FALSE)),"",_xlfn.REGEXEXTRACT(CELL("address",G106), "\$([A-Z]+)\$[0-9]+"))),_xlfn.REGEXEXTRACT(CELL("address",G106), "\$([A-Z]+)\$[0-9]+"))</f>
        <v/>
      </c>
      <c r="H106" s="7" t="str" cm="1">
        <f t="array" aca="1" ref="H106" ca="1">IFERROR(IF(OR('Raw Data'!H106="",LEN(TRIM('Raw Data'!H106))=0),"",IF(AND(ISNUMBER('Raw Data'!H106), IFERROR('Raw Data'!H106 = ROUND('Raw Data'!H106, 4),FALSE)),"",_xlfn.REGEXEXTRACT(CELL("address",H106), "\$([A-Z]+)\$[0-9]+"))),_xlfn.REGEXEXTRACT(CELL("address",H106), "\$([A-Z]+)\$[0-9]+"))</f>
        <v/>
      </c>
      <c r="I106" s="7" t="str" cm="1">
        <f t="array" aca="1" ref="I106" ca="1">IFERROR(IF(OR('Raw Data'!I106="",LEN(TRIM('Raw Data'!I106))=0),"",IF(AND(ISNUMBER('Raw Data'!I106), IFERROR('Raw Data'!I106 = ROUND('Raw Data'!I106, 4),FALSE)),"",_xlfn.REGEXEXTRACT(CELL("address",I106), "\$([A-Z]+)\$[0-9]+"))),_xlfn.REGEXEXTRACT(CELL("address",I106), "\$([A-Z]+)\$[0-9]+"))</f>
        <v/>
      </c>
      <c r="J106" s="7" t="str" cm="1">
        <f t="array" aca="1" ref="J106" ca="1">IFERROR(IF(OR('Raw Data'!J106="",LEN(TRIM('Raw Data'!J106))=0),"",IF(AND(ISNUMBER('Raw Data'!J106), IFERROR('Raw Data'!J106 = ROUND('Raw Data'!J106, 4),FALSE)),"",_xlfn.REGEXEXTRACT(CELL("address",J106), "\$([A-Z]+)\$[0-9]+"))),_xlfn.REGEXEXTRACT(CELL("address",J106), "\$([A-Z]+)\$[0-9]+"))</f>
        <v/>
      </c>
      <c r="K106" s="7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7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</row>
    <row r="107" spans="2:22" x14ac:dyDescent="0.25">
      <c r="B107" s="7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20,LEN('Raw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Data'!D107))=0),"",IF(AND(ISNUMBER('Raw Data'!D107),'Raw Data'!D107&gt;=Configuration!$D$2),"",_xlfn.REGEXEXTRACT(CELL("address",'Raw Data'!D107),"\$([A-Z]+)\$[0-9]+"))),_xlfn.REGEXEXTRACT(CELL("address",D107), "\$([A-Z]+)\$[0-9]+"))</f>
        <v>$D$107</v>
      </c>
      <c r="E107" s="7" t="str" cm="1">
        <f t="array" aca="1" ref="E107" ca="1">IFERROR(IF(OR('Raw Data'!E107="",LEN(TRIM('Raw Data'!E107))=0),"",IF(AND(ISNUMBER('Raw Data'!E107), IFERROR('Raw Data'!E107 = ROUND('Raw Data'!E107, 4),FALSE)),"",_xlfn.REGEXEXTRACT(CELL("address",E107), "\$([A-Z]+)\$[0-9]+"))),_xlfn.REGEXEXTRACT(CELL("address",E107), 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4),FALSE)),"",_xlfn.REGEXEXTRACT(CELL("address",F107), "\$([A-Z]+)\$[0-9]+"))),_xlfn.REGEXEXTRACT(CELL("address",F107), "\$([A-Z]+)\$[0-9]+"))</f>
        <v/>
      </c>
      <c r="G107" s="7" t="str" cm="1">
        <f t="array" aca="1" ref="G107" ca="1">IFERROR(IF(OR('Raw Data'!G107="",LEN(TRIM('Raw Data'!G107))=0),"",IF(AND(ISNUMBER('Raw Data'!G107), IFERROR('Raw Data'!G107 = ROUND('Raw Data'!G107, 4),FALSE)),"",_xlfn.REGEXEXTRACT(CELL("address",G107), "\$([A-Z]+)\$[0-9]+"))),_xlfn.REGEXEXTRACT(CELL("address",G107), "\$([A-Z]+)\$[0-9]+"))</f>
        <v/>
      </c>
      <c r="H107" s="7" t="str" cm="1">
        <f t="array" aca="1" ref="H107" ca="1">IFERROR(IF(OR('Raw Data'!H107="",LEN(TRIM('Raw Data'!H107))=0),"",IF(AND(ISNUMBER('Raw Data'!H107), IFERROR('Raw Data'!H107 = ROUND('Raw Data'!H107, 4),FALSE)),"",_xlfn.REGEXEXTRACT(CELL("address",H107), "\$([A-Z]+)\$[0-9]+"))),_xlfn.REGEXEXTRACT(CELL("address",H107), "\$([A-Z]+)\$[0-9]+"))</f>
        <v/>
      </c>
      <c r="I107" s="7" t="str" cm="1">
        <f t="array" aca="1" ref="I107" ca="1">IFERROR(IF(OR('Raw Data'!I107="",LEN(TRIM('Raw Data'!I107))=0),"",IF(AND(ISNUMBER('Raw Data'!I107), IFERROR('Raw Data'!I107 = ROUND('Raw Data'!I107, 4),FALSE)),"",_xlfn.REGEXEXTRACT(CELL("address",I107), "\$([A-Z]+)\$[0-9]+"))),_xlfn.REGEXEXTRACT(CELL("address",I107), "\$([A-Z]+)\$[0-9]+"))</f>
        <v/>
      </c>
      <c r="J107" s="7" t="str" cm="1">
        <f t="array" aca="1" ref="J107" ca="1">IFERROR(IF(OR('Raw Data'!J107="",LEN(TRIM('Raw Data'!J107))=0),"",IF(AND(ISNUMBER('Raw Data'!J107), IFERROR('Raw Data'!J107 = ROUND('Raw Data'!J107, 4),FALSE)),"",_xlfn.REGEXEXTRACT(CELL("address",J107), "\$([A-Z]+)\$[0-9]+"))),_xlfn.REGEXEXTRACT(CELL("address",J107), "\$([A-Z]+)\$[0-9]+"))</f>
        <v/>
      </c>
      <c r="K107" s="7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7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</row>
    <row r="108" spans="2:22" x14ac:dyDescent="0.25">
      <c r="B108" s="7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20,LEN('Raw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Data'!D108))=0),"",IF(AND(ISNUMBER('Raw Data'!D108),'Raw Data'!D108&gt;=Configuration!$D$2),"",_xlfn.REGEXEXTRACT(CELL("address",'Raw Data'!D108),"\$([A-Z]+)\$[0-9]+"))),_xlfn.REGEXEXTRACT(CELL("address",D108), "\$([A-Z]+)\$[0-9]+"))</f>
        <v>$D$108</v>
      </c>
      <c r="E108" s="7" t="str" cm="1">
        <f t="array" aca="1" ref="E108" ca="1">IFERROR(IF(OR('Raw Data'!E108="",LEN(TRIM('Raw Data'!E108))=0),"",IF(AND(ISNUMBER('Raw Data'!E108), IFERROR('Raw Data'!E108 = ROUND('Raw Data'!E108, 4),FALSE)),"",_xlfn.REGEXEXTRACT(CELL("address",E108), "\$([A-Z]+)\$[0-9]+"))),_xlfn.REGEXEXTRACT(CELL("address",E108), 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4),FALSE)),"",_xlfn.REGEXEXTRACT(CELL("address",F108), "\$([A-Z]+)\$[0-9]+"))),_xlfn.REGEXEXTRACT(CELL("address",F108), "\$([A-Z]+)\$[0-9]+"))</f>
        <v/>
      </c>
      <c r="G108" s="7" t="str" cm="1">
        <f t="array" aca="1" ref="G108" ca="1">IFERROR(IF(OR('Raw Data'!G108="",LEN(TRIM('Raw Data'!G108))=0),"",IF(AND(ISNUMBER('Raw Data'!G108), IFERROR('Raw Data'!G108 = ROUND('Raw Data'!G108, 4),FALSE)),"",_xlfn.REGEXEXTRACT(CELL("address",G108), "\$([A-Z]+)\$[0-9]+"))),_xlfn.REGEXEXTRACT(CELL("address",G108), "\$([A-Z]+)\$[0-9]+"))</f>
        <v/>
      </c>
      <c r="H108" s="7" t="str" cm="1">
        <f t="array" aca="1" ref="H108" ca="1">IFERROR(IF(OR('Raw Data'!H108="",LEN(TRIM('Raw Data'!H108))=0),"",IF(AND(ISNUMBER('Raw Data'!H108), IFERROR('Raw Data'!H108 = ROUND('Raw Data'!H108, 4),FALSE)),"",_xlfn.REGEXEXTRACT(CELL("address",H108), "\$([A-Z]+)\$[0-9]+"))),_xlfn.REGEXEXTRACT(CELL("address",H108), "\$([A-Z]+)\$[0-9]+"))</f>
        <v/>
      </c>
      <c r="I108" s="7" t="str" cm="1">
        <f t="array" aca="1" ref="I108" ca="1">IFERROR(IF(OR('Raw Data'!I108="",LEN(TRIM('Raw Data'!I108))=0),"",IF(AND(ISNUMBER('Raw Data'!I108), IFERROR('Raw Data'!I108 = ROUND('Raw Data'!I108, 4),FALSE)),"",_xlfn.REGEXEXTRACT(CELL("address",I108), "\$([A-Z]+)\$[0-9]+"))),_xlfn.REGEXEXTRACT(CELL("address",I108), "\$([A-Z]+)\$[0-9]+"))</f>
        <v/>
      </c>
      <c r="J108" s="7" t="str" cm="1">
        <f t="array" aca="1" ref="J108" ca="1">IFERROR(IF(OR('Raw Data'!J108="",LEN(TRIM('Raw Data'!J108))=0),"",IF(AND(ISNUMBER('Raw Data'!J108), IFERROR('Raw Data'!J108 = ROUND('Raw Data'!J108, 4),FALSE)),"",_xlfn.REGEXEXTRACT(CELL("address",J108), "\$([A-Z]+)\$[0-9]+"))),_xlfn.REGEXEXTRACT(CELL("address",J108), "\$([A-Z]+)\$[0-9]+"))</f>
        <v/>
      </c>
      <c r="K108" s="7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7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</row>
    <row r="109" spans="2:22" x14ac:dyDescent="0.25">
      <c r="B109" s="7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20,LEN('Raw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Data'!D109))=0),"",IF(AND(ISNUMBER('Raw Data'!D109),'Raw Data'!D109&gt;=Configuration!$D$2),"",_xlfn.REGEXEXTRACT(CELL("address",'Raw Data'!D109),"\$([A-Z]+)\$[0-9]+"))),_xlfn.REGEXEXTRACT(CELL("address",D109), "\$([A-Z]+)\$[0-9]+"))</f>
        <v>$D$109</v>
      </c>
      <c r="E109" s="7" t="str" cm="1">
        <f t="array" aca="1" ref="E109" ca="1">IFERROR(IF(OR('Raw Data'!E109="",LEN(TRIM('Raw Data'!E109))=0),"",IF(AND(ISNUMBER('Raw Data'!E109), IFERROR('Raw Data'!E109 = ROUND('Raw Data'!E109, 4),FALSE)),"",_xlfn.REGEXEXTRACT(CELL("address",E109), "\$([A-Z]+)\$[0-9]+"))),_xlfn.REGEXEXTRACT(CELL("address",E109), 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4),FALSE)),"",_xlfn.REGEXEXTRACT(CELL("address",F109), "\$([A-Z]+)\$[0-9]+"))),_xlfn.REGEXEXTRACT(CELL("address",F109), "\$([A-Z]+)\$[0-9]+"))</f>
        <v/>
      </c>
      <c r="G109" s="7" t="str" cm="1">
        <f t="array" aca="1" ref="G109" ca="1">IFERROR(IF(OR('Raw Data'!G109="",LEN(TRIM('Raw Data'!G109))=0),"",IF(AND(ISNUMBER('Raw Data'!G109), IFERROR('Raw Data'!G109 = ROUND('Raw Data'!G109, 4),FALSE)),"",_xlfn.REGEXEXTRACT(CELL("address",G109), "\$([A-Z]+)\$[0-9]+"))),_xlfn.REGEXEXTRACT(CELL("address",G109), "\$([A-Z]+)\$[0-9]+"))</f>
        <v/>
      </c>
      <c r="H109" s="7" t="str" cm="1">
        <f t="array" aca="1" ref="H109" ca="1">IFERROR(IF(OR('Raw Data'!H109="",LEN(TRIM('Raw Data'!H109))=0),"",IF(AND(ISNUMBER('Raw Data'!H109), IFERROR('Raw Data'!H109 = ROUND('Raw Data'!H109, 4),FALSE)),"",_xlfn.REGEXEXTRACT(CELL("address",H109), "\$([A-Z]+)\$[0-9]+"))),_xlfn.REGEXEXTRACT(CELL("address",H109), "\$([A-Z]+)\$[0-9]+"))</f>
        <v/>
      </c>
      <c r="I109" s="7" t="str" cm="1">
        <f t="array" aca="1" ref="I109" ca="1">IFERROR(IF(OR('Raw Data'!I109="",LEN(TRIM('Raw Data'!I109))=0),"",IF(AND(ISNUMBER('Raw Data'!I109), IFERROR('Raw Data'!I109 = ROUND('Raw Data'!I109, 4),FALSE)),"",_xlfn.REGEXEXTRACT(CELL("address",I109), "\$([A-Z]+)\$[0-9]+"))),_xlfn.REGEXEXTRACT(CELL("address",I109), "\$([A-Z]+)\$[0-9]+"))</f>
        <v/>
      </c>
      <c r="J109" s="7" t="str" cm="1">
        <f t="array" aca="1" ref="J109" ca="1">IFERROR(IF(OR('Raw Data'!J109="",LEN(TRIM('Raw Data'!J109))=0),"",IF(AND(ISNUMBER('Raw Data'!J109), IFERROR('Raw Data'!J109 = ROUND('Raw Data'!J109, 4),FALSE)),"",_xlfn.REGEXEXTRACT(CELL("address",J109), "\$([A-Z]+)\$[0-9]+"))),_xlfn.REGEXEXTRACT(CELL("address",J109), "\$([A-Z]+)\$[0-9]+"))</f>
        <v/>
      </c>
      <c r="K109" s="7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7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</row>
    <row r="110" spans="2:22" x14ac:dyDescent="0.25">
      <c r="B110" s="7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20,LEN('Raw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Data'!D110))=0),"",IF(AND(ISNUMBER('Raw Data'!D110),'Raw Data'!D110&gt;=Configuration!$D$2),"",_xlfn.REGEXEXTRACT(CELL("address",'Raw Data'!D110),"\$([A-Z]+)\$[0-9]+"))),_xlfn.REGEXEXTRACT(CELL("address",D110), "\$([A-Z]+)\$[0-9]+"))</f>
        <v>$D$110</v>
      </c>
      <c r="E110" s="7" t="str" cm="1">
        <f t="array" aca="1" ref="E110" ca="1">IFERROR(IF(OR('Raw Data'!E110="",LEN(TRIM('Raw Data'!E110))=0),"",IF(AND(ISNUMBER('Raw Data'!E110), IFERROR('Raw Data'!E110 = ROUND('Raw Data'!E110, 4),FALSE)),"",_xlfn.REGEXEXTRACT(CELL("address",E110), "\$([A-Z]+)\$[0-9]+"))),_xlfn.REGEXEXTRACT(CELL("address",E110), 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4),FALSE)),"",_xlfn.REGEXEXTRACT(CELL("address",F110), "\$([A-Z]+)\$[0-9]+"))),_xlfn.REGEXEXTRACT(CELL("address",F110), "\$([A-Z]+)\$[0-9]+"))</f>
        <v/>
      </c>
      <c r="G110" s="7" t="str" cm="1">
        <f t="array" aca="1" ref="G110" ca="1">IFERROR(IF(OR('Raw Data'!G110="",LEN(TRIM('Raw Data'!G110))=0),"",IF(AND(ISNUMBER('Raw Data'!G110), IFERROR('Raw Data'!G110 = ROUND('Raw Data'!G110, 4),FALSE)),"",_xlfn.REGEXEXTRACT(CELL("address",G110), "\$([A-Z]+)\$[0-9]+"))),_xlfn.REGEXEXTRACT(CELL("address",G110), "\$([A-Z]+)\$[0-9]+"))</f>
        <v/>
      </c>
      <c r="H110" s="7" t="str" cm="1">
        <f t="array" aca="1" ref="H110" ca="1">IFERROR(IF(OR('Raw Data'!H110="",LEN(TRIM('Raw Data'!H110))=0),"",IF(AND(ISNUMBER('Raw Data'!H110), IFERROR('Raw Data'!H110 = ROUND('Raw Data'!H110, 4),FALSE)),"",_xlfn.REGEXEXTRACT(CELL("address",H110), "\$([A-Z]+)\$[0-9]+"))),_xlfn.REGEXEXTRACT(CELL("address",H110), "\$([A-Z]+)\$[0-9]+"))</f>
        <v/>
      </c>
      <c r="I110" s="7" t="str" cm="1">
        <f t="array" aca="1" ref="I110" ca="1">IFERROR(IF(OR('Raw Data'!I110="",LEN(TRIM('Raw Data'!I110))=0),"",IF(AND(ISNUMBER('Raw Data'!I110), IFERROR('Raw Data'!I110 = ROUND('Raw Data'!I110, 4),FALSE)),"",_xlfn.REGEXEXTRACT(CELL("address",I110), "\$([A-Z]+)\$[0-9]+"))),_xlfn.REGEXEXTRACT(CELL("address",I110), "\$([A-Z]+)\$[0-9]+"))</f>
        <v/>
      </c>
      <c r="J110" s="7" t="str" cm="1">
        <f t="array" aca="1" ref="J110" ca="1">IFERROR(IF(OR('Raw Data'!J110="",LEN(TRIM('Raw Data'!J110))=0),"",IF(AND(ISNUMBER('Raw Data'!J110), IFERROR('Raw Data'!J110 = ROUND('Raw Data'!J110, 4),FALSE)),"",_xlfn.REGEXEXTRACT(CELL("address",J110), "\$([A-Z]+)\$[0-9]+"))),_xlfn.REGEXEXTRACT(CELL("address",J110), "\$([A-Z]+)\$[0-9]+"))</f>
        <v/>
      </c>
      <c r="K110" s="7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7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</row>
    <row r="111" spans="2:22" x14ac:dyDescent="0.25">
      <c r="B111" s="7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20,LEN('Raw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Data'!D111))=0),"",IF(AND(ISNUMBER('Raw Data'!D111),'Raw Data'!D111&gt;=Configuration!$D$2),"",_xlfn.REGEXEXTRACT(CELL("address",'Raw Data'!D111),"\$([A-Z]+)\$[0-9]+"))),_xlfn.REGEXEXTRACT(CELL("address",D111), "\$([A-Z]+)\$[0-9]+"))</f>
        <v>$D$111</v>
      </c>
      <c r="E111" s="7" t="str" cm="1">
        <f t="array" aca="1" ref="E111" ca="1">IFERROR(IF(OR('Raw Data'!E111="",LEN(TRIM('Raw Data'!E111))=0),"",IF(AND(ISNUMBER('Raw Data'!E111), IFERROR('Raw Data'!E111 = ROUND('Raw Data'!E111, 4),FALSE)),"",_xlfn.REGEXEXTRACT(CELL("address",E111), "\$([A-Z]+)\$[0-9]+"))),_xlfn.REGEXEXTRACT(CELL("address",E111), 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4),FALSE)),"",_xlfn.REGEXEXTRACT(CELL("address",F111), "\$([A-Z]+)\$[0-9]+"))),_xlfn.REGEXEXTRACT(CELL("address",F111), "\$([A-Z]+)\$[0-9]+"))</f>
        <v/>
      </c>
      <c r="G111" s="7" t="str" cm="1">
        <f t="array" aca="1" ref="G111" ca="1">IFERROR(IF(OR('Raw Data'!G111="",LEN(TRIM('Raw Data'!G111))=0),"",IF(AND(ISNUMBER('Raw Data'!G111), IFERROR('Raw Data'!G111 = ROUND('Raw Data'!G111, 4),FALSE)),"",_xlfn.REGEXEXTRACT(CELL("address",G111), "\$([A-Z]+)\$[0-9]+"))),_xlfn.REGEXEXTRACT(CELL("address",G111), "\$([A-Z]+)\$[0-9]+"))</f>
        <v/>
      </c>
      <c r="H111" s="7" t="str" cm="1">
        <f t="array" aca="1" ref="H111" ca="1">IFERROR(IF(OR('Raw Data'!H111="",LEN(TRIM('Raw Data'!H111))=0),"",IF(AND(ISNUMBER('Raw Data'!H111), IFERROR('Raw Data'!H111 = ROUND('Raw Data'!H111, 4),FALSE)),"",_xlfn.REGEXEXTRACT(CELL("address",H111), "\$([A-Z]+)\$[0-9]+"))),_xlfn.REGEXEXTRACT(CELL("address",H111), "\$([A-Z]+)\$[0-9]+"))</f>
        <v/>
      </c>
      <c r="I111" s="7" t="str" cm="1">
        <f t="array" aca="1" ref="I111" ca="1">IFERROR(IF(OR('Raw Data'!I111="",LEN(TRIM('Raw Data'!I111))=0),"",IF(AND(ISNUMBER('Raw Data'!I111), IFERROR('Raw Data'!I111 = ROUND('Raw Data'!I111, 4),FALSE)),"",_xlfn.REGEXEXTRACT(CELL("address",I111), "\$([A-Z]+)\$[0-9]+"))),_xlfn.REGEXEXTRACT(CELL("address",I111), "\$([A-Z]+)\$[0-9]+"))</f>
        <v/>
      </c>
      <c r="J111" s="7" t="str" cm="1">
        <f t="array" aca="1" ref="J111" ca="1">IFERROR(IF(OR('Raw Data'!J111="",LEN(TRIM('Raw Data'!J111))=0),"",IF(AND(ISNUMBER('Raw Data'!J111), IFERROR('Raw Data'!J111 = ROUND('Raw Data'!J111, 4),FALSE)),"",_xlfn.REGEXEXTRACT(CELL("address",J111), "\$([A-Z]+)\$[0-9]+"))),_xlfn.REGEXEXTRACT(CELL("address",J111), "\$([A-Z]+)\$[0-9]+"))</f>
        <v/>
      </c>
      <c r="K111" s="7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7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</row>
    <row r="112" spans="2:22" x14ac:dyDescent="0.25">
      <c r="B112" s="7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20,LEN('Raw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Data'!D112))=0),"",IF(AND(ISNUMBER('Raw Data'!D112),'Raw Data'!D112&gt;=Configuration!$D$2),"",_xlfn.REGEXEXTRACT(CELL("address",'Raw Data'!D112),"\$([A-Z]+)\$[0-9]+"))),_xlfn.REGEXEXTRACT(CELL("address",D112), "\$([A-Z]+)\$[0-9]+"))</f>
        <v>$D$112</v>
      </c>
      <c r="E112" s="7" t="str" cm="1">
        <f t="array" aca="1" ref="E112" ca="1">IFERROR(IF(OR('Raw Data'!E112="",LEN(TRIM('Raw Data'!E112))=0),"",IF(AND(ISNUMBER('Raw Data'!E112), IFERROR('Raw Data'!E112 = ROUND('Raw Data'!E112, 4),FALSE)),"",_xlfn.REGEXEXTRACT(CELL("address",E112), "\$([A-Z]+)\$[0-9]+"))),_xlfn.REGEXEXTRACT(CELL("address",E112), 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4),FALSE)),"",_xlfn.REGEXEXTRACT(CELL("address",F112), "\$([A-Z]+)\$[0-9]+"))),_xlfn.REGEXEXTRACT(CELL("address",F112), "\$([A-Z]+)\$[0-9]+"))</f>
        <v/>
      </c>
      <c r="G112" s="7" t="str" cm="1">
        <f t="array" aca="1" ref="G112" ca="1">IFERROR(IF(OR('Raw Data'!G112="",LEN(TRIM('Raw Data'!G112))=0),"",IF(AND(ISNUMBER('Raw Data'!G112), IFERROR('Raw Data'!G112 = ROUND('Raw Data'!G112, 4),FALSE)),"",_xlfn.REGEXEXTRACT(CELL("address",G112), "\$([A-Z]+)\$[0-9]+"))),_xlfn.REGEXEXTRACT(CELL("address",G112), "\$([A-Z]+)\$[0-9]+"))</f>
        <v/>
      </c>
      <c r="H112" s="7" t="str" cm="1">
        <f t="array" aca="1" ref="H112" ca="1">IFERROR(IF(OR('Raw Data'!H112="",LEN(TRIM('Raw Data'!H112))=0),"",IF(AND(ISNUMBER('Raw Data'!H112), IFERROR('Raw Data'!H112 = ROUND('Raw Data'!H112, 4),FALSE)),"",_xlfn.REGEXEXTRACT(CELL("address",H112), "\$([A-Z]+)\$[0-9]+"))),_xlfn.REGEXEXTRACT(CELL("address",H112), "\$([A-Z]+)\$[0-9]+"))</f>
        <v/>
      </c>
      <c r="I112" s="7" t="str" cm="1">
        <f t="array" aca="1" ref="I112" ca="1">IFERROR(IF(OR('Raw Data'!I112="",LEN(TRIM('Raw Data'!I112))=0),"",IF(AND(ISNUMBER('Raw Data'!I112), IFERROR('Raw Data'!I112 = ROUND('Raw Data'!I112, 4),FALSE)),"",_xlfn.REGEXEXTRACT(CELL("address",I112), "\$([A-Z]+)\$[0-9]+"))),_xlfn.REGEXEXTRACT(CELL("address",I112), "\$([A-Z]+)\$[0-9]+"))</f>
        <v/>
      </c>
      <c r="J112" s="7" t="str" cm="1">
        <f t="array" aca="1" ref="J112" ca="1">IFERROR(IF(OR('Raw Data'!J112="",LEN(TRIM('Raw Data'!J112))=0),"",IF(AND(ISNUMBER('Raw Data'!J112), IFERROR('Raw Data'!J112 = ROUND('Raw Data'!J112, 4),FALSE)),"",_xlfn.REGEXEXTRACT(CELL("address",J112), "\$([A-Z]+)\$[0-9]+"))),_xlfn.REGEXEXTRACT(CELL("address",J112), "\$([A-Z]+)\$[0-9]+"))</f>
        <v/>
      </c>
      <c r="K112" s="7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7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</row>
    <row r="113" spans="2:22" x14ac:dyDescent="0.25">
      <c r="B113" s="7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20,LEN('Raw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Data'!D113))=0),"",IF(AND(ISNUMBER('Raw Data'!D113),'Raw Data'!D113&gt;=Configuration!$D$2),"",_xlfn.REGEXEXTRACT(CELL("address",'Raw Data'!D113),"\$([A-Z]+)\$[0-9]+"))),_xlfn.REGEXEXTRACT(CELL("address",D113), "\$([A-Z]+)\$[0-9]+"))</f>
        <v>$D$113</v>
      </c>
      <c r="E113" s="7" t="str" cm="1">
        <f t="array" aca="1" ref="E113" ca="1">IFERROR(IF(OR('Raw Data'!E113="",LEN(TRIM('Raw Data'!E113))=0),"",IF(AND(ISNUMBER('Raw Data'!E113), IFERROR('Raw Data'!E113 = ROUND('Raw Data'!E113, 4),FALSE)),"",_xlfn.REGEXEXTRACT(CELL("address",E113), "\$([A-Z]+)\$[0-9]+"))),_xlfn.REGEXEXTRACT(CELL("address",E113), 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4),FALSE)),"",_xlfn.REGEXEXTRACT(CELL("address",F113), "\$([A-Z]+)\$[0-9]+"))),_xlfn.REGEXEXTRACT(CELL("address",F113), "\$([A-Z]+)\$[0-9]+"))</f>
        <v/>
      </c>
      <c r="G113" s="7" t="str" cm="1">
        <f t="array" aca="1" ref="G113" ca="1">IFERROR(IF(OR('Raw Data'!G113="",LEN(TRIM('Raw Data'!G113))=0),"",IF(AND(ISNUMBER('Raw Data'!G113), IFERROR('Raw Data'!G113 = ROUND('Raw Data'!G113, 4),FALSE)),"",_xlfn.REGEXEXTRACT(CELL("address",G113), "\$([A-Z]+)\$[0-9]+"))),_xlfn.REGEXEXTRACT(CELL("address",G113), "\$([A-Z]+)\$[0-9]+"))</f>
        <v/>
      </c>
      <c r="H113" s="7" t="str" cm="1">
        <f t="array" aca="1" ref="H113" ca="1">IFERROR(IF(OR('Raw Data'!H113="",LEN(TRIM('Raw Data'!H113))=0),"",IF(AND(ISNUMBER('Raw Data'!H113), IFERROR('Raw Data'!H113 = ROUND('Raw Data'!H113, 4),FALSE)),"",_xlfn.REGEXEXTRACT(CELL("address",H113), "\$([A-Z]+)\$[0-9]+"))),_xlfn.REGEXEXTRACT(CELL("address",H113), "\$([A-Z]+)\$[0-9]+"))</f>
        <v/>
      </c>
      <c r="I113" s="7" t="str" cm="1">
        <f t="array" aca="1" ref="I113" ca="1">IFERROR(IF(OR('Raw Data'!I113="",LEN(TRIM('Raw Data'!I113))=0),"",IF(AND(ISNUMBER('Raw Data'!I113), IFERROR('Raw Data'!I113 = ROUND('Raw Data'!I113, 4),FALSE)),"",_xlfn.REGEXEXTRACT(CELL("address",I113), "\$([A-Z]+)\$[0-9]+"))),_xlfn.REGEXEXTRACT(CELL("address",I113), "\$([A-Z]+)\$[0-9]+"))</f>
        <v/>
      </c>
      <c r="J113" s="7" t="str" cm="1">
        <f t="array" aca="1" ref="J113" ca="1">IFERROR(IF(OR('Raw Data'!J113="",LEN(TRIM('Raw Data'!J113))=0),"",IF(AND(ISNUMBER('Raw Data'!J113), IFERROR('Raw Data'!J113 = ROUND('Raw Data'!J113, 4),FALSE)),"",_xlfn.REGEXEXTRACT(CELL("address",J113), "\$([A-Z]+)\$[0-9]+"))),_xlfn.REGEXEXTRACT(CELL("address",J113), "\$([A-Z]+)\$[0-9]+"))</f>
        <v/>
      </c>
      <c r="K113" s="7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7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</row>
    <row r="114" spans="2:22" x14ac:dyDescent="0.25">
      <c r="B114" s="7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20,LEN('Raw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Data'!D114))=0),"",IF(AND(ISNUMBER('Raw Data'!D114),'Raw Data'!D114&gt;=Configuration!$D$2),"",_xlfn.REGEXEXTRACT(CELL("address",'Raw Data'!D114),"\$([A-Z]+)\$[0-9]+"))),_xlfn.REGEXEXTRACT(CELL("address",D114), "\$([A-Z]+)\$[0-9]+"))</f>
        <v>$D$114</v>
      </c>
      <c r="E114" s="7" t="str" cm="1">
        <f t="array" aca="1" ref="E114" ca="1">IFERROR(IF(OR('Raw Data'!E114="",LEN(TRIM('Raw Data'!E114))=0),"",IF(AND(ISNUMBER('Raw Data'!E114), IFERROR('Raw Data'!E114 = ROUND('Raw Data'!E114, 4),FALSE)),"",_xlfn.REGEXEXTRACT(CELL("address",E114), "\$([A-Z]+)\$[0-9]+"))),_xlfn.REGEXEXTRACT(CELL("address",E114), 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4),FALSE)),"",_xlfn.REGEXEXTRACT(CELL("address",F114), "\$([A-Z]+)\$[0-9]+"))),_xlfn.REGEXEXTRACT(CELL("address",F114), "\$([A-Z]+)\$[0-9]+"))</f>
        <v/>
      </c>
      <c r="G114" s="7" t="str" cm="1">
        <f t="array" aca="1" ref="G114" ca="1">IFERROR(IF(OR('Raw Data'!G114="",LEN(TRIM('Raw Data'!G114))=0),"",IF(AND(ISNUMBER('Raw Data'!G114), IFERROR('Raw Data'!G114 = ROUND('Raw Data'!G114, 4),FALSE)),"",_xlfn.REGEXEXTRACT(CELL("address",G114), "\$([A-Z]+)\$[0-9]+"))),_xlfn.REGEXEXTRACT(CELL("address",G114), "\$([A-Z]+)\$[0-9]+"))</f>
        <v/>
      </c>
      <c r="H114" s="7" t="str" cm="1">
        <f t="array" aca="1" ref="H114" ca="1">IFERROR(IF(OR('Raw Data'!H114="",LEN(TRIM('Raw Data'!H114))=0),"",IF(AND(ISNUMBER('Raw Data'!H114), IFERROR('Raw Data'!H114 = ROUND('Raw Data'!H114, 4),FALSE)),"",_xlfn.REGEXEXTRACT(CELL("address",H114), "\$([A-Z]+)\$[0-9]+"))),_xlfn.REGEXEXTRACT(CELL("address",H114), "\$([A-Z]+)\$[0-9]+"))</f>
        <v/>
      </c>
      <c r="I114" s="7" t="str" cm="1">
        <f t="array" aca="1" ref="I114" ca="1">IFERROR(IF(OR('Raw Data'!I114="",LEN(TRIM('Raw Data'!I114))=0),"",IF(AND(ISNUMBER('Raw Data'!I114), IFERROR('Raw Data'!I114 = ROUND('Raw Data'!I114, 4),FALSE)),"",_xlfn.REGEXEXTRACT(CELL("address",I114), "\$([A-Z]+)\$[0-9]+"))),_xlfn.REGEXEXTRACT(CELL("address",I114), "\$([A-Z]+)\$[0-9]+"))</f>
        <v/>
      </c>
      <c r="J114" s="7" t="str" cm="1">
        <f t="array" aca="1" ref="J114" ca="1">IFERROR(IF(OR('Raw Data'!J114="",LEN(TRIM('Raw Data'!J114))=0),"",IF(AND(ISNUMBER('Raw Data'!J114), IFERROR('Raw Data'!J114 = ROUND('Raw Data'!J114, 4),FALSE)),"",_xlfn.REGEXEXTRACT(CELL("address",J114), "\$([A-Z]+)\$[0-9]+"))),_xlfn.REGEXEXTRACT(CELL("address",J114), "\$([A-Z]+)\$[0-9]+"))</f>
        <v/>
      </c>
      <c r="K114" s="7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7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</row>
    <row r="115" spans="2:22" x14ac:dyDescent="0.25">
      <c r="B115" s="7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20,LEN('Raw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Data'!D115))=0),"",IF(AND(ISNUMBER('Raw Data'!D115),'Raw Data'!D115&gt;=Configuration!$D$2),"",_xlfn.REGEXEXTRACT(CELL("address",'Raw Data'!D115),"\$([A-Z]+)\$[0-9]+"))),_xlfn.REGEXEXTRACT(CELL("address",D115), "\$([A-Z]+)\$[0-9]+"))</f>
        <v>$D$115</v>
      </c>
      <c r="E115" s="7" t="str" cm="1">
        <f t="array" aca="1" ref="E115" ca="1">IFERROR(IF(OR('Raw Data'!E115="",LEN(TRIM('Raw Data'!E115))=0),"",IF(AND(ISNUMBER('Raw Data'!E115), IFERROR('Raw Data'!E115 = ROUND('Raw Data'!E115, 4),FALSE)),"",_xlfn.REGEXEXTRACT(CELL("address",E115), "\$([A-Z]+)\$[0-9]+"))),_xlfn.REGEXEXTRACT(CELL("address",E115), 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4),FALSE)),"",_xlfn.REGEXEXTRACT(CELL("address",F115), "\$([A-Z]+)\$[0-9]+"))),_xlfn.REGEXEXTRACT(CELL("address",F115), "\$([A-Z]+)\$[0-9]+"))</f>
        <v/>
      </c>
      <c r="G115" s="7" t="str" cm="1">
        <f t="array" aca="1" ref="G115" ca="1">IFERROR(IF(OR('Raw Data'!G115="",LEN(TRIM('Raw Data'!G115))=0),"",IF(AND(ISNUMBER('Raw Data'!G115), IFERROR('Raw Data'!G115 = ROUND('Raw Data'!G115, 4),FALSE)),"",_xlfn.REGEXEXTRACT(CELL("address",G115), "\$([A-Z]+)\$[0-9]+"))),_xlfn.REGEXEXTRACT(CELL("address",G115), "\$([A-Z]+)\$[0-9]+"))</f>
        <v/>
      </c>
      <c r="H115" s="7" t="str" cm="1">
        <f t="array" aca="1" ref="H115" ca="1">IFERROR(IF(OR('Raw Data'!H115="",LEN(TRIM('Raw Data'!H115))=0),"",IF(AND(ISNUMBER('Raw Data'!H115), IFERROR('Raw Data'!H115 = ROUND('Raw Data'!H115, 4),FALSE)),"",_xlfn.REGEXEXTRACT(CELL("address",H115), "\$([A-Z]+)\$[0-9]+"))),_xlfn.REGEXEXTRACT(CELL("address",H115), "\$([A-Z]+)\$[0-9]+"))</f>
        <v/>
      </c>
      <c r="I115" s="7" t="str" cm="1">
        <f t="array" aca="1" ref="I115" ca="1">IFERROR(IF(OR('Raw Data'!I115="",LEN(TRIM('Raw Data'!I115))=0),"",IF(AND(ISNUMBER('Raw Data'!I115), IFERROR('Raw Data'!I115 = ROUND('Raw Data'!I115, 4),FALSE)),"",_xlfn.REGEXEXTRACT(CELL("address",I115), "\$([A-Z]+)\$[0-9]+"))),_xlfn.REGEXEXTRACT(CELL("address",I115), "\$([A-Z]+)\$[0-9]+"))</f>
        <v/>
      </c>
      <c r="J115" s="7" t="str" cm="1">
        <f t="array" aca="1" ref="J115" ca="1">IFERROR(IF(OR('Raw Data'!J115="",LEN(TRIM('Raw Data'!J115))=0),"",IF(AND(ISNUMBER('Raw Data'!J115), IFERROR('Raw Data'!J115 = ROUND('Raw Data'!J115, 4),FALSE)),"",_xlfn.REGEXEXTRACT(CELL("address",J115), "\$([A-Z]+)\$[0-9]+"))),_xlfn.REGEXEXTRACT(CELL("address",J115), "\$([A-Z]+)\$[0-9]+"))</f>
        <v/>
      </c>
      <c r="K115" s="7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7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</row>
    <row r="116" spans="2:22" x14ac:dyDescent="0.25">
      <c r="B116" s="7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20,LEN('Raw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Data'!D116))=0),"",IF(AND(ISNUMBER('Raw Data'!D116),'Raw Data'!D116&gt;=Configuration!$D$2),"",_xlfn.REGEXEXTRACT(CELL("address",'Raw Data'!D116),"\$([A-Z]+)\$[0-9]+"))),_xlfn.REGEXEXTRACT(CELL("address",D116), "\$([A-Z]+)\$[0-9]+"))</f>
        <v>$D$116</v>
      </c>
      <c r="E116" s="7" t="str" cm="1">
        <f t="array" aca="1" ref="E116" ca="1">IFERROR(IF(OR('Raw Data'!E116="",LEN(TRIM('Raw Data'!E116))=0),"",IF(AND(ISNUMBER('Raw Data'!E116), IFERROR('Raw Data'!E116 = ROUND('Raw Data'!E116, 4),FALSE)),"",_xlfn.REGEXEXTRACT(CELL("address",E116), "\$([A-Z]+)\$[0-9]+"))),_xlfn.REGEXEXTRACT(CELL("address",E116), 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4),FALSE)),"",_xlfn.REGEXEXTRACT(CELL("address",F116), "\$([A-Z]+)\$[0-9]+"))),_xlfn.REGEXEXTRACT(CELL("address",F116), "\$([A-Z]+)\$[0-9]+"))</f>
        <v/>
      </c>
      <c r="G116" s="7" t="str" cm="1">
        <f t="array" aca="1" ref="G116" ca="1">IFERROR(IF(OR('Raw Data'!G116="",LEN(TRIM('Raw Data'!G116))=0),"",IF(AND(ISNUMBER('Raw Data'!G116), IFERROR('Raw Data'!G116 = ROUND('Raw Data'!G116, 4),FALSE)),"",_xlfn.REGEXEXTRACT(CELL("address",G116), "\$([A-Z]+)\$[0-9]+"))),_xlfn.REGEXEXTRACT(CELL("address",G116), "\$([A-Z]+)\$[0-9]+"))</f>
        <v/>
      </c>
      <c r="H116" s="7" t="str" cm="1">
        <f t="array" aca="1" ref="H116" ca="1">IFERROR(IF(OR('Raw Data'!H116="",LEN(TRIM('Raw Data'!H116))=0),"",IF(AND(ISNUMBER('Raw Data'!H116), IFERROR('Raw Data'!H116 = ROUND('Raw Data'!H116, 4),FALSE)),"",_xlfn.REGEXEXTRACT(CELL("address",H116), "\$([A-Z]+)\$[0-9]+"))),_xlfn.REGEXEXTRACT(CELL("address",H116), "\$([A-Z]+)\$[0-9]+"))</f>
        <v/>
      </c>
      <c r="I116" s="7" t="str" cm="1">
        <f t="array" aca="1" ref="I116" ca="1">IFERROR(IF(OR('Raw Data'!I116="",LEN(TRIM('Raw Data'!I116))=0),"",IF(AND(ISNUMBER('Raw Data'!I116), IFERROR('Raw Data'!I116 = ROUND('Raw Data'!I116, 4),FALSE)),"",_xlfn.REGEXEXTRACT(CELL("address",I116), "\$([A-Z]+)\$[0-9]+"))),_xlfn.REGEXEXTRACT(CELL("address",I116), "\$([A-Z]+)\$[0-9]+"))</f>
        <v/>
      </c>
      <c r="J116" s="7" t="str" cm="1">
        <f t="array" aca="1" ref="J116" ca="1">IFERROR(IF(OR('Raw Data'!J116="",LEN(TRIM('Raw Data'!J116))=0),"",IF(AND(ISNUMBER('Raw Data'!J116), IFERROR('Raw Data'!J116 = ROUND('Raw Data'!J116, 4),FALSE)),"",_xlfn.REGEXEXTRACT(CELL("address",J116), "\$([A-Z]+)\$[0-9]+"))),_xlfn.REGEXEXTRACT(CELL("address",J116), "\$([A-Z]+)\$[0-9]+"))</f>
        <v/>
      </c>
      <c r="K116" s="7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7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</row>
    <row r="117" spans="2:22" x14ac:dyDescent="0.25">
      <c r="B117" s="7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20,LEN('Raw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Data'!D117))=0),"",IF(AND(ISNUMBER('Raw Data'!D117),'Raw Data'!D117&gt;=Configuration!$D$2),"",_xlfn.REGEXEXTRACT(CELL("address",'Raw Data'!D117),"\$([A-Z]+)\$[0-9]+"))),_xlfn.REGEXEXTRACT(CELL("address",D117), "\$([A-Z]+)\$[0-9]+"))</f>
        <v>$D$117</v>
      </c>
      <c r="E117" s="7" t="str" cm="1">
        <f t="array" aca="1" ref="E117" ca="1">IFERROR(IF(OR('Raw Data'!E117="",LEN(TRIM('Raw Data'!E117))=0),"",IF(AND(ISNUMBER('Raw Data'!E117), IFERROR('Raw Data'!E117 = ROUND('Raw Data'!E117, 4),FALSE)),"",_xlfn.REGEXEXTRACT(CELL("address",E117), "\$([A-Z]+)\$[0-9]+"))),_xlfn.REGEXEXTRACT(CELL("address",E117), 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4),FALSE)),"",_xlfn.REGEXEXTRACT(CELL("address",F117), "\$([A-Z]+)\$[0-9]+"))),_xlfn.REGEXEXTRACT(CELL("address",F117), "\$([A-Z]+)\$[0-9]+"))</f>
        <v/>
      </c>
      <c r="G117" s="7" t="str" cm="1">
        <f t="array" aca="1" ref="G117" ca="1">IFERROR(IF(OR('Raw Data'!G117="",LEN(TRIM('Raw Data'!G117))=0),"",IF(AND(ISNUMBER('Raw Data'!G117), IFERROR('Raw Data'!G117 = ROUND('Raw Data'!G117, 4),FALSE)),"",_xlfn.REGEXEXTRACT(CELL("address",G117), "\$([A-Z]+)\$[0-9]+"))),_xlfn.REGEXEXTRACT(CELL("address",G117), "\$([A-Z]+)\$[0-9]+"))</f>
        <v/>
      </c>
      <c r="H117" s="7" t="str" cm="1">
        <f t="array" aca="1" ref="H117" ca="1">IFERROR(IF(OR('Raw Data'!H117="",LEN(TRIM('Raw Data'!H117))=0),"",IF(AND(ISNUMBER('Raw Data'!H117), IFERROR('Raw Data'!H117 = ROUND('Raw Data'!H117, 4),FALSE)),"",_xlfn.REGEXEXTRACT(CELL("address",H117), "\$([A-Z]+)\$[0-9]+"))),_xlfn.REGEXEXTRACT(CELL("address",H117), "\$([A-Z]+)\$[0-9]+"))</f>
        <v/>
      </c>
      <c r="I117" s="7" t="str" cm="1">
        <f t="array" aca="1" ref="I117" ca="1">IFERROR(IF(OR('Raw Data'!I117="",LEN(TRIM('Raw Data'!I117))=0),"",IF(AND(ISNUMBER('Raw Data'!I117), IFERROR('Raw Data'!I117 = ROUND('Raw Data'!I117, 4),FALSE)),"",_xlfn.REGEXEXTRACT(CELL("address",I117), "\$([A-Z]+)\$[0-9]+"))),_xlfn.REGEXEXTRACT(CELL("address",I117), "\$([A-Z]+)\$[0-9]+"))</f>
        <v/>
      </c>
      <c r="J117" s="7" t="str" cm="1">
        <f t="array" aca="1" ref="J117" ca="1">IFERROR(IF(OR('Raw Data'!J117="",LEN(TRIM('Raw Data'!J117))=0),"",IF(AND(ISNUMBER('Raw Data'!J117), IFERROR('Raw Data'!J117 = ROUND('Raw Data'!J117, 4),FALSE)),"",_xlfn.REGEXEXTRACT(CELL("address",J117), "\$([A-Z]+)\$[0-9]+"))),_xlfn.REGEXEXTRACT(CELL("address",J117), "\$([A-Z]+)\$[0-9]+"))</f>
        <v/>
      </c>
      <c r="K117" s="7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7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</row>
    <row r="118" spans="2:22" x14ac:dyDescent="0.25">
      <c r="B118" s="7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20,LEN('Raw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Data'!D118))=0),"",IF(AND(ISNUMBER('Raw Data'!D118),'Raw Data'!D118&gt;=Configuration!$D$2),"",_xlfn.REGEXEXTRACT(CELL("address",'Raw Data'!D118),"\$([A-Z]+)\$[0-9]+"))),_xlfn.REGEXEXTRACT(CELL("address",D118), "\$([A-Z]+)\$[0-9]+"))</f>
        <v>$D$118</v>
      </c>
      <c r="E118" s="7" t="str" cm="1">
        <f t="array" aca="1" ref="E118" ca="1">IFERROR(IF(OR('Raw Data'!E118="",LEN(TRIM('Raw Data'!E118))=0),"",IF(AND(ISNUMBER('Raw Data'!E118), IFERROR('Raw Data'!E118 = ROUND('Raw Data'!E118, 4),FALSE)),"",_xlfn.REGEXEXTRACT(CELL("address",E118), "\$([A-Z]+)\$[0-9]+"))),_xlfn.REGEXEXTRACT(CELL("address",E118), 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4),FALSE)),"",_xlfn.REGEXEXTRACT(CELL("address",F118), "\$([A-Z]+)\$[0-9]+"))),_xlfn.REGEXEXTRACT(CELL("address",F118), "\$([A-Z]+)\$[0-9]+"))</f>
        <v/>
      </c>
      <c r="G118" s="7" t="str" cm="1">
        <f t="array" aca="1" ref="G118" ca="1">IFERROR(IF(OR('Raw Data'!G118="",LEN(TRIM('Raw Data'!G118))=0),"",IF(AND(ISNUMBER('Raw Data'!G118), IFERROR('Raw Data'!G118 = ROUND('Raw Data'!G118, 4),FALSE)),"",_xlfn.REGEXEXTRACT(CELL("address",G118), "\$([A-Z]+)\$[0-9]+"))),_xlfn.REGEXEXTRACT(CELL("address",G118), "\$([A-Z]+)\$[0-9]+"))</f>
        <v/>
      </c>
      <c r="H118" s="7" t="str" cm="1">
        <f t="array" aca="1" ref="H118" ca="1">IFERROR(IF(OR('Raw Data'!H118="",LEN(TRIM('Raw Data'!H118))=0),"",IF(AND(ISNUMBER('Raw Data'!H118), IFERROR('Raw Data'!H118 = ROUND('Raw Data'!H118, 4),FALSE)),"",_xlfn.REGEXEXTRACT(CELL("address",H118), "\$([A-Z]+)\$[0-9]+"))),_xlfn.REGEXEXTRACT(CELL("address",H118), "\$([A-Z]+)\$[0-9]+"))</f>
        <v/>
      </c>
      <c r="I118" s="7" t="str" cm="1">
        <f t="array" aca="1" ref="I118" ca="1">IFERROR(IF(OR('Raw Data'!I118="",LEN(TRIM('Raw Data'!I118))=0),"",IF(AND(ISNUMBER('Raw Data'!I118), IFERROR('Raw Data'!I118 = ROUND('Raw Data'!I118, 4),FALSE)),"",_xlfn.REGEXEXTRACT(CELL("address",I118), "\$([A-Z]+)\$[0-9]+"))),_xlfn.REGEXEXTRACT(CELL("address",I118), "\$([A-Z]+)\$[0-9]+"))</f>
        <v/>
      </c>
      <c r="J118" s="7" t="str" cm="1">
        <f t="array" aca="1" ref="J118" ca="1">IFERROR(IF(OR('Raw Data'!J118="",LEN(TRIM('Raw Data'!J118))=0),"",IF(AND(ISNUMBER('Raw Data'!J118), IFERROR('Raw Data'!J118 = ROUND('Raw Data'!J118, 4),FALSE)),"",_xlfn.REGEXEXTRACT(CELL("address",J118), "\$([A-Z]+)\$[0-9]+"))),_xlfn.REGEXEXTRACT(CELL("address",J118), "\$([A-Z]+)\$[0-9]+"))</f>
        <v/>
      </c>
      <c r="K118" s="7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7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</row>
    <row r="119" spans="2:22" x14ac:dyDescent="0.25">
      <c r="B119" s="7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20,LEN('Raw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Data'!D119))=0),"",IF(AND(ISNUMBER('Raw Data'!D119),'Raw Data'!D119&gt;=Configuration!$D$2),"",_xlfn.REGEXEXTRACT(CELL("address",'Raw Data'!D119),"\$([A-Z]+)\$[0-9]+"))),_xlfn.REGEXEXTRACT(CELL("address",D119), "\$([A-Z]+)\$[0-9]+"))</f>
        <v>$D$119</v>
      </c>
      <c r="E119" s="7" t="str" cm="1">
        <f t="array" aca="1" ref="E119" ca="1">IFERROR(IF(OR('Raw Data'!E119="",LEN(TRIM('Raw Data'!E119))=0),"",IF(AND(ISNUMBER('Raw Data'!E119), IFERROR('Raw Data'!E119 = ROUND('Raw Data'!E119, 4),FALSE)),"",_xlfn.REGEXEXTRACT(CELL("address",E119), "\$([A-Z]+)\$[0-9]+"))),_xlfn.REGEXEXTRACT(CELL("address",E119), 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4),FALSE)),"",_xlfn.REGEXEXTRACT(CELL("address",F119), "\$([A-Z]+)\$[0-9]+"))),_xlfn.REGEXEXTRACT(CELL("address",F119), "\$([A-Z]+)\$[0-9]+"))</f>
        <v/>
      </c>
      <c r="G119" s="7" t="str" cm="1">
        <f t="array" aca="1" ref="G119" ca="1">IFERROR(IF(OR('Raw Data'!G119="",LEN(TRIM('Raw Data'!G119))=0),"",IF(AND(ISNUMBER('Raw Data'!G119), IFERROR('Raw Data'!G119 = ROUND('Raw Data'!G119, 4),FALSE)),"",_xlfn.REGEXEXTRACT(CELL("address",G119), "\$([A-Z]+)\$[0-9]+"))),_xlfn.REGEXEXTRACT(CELL("address",G119), "\$([A-Z]+)\$[0-9]+"))</f>
        <v/>
      </c>
      <c r="H119" s="7" t="str" cm="1">
        <f t="array" aca="1" ref="H119" ca="1">IFERROR(IF(OR('Raw Data'!H119="",LEN(TRIM('Raw Data'!H119))=0),"",IF(AND(ISNUMBER('Raw Data'!H119), IFERROR('Raw Data'!H119 = ROUND('Raw Data'!H119, 4),FALSE)),"",_xlfn.REGEXEXTRACT(CELL("address",H119), "\$([A-Z]+)\$[0-9]+"))),_xlfn.REGEXEXTRACT(CELL("address",H119), "\$([A-Z]+)\$[0-9]+"))</f>
        <v/>
      </c>
      <c r="I119" s="7" t="str" cm="1">
        <f t="array" aca="1" ref="I119" ca="1">IFERROR(IF(OR('Raw Data'!I119="",LEN(TRIM('Raw Data'!I119))=0),"",IF(AND(ISNUMBER('Raw Data'!I119), IFERROR('Raw Data'!I119 = ROUND('Raw Data'!I119, 4),FALSE)),"",_xlfn.REGEXEXTRACT(CELL("address",I119), "\$([A-Z]+)\$[0-9]+"))),_xlfn.REGEXEXTRACT(CELL("address",I119), "\$([A-Z]+)\$[0-9]+"))</f>
        <v/>
      </c>
      <c r="J119" s="7" t="str" cm="1">
        <f t="array" aca="1" ref="J119" ca="1">IFERROR(IF(OR('Raw Data'!J119="",LEN(TRIM('Raw Data'!J119))=0),"",IF(AND(ISNUMBER('Raw Data'!J119), IFERROR('Raw Data'!J119 = ROUND('Raw Data'!J119, 4),FALSE)),"",_xlfn.REGEXEXTRACT(CELL("address",J119), "\$([A-Z]+)\$[0-9]+"))),_xlfn.REGEXEXTRACT(CELL("address",J119), "\$([A-Z]+)\$[0-9]+"))</f>
        <v/>
      </c>
      <c r="K119" s="7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7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</row>
    <row r="120" spans="2:22" x14ac:dyDescent="0.25">
      <c r="B120" s="7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20,LEN('Raw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Data'!D120))=0),"",IF(AND(ISNUMBER('Raw Data'!D120),'Raw Data'!D120&gt;=Configuration!$D$2),"",_xlfn.REGEXEXTRACT(CELL("address",'Raw Data'!D120),"\$([A-Z]+)\$[0-9]+"))),_xlfn.REGEXEXTRACT(CELL("address",D120), "\$([A-Z]+)\$[0-9]+"))</f>
        <v>$D$120</v>
      </c>
      <c r="E120" s="7" t="str" cm="1">
        <f t="array" aca="1" ref="E120" ca="1">IFERROR(IF(OR('Raw Data'!E120="",LEN(TRIM('Raw Data'!E120))=0),"",IF(AND(ISNUMBER('Raw Data'!E120), IFERROR('Raw Data'!E120 = ROUND('Raw Data'!E120, 4),FALSE)),"",_xlfn.REGEXEXTRACT(CELL("address",E120), "\$([A-Z]+)\$[0-9]+"))),_xlfn.REGEXEXTRACT(CELL("address",E120), 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4),FALSE)),"",_xlfn.REGEXEXTRACT(CELL("address",F120), "\$([A-Z]+)\$[0-9]+"))),_xlfn.REGEXEXTRACT(CELL("address",F120), "\$([A-Z]+)\$[0-9]+"))</f>
        <v/>
      </c>
      <c r="G120" s="7" t="str" cm="1">
        <f t="array" aca="1" ref="G120" ca="1">IFERROR(IF(OR('Raw Data'!G120="",LEN(TRIM('Raw Data'!G120))=0),"",IF(AND(ISNUMBER('Raw Data'!G120), IFERROR('Raw Data'!G120 = ROUND('Raw Data'!G120, 4),FALSE)),"",_xlfn.REGEXEXTRACT(CELL("address",G120), "\$([A-Z]+)\$[0-9]+"))),_xlfn.REGEXEXTRACT(CELL("address",G120), "\$([A-Z]+)\$[0-9]+"))</f>
        <v/>
      </c>
      <c r="H120" s="7" t="str" cm="1">
        <f t="array" aca="1" ref="H120" ca="1">IFERROR(IF(OR('Raw Data'!H120="",LEN(TRIM('Raw Data'!H120))=0),"",IF(AND(ISNUMBER('Raw Data'!H120), IFERROR('Raw Data'!H120 = ROUND('Raw Data'!H120, 4),FALSE)),"",_xlfn.REGEXEXTRACT(CELL("address",H120), "\$([A-Z]+)\$[0-9]+"))),_xlfn.REGEXEXTRACT(CELL("address",H120), "\$([A-Z]+)\$[0-9]+"))</f>
        <v/>
      </c>
      <c r="I120" s="7" t="str" cm="1">
        <f t="array" aca="1" ref="I120" ca="1">IFERROR(IF(OR('Raw Data'!I120="",LEN(TRIM('Raw Data'!I120))=0),"",IF(AND(ISNUMBER('Raw Data'!I120), IFERROR('Raw Data'!I120 = ROUND('Raw Data'!I120, 4),FALSE)),"",_xlfn.REGEXEXTRACT(CELL("address",I120), "\$([A-Z]+)\$[0-9]+"))),_xlfn.REGEXEXTRACT(CELL("address",I120), "\$([A-Z]+)\$[0-9]+"))</f>
        <v/>
      </c>
      <c r="J120" s="7" t="str" cm="1">
        <f t="array" aca="1" ref="J120" ca="1">IFERROR(IF(OR('Raw Data'!J120="",LEN(TRIM('Raw Data'!J120))=0),"",IF(AND(ISNUMBER('Raw Data'!J120), IFERROR('Raw Data'!J120 = ROUND('Raw Data'!J120, 4),FALSE)),"",_xlfn.REGEXEXTRACT(CELL("address",J120), "\$([A-Z]+)\$[0-9]+"))),_xlfn.REGEXEXTRACT(CELL("address",J120), "\$([A-Z]+)\$[0-9]+"))</f>
        <v/>
      </c>
      <c r="K120" s="7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7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</row>
    <row r="121" spans="2:22" x14ac:dyDescent="0.25">
      <c r="B121" s="7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20,LEN('Raw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Data'!D121))=0),"",IF(AND(ISNUMBER('Raw Data'!D121),'Raw Data'!D121&gt;=Configuration!$D$2),"",_xlfn.REGEXEXTRACT(CELL("address",'Raw Data'!D121),"\$([A-Z]+)\$[0-9]+"))),_xlfn.REGEXEXTRACT(CELL("address",D121), "\$([A-Z]+)\$[0-9]+"))</f>
        <v>$D$121</v>
      </c>
      <c r="E121" s="7" t="str" cm="1">
        <f t="array" aca="1" ref="E121" ca="1">IFERROR(IF(OR('Raw Data'!E121="",LEN(TRIM('Raw Data'!E121))=0),"",IF(AND(ISNUMBER('Raw Data'!E121), IFERROR('Raw Data'!E121 = ROUND('Raw Data'!E121, 4),FALSE)),"",_xlfn.REGEXEXTRACT(CELL("address",E121), "\$([A-Z]+)\$[0-9]+"))),_xlfn.REGEXEXTRACT(CELL("address",E121), 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4),FALSE)),"",_xlfn.REGEXEXTRACT(CELL("address",F121), "\$([A-Z]+)\$[0-9]+"))),_xlfn.REGEXEXTRACT(CELL("address",F121), "\$([A-Z]+)\$[0-9]+"))</f>
        <v/>
      </c>
      <c r="G121" s="7" t="str" cm="1">
        <f t="array" aca="1" ref="G121" ca="1">IFERROR(IF(OR('Raw Data'!G121="",LEN(TRIM('Raw Data'!G121))=0),"",IF(AND(ISNUMBER('Raw Data'!G121), IFERROR('Raw Data'!G121 = ROUND('Raw Data'!G121, 4),FALSE)),"",_xlfn.REGEXEXTRACT(CELL("address",G121), "\$([A-Z]+)\$[0-9]+"))),_xlfn.REGEXEXTRACT(CELL("address",G121), "\$([A-Z]+)\$[0-9]+"))</f>
        <v/>
      </c>
      <c r="H121" s="7" t="str" cm="1">
        <f t="array" aca="1" ref="H121" ca="1">IFERROR(IF(OR('Raw Data'!H121="",LEN(TRIM('Raw Data'!H121))=0),"",IF(AND(ISNUMBER('Raw Data'!H121), IFERROR('Raw Data'!H121 = ROUND('Raw Data'!H121, 4),FALSE)),"",_xlfn.REGEXEXTRACT(CELL("address",H121), "\$([A-Z]+)\$[0-9]+"))),_xlfn.REGEXEXTRACT(CELL("address",H121), "\$([A-Z]+)\$[0-9]+"))</f>
        <v/>
      </c>
      <c r="I121" s="7" t="str" cm="1">
        <f t="array" aca="1" ref="I121" ca="1">IFERROR(IF(OR('Raw Data'!I121="",LEN(TRIM('Raw Data'!I121))=0),"",IF(AND(ISNUMBER('Raw Data'!I121), IFERROR('Raw Data'!I121 = ROUND('Raw Data'!I121, 4),FALSE)),"",_xlfn.REGEXEXTRACT(CELL("address",I121), "\$([A-Z]+)\$[0-9]+"))),_xlfn.REGEXEXTRACT(CELL("address",I121), "\$([A-Z]+)\$[0-9]+"))</f>
        <v/>
      </c>
      <c r="J121" s="7" t="str" cm="1">
        <f t="array" aca="1" ref="J121" ca="1">IFERROR(IF(OR('Raw Data'!J121="",LEN(TRIM('Raw Data'!J121))=0),"",IF(AND(ISNUMBER('Raw Data'!J121), IFERROR('Raw Data'!J121 = ROUND('Raw Data'!J121, 4),FALSE)),"",_xlfn.REGEXEXTRACT(CELL("address",J121), "\$([A-Z]+)\$[0-9]+"))),_xlfn.REGEXEXTRACT(CELL("address",J121), "\$([A-Z]+)\$[0-9]+"))</f>
        <v/>
      </c>
      <c r="K121" s="7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7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</row>
    <row r="122" spans="2:22" x14ac:dyDescent="0.25">
      <c r="B122" s="7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20,LEN('Raw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Data'!D122))=0),"",IF(AND(ISNUMBER('Raw Data'!D122),'Raw Data'!D122&gt;=Configuration!$D$2),"",_xlfn.REGEXEXTRACT(CELL("address",'Raw Data'!D122),"\$([A-Z]+)\$[0-9]+"))),_xlfn.REGEXEXTRACT(CELL("address",D122), "\$([A-Z]+)\$[0-9]+"))</f>
        <v>$D$122</v>
      </c>
      <c r="E122" s="7" t="str" cm="1">
        <f t="array" aca="1" ref="E122" ca="1">IFERROR(IF(OR('Raw Data'!E122="",LEN(TRIM('Raw Data'!E122))=0),"",IF(AND(ISNUMBER('Raw Data'!E122), IFERROR('Raw Data'!E122 = ROUND('Raw Data'!E122, 4),FALSE)),"",_xlfn.REGEXEXTRACT(CELL("address",E122), "\$([A-Z]+)\$[0-9]+"))),_xlfn.REGEXEXTRACT(CELL("address",E122), 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4),FALSE)),"",_xlfn.REGEXEXTRACT(CELL("address",F122), "\$([A-Z]+)\$[0-9]+"))),_xlfn.REGEXEXTRACT(CELL("address",F122), "\$([A-Z]+)\$[0-9]+"))</f>
        <v/>
      </c>
      <c r="G122" s="7" t="str" cm="1">
        <f t="array" aca="1" ref="G122" ca="1">IFERROR(IF(OR('Raw Data'!G122="",LEN(TRIM('Raw Data'!G122))=0),"",IF(AND(ISNUMBER('Raw Data'!G122), IFERROR('Raw Data'!G122 = ROUND('Raw Data'!G122, 4),FALSE)),"",_xlfn.REGEXEXTRACT(CELL("address",G122), "\$([A-Z]+)\$[0-9]+"))),_xlfn.REGEXEXTRACT(CELL("address",G122), "\$([A-Z]+)\$[0-9]+"))</f>
        <v/>
      </c>
      <c r="H122" s="7" t="str" cm="1">
        <f t="array" aca="1" ref="H122" ca="1">IFERROR(IF(OR('Raw Data'!H122="",LEN(TRIM('Raw Data'!H122))=0),"",IF(AND(ISNUMBER('Raw Data'!H122), IFERROR('Raw Data'!H122 = ROUND('Raw Data'!H122, 4),FALSE)),"",_xlfn.REGEXEXTRACT(CELL("address",H122), "\$([A-Z]+)\$[0-9]+"))),_xlfn.REGEXEXTRACT(CELL("address",H122), "\$([A-Z]+)\$[0-9]+"))</f>
        <v/>
      </c>
      <c r="I122" s="7" t="str" cm="1">
        <f t="array" aca="1" ref="I122" ca="1">IFERROR(IF(OR('Raw Data'!I122="",LEN(TRIM('Raw Data'!I122))=0),"",IF(AND(ISNUMBER('Raw Data'!I122), IFERROR('Raw Data'!I122 = ROUND('Raw Data'!I122, 4),FALSE)),"",_xlfn.REGEXEXTRACT(CELL("address",I122), "\$([A-Z]+)\$[0-9]+"))),_xlfn.REGEXEXTRACT(CELL("address",I122), "\$([A-Z]+)\$[0-9]+"))</f>
        <v/>
      </c>
      <c r="J122" s="7" t="str" cm="1">
        <f t="array" aca="1" ref="J122" ca="1">IFERROR(IF(OR('Raw Data'!J122="",LEN(TRIM('Raw Data'!J122))=0),"",IF(AND(ISNUMBER('Raw Data'!J122), IFERROR('Raw Data'!J122 = ROUND('Raw Data'!J122, 4),FALSE)),"",_xlfn.REGEXEXTRACT(CELL("address",J122), "\$([A-Z]+)\$[0-9]+"))),_xlfn.REGEXEXTRACT(CELL("address",J122), "\$([A-Z]+)\$[0-9]+"))</f>
        <v/>
      </c>
      <c r="K122" s="7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7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</row>
    <row r="123" spans="2:22" x14ac:dyDescent="0.25">
      <c r="B123" s="7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20,LEN('Raw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Data'!D123))=0),"",IF(AND(ISNUMBER('Raw Data'!D123),'Raw Data'!D123&gt;=Configuration!$D$2),"",_xlfn.REGEXEXTRACT(CELL("address",'Raw Data'!D123),"\$([A-Z]+)\$[0-9]+"))),_xlfn.REGEXEXTRACT(CELL("address",D123), "\$([A-Z]+)\$[0-9]+"))</f>
        <v>$D$123</v>
      </c>
      <c r="E123" s="7" t="str" cm="1">
        <f t="array" aca="1" ref="E123" ca="1">IFERROR(IF(OR('Raw Data'!E123="",LEN(TRIM('Raw Data'!E123))=0),"",IF(AND(ISNUMBER('Raw Data'!E123), IFERROR('Raw Data'!E123 = ROUND('Raw Data'!E123, 4),FALSE)),"",_xlfn.REGEXEXTRACT(CELL("address",E123), "\$([A-Z]+)\$[0-9]+"))),_xlfn.REGEXEXTRACT(CELL("address",E123), 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4),FALSE)),"",_xlfn.REGEXEXTRACT(CELL("address",F123), "\$([A-Z]+)\$[0-9]+"))),_xlfn.REGEXEXTRACT(CELL("address",F123), "\$([A-Z]+)\$[0-9]+"))</f>
        <v/>
      </c>
      <c r="G123" s="7" t="str" cm="1">
        <f t="array" aca="1" ref="G123" ca="1">IFERROR(IF(OR('Raw Data'!G123="",LEN(TRIM('Raw Data'!G123))=0),"",IF(AND(ISNUMBER('Raw Data'!G123), IFERROR('Raw Data'!G123 = ROUND('Raw Data'!G123, 4),FALSE)),"",_xlfn.REGEXEXTRACT(CELL("address",G123), "\$([A-Z]+)\$[0-9]+"))),_xlfn.REGEXEXTRACT(CELL("address",G123), "\$([A-Z]+)\$[0-9]+"))</f>
        <v/>
      </c>
      <c r="H123" s="7" t="str" cm="1">
        <f t="array" aca="1" ref="H123" ca="1">IFERROR(IF(OR('Raw Data'!H123="",LEN(TRIM('Raw Data'!H123))=0),"",IF(AND(ISNUMBER('Raw Data'!H123), IFERROR('Raw Data'!H123 = ROUND('Raw Data'!H123, 4),FALSE)),"",_xlfn.REGEXEXTRACT(CELL("address",H123), "\$([A-Z]+)\$[0-9]+"))),_xlfn.REGEXEXTRACT(CELL("address",H123), "\$([A-Z]+)\$[0-9]+"))</f>
        <v/>
      </c>
      <c r="I123" s="7" t="str" cm="1">
        <f t="array" aca="1" ref="I123" ca="1">IFERROR(IF(OR('Raw Data'!I123="",LEN(TRIM('Raw Data'!I123))=0),"",IF(AND(ISNUMBER('Raw Data'!I123), IFERROR('Raw Data'!I123 = ROUND('Raw Data'!I123, 4),FALSE)),"",_xlfn.REGEXEXTRACT(CELL("address",I123), "\$([A-Z]+)\$[0-9]+"))),_xlfn.REGEXEXTRACT(CELL("address",I123), "\$([A-Z]+)\$[0-9]+"))</f>
        <v/>
      </c>
      <c r="J123" s="7" t="str" cm="1">
        <f t="array" aca="1" ref="J123" ca="1">IFERROR(IF(OR('Raw Data'!J123="",LEN(TRIM('Raw Data'!J123))=0),"",IF(AND(ISNUMBER('Raw Data'!J123), IFERROR('Raw Data'!J123 = ROUND('Raw Data'!J123, 4),FALSE)),"",_xlfn.REGEXEXTRACT(CELL("address",J123), "\$([A-Z]+)\$[0-9]+"))),_xlfn.REGEXEXTRACT(CELL("address",J123), "\$([A-Z]+)\$[0-9]+"))</f>
        <v/>
      </c>
      <c r="K123" s="7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7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</row>
    <row r="124" spans="2:22" x14ac:dyDescent="0.25">
      <c r="B124" s="7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20,LEN('Raw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Data'!D124))=0),"",IF(AND(ISNUMBER('Raw Data'!D124),'Raw Data'!D124&gt;=Configuration!$D$2),"",_xlfn.REGEXEXTRACT(CELL("address",'Raw Data'!D124),"\$([A-Z]+)\$[0-9]+"))),_xlfn.REGEXEXTRACT(CELL("address",D124), "\$([A-Z]+)\$[0-9]+"))</f>
        <v>$D$124</v>
      </c>
      <c r="E124" s="7" t="str" cm="1">
        <f t="array" aca="1" ref="E124" ca="1">IFERROR(IF(OR('Raw Data'!E124="",LEN(TRIM('Raw Data'!E124))=0),"",IF(AND(ISNUMBER('Raw Data'!E124), IFERROR('Raw Data'!E124 = ROUND('Raw Data'!E124, 4),FALSE)),"",_xlfn.REGEXEXTRACT(CELL("address",E124), "\$([A-Z]+)\$[0-9]+"))),_xlfn.REGEXEXTRACT(CELL("address",E124), 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4),FALSE)),"",_xlfn.REGEXEXTRACT(CELL("address",F124), "\$([A-Z]+)\$[0-9]+"))),_xlfn.REGEXEXTRACT(CELL("address",F124), "\$([A-Z]+)\$[0-9]+"))</f>
        <v/>
      </c>
      <c r="G124" s="7" t="str" cm="1">
        <f t="array" aca="1" ref="G124" ca="1">IFERROR(IF(OR('Raw Data'!G124="",LEN(TRIM('Raw Data'!G124))=0),"",IF(AND(ISNUMBER('Raw Data'!G124), IFERROR('Raw Data'!G124 = ROUND('Raw Data'!G124, 4),FALSE)),"",_xlfn.REGEXEXTRACT(CELL("address",G124), "\$([A-Z]+)\$[0-9]+"))),_xlfn.REGEXEXTRACT(CELL("address",G124), "\$([A-Z]+)\$[0-9]+"))</f>
        <v/>
      </c>
      <c r="H124" s="7" t="str" cm="1">
        <f t="array" aca="1" ref="H124" ca="1">IFERROR(IF(OR('Raw Data'!H124="",LEN(TRIM('Raw Data'!H124))=0),"",IF(AND(ISNUMBER('Raw Data'!H124), IFERROR('Raw Data'!H124 = ROUND('Raw Data'!H124, 4),FALSE)),"",_xlfn.REGEXEXTRACT(CELL("address",H124), "\$([A-Z]+)\$[0-9]+"))),_xlfn.REGEXEXTRACT(CELL("address",H124), "\$([A-Z]+)\$[0-9]+"))</f>
        <v/>
      </c>
      <c r="I124" s="7" t="str" cm="1">
        <f t="array" aca="1" ref="I124" ca="1">IFERROR(IF(OR('Raw Data'!I124="",LEN(TRIM('Raw Data'!I124))=0),"",IF(AND(ISNUMBER('Raw Data'!I124), IFERROR('Raw Data'!I124 = ROUND('Raw Data'!I124, 4),FALSE)),"",_xlfn.REGEXEXTRACT(CELL("address",I124), "\$([A-Z]+)\$[0-9]+"))),_xlfn.REGEXEXTRACT(CELL("address",I124), "\$([A-Z]+)\$[0-9]+"))</f>
        <v/>
      </c>
      <c r="J124" s="7" t="str" cm="1">
        <f t="array" aca="1" ref="J124" ca="1">IFERROR(IF(OR('Raw Data'!J124="",LEN(TRIM('Raw Data'!J124))=0),"",IF(AND(ISNUMBER('Raw Data'!J124), IFERROR('Raw Data'!J124 = ROUND('Raw Data'!J124, 4),FALSE)),"",_xlfn.REGEXEXTRACT(CELL("address",J124), "\$([A-Z]+)\$[0-9]+"))),_xlfn.REGEXEXTRACT(CELL("address",J124), "\$([A-Z]+)\$[0-9]+"))</f>
        <v/>
      </c>
      <c r="K124" s="7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7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</row>
    <row r="125" spans="2:22" x14ac:dyDescent="0.25">
      <c r="B125" s="7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20,LEN('Raw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Data'!D125))=0),"",IF(AND(ISNUMBER('Raw Data'!D125),'Raw Data'!D125&gt;=Configuration!$D$2),"",_xlfn.REGEXEXTRACT(CELL("address",'Raw Data'!D125),"\$([A-Z]+)\$[0-9]+"))),_xlfn.REGEXEXTRACT(CELL("address",D125), "\$([A-Z]+)\$[0-9]+"))</f>
        <v>$D$125</v>
      </c>
      <c r="E125" s="7" t="str" cm="1">
        <f t="array" aca="1" ref="E125" ca="1">IFERROR(IF(OR('Raw Data'!E125="",LEN(TRIM('Raw Data'!E125))=0),"",IF(AND(ISNUMBER('Raw Data'!E125), IFERROR('Raw Data'!E125 = ROUND('Raw Data'!E125, 4),FALSE)),"",_xlfn.REGEXEXTRACT(CELL("address",E125), "\$([A-Z]+)\$[0-9]+"))),_xlfn.REGEXEXTRACT(CELL("address",E125), 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4),FALSE)),"",_xlfn.REGEXEXTRACT(CELL("address",F125), "\$([A-Z]+)\$[0-9]+"))),_xlfn.REGEXEXTRACT(CELL("address",F125), "\$([A-Z]+)\$[0-9]+"))</f>
        <v/>
      </c>
      <c r="G125" s="7" t="str" cm="1">
        <f t="array" aca="1" ref="G125" ca="1">IFERROR(IF(OR('Raw Data'!G125="",LEN(TRIM('Raw Data'!G125))=0),"",IF(AND(ISNUMBER('Raw Data'!G125), IFERROR('Raw Data'!G125 = ROUND('Raw Data'!G125, 4),FALSE)),"",_xlfn.REGEXEXTRACT(CELL("address",G125), "\$([A-Z]+)\$[0-9]+"))),_xlfn.REGEXEXTRACT(CELL("address",G125), "\$([A-Z]+)\$[0-9]+"))</f>
        <v/>
      </c>
      <c r="H125" s="7" t="str" cm="1">
        <f t="array" aca="1" ref="H125" ca="1">IFERROR(IF(OR('Raw Data'!H125="",LEN(TRIM('Raw Data'!H125))=0),"",IF(AND(ISNUMBER('Raw Data'!H125), IFERROR('Raw Data'!H125 = ROUND('Raw Data'!H125, 4),FALSE)),"",_xlfn.REGEXEXTRACT(CELL("address",H125), "\$([A-Z]+)\$[0-9]+"))),_xlfn.REGEXEXTRACT(CELL("address",H125), "\$([A-Z]+)\$[0-9]+"))</f>
        <v/>
      </c>
      <c r="I125" s="7" t="str" cm="1">
        <f t="array" aca="1" ref="I125" ca="1">IFERROR(IF(OR('Raw Data'!I125="",LEN(TRIM('Raw Data'!I125))=0),"",IF(AND(ISNUMBER('Raw Data'!I125), IFERROR('Raw Data'!I125 = ROUND('Raw Data'!I125, 4),FALSE)),"",_xlfn.REGEXEXTRACT(CELL("address",I125), "\$([A-Z]+)\$[0-9]+"))),_xlfn.REGEXEXTRACT(CELL("address",I125), "\$([A-Z]+)\$[0-9]+"))</f>
        <v/>
      </c>
      <c r="J125" s="7" t="str" cm="1">
        <f t="array" aca="1" ref="J125" ca="1">IFERROR(IF(OR('Raw Data'!J125="",LEN(TRIM('Raw Data'!J125))=0),"",IF(AND(ISNUMBER('Raw Data'!J125), IFERROR('Raw Data'!J125 = ROUND('Raw Data'!J125, 4),FALSE)),"",_xlfn.REGEXEXTRACT(CELL("address",J125), "\$([A-Z]+)\$[0-9]+"))),_xlfn.REGEXEXTRACT(CELL("address",J125), "\$([A-Z]+)\$[0-9]+"))</f>
        <v/>
      </c>
      <c r="K125" s="7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7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</row>
    <row r="126" spans="2:22" x14ac:dyDescent="0.25">
      <c r="B126" s="7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20,LEN('Raw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Data'!D126))=0),"",IF(AND(ISNUMBER('Raw Data'!D126),'Raw Data'!D126&gt;=Configuration!$D$2),"",_xlfn.REGEXEXTRACT(CELL("address",'Raw Data'!D126),"\$([A-Z]+)\$[0-9]+"))),_xlfn.REGEXEXTRACT(CELL("address",D126), "\$([A-Z]+)\$[0-9]+"))</f>
        <v>$D$126</v>
      </c>
      <c r="E126" s="7" t="str" cm="1">
        <f t="array" aca="1" ref="E126" ca="1">IFERROR(IF(OR('Raw Data'!E126="",LEN(TRIM('Raw Data'!E126))=0),"",IF(AND(ISNUMBER('Raw Data'!E126), IFERROR('Raw Data'!E126 = ROUND('Raw Data'!E126, 4),FALSE)),"",_xlfn.REGEXEXTRACT(CELL("address",E126), "\$([A-Z]+)\$[0-9]+"))),_xlfn.REGEXEXTRACT(CELL("address",E126), 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4),FALSE)),"",_xlfn.REGEXEXTRACT(CELL("address",F126), "\$([A-Z]+)\$[0-9]+"))),_xlfn.REGEXEXTRACT(CELL("address",F126), "\$([A-Z]+)\$[0-9]+"))</f>
        <v/>
      </c>
      <c r="G126" s="7" t="str" cm="1">
        <f t="array" aca="1" ref="G126" ca="1">IFERROR(IF(OR('Raw Data'!G126="",LEN(TRIM('Raw Data'!G126))=0),"",IF(AND(ISNUMBER('Raw Data'!G126), IFERROR('Raw Data'!G126 = ROUND('Raw Data'!G126, 4),FALSE)),"",_xlfn.REGEXEXTRACT(CELL("address",G126), "\$([A-Z]+)\$[0-9]+"))),_xlfn.REGEXEXTRACT(CELL("address",G126), "\$([A-Z]+)\$[0-9]+"))</f>
        <v/>
      </c>
      <c r="H126" s="7" t="str" cm="1">
        <f t="array" aca="1" ref="H126" ca="1">IFERROR(IF(OR('Raw Data'!H126="",LEN(TRIM('Raw Data'!H126))=0),"",IF(AND(ISNUMBER('Raw Data'!H126), IFERROR('Raw Data'!H126 = ROUND('Raw Data'!H126, 4),FALSE)),"",_xlfn.REGEXEXTRACT(CELL("address",H126), "\$([A-Z]+)\$[0-9]+"))),_xlfn.REGEXEXTRACT(CELL("address",H126), "\$([A-Z]+)\$[0-9]+"))</f>
        <v/>
      </c>
      <c r="I126" s="7" t="str" cm="1">
        <f t="array" aca="1" ref="I126" ca="1">IFERROR(IF(OR('Raw Data'!I126="",LEN(TRIM('Raw Data'!I126))=0),"",IF(AND(ISNUMBER('Raw Data'!I126), IFERROR('Raw Data'!I126 = ROUND('Raw Data'!I126, 4),FALSE)),"",_xlfn.REGEXEXTRACT(CELL("address",I126), "\$([A-Z]+)\$[0-9]+"))),_xlfn.REGEXEXTRACT(CELL("address",I126), "\$([A-Z]+)\$[0-9]+"))</f>
        <v/>
      </c>
      <c r="J126" s="7" t="str" cm="1">
        <f t="array" aca="1" ref="J126" ca="1">IFERROR(IF(OR('Raw Data'!J126="",LEN(TRIM('Raw Data'!J126))=0),"",IF(AND(ISNUMBER('Raw Data'!J126), IFERROR('Raw Data'!J126 = ROUND('Raw Data'!J126, 4),FALSE)),"",_xlfn.REGEXEXTRACT(CELL("address",J126), "\$([A-Z]+)\$[0-9]+"))),_xlfn.REGEXEXTRACT(CELL("address",J126), "\$([A-Z]+)\$[0-9]+"))</f>
        <v/>
      </c>
      <c r="K126" s="7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7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</row>
    <row r="127" spans="2:22" x14ac:dyDescent="0.25">
      <c r="B127" s="7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20,LEN('Raw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Data'!D127))=0),"",IF(AND(ISNUMBER('Raw Data'!D127),'Raw Data'!D127&gt;=Configuration!$D$2),"",_xlfn.REGEXEXTRACT(CELL("address",'Raw Data'!D127),"\$([A-Z]+)\$[0-9]+"))),_xlfn.REGEXEXTRACT(CELL("address",D127), "\$([A-Z]+)\$[0-9]+"))</f>
        <v>$D$127</v>
      </c>
      <c r="E127" s="7" t="str" cm="1">
        <f t="array" aca="1" ref="E127" ca="1">IFERROR(IF(OR('Raw Data'!E127="",LEN(TRIM('Raw Data'!E127))=0),"",IF(AND(ISNUMBER('Raw Data'!E127), IFERROR('Raw Data'!E127 = ROUND('Raw Data'!E127, 4),FALSE)),"",_xlfn.REGEXEXTRACT(CELL("address",E127), "\$([A-Z]+)\$[0-9]+"))),_xlfn.REGEXEXTRACT(CELL("address",E127), 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4),FALSE)),"",_xlfn.REGEXEXTRACT(CELL("address",F127), "\$([A-Z]+)\$[0-9]+"))),_xlfn.REGEXEXTRACT(CELL("address",F127), "\$([A-Z]+)\$[0-9]+"))</f>
        <v/>
      </c>
      <c r="G127" s="7" t="str" cm="1">
        <f t="array" aca="1" ref="G127" ca="1">IFERROR(IF(OR('Raw Data'!G127="",LEN(TRIM('Raw Data'!G127))=0),"",IF(AND(ISNUMBER('Raw Data'!G127), IFERROR('Raw Data'!G127 = ROUND('Raw Data'!G127, 4),FALSE)),"",_xlfn.REGEXEXTRACT(CELL("address",G127), "\$([A-Z]+)\$[0-9]+"))),_xlfn.REGEXEXTRACT(CELL("address",G127), "\$([A-Z]+)\$[0-9]+"))</f>
        <v/>
      </c>
      <c r="H127" s="7" t="str" cm="1">
        <f t="array" aca="1" ref="H127" ca="1">IFERROR(IF(OR('Raw Data'!H127="",LEN(TRIM('Raw Data'!H127))=0),"",IF(AND(ISNUMBER('Raw Data'!H127), IFERROR('Raw Data'!H127 = ROUND('Raw Data'!H127, 4),FALSE)),"",_xlfn.REGEXEXTRACT(CELL("address",H127), "\$([A-Z]+)\$[0-9]+"))),_xlfn.REGEXEXTRACT(CELL("address",H127), "\$([A-Z]+)\$[0-9]+"))</f>
        <v/>
      </c>
      <c r="I127" s="7" t="str" cm="1">
        <f t="array" aca="1" ref="I127" ca="1">IFERROR(IF(OR('Raw Data'!I127="",LEN(TRIM('Raw Data'!I127))=0),"",IF(AND(ISNUMBER('Raw Data'!I127), IFERROR('Raw Data'!I127 = ROUND('Raw Data'!I127, 4),FALSE)),"",_xlfn.REGEXEXTRACT(CELL("address",I127), "\$([A-Z]+)\$[0-9]+"))),_xlfn.REGEXEXTRACT(CELL("address",I127), "\$([A-Z]+)\$[0-9]+"))</f>
        <v/>
      </c>
      <c r="J127" s="7" t="str" cm="1">
        <f t="array" aca="1" ref="J127" ca="1">IFERROR(IF(OR('Raw Data'!J127="",LEN(TRIM('Raw Data'!J127))=0),"",IF(AND(ISNUMBER('Raw Data'!J127), IFERROR('Raw Data'!J127 = ROUND('Raw Data'!J127, 4),FALSE)),"",_xlfn.REGEXEXTRACT(CELL("address",J127), "\$([A-Z]+)\$[0-9]+"))),_xlfn.REGEXEXTRACT(CELL("address",J127), "\$([A-Z]+)\$[0-9]+"))</f>
        <v/>
      </c>
      <c r="K127" s="7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7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</row>
    <row r="128" spans="2:22" x14ac:dyDescent="0.25">
      <c r="B128" s="7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20,LEN('Raw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Data'!D128))=0),"",IF(AND(ISNUMBER('Raw Data'!D128),'Raw Data'!D128&gt;=Configuration!$D$2),"",_xlfn.REGEXEXTRACT(CELL("address",'Raw Data'!D128),"\$([A-Z]+)\$[0-9]+"))),_xlfn.REGEXEXTRACT(CELL("address",D128), "\$([A-Z]+)\$[0-9]+"))</f>
        <v>$D$128</v>
      </c>
      <c r="E128" s="7" t="str" cm="1">
        <f t="array" aca="1" ref="E128" ca="1">IFERROR(IF(OR('Raw Data'!E128="",LEN(TRIM('Raw Data'!E128))=0),"",IF(AND(ISNUMBER('Raw Data'!E128), IFERROR('Raw Data'!E128 = ROUND('Raw Data'!E128, 4),FALSE)),"",_xlfn.REGEXEXTRACT(CELL("address",E128), "\$([A-Z]+)\$[0-9]+"))),_xlfn.REGEXEXTRACT(CELL("address",E128), 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4),FALSE)),"",_xlfn.REGEXEXTRACT(CELL("address",F128), "\$([A-Z]+)\$[0-9]+"))),_xlfn.REGEXEXTRACT(CELL("address",F128), "\$([A-Z]+)\$[0-9]+"))</f>
        <v/>
      </c>
      <c r="G128" s="7" t="str" cm="1">
        <f t="array" aca="1" ref="G128" ca="1">IFERROR(IF(OR('Raw Data'!G128="",LEN(TRIM('Raw Data'!G128))=0),"",IF(AND(ISNUMBER('Raw Data'!G128), IFERROR('Raw Data'!G128 = ROUND('Raw Data'!G128, 4),FALSE)),"",_xlfn.REGEXEXTRACT(CELL("address",G128), "\$([A-Z]+)\$[0-9]+"))),_xlfn.REGEXEXTRACT(CELL("address",G128), "\$([A-Z]+)\$[0-9]+"))</f>
        <v/>
      </c>
      <c r="H128" s="7" t="str" cm="1">
        <f t="array" aca="1" ref="H128" ca="1">IFERROR(IF(OR('Raw Data'!H128="",LEN(TRIM('Raw Data'!H128))=0),"",IF(AND(ISNUMBER('Raw Data'!H128), IFERROR('Raw Data'!H128 = ROUND('Raw Data'!H128, 4),FALSE)),"",_xlfn.REGEXEXTRACT(CELL("address",H128), "\$([A-Z]+)\$[0-9]+"))),_xlfn.REGEXEXTRACT(CELL("address",H128), "\$([A-Z]+)\$[0-9]+"))</f>
        <v/>
      </c>
      <c r="I128" s="7" t="str" cm="1">
        <f t="array" aca="1" ref="I128" ca="1">IFERROR(IF(OR('Raw Data'!I128="",LEN(TRIM('Raw Data'!I128))=0),"",IF(AND(ISNUMBER('Raw Data'!I128), IFERROR('Raw Data'!I128 = ROUND('Raw Data'!I128, 4),FALSE)),"",_xlfn.REGEXEXTRACT(CELL("address",I128), "\$([A-Z]+)\$[0-9]+"))),_xlfn.REGEXEXTRACT(CELL("address",I128), "\$([A-Z]+)\$[0-9]+"))</f>
        <v/>
      </c>
      <c r="J128" s="7" t="str" cm="1">
        <f t="array" aca="1" ref="J128" ca="1">IFERROR(IF(OR('Raw Data'!J128="",LEN(TRIM('Raw Data'!J128))=0),"",IF(AND(ISNUMBER('Raw Data'!J128), IFERROR('Raw Data'!J128 = ROUND('Raw Data'!J128, 4),FALSE)),"",_xlfn.REGEXEXTRACT(CELL("address",J128), "\$([A-Z]+)\$[0-9]+"))),_xlfn.REGEXEXTRACT(CELL("address",J128), "\$([A-Z]+)\$[0-9]+"))</f>
        <v/>
      </c>
      <c r="K128" s="7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7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</row>
    <row r="129" spans="2:22" x14ac:dyDescent="0.25">
      <c r="B129" s="7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20,LEN('Raw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Data'!D129))=0),"",IF(AND(ISNUMBER('Raw Data'!D129),'Raw Data'!D129&gt;=Configuration!$D$2),"",_xlfn.REGEXEXTRACT(CELL("address",'Raw Data'!D129),"\$([A-Z]+)\$[0-9]+"))),_xlfn.REGEXEXTRACT(CELL("address",D129), "\$([A-Z]+)\$[0-9]+"))</f>
        <v>$D$129</v>
      </c>
      <c r="E129" s="7" t="str" cm="1">
        <f t="array" aca="1" ref="E129" ca="1">IFERROR(IF(OR('Raw Data'!E129="",LEN(TRIM('Raw Data'!E129))=0),"",IF(AND(ISNUMBER('Raw Data'!E129), IFERROR('Raw Data'!E129 = ROUND('Raw Data'!E129, 4),FALSE)),"",_xlfn.REGEXEXTRACT(CELL("address",E129), "\$([A-Z]+)\$[0-9]+"))),_xlfn.REGEXEXTRACT(CELL("address",E129), 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4),FALSE)),"",_xlfn.REGEXEXTRACT(CELL("address",F129), "\$([A-Z]+)\$[0-9]+"))),_xlfn.REGEXEXTRACT(CELL("address",F129), "\$([A-Z]+)\$[0-9]+"))</f>
        <v/>
      </c>
      <c r="G129" s="7" t="str" cm="1">
        <f t="array" aca="1" ref="G129" ca="1">IFERROR(IF(OR('Raw Data'!G129="",LEN(TRIM('Raw Data'!G129))=0),"",IF(AND(ISNUMBER('Raw Data'!G129), IFERROR('Raw Data'!G129 = ROUND('Raw Data'!G129, 4),FALSE)),"",_xlfn.REGEXEXTRACT(CELL("address",G129), "\$([A-Z]+)\$[0-9]+"))),_xlfn.REGEXEXTRACT(CELL("address",G129), "\$([A-Z]+)\$[0-9]+"))</f>
        <v/>
      </c>
      <c r="H129" s="7" t="str" cm="1">
        <f t="array" aca="1" ref="H129" ca="1">IFERROR(IF(OR('Raw Data'!H129="",LEN(TRIM('Raw Data'!H129))=0),"",IF(AND(ISNUMBER('Raw Data'!H129), IFERROR('Raw Data'!H129 = ROUND('Raw Data'!H129, 4),FALSE)),"",_xlfn.REGEXEXTRACT(CELL("address",H129), "\$([A-Z]+)\$[0-9]+"))),_xlfn.REGEXEXTRACT(CELL("address",H129), "\$([A-Z]+)\$[0-9]+"))</f>
        <v/>
      </c>
      <c r="I129" s="7" t="str" cm="1">
        <f t="array" aca="1" ref="I129" ca="1">IFERROR(IF(OR('Raw Data'!I129="",LEN(TRIM('Raw Data'!I129))=0),"",IF(AND(ISNUMBER('Raw Data'!I129), IFERROR('Raw Data'!I129 = ROUND('Raw Data'!I129, 4),FALSE)),"",_xlfn.REGEXEXTRACT(CELL("address",I129), "\$([A-Z]+)\$[0-9]+"))),_xlfn.REGEXEXTRACT(CELL("address",I129), "\$([A-Z]+)\$[0-9]+"))</f>
        <v/>
      </c>
      <c r="J129" s="7" t="str" cm="1">
        <f t="array" aca="1" ref="J129" ca="1">IFERROR(IF(OR('Raw Data'!J129="",LEN(TRIM('Raw Data'!J129))=0),"",IF(AND(ISNUMBER('Raw Data'!J129), IFERROR('Raw Data'!J129 = ROUND('Raw Data'!J129, 4),FALSE)),"",_xlfn.REGEXEXTRACT(CELL("address",J129), "\$([A-Z]+)\$[0-9]+"))),_xlfn.REGEXEXTRACT(CELL("address",J129), "\$([A-Z]+)\$[0-9]+"))</f>
        <v/>
      </c>
      <c r="K129" s="7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7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</row>
    <row r="130" spans="2:22" x14ac:dyDescent="0.25">
      <c r="B130" s="7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20,LEN('Raw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Data'!D130))=0),"",IF(AND(ISNUMBER('Raw Data'!D130),'Raw Data'!D130&gt;=Configuration!$D$2),"",_xlfn.REGEXEXTRACT(CELL("address",'Raw Data'!D130),"\$([A-Z]+)\$[0-9]+"))),_xlfn.REGEXEXTRACT(CELL("address",D130), "\$([A-Z]+)\$[0-9]+"))</f>
        <v/>
      </c>
      <c r="E130" s="7" t="str" cm="1">
        <f t="array" aca="1" ref="E130" ca="1">IFERROR(IF(OR('Raw Data'!E130="",LEN(TRIM('Raw Data'!E130))=0),"",IF(AND(ISNUMBER('Raw Data'!E130), IFERROR('Raw Data'!E130 = ROUND('Raw Data'!E130, 4),FALSE)),"",_xlfn.REGEXEXTRACT(CELL("address",E130), "\$([A-Z]+)\$[0-9]+"))),_xlfn.REGEXEXTRACT(CELL("address",E130), 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4),FALSE)),"",_xlfn.REGEXEXTRACT(CELL("address",F130), "\$([A-Z]+)\$[0-9]+"))),_xlfn.REGEXEXTRACT(CELL("address",F130), "\$([A-Z]+)\$[0-9]+"))</f>
        <v/>
      </c>
      <c r="G130" s="7" t="str" cm="1">
        <f t="array" aca="1" ref="G130" ca="1">IFERROR(IF(OR('Raw Data'!G130="",LEN(TRIM('Raw Data'!G130))=0),"",IF(AND(ISNUMBER('Raw Data'!G130), IFERROR('Raw Data'!G130 = ROUND('Raw Data'!G130, 4),FALSE)),"",_xlfn.REGEXEXTRACT(CELL("address",G130), "\$([A-Z]+)\$[0-9]+"))),_xlfn.REGEXEXTRACT(CELL("address",G130), "\$([A-Z]+)\$[0-9]+"))</f>
        <v/>
      </c>
      <c r="H130" s="7" t="str" cm="1">
        <f t="array" aca="1" ref="H130" ca="1">IFERROR(IF(OR('Raw Data'!H130="",LEN(TRIM('Raw Data'!H130))=0),"",IF(AND(ISNUMBER('Raw Data'!H130), IFERROR('Raw Data'!H130 = ROUND('Raw Data'!H130, 4),FALSE)),"",_xlfn.REGEXEXTRACT(CELL("address",H130), "\$([A-Z]+)\$[0-9]+"))),_xlfn.REGEXEXTRACT(CELL("address",H130), "\$([A-Z]+)\$[0-9]+"))</f>
        <v/>
      </c>
      <c r="I130" s="7" t="str" cm="1">
        <f t="array" aca="1" ref="I130" ca="1">IFERROR(IF(OR('Raw Data'!I130="",LEN(TRIM('Raw Data'!I130))=0),"",IF(AND(ISNUMBER('Raw Data'!I130), IFERROR('Raw Data'!I130 = ROUND('Raw Data'!I130, 4),FALSE)),"",_xlfn.REGEXEXTRACT(CELL("address",I130), "\$([A-Z]+)\$[0-9]+"))),_xlfn.REGEXEXTRACT(CELL("address",I130), "\$([A-Z]+)\$[0-9]+"))</f>
        <v/>
      </c>
      <c r="J130" s="7" t="str" cm="1">
        <f t="array" aca="1" ref="J130" ca="1">IFERROR(IF(OR('Raw Data'!J130="",LEN(TRIM('Raw Data'!J130))=0),"",IF(AND(ISNUMBER('Raw Data'!J130), IFERROR('Raw Data'!J130 = ROUND('Raw Data'!J130, 4),FALSE)),"",_xlfn.REGEXEXTRACT(CELL("address",J130), "\$([A-Z]+)\$[0-9]+"))),_xlfn.REGEXEXTRACT(CELL("address",J130), "\$([A-Z]+)\$[0-9]+"))</f>
        <v/>
      </c>
      <c r="K130" s="7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7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</row>
    <row r="131" spans="2:22" x14ac:dyDescent="0.25">
      <c r="B131" s="7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20,LEN('Raw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Data'!D131))=0),"",IF(AND(ISNUMBER('Raw Data'!D131),'Raw Data'!D131&gt;=Configuration!$D$2),"",_xlfn.REGEXEXTRACT(CELL("address",'Raw Data'!D131),"\$([A-Z]+)\$[0-9]+"))),_xlfn.REGEXEXTRACT(CELL("address",D131), "\$([A-Z]+)\$[0-9]+"))</f>
        <v/>
      </c>
      <c r="E131" s="7" t="str" cm="1">
        <f t="array" aca="1" ref="E131" ca="1">IFERROR(IF(OR('Raw Data'!E131="",LEN(TRIM('Raw Data'!E131))=0),"",IF(AND(ISNUMBER('Raw Data'!E131), IFERROR('Raw Data'!E131 = ROUND('Raw Data'!E131, 4),FALSE)),"",_xlfn.REGEXEXTRACT(CELL("address",E131), "\$([A-Z]+)\$[0-9]+"))),_xlfn.REGEXEXTRACT(CELL("address",E131), 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4),FALSE)),"",_xlfn.REGEXEXTRACT(CELL("address",F131), "\$([A-Z]+)\$[0-9]+"))),_xlfn.REGEXEXTRACT(CELL("address",F131), "\$([A-Z]+)\$[0-9]+"))</f>
        <v/>
      </c>
      <c r="G131" s="7" t="str" cm="1">
        <f t="array" aca="1" ref="G131" ca="1">IFERROR(IF(OR('Raw Data'!G131="",LEN(TRIM('Raw Data'!G131))=0),"",IF(AND(ISNUMBER('Raw Data'!G131), IFERROR('Raw Data'!G131 = ROUND('Raw Data'!G131, 4),FALSE)),"",_xlfn.REGEXEXTRACT(CELL("address",G131), "\$([A-Z]+)\$[0-9]+"))),_xlfn.REGEXEXTRACT(CELL("address",G131), "\$([A-Z]+)\$[0-9]+"))</f>
        <v/>
      </c>
      <c r="H131" s="7" t="str" cm="1">
        <f t="array" aca="1" ref="H131" ca="1">IFERROR(IF(OR('Raw Data'!H131="",LEN(TRIM('Raw Data'!H131))=0),"",IF(AND(ISNUMBER('Raw Data'!H131), IFERROR('Raw Data'!H131 = ROUND('Raw Data'!H131, 4),FALSE)),"",_xlfn.REGEXEXTRACT(CELL("address",H131), "\$([A-Z]+)\$[0-9]+"))),_xlfn.REGEXEXTRACT(CELL("address",H131), "\$([A-Z]+)\$[0-9]+"))</f>
        <v/>
      </c>
      <c r="I131" s="7" t="str" cm="1">
        <f t="array" aca="1" ref="I131" ca="1">IFERROR(IF(OR('Raw Data'!I131="",LEN(TRIM('Raw Data'!I131))=0),"",IF(AND(ISNUMBER('Raw Data'!I131), IFERROR('Raw Data'!I131 = ROUND('Raw Data'!I131, 4),FALSE)),"",_xlfn.REGEXEXTRACT(CELL("address",I131), "\$([A-Z]+)\$[0-9]+"))),_xlfn.REGEXEXTRACT(CELL("address",I131), "\$([A-Z]+)\$[0-9]+"))</f>
        <v/>
      </c>
      <c r="J131" s="7" t="str" cm="1">
        <f t="array" aca="1" ref="J131" ca="1">IFERROR(IF(OR('Raw Data'!J131="",LEN(TRIM('Raw Data'!J131))=0),"",IF(AND(ISNUMBER('Raw Data'!J131), IFERROR('Raw Data'!J131 = ROUND('Raw Data'!J131, 4),FALSE)),"",_xlfn.REGEXEXTRACT(CELL("address",J131), "\$([A-Z]+)\$[0-9]+"))),_xlfn.REGEXEXTRACT(CELL("address",J131), "\$([A-Z]+)\$[0-9]+"))</f>
        <v/>
      </c>
      <c r="K131" s="7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7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</row>
    <row r="132" spans="2:22" x14ac:dyDescent="0.25">
      <c r="B132" s="7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20,LEN('Raw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Data'!D132))=0),"",IF(AND(ISNUMBER('Raw Data'!D132),'Raw Data'!D132&gt;=Configuration!$D$2),"",_xlfn.REGEXEXTRACT(CELL("address",'Raw Data'!D132),"\$([A-Z]+)\$[0-9]+"))),_xlfn.REGEXEXTRACT(CELL("address",D132), "\$([A-Z]+)\$[0-9]+"))</f>
        <v/>
      </c>
      <c r="E132" s="7" t="str" cm="1">
        <f t="array" aca="1" ref="E132" ca="1">IFERROR(IF(OR('Raw Data'!E132="",LEN(TRIM('Raw Data'!E132))=0),"",IF(AND(ISNUMBER('Raw Data'!E132), IFERROR('Raw Data'!E132 = ROUND('Raw Data'!E132, 4),FALSE)),"",_xlfn.REGEXEXTRACT(CELL("address",E132), "\$([A-Z]+)\$[0-9]+"))),_xlfn.REGEXEXTRACT(CELL("address",E132), 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4),FALSE)),"",_xlfn.REGEXEXTRACT(CELL("address",F132), "\$([A-Z]+)\$[0-9]+"))),_xlfn.REGEXEXTRACT(CELL("address",F132), "\$([A-Z]+)\$[0-9]+"))</f>
        <v/>
      </c>
      <c r="G132" s="7" t="str" cm="1">
        <f t="array" aca="1" ref="G132" ca="1">IFERROR(IF(OR('Raw Data'!G132="",LEN(TRIM('Raw Data'!G132))=0),"",IF(AND(ISNUMBER('Raw Data'!G132), IFERROR('Raw Data'!G132 = ROUND('Raw Data'!G132, 4),FALSE)),"",_xlfn.REGEXEXTRACT(CELL("address",G132), "\$([A-Z]+)\$[0-9]+"))),_xlfn.REGEXEXTRACT(CELL("address",G132), "\$([A-Z]+)\$[0-9]+"))</f>
        <v/>
      </c>
      <c r="H132" s="7" t="str" cm="1">
        <f t="array" aca="1" ref="H132" ca="1">IFERROR(IF(OR('Raw Data'!H132="",LEN(TRIM('Raw Data'!H132))=0),"",IF(AND(ISNUMBER('Raw Data'!H132), IFERROR('Raw Data'!H132 = ROUND('Raw Data'!H132, 4),FALSE)),"",_xlfn.REGEXEXTRACT(CELL("address",H132), "\$([A-Z]+)\$[0-9]+"))),_xlfn.REGEXEXTRACT(CELL("address",H132), "\$([A-Z]+)\$[0-9]+"))</f>
        <v/>
      </c>
      <c r="I132" s="7" t="str" cm="1">
        <f t="array" aca="1" ref="I132" ca="1">IFERROR(IF(OR('Raw Data'!I132="",LEN(TRIM('Raw Data'!I132))=0),"",IF(AND(ISNUMBER('Raw Data'!I132), IFERROR('Raw Data'!I132 = ROUND('Raw Data'!I132, 4),FALSE)),"",_xlfn.REGEXEXTRACT(CELL("address",I132), "\$([A-Z]+)\$[0-9]+"))),_xlfn.REGEXEXTRACT(CELL("address",I132), "\$([A-Z]+)\$[0-9]+"))</f>
        <v/>
      </c>
      <c r="J132" s="7" t="str" cm="1">
        <f t="array" aca="1" ref="J132" ca="1">IFERROR(IF(OR('Raw Data'!J132="",LEN(TRIM('Raw Data'!J132))=0),"",IF(AND(ISNUMBER('Raw Data'!J132), IFERROR('Raw Data'!J132 = ROUND('Raw Data'!J132, 4),FALSE)),"",_xlfn.REGEXEXTRACT(CELL("address",J132), "\$([A-Z]+)\$[0-9]+"))),_xlfn.REGEXEXTRACT(CELL("address",J132), "\$([A-Z]+)\$[0-9]+"))</f>
        <v/>
      </c>
      <c r="K132" s="7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7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</row>
    <row r="133" spans="2:22" x14ac:dyDescent="0.25">
      <c r="B133" s="7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20,LEN('Raw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Data'!D133))=0),"",IF(AND(ISNUMBER('Raw Data'!D133),'Raw Data'!D133&gt;=Configuration!$D$2),"",_xlfn.REGEXEXTRACT(CELL("address",'Raw Data'!D133),"\$([A-Z]+)\$[0-9]+"))),_xlfn.REGEXEXTRACT(CELL("address",D133), "\$([A-Z]+)\$[0-9]+"))</f>
        <v/>
      </c>
      <c r="E133" s="7" t="str" cm="1">
        <f t="array" aca="1" ref="E133" ca="1">IFERROR(IF(OR('Raw Data'!E133="",LEN(TRIM('Raw Data'!E133))=0),"",IF(AND(ISNUMBER('Raw Data'!E133), IFERROR('Raw Data'!E133 = ROUND('Raw Data'!E133, 4),FALSE)),"",_xlfn.REGEXEXTRACT(CELL("address",E133), "\$([A-Z]+)\$[0-9]+"))),_xlfn.REGEXEXTRACT(CELL("address",E133), 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4),FALSE)),"",_xlfn.REGEXEXTRACT(CELL("address",F133), "\$([A-Z]+)\$[0-9]+"))),_xlfn.REGEXEXTRACT(CELL("address",F133), "\$([A-Z]+)\$[0-9]+"))</f>
        <v/>
      </c>
      <c r="G133" s="7" t="str" cm="1">
        <f t="array" aca="1" ref="G133" ca="1">IFERROR(IF(OR('Raw Data'!G133="",LEN(TRIM('Raw Data'!G133))=0),"",IF(AND(ISNUMBER('Raw Data'!G133), IFERROR('Raw Data'!G133 = ROUND('Raw Data'!G133, 4),FALSE)),"",_xlfn.REGEXEXTRACT(CELL("address",G133), "\$([A-Z]+)\$[0-9]+"))),_xlfn.REGEXEXTRACT(CELL("address",G133), "\$([A-Z]+)\$[0-9]+"))</f>
        <v/>
      </c>
      <c r="H133" s="7" t="str" cm="1">
        <f t="array" aca="1" ref="H133" ca="1">IFERROR(IF(OR('Raw Data'!H133="",LEN(TRIM('Raw Data'!H133))=0),"",IF(AND(ISNUMBER('Raw Data'!H133), IFERROR('Raw Data'!H133 = ROUND('Raw Data'!H133, 4),FALSE)),"",_xlfn.REGEXEXTRACT(CELL("address",H133), "\$([A-Z]+)\$[0-9]+"))),_xlfn.REGEXEXTRACT(CELL("address",H133), "\$([A-Z]+)\$[0-9]+"))</f>
        <v/>
      </c>
      <c r="I133" s="7" t="str" cm="1">
        <f t="array" aca="1" ref="I133" ca="1">IFERROR(IF(OR('Raw Data'!I133="",LEN(TRIM('Raw Data'!I133))=0),"",IF(AND(ISNUMBER('Raw Data'!I133), IFERROR('Raw Data'!I133 = ROUND('Raw Data'!I133, 4),FALSE)),"",_xlfn.REGEXEXTRACT(CELL("address",I133), "\$([A-Z]+)\$[0-9]+"))),_xlfn.REGEXEXTRACT(CELL("address",I133), "\$([A-Z]+)\$[0-9]+"))</f>
        <v/>
      </c>
      <c r="J133" s="7" t="str" cm="1">
        <f t="array" aca="1" ref="J133" ca="1">IFERROR(IF(OR('Raw Data'!J133="",LEN(TRIM('Raw Data'!J133))=0),"",IF(AND(ISNUMBER('Raw Data'!J133), IFERROR('Raw Data'!J133 = ROUND('Raw Data'!J133, 4),FALSE)),"",_xlfn.REGEXEXTRACT(CELL("address",J133), "\$([A-Z]+)\$[0-9]+"))),_xlfn.REGEXEXTRACT(CELL("address",J133), "\$([A-Z]+)\$[0-9]+"))</f>
        <v/>
      </c>
      <c r="K133" s="7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7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</row>
    <row r="134" spans="2:22" x14ac:dyDescent="0.25">
      <c r="B134" s="7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20,LEN('Raw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Data'!D134))=0),"",IF(AND(ISNUMBER('Raw Data'!D134),'Raw Data'!D134&gt;=Configuration!$D$2),"",_xlfn.REGEXEXTRACT(CELL("address",'Raw Data'!D134),"\$([A-Z]+)\$[0-9]+"))),_xlfn.REGEXEXTRACT(CELL("address",D134), "\$([A-Z]+)\$[0-9]+"))</f>
        <v/>
      </c>
      <c r="E134" s="7" t="str" cm="1">
        <f t="array" aca="1" ref="E134" ca="1">IFERROR(IF(OR('Raw Data'!E134="",LEN(TRIM('Raw Data'!E134))=0),"",IF(AND(ISNUMBER('Raw Data'!E134), IFERROR('Raw Data'!E134 = ROUND('Raw Data'!E134, 4),FALSE)),"",_xlfn.REGEXEXTRACT(CELL("address",E134), "\$([A-Z]+)\$[0-9]+"))),_xlfn.REGEXEXTRACT(CELL("address",E134), 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4),FALSE)),"",_xlfn.REGEXEXTRACT(CELL("address",F134), "\$([A-Z]+)\$[0-9]+"))),_xlfn.REGEXEXTRACT(CELL("address",F134), "\$([A-Z]+)\$[0-9]+"))</f>
        <v/>
      </c>
      <c r="G134" s="7" t="str" cm="1">
        <f t="array" aca="1" ref="G134" ca="1">IFERROR(IF(OR('Raw Data'!G134="",LEN(TRIM('Raw Data'!G134))=0),"",IF(AND(ISNUMBER('Raw Data'!G134), IFERROR('Raw Data'!G134 = ROUND('Raw Data'!G134, 4),FALSE)),"",_xlfn.REGEXEXTRACT(CELL("address",G134), "\$([A-Z]+)\$[0-9]+"))),_xlfn.REGEXEXTRACT(CELL("address",G134), "\$([A-Z]+)\$[0-9]+"))</f>
        <v/>
      </c>
      <c r="H134" s="7" t="str" cm="1">
        <f t="array" aca="1" ref="H134" ca="1">IFERROR(IF(OR('Raw Data'!H134="",LEN(TRIM('Raw Data'!H134))=0),"",IF(AND(ISNUMBER('Raw Data'!H134), IFERROR('Raw Data'!H134 = ROUND('Raw Data'!H134, 4),FALSE)),"",_xlfn.REGEXEXTRACT(CELL("address",H134), "\$([A-Z]+)\$[0-9]+"))),_xlfn.REGEXEXTRACT(CELL("address",H134), "\$([A-Z]+)\$[0-9]+"))</f>
        <v/>
      </c>
      <c r="I134" s="7" t="str" cm="1">
        <f t="array" aca="1" ref="I134" ca="1">IFERROR(IF(OR('Raw Data'!I134="",LEN(TRIM('Raw Data'!I134))=0),"",IF(AND(ISNUMBER('Raw Data'!I134), IFERROR('Raw Data'!I134 = ROUND('Raw Data'!I134, 4),FALSE)),"",_xlfn.REGEXEXTRACT(CELL("address",I134), "\$([A-Z]+)\$[0-9]+"))),_xlfn.REGEXEXTRACT(CELL("address",I134), "\$([A-Z]+)\$[0-9]+"))</f>
        <v/>
      </c>
      <c r="J134" s="7" t="str" cm="1">
        <f t="array" aca="1" ref="J134" ca="1">IFERROR(IF(OR('Raw Data'!J134="",LEN(TRIM('Raw Data'!J134))=0),"",IF(AND(ISNUMBER('Raw Data'!J134), IFERROR('Raw Data'!J134 = ROUND('Raw Data'!J134, 4),FALSE)),"",_xlfn.REGEXEXTRACT(CELL("address",J134), "\$([A-Z]+)\$[0-9]+"))),_xlfn.REGEXEXTRACT(CELL("address",J134), "\$([A-Z]+)\$[0-9]+"))</f>
        <v/>
      </c>
      <c r="K134" s="7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7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</row>
    <row r="135" spans="2:22" x14ac:dyDescent="0.25">
      <c r="B135" s="7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20,LEN('Raw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Data'!D135))=0),"",IF(AND(ISNUMBER('Raw Data'!D135),'Raw Data'!D135&gt;=Configuration!$D$2),"",_xlfn.REGEXEXTRACT(CELL("address",'Raw Data'!D135),"\$([A-Z]+)\$[0-9]+"))),_xlfn.REGEXEXTRACT(CELL("address",D135), "\$([A-Z]+)\$[0-9]+"))</f>
        <v/>
      </c>
      <c r="E135" s="7" t="str" cm="1">
        <f t="array" aca="1" ref="E135" ca="1">IFERROR(IF(OR('Raw Data'!E135="",LEN(TRIM('Raw Data'!E135))=0),"",IF(AND(ISNUMBER('Raw Data'!E135), IFERROR('Raw Data'!E135 = ROUND('Raw Data'!E135, 4),FALSE)),"",_xlfn.REGEXEXTRACT(CELL("address",E135), "\$([A-Z]+)\$[0-9]+"))),_xlfn.REGEXEXTRACT(CELL("address",E135), 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4),FALSE)),"",_xlfn.REGEXEXTRACT(CELL("address",F135), "\$([A-Z]+)\$[0-9]+"))),_xlfn.REGEXEXTRACT(CELL("address",F135), "\$([A-Z]+)\$[0-9]+"))</f>
        <v/>
      </c>
      <c r="G135" s="7" t="str" cm="1">
        <f t="array" aca="1" ref="G135" ca="1">IFERROR(IF(OR('Raw Data'!G135="",LEN(TRIM('Raw Data'!G135))=0),"",IF(AND(ISNUMBER('Raw Data'!G135), IFERROR('Raw Data'!G135 = ROUND('Raw Data'!G135, 4),FALSE)),"",_xlfn.REGEXEXTRACT(CELL("address",G135), "\$([A-Z]+)\$[0-9]+"))),_xlfn.REGEXEXTRACT(CELL("address",G135), "\$([A-Z]+)\$[0-9]+"))</f>
        <v/>
      </c>
      <c r="H135" s="7" t="str" cm="1">
        <f t="array" aca="1" ref="H135" ca="1">IFERROR(IF(OR('Raw Data'!H135="",LEN(TRIM('Raw Data'!H135))=0),"",IF(AND(ISNUMBER('Raw Data'!H135), IFERROR('Raw Data'!H135 = ROUND('Raw Data'!H135, 4),FALSE)),"",_xlfn.REGEXEXTRACT(CELL("address",H135), "\$([A-Z]+)\$[0-9]+"))),_xlfn.REGEXEXTRACT(CELL("address",H135), "\$([A-Z]+)\$[0-9]+"))</f>
        <v/>
      </c>
      <c r="I135" s="7" t="str" cm="1">
        <f t="array" aca="1" ref="I135" ca="1">IFERROR(IF(OR('Raw Data'!I135="",LEN(TRIM('Raw Data'!I135))=0),"",IF(AND(ISNUMBER('Raw Data'!I135), IFERROR('Raw Data'!I135 = ROUND('Raw Data'!I135, 4),FALSE)),"",_xlfn.REGEXEXTRACT(CELL("address",I135), "\$([A-Z]+)\$[0-9]+"))),_xlfn.REGEXEXTRACT(CELL("address",I135), "\$([A-Z]+)\$[0-9]+"))</f>
        <v/>
      </c>
      <c r="J135" s="7" t="str" cm="1">
        <f t="array" aca="1" ref="J135" ca="1">IFERROR(IF(OR('Raw Data'!J135="",LEN(TRIM('Raw Data'!J135))=0),"",IF(AND(ISNUMBER('Raw Data'!J135), IFERROR('Raw Data'!J135 = ROUND('Raw Data'!J135, 4),FALSE)),"",_xlfn.REGEXEXTRACT(CELL("address",J135), "\$([A-Z]+)\$[0-9]+"))),_xlfn.REGEXEXTRACT(CELL("address",J135), "\$([A-Z]+)\$[0-9]+"))</f>
        <v/>
      </c>
      <c r="K135" s="7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7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</row>
    <row r="136" spans="2:22" x14ac:dyDescent="0.25">
      <c r="B136" s="7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20,LEN('Raw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Data'!D136))=0),"",IF(AND(ISNUMBER('Raw Data'!D136),'Raw Data'!D136&gt;=Configuration!$D$2),"",_xlfn.REGEXEXTRACT(CELL("address",'Raw Data'!D136),"\$([A-Z]+)\$[0-9]+"))),_xlfn.REGEXEXTRACT(CELL("address",D136), "\$([A-Z]+)\$[0-9]+"))</f>
        <v/>
      </c>
      <c r="E136" s="7" t="str" cm="1">
        <f t="array" aca="1" ref="E136" ca="1">IFERROR(IF(OR('Raw Data'!E136="",LEN(TRIM('Raw Data'!E136))=0),"",IF(AND(ISNUMBER('Raw Data'!E136), IFERROR('Raw Data'!E136 = ROUND('Raw Data'!E136, 4),FALSE)),"",_xlfn.REGEXEXTRACT(CELL("address",E136), "\$([A-Z]+)\$[0-9]+"))),_xlfn.REGEXEXTRACT(CELL("address",E136), 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4),FALSE)),"",_xlfn.REGEXEXTRACT(CELL("address",F136), "\$([A-Z]+)\$[0-9]+"))),_xlfn.REGEXEXTRACT(CELL("address",F136), "\$([A-Z]+)\$[0-9]+"))</f>
        <v/>
      </c>
      <c r="G136" s="7" t="str" cm="1">
        <f t="array" aca="1" ref="G136" ca="1">IFERROR(IF(OR('Raw Data'!G136="",LEN(TRIM('Raw Data'!G136))=0),"",IF(AND(ISNUMBER('Raw Data'!G136), IFERROR('Raw Data'!G136 = ROUND('Raw Data'!G136, 4),FALSE)),"",_xlfn.REGEXEXTRACT(CELL("address",G136), "\$([A-Z]+)\$[0-9]+"))),_xlfn.REGEXEXTRACT(CELL("address",G136), "\$([A-Z]+)\$[0-9]+"))</f>
        <v/>
      </c>
      <c r="H136" s="7" t="str" cm="1">
        <f t="array" aca="1" ref="H136" ca="1">IFERROR(IF(OR('Raw Data'!H136="",LEN(TRIM('Raw Data'!H136))=0),"",IF(AND(ISNUMBER('Raw Data'!H136), IFERROR('Raw Data'!H136 = ROUND('Raw Data'!H136, 4),FALSE)),"",_xlfn.REGEXEXTRACT(CELL("address",H136), "\$([A-Z]+)\$[0-9]+"))),_xlfn.REGEXEXTRACT(CELL("address",H136), "\$([A-Z]+)\$[0-9]+"))</f>
        <v/>
      </c>
      <c r="I136" s="7" t="str" cm="1">
        <f t="array" aca="1" ref="I136" ca="1">IFERROR(IF(OR('Raw Data'!I136="",LEN(TRIM('Raw Data'!I136))=0),"",IF(AND(ISNUMBER('Raw Data'!I136), IFERROR('Raw Data'!I136 = ROUND('Raw Data'!I136, 4),FALSE)),"",_xlfn.REGEXEXTRACT(CELL("address",I136), "\$([A-Z]+)\$[0-9]+"))),_xlfn.REGEXEXTRACT(CELL("address",I136), "\$([A-Z]+)\$[0-9]+"))</f>
        <v/>
      </c>
      <c r="J136" s="7" t="str" cm="1">
        <f t="array" aca="1" ref="J136" ca="1">IFERROR(IF(OR('Raw Data'!J136="",LEN(TRIM('Raw Data'!J136))=0),"",IF(AND(ISNUMBER('Raw Data'!J136), IFERROR('Raw Data'!J136 = ROUND('Raw Data'!J136, 4),FALSE)),"",_xlfn.REGEXEXTRACT(CELL("address",J136), "\$([A-Z]+)\$[0-9]+"))),_xlfn.REGEXEXTRACT(CELL("address",J136), "\$([A-Z]+)\$[0-9]+"))</f>
        <v/>
      </c>
      <c r="K136" s="7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7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</row>
    <row r="137" spans="2:22" x14ac:dyDescent="0.25">
      <c r="B137" s="7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20,LEN('Raw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Data'!D137))=0),"",IF(AND(ISNUMBER('Raw Data'!D137),'Raw Data'!D137&gt;=Configuration!$D$2),"",_xlfn.REGEXEXTRACT(CELL("address",'Raw Data'!D137),"\$([A-Z]+)\$[0-9]+"))),_xlfn.REGEXEXTRACT(CELL("address",D137), "\$([A-Z]+)\$[0-9]+"))</f>
        <v/>
      </c>
      <c r="E137" s="7" t="str" cm="1">
        <f t="array" aca="1" ref="E137" ca="1">IFERROR(IF(OR('Raw Data'!E137="",LEN(TRIM('Raw Data'!E137))=0),"",IF(AND(ISNUMBER('Raw Data'!E137), IFERROR('Raw Data'!E137 = ROUND('Raw Data'!E137, 4),FALSE)),"",_xlfn.REGEXEXTRACT(CELL("address",E137), "\$([A-Z]+)\$[0-9]+"))),_xlfn.REGEXEXTRACT(CELL("address",E137), 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4),FALSE)),"",_xlfn.REGEXEXTRACT(CELL("address",F137), "\$([A-Z]+)\$[0-9]+"))),_xlfn.REGEXEXTRACT(CELL("address",F137), "\$([A-Z]+)\$[0-9]+"))</f>
        <v/>
      </c>
      <c r="G137" s="7" t="str" cm="1">
        <f t="array" aca="1" ref="G137" ca="1">IFERROR(IF(OR('Raw Data'!G137="",LEN(TRIM('Raw Data'!G137))=0),"",IF(AND(ISNUMBER('Raw Data'!G137), IFERROR('Raw Data'!G137 = ROUND('Raw Data'!G137, 4),FALSE)),"",_xlfn.REGEXEXTRACT(CELL("address",G137), "\$([A-Z]+)\$[0-9]+"))),_xlfn.REGEXEXTRACT(CELL("address",G137), "\$([A-Z]+)\$[0-9]+"))</f>
        <v/>
      </c>
      <c r="H137" s="7" t="str" cm="1">
        <f t="array" aca="1" ref="H137" ca="1">IFERROR(IF(OR('Raw Data'!H137="",LEN(TRIM('Raw Data'!H137))=0),"",IF(AND(ISNUMBER('Raw Data'!H137), IFERROR('Raw Data'!H137 = ROUND('Raw Data'!H137, 4),FALSE)),"",_xlfn.REGEXEXTRACT(CELL("address",H137), "\$([A-Z]+)\$[0-9]+"))),_xlfn.REGEXEXTRACT(CELL("address",H137), "\$([A-Z]+)\$[0-9]+"))</f>
        <v/>
      </c>
      <c r="I137" s="7" t="str" cm="1">
        <f t="array" aca="1" ref="I137" ca="1">IFERROR(IF(OR('Raw Data'!I137="",LEN(TRIM('Raw Data'!I137))=0),"",IF(AND(ISNUMBER('Raw Data'!I137), IFERROR('Raw Data'!I137 = ROUND('Raw Data'!I137, 4),FALSE)),"",_xlfn.REGEXEXTRACT(CELL("address",I137), "\$([A-Z]+)\$[0-9]+"))),_xlfn.REGEXEXTRACT(CELL("address",I137), "\$([A-Z]+)\$[0-9]+"))</f>
        <v/>
      </c>
      <c r="J137" s="7" t="str" cm="1">
        <f t="array" aca="1" ref="J137" ca="1">IFERROR(IF(OR('Raw Data'!J137="",LEN(TRIM('Raw Data'!J137))=0),"",IF(AND(ISNUMBER('Raw Data'!J137), IFERROR('Raw Data'!J137 = ROUND('Raw Data'!J137, 4),FALSE)),"",_xlfn.REGEXEXTRACT(CELL("address",J137), "\$([A-Z]+)\$[0-9]+"))),_xlfn.REGEXEXTRACT(CELL("address",J137), "\$([A-Z]+)\$[0-9]+"))</f>
        <v/>
      </c>
      <c r="K137" s="7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7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</row>
    <row r="138" spans="2:22" x14ac:dyDescent="0.25">
      <c r="B138" s="7" t="str" cm="1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20,LEN('Raw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Data'!D138))=0),"",IF(AND(ISNUMBER('Raw Data'!D138),'Raw Data'!D138&gt;=Configuration!$D$2),"",_xlfn.REGEXEXTRACT(CELL("address",'Raw Data'!D138),"\$([A-Z]+)\$[0-9]+"))),_xlfn.REGEXEXTRACT(CELL("address",D138), "\$([A-Z]+)\$[0-9]+"))</f>
        <v/>
      </c>
      <c r="E138" s="7" t="str" cm="1">
        <f t="array" aca="1" ref="E138" ca="1">IFERROR(IF(OR('Raw Data'!E138="",LEN(TRIM('Raw Data'!E138))=0),"",IF(AND(ISNUMBER('Raw Data'!E138), IFERROR('Raw Data'!E138 = ROUND('Raw Data'!E138, 4),FALSE)),"",_xlfn.REGEXEXTRACT(CELL("address",E138), "\$([A-Z]+)\$[0-9]+"))),_xlfn.REGEXEXTRACT(CELL("address",E138), "\$([A-Z]+)\$[0-9]+"))</f>
        <v/>
      </c>
      <c r="F138" s="7" t="str" cm="1">
        <f t="array" aca="1" ref="F138" ca="1">IFERROR(IF(OR('Raw Data'!F138="",LEN(TRIM('Raw Data'!F138))=0),"",IF(AND(ISNUMBER('Raw Data'!F138), IFERROR('Raw Data'!F138 = ROUND('Raw Data'!F138, 4),FALSE)),"",_xlfn.REGEXEXTRACT(CELL("address",F138), "\$([A-Z]+)\$[0-9]+"))),_xlfn.REGEXEXTRACT(CELL("address",F138), "\$([A-Z]+)\$[0-9]+"))</f>
        <v/>
      </c>
      <c r="G138" s="7" t="str" cm="1">
        <f t="array" aca="1" ref="G138" ca="1">IFERROR(IF(OR('Raw Data'!G138="",LEN(TRIM('Raw Data'!G138))=0),"",IF(AND(ISNUMBER('Raw Data'!G138), IFERROR('Raw Data'!G138 = ROUND('Raw Data'!G138, 4),FALSE)),"",_xlfn.REGEXEXTRACT(CELL("address",G138), "\$([A-Z]+)\$[0-9]+"))),_xlfn.REGEXEXTRACT(CELL("address",G138), "\$([A-Z]+)\$[0-9]+"))</f>
        <v/>
      </c>
      <c r="H138" s="7" t="str" cm="1">
        <f t="array" aca="1" ref="H138" ca="1">IFERROR(IF(OR('Raw Data'!H138="",LEN(TRIM('Raw Data'!H138))=0),"",IF(AND(ISNUMBER('Raw Data'!H138), IFERROR('Raw Data'!H138 = ROUND('Raw Data'!H138, 4),FALSE)),"",_xlfn.REGEXEXTRACT(CELL("address",H138), "\$([A-Z]+)\$[0-9]+"))),_xlfn.REGEXEXTRACT(CELL("address",H138), "\$([A-Z]+)\$[0-9]+"))</f>
        <v/>
      </c>
      <c r="I138" s="7" t="str" cm="1">
        <f t="array" aca="1" ref="I138" ca="1">IFERROR(IF(OR('Raw Data'!I138="",LEN(TRIM('Raw Data'!I138))=0),"",IF(AND(ISNUMBER('Raw Data'!I138), IFERROR('Raw Data'!I138 = ROUND('Raw Data'!I138, 4),FALSE)),"",_xlfn.REGEXEXTRACT(CELL("address",I138), "\$([A-Z]+)\$[0-9]+"))),_xlfn.REGEXEXTRACT(CELL("address",I138), "\$([A-Z]+)\$[0-9]+"))</f>
        <v/>
      </c>
      <c r="J138" s="7" t="str" cm="1">
        <f t="array" aca="1" ref="J138" ca="1">IFERROR(IF(OR('Raw Data'!J138="",LEN(TRIM('Raw Data'!J138))=0),"",IF(AND(ISNUMBER('Raw Data'!J138), IFERROR('Raw Data'!J138 = ROUND('Raw Data'!J138, 4),FALSE)),"",_xlfn.REGEXEXTRACT(CELL("address",J138), "\$([A-Z]+)\$[0-9]+"))),_xlfn.REGEXEXTRACT(CELL("address",J138), "\$([A-Z]+)\$[0-9]+"))</f>
        <v/>
      </c>
      <c r="K138" s="7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7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</row>
    <row r="139" spans="2:22" x14ac:dyDescent="0.25">
      <c r="B139" s="7" t="str" cm="1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20,LEN('Raw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Data'!D139))=0),"",IF(AND(ISNUMBER('Raw Data'!D139),'Raw Data'!D139&gt;=Configuration!$D$2),"",_xlfn.REGEXEXTRACT(CELL("address",'Raw Data'!D139),"\$([A-Z]+)\$[0-9]+"))),_xlfn.REGEXEXTRACT(CELL("address",D139), "\$([A-Z]+)\$[0-9]+"))</f>
        <v/>
      </c>
      <c r="E139" s="7" t="str" cm="1">
        <f t="array" aca="1" ref="E139" ca="1">IFERROR(IF(OR('Raw Data'!E139="",LEN(TRIM('Raw Data'!E139))=0),"",IF(AND(ISNUMBER('Raw Data'!E139), IFERROR('Raw Data'!E139 = ROUND('Raw Data'!E139, 4),FALSE)),"",_xlfn.REGEXEXTRACT(CELL("address",E139), "\$([A-Z]+)\$[0-9]+"))),_xlfn.REGEXEXTRACT(CELL("address",E139), "\$([A-Z]+)\$[0-9]+"))</f>
        <v/>
      </c>
      <c r="F139" s="7" t="str" cm="1">
        <f t="array" aca="1" ref="F139" ca="1">IFERROR(IF(OR('Raw Data'!F139="",LEN(TRIM('Raw Data'!F139))=0),"",IF(AND(ISNUMBER('Raw Data'!F139), IFERROR('Raw Data'!F139 = ROUND('Raw Data'!F139, 4),FALSE)),"",_xlfn.REGEXEXTRACT(CELL("address",F139), "\$([A-Z]+)\$[0-9]+"))),_xlfn.REGEXEXTRACT(CELL("address",F139), "\$([A-Z]+)\$[0-9]+"))</f>
        <v/>
      </c>
      <c r="G139" s="7" t="str" cm="1">
        <f t="array" aca="1" ref="G139" ca="1">IFERROR(IF(OR('Raw Data'!G139="",LEN(TRIM('Raw Data'!G139))=0),"",IF(AND(ISNUMBER('Raw Data'!G139), IFERROR('Raw Data'!G139 = ROUND('Raw Data'!G139, 4),FALSE)),"",_xlfn.REGEXEXTRACT(CELL("address",G139), "\$([A-Z]+)\$[0-9]+"))),_xlfn.REGEXEXTRACT(CELL("address",G139), "\$([A-Z]+)\$[0-9]+"))</f>
        <v/>
      </c>
      <c r="H139" s="7" t="str" cm="1">
        <f t="array" aca="1" ref="H139" ca="1">IFERROR(IF(OR('Raw Data'!H139="",LEN(TRIM('Raw Data'!H139))=0),"",IF(AND(ISNUMBER('Raw Data'!H139), IFERROR('Raw Data'!H139 = ROUND('Raw Data'!H139, 4),FALSE)),"",_xlfn.REGEXEXTRACT(CELL("address",H139), "\$([A-Z]+)\$[0-9]+"))),_xlfn.REGEXEXTRACT(CELL("address",H139), "\$([A-Z]+)\$[0-9]+"))</f>
        <v/>
      </c>
      <c r="I139" s="7" t="str" cm="1">
        <f t="array" aca="1" ref="I139" ca="1">IFERROR(IF(OR('Raw Data'!I139="",LEN(TRIM('Raw Data'!I139))=0),"",IF(AND(ISNUMBER('Raw Data'!I139), IFERROR('Raw Data'!I139 = ROUND('Raw Data'!I139, 4),FALSE)),"",_xlfn.REGEXEXTRACT(CELL("address",I139), "\$([A-Z]+)\$[0-9]+"))),_xlfn.REGEXEXTRACT(CELL("address",I139), "\$([A-Z]+)\$[0-9]+"))</f>
        <v/>
      </c>
      <c r="J139" s="7" t="str" cm="1">
        <f t="array" aca="1" ref="J139" ca="1">IFERROR(IF(OR('Raw Data'!J139="",LEN(TRIM('Raw Data'!J139))=0),"",IF(AND(ISNUMBER('Raw Data'!J139), IFERROR('Raw Data'!J139 = ROUND('Raw Data'!J139, 4),FALSE)),"",_xlfn.REGEXEXTRACT(CELL("address",J139), "\$([A-Z]+)\$[0-9]+"))),_xlfn.REGEXEXTRACT(CELL("address",J139), "\$([A-Z]+)\$[0-9]+"))</f>
        <v/>
      </c>
      <c r="K139" s="7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7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</row>
    <row r="140" spans="2:22" x14ac:dyDescent="0.25">
      <c r="B140" s="7" t="str" cm="1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20,LEN('Raw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Data'!D140))=0),"",IF(AND(ISNUMBER('Raw Data'!D140),'Raw Data'!D140&gt;=Configuration!$D$2),"",_xlfn.REGEXEXTRACT(CELL("address",'Raw Data'!D140),"\$([A-Z]+)\$[0-9]+"))),_xlfn.REGEXEXTRACT(CELL("address",D140), "\$([A-Z]+)\$[0-9]+"))</f>
        <v/>
      </c>
      <c r="E140" s="7" t="str" cm="1">
        <f t="array" aca="1" ref="E140" ca="1">IFERROR(IF(OR('Raw Data'!E140="",LEN(TRIM('Raw Data'!E140))=0),"",IF(AND(ISNUMBER('Raw Data'!E140), IFERROR('Raw Data'!E140 = ROUND('Raw Data'!E140, 4),FALSE)),"",_xlfn.REGEXEXTRACT(CELL("address",E140), "\$([A-Z]+)\$[0-9]+"))),_xlfn.REGEXEXTRACT(CELL("address",E140), "\$([A-Z]+)\$[0-9]+"))</f>
        <v/>
      </c>
      <c r="F140" s="7" t="str" cm="1">
        <f t="array" aca="1" ref="F140" ca="1">IFERROR(IF(OR('Raw Data'!F140="",LEN(TRIM('Raw Data'!F140))=0),"",IF(AND(ISNUMBER('Raw Data'!F140), IFERROR('Raw Data'!F140 = ROUND('Raw Data'!F140, 4),FALSE)),"",_xlfn.REGEXEXTRACT(CELL("address",F140), "\$([A-Z]+)\$[0-9]+"))),_xlfn.REGEXEXTRACT(CELL("address",F140), "\$([A-Z]+)\$[0-9]+"))</f>
        <v/>
      </c>
      <c r="G140" s="7" t="str" cm="1">
        <f t="array" aca="1" ref="G140" ca="1">IFERROR(IF(OR('Raw Data'!G140="",LEN(TRIM('Raw Data'!G140))=0),"",IF(AND(ISNUMBER('Raw Data'!G140), IFERROR('Raw Data'!G140 = ROUND('Raw Data'!G140, 4),FALSE)),"",_xlfn.REGEXEXTRACT(CELL("address",G140), "\$([A-Z]+)\$[0-9]+"))),_xlfn.REGEXEXTRACT(CELL("address",G140), "\$([A-Z]+)\$[0-9]+"))</f>
        <v/>
      </c>
      <c r="H140" s="7" t="str" cm="1">
        <f t="array" aca="1" ref="H140" ca="1">IFERROR(IF(OR('Raw Data'!H140="",LEN(TRIM('Raw Data'!H140))=0),"",IF(AND(ISNUMBER('Raw Data'!H140), IFERROR('Raw Data'!H140 = ROUND('Raw Data'!H140, 4),FALSE)),"",_xlfn.REGEXEXTRACT(CELL("address",H140), "\$([A-Z]+)\$[0-9]+"))),_xlfn.REGEXEXTRACT(CELL("address",H140), "\$([A-Z]+)\$[0-9]+"))</f>
        <v/>
      </c>
      <c r="I140" s="7" t="str" cm="1">
        <f t="array" aca="1" ref="I140" ca="1">IFERROR(IF(OR('Raw Data'!I140="",LEN(TRIM('Raw Data'!I140))=0),"",IF(AND(ISNUMBER('Raw Data'!I140), IFERROR('Raw Data'!I140 = ROUND('Raw Data'!I140, 4),FALSE)),"",_xlfn.REGEXEXTRACT(CELL("address",I140), "\$([A-Z]+)\$[0-9]+"))),_xlfn.REGEXEXTRACT(CELL("address",I140), "\$([A-Z]+)\$[0-9]+"))</f>
        <v/>
      </c>
      <c r="J140" s="7" t="str" cm="1">
        <f t="array" aca="1" ref="J140" ca="1">IFERROR(IF(OR('Raw Data'!J140="",LEN(TRIM('Raw Data'!J140))=0),"",IF(AND(ISNUMBER('Raw Data'!J140), IFERROR('Raw Data'!J140 = ROUND('Raw Data'!J140, 4),FALSE)),"",_xlfn.REGEXEXTRACT(CELL("address",J140), "\$([A-Z]+)\$[0-9]+"))),_xlfn.REGEXEXTRACT(CELL("address",J140), "\$([A-Z]+)\$[0-9]+"))</f>
        <v/>
      </c>
      <c r="K140" s="7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7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</row>
    <row r="141" spans="2:22" x14ac:dyDescent="0.25">
      <c r="B141" s="7" t="str" cm="1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20,LEN('Raw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Data'!D141))=0),"",IF(AND(ISNUMBER('Raw Data'!D141),'Raw Data'!D141&gt;=Configuration!$D$2),"",_xlfn.REGEXEXTRACT(CELL("address",'Raw Data'!D141),"\$([A-Z]+)\$[0-9]+"))),_xlfn.REGEXEXTRACT(CELL("address",D141), "\$([A-Z]+)\$[0-9]+"))</f>
        <v/>
      </c>
      <c r="E141" s="7" t="str" cm="1">
        <f t="array" aca="1" ref="E141" ca="1">IFERROR(IF(OR('Raw Data'!E141="",LEN(TRIM('Raw Data'!E141))=0),"",IF(AND(ISNUMBER('Raw Data'!E141), IFERROR('Raw Data'!E141 = ROUND('Raw Data'!E141, 4),FALSE)),"",_xlfn.REGEXEXTRACT(CELL("address",E141), "\$([A-Z]+)\$[0-9]+"))),_xlfn.REGEXEXTRACT(CELL("address",E141), "\$([A-Z]+)\$[0-9]+"))</f>
        <v/>
      </c>
      <c r="F141" s="7" t="str" cm="1">
        <f t="array" aca="1" ref="F141" ca="1">IFERROR(IF(OR('Raw Data'!F141="",LEN(TRIM('Raw Data'!F141))=0),"",IF(AND(ISNUMBER('Raw Data'!F141), IFERROR('Raw Data'!F141 = ROUND('Raw Data'!F141, 4),FALSE)),"",_xlfn.REGEXEXTRACT(CELL("address",F141), "\$([A-Z]+)\$[0-9]+"))),_xlfn.REGEXEXTRACT(CELL("address",F141), "\$([A-Z]+)\$[0-9]+"))</f>
        <v/>
      </c>
      <c r="G141" s="7" t="str" cm="1">
        <f t="array" aca="1" ref="G141" ca="1">IFERROR(IF(OR('Raw Data'!G141="",LEN(TRIM('Raw Data'!G141))=0),"",IF(AND(ISNUMBER('Raw Data'!G141), IFERROR('Raw Data'!G141 = ROUND('Raw Data'!G141, 4),FALSE)),"",_xlfn.REGEXEXTRACT(CELL("address",G141), "\$([A-Z]+)\$[0-9]+"))),_xlfn.REGEXEXTRACT(CELL("address",G141), "\$([A-Z]+)\$[0-9]+"))</f>
        <v/>
      </c>
      <c r="H141" s="7" t="str" cm="1">
        <f t="array" aca="1" ref="H141" ca="1">IFERROR(IF(OR('Raw Data'!H141="",LEN(TRIM('Raw Data'!H141))=0),"",IF(AND(ISNUMBER('Raw Data'!H141), IFERROR('Raw Data'!H141 = ROUND('Raw Data'!H141, 4),FALSE)),"",_xlfn.REGEXEXTRACT(CELL("address",H141), "\$([A-Z]+)\$[0-9]+"))),_xlfn.REGEXEXTRACT(CELL("address",H141), "\$([A-Z]+)\$[0-9]+"))</f>
        <v/>
      </c>
      <c r="I141" s="7" t="str" cm="1">
        <f t="array" aca="1" ref="I141" ca="1">IFERROR(IF(OR('Raw Data'!I141="",LEN(TRIM('Raw Data'!I141))=0),"",IF(AND(ISNUMBER('Raw Data'!I141), IFERROR('Raw Data'!I141 = ROUND('Raw Data'!I141, 4),FALSE)),"",_xlfn.REGEXEXTRACT(CELL("address",I141), "\$([A-Z]+)\$[0-9]+"))),_xlfn.REGEXEXTRACT(CELL("address",I141), "\$([A-Z]+)\$[0-9]+"))</f>
        <v/>
      </c>
      <c r="J141" s="7" t="str" cm="1">
        <f t="array" aca="1" ref="J141" ca="1">IFERROR(IF(OR('Raw Data'!J141="",LEN(TRIM('Raw Data'!J141))=0),"",IF(AND(ISNUMBER('Raw Data'!J141), IFERROR('Raw Data'!J141 = ROUND('Raw Data'!J141, 4),FALSE)),"",_xlfn.REGEXEXTRACT(CELL("address",J141), "\$([A-Z]+)\$[0-9]+"))),_xlfn.REGEXEXTRACT(CELL("address",J141), "\$([A-Z]+)\$[0-9]+"))</f>
        <v/>
      </c>
      <c r="K141" s="7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7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</row>
    <row r="142" spans="2:22" x14ac:dyDescent="0.25">
      <c r="B142" s="7" t="str" cm="1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20,LEN('Raw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Data'!D142))=0),"",IF(AND(ISNUMBER('Raw Data'!D142),'Raw Data'!D142&gt;=Configuration!$D$2),"",_xlfn.REGEXEXTRACT(CELL("address",'Raw Data'!D142),"\$([A-Z]+)\$[0-9]+"))),_xlfn.REGEXEXTRACT(CELL("address",D142), "\$([A-Z]+)\$[0-9]+"))</f>
        <v/>
      </c>
      <c r="E142" s="7" t="str" cm="1">
        <f t="array" aca="1" ref="E142" ca="1">IFERROR(IF(OR('Raw Data'!E142="",LEN(TRIM('Raw Data'!E142))=0),"",IF(AND(ISNUMBER('Raw Data'!E142), IFERROR('Raw Data'!E142 = ROUND('Raw Data'!E142, 4),FALSE)),"",_xlfn.REGEXEXTRACT(CELL("address",E142), "\$([A-Z]+)\$[0-9]+"))),_xlfn.REGEXEXTRACT(CELL("address",E142), "\$([A-Z]+)\$[0-9]+"))</f>
        <v/>
      </c>
      <c r="F142" s="7" t="str" cm="1">
        <f t="array" aca="1" ref="F142" ca="1">IFERROR(IF(OR('Raw Data'!F142="",LEN(TRIM('Raw Data'!F142))=0),"",IF(AND(ISNUMBER('Raw Data'!F142), IFERROR('Raw Data'!F142 = ROUND('Raw Data'!F142, 4),FALSE)),"",_xlfn.REGEXEXTRACT(CELL("address",F142), "\$([A-Z]+)\$[0-9]+"))),_xlfn.REGEXEXTRACT(CELL("address",F142), "\$([A-Z]+)\$[0-9]+"))</f>
        <v/>
      </c>
      <c r="G142" s="7" t="str" cm="1">
        <f t="array" aca="1" ref="G142" ca="1">IFERROR(IF(OR('Raw Data'!G142="",LEN(TRIM('Raw Data'!G142))=0),"",IF(AND(ISNUMBER('Raw Data'!G142), IFERROR('Raw Data'!G142 = ROUND('Raw Data'!G142, 4),FALSE)),"",_xlfn.REGEXEXTRACT(CELL("address",G142), "\$([A-Z]+)\$[0-9]+"))),_xlfn.REGEXEXTRACT(CELL("address",G142), "\$([A-Z]+)\$[0-9]+"))</f>
        <v/>
      </c>
      <c r="H142" s="7" t="str" cm="1">
        <f t="array" aca="1" ref="H142" ca="1">IFERROR(IF(OR('Raw Data'!H142="",LEN(TRIM('Raw Data'!H142))=0),"",IF(AND(ISNUMBER('Raw Data'!H142), IFERROR('Raw Data'!H142 = ROUND('Raw Data'!H142, 4),FALSE)),"",_xlfn.REGEXEXTRACT(CELL("address",H142), "\$([A-Z]+)\$[0-9]+"))),_xlfn.REGEXEXTRACT(CELL("address",H142), "\$([A-Z]+)\$[0-9]+"))</f>
        <v/>
      </c>
      <c r="I142" s="7" t="str" cm="1">
        <f t="array" aca="1" ref="I142" ca="1">IFERROR(IF(OR('Raw Data'!I142="",LEN(TRIM('Raw Data'!I142))=0),"",IF(AND(ISNUMBER('Raw Data'!I142), IFERROR('Raw Data'!I142 = ROUND('Raw Data'!I142, 4),FALSE)),"",_xlfn.REGEXEXTRACT(CELL("address",I142), "\$([A-Z]+)\$[0-9]+"))),_xlfn.REGEXEXTRACT(CELL("address",I142), "\$([A-Z]+)\$[0-9]+"))</f>
        <v/>
      </c>
      <c r="J142" s="7" t="str" cm="1">
        <f t="array" aca="1" ref="J142" ca="1">IFERROR(IF(OR('Raw Data'!J142="",LEN(TRIM('Raw Data'!J142))=0),"",IF(AND(ISNUMBER('Raw Data'!J142), IFERROR('Raw Data'!J142 = ROUND('Raw Data'!J142, 4),FALSE)),"",_xlfn.REGEXEXTRACT(CELL("address",J142), "\$([A-Z]+)\$[0-9]+"))),_xlfn.REGEXEXTRACT(CELL("address",J142), "\$([A-Z]+)\$[0-9]+"))</f>
        <v/>
      </c>
      <c r="K142" s="7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7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</row>
    <row r="143" spans="2:22" x14ac:dyDescent="0.25">
      <c r="B143" s="7" t="str" cm="1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20,LEN('Raw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Data'!D143))=0),"",IF(AND(ISNUMBER('Raw Data'!D143),'Raw Data'!D143&gt;=Configuration!$D$2),"",_xlfn.REGEXEXTRACT(CELL("address",'Raw Data'!D143),"\$([A-Z]+)\$[0-9]+"))),_xlfn.REGEXEXTRACT(CELL("address",D143), "\$([A-Z]+)\$[0-9]+"))</f>
        <v/>
      </c>
      <c r="E143" s="7" t="str" cm="1">
        <f t="array" aca="1" ref="E143" ca="1">IFERROR(IF(OR('Raw Data'!E143="",LEN(TRIM('Raw Data'!E143))=0),"",IF(AND(ISNUMBER('Raw Data'!E143), IFERROR('Raw Data'!E143 = ROUND('Raw Data'!E143, 4),FALSE)),"",_xlfn.REGEXEXTRACT(CELL("address",E143), "\$([A-Z]+)\$[0-9]+"))),_xlfn.REGEXEXTRACT(CELL("address",E143), "\$([A-Z]+)\$[0-9]+"))</f>
        <v/>
      </c>
      <c r="F143" s="7" t="str" cm="1">
        <f t="array" aca="1" ref="F143" ca="1">IFERROR(IF(OR('Raw Data'!F143="",LEN(TRIM('Raw Data'!F143))=0),"",IF(AND(ISNUMBER('Raw Data'!F143), IFERROR('Raw Data'!F143 = ROUND('Raw Data'!F143, 4),FALSE)),"",_xlfn.REGEXEXTRACT(CELL("address",F143), "\$([A-Z]+)\$[0-9]+"))),_xlfn.REGEXEXTRACT(CELL("address",F143), "\$([A-Z]+)\$[0-9]+"))</f>
        <v/>
      </c>
      <c r="G143" s="7" t="str" cm="1">
        <f t="array" aca="1" ref="G143" ca="1">IFERROR(IF(OR('Raw Data'!G143="",LEN(TRIM('Raw Data'!G143))=0),"",IF(AND(ISNUMBER('Raw Data'!G143), IFERROR('Raw Data'!G143 = ROUND('Raw Data'!G143, 4),FALSE)),"",_xlfn.REGEXEXTRACT(CELL("address",G143), "\$([A-Z]+)\$[0-9]+"))),_xlfn.REGEXEXTRACT(CELL("address",G143), "\$([A-Z]+)\$[0-9]+"))</f>
        <v/>
      </c>
      <c r="H143" s="7" t="str" cm="1">
        <f t="array" aca="1" ref="H143" ca="1">IFERROR(IF(OR('Raw Data'!H143="",LEN(TRIM('Raw Data'!H143))=0),"",IF(AND(ISNUMBER('Raw Data'!H143), IFERROR('Raw Data'!H143 = ROUND('Raw Data'!H143, 4),FALSE)),"",_xlfn.REGEXEXTRACT(CELL("address",H143), "\$([A-Z]+)\$[0-9]+"))),_xlfn.REGEXEXTRACT(CELL("address",H143), "\$([A-Z]+)\$[0-9]+"))</f>
        <v/>
      </c>
      <c r="I143" s="7" t="str" cm="1">
        <f t="array" aca="1" ref="I143" ca="1">IFERROR(IF(OR('Raw Data'!I143="",LEN(TRIM('Raw Data'!I143))=0),"",IF(AND(ISNUMBER('Raw Data'!I143), IFERROR('Raw Data'!I143 = ROUND('Raw Data'!I143, 4),FALSE)),"",_xlfn.REGEXEXTRACT(CELL("address",I143), "\$([A-Z]+)\$[0-9]+"))),_xlfn.REGEXEXTRACT(CELL("address",I143), "\$([A-Z]+)\$[0-9]+"))</f>
        <v/>
      </c>
      <c r="J143" s="7" t="str" cm="1">
        <f t="array" aca="1" ref="J143" ca="1">IFERROR(IF(OR('Raw Data'!J143="",LEN(TRIM('Raw Data'!J143))=0),"",IF(AND(ISNUMBER('Raw Data'!J143), IFERROR('Raw Data'!J143 = ROUND('Raw Data'!J143, 4),FALSE)),"",_xlfn.REGEXEXTRACT(CELL("address",J143), "\$([A-Z]+)\$[0-9]+"))),_xlfn.REGEXEXTRACT(CELL("address",J143), "\$([A-Z]+)\$[0-9]+"))</f>
        <v/>
      </c>
      <c r="K143" s="7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7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</row>
    <row r="144" spans="2:22" x14ac:dyDescent="0.25">
      <c r="B144" s="7" t="str" cm="1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20,LEN('Raw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Data'!D144))=0),"",IF(AND(ISNUMBER('Raw Data'!D144),'Raw Data'!D144&gt;=Configuration!$D$2),"",_xlfn.REGEXEXTRACT(CELL("address",'Raw Data'!D144),"\$([A-Z]+)\$[0-9]+"))),_xlfn.REGEXEXTRACT(CELL("address",D144), "\$([A-Z]+)\$[0-9]+"))</f>
        <v/>
      </c>
      <c r="E144" s="7" t="str" cm="1">
        <f t="array" aca="1" ref="E144" ca="1">IFERROR(IF(OR('Raw Data'!E144="",LEN(TRIM('Raw Data'!E144))=0),"",IF(AND(ISNUMBER('Raw Data'!E144), IFERROR('Raw Data'!E144 = ROUND('Raw Data'!E144, 4),FALSE)),"",_xlfn.REGEXEXTRACT(CELL("address",E144), "\$([A-Z]+)\$[0-9]+"))),_xlfn.REGEXEXTRACT(CELL("address",E144), "\$([A-Z]+)\$[0-9]+"))</f>
        <v/>
      </c>
      <c r="F144" s="7" t="str" cm="1">
        <f t="array" aca="1" ref="F144" ca="1">IFERROR(IF(OR('Raw Data'!F144="",LEN(TRIM('Raw Data'!F144))=0),"",IF(AND(ISNUMBER('Raw Data'!F144), IFERROR('Raw Data'!F144 = ROUND('Raw Data'!F144, 4),FALSE)),"",_xlfn.REGEXEXTRACT(CELL("address",F144), "\$([A-Z]+)\$[0-9]+"))),_xlfn.REGEXEXTRACT(CELL("address",F144), "\$([A-Z]+)\$[0-9]+"))</f>
        <v/>
      </c>
      <c r="G144" s="7" t="str" cm="1">
        <f t="array" aca="1" ref="G144" ca="1">IFERROR(IF(OR('Raw Data'!G144="",LEN(TRIM('Raw Data'!G144))=0),"",IF(AND(ISNUMBER('Raw Data'!G144), IFERROR('Raw Data'!G144 = ROUND('Raw Data'!G144, 4),FALSE)),"",_xlfn.REGEXEXTRACT(CELL("address",G144), "\$([A-Z]+)\$[0-9]+"))),_xlfn.REGEXEXTRACT(CELL("address",G144), "\$([A-Z]+)\$[0-9]+"))</f>
        <v/>
      </c>
      <c r="H144" s="7" t="str" cm="1">
        <f t="array" aca="1" ref="H144" ca="1">IFERROR(IF(OR('Raw Data'!H144="",LEN(TRIM('Raw Data'!H144))=0),"",IF(AND(ISNUMBER('Raw Data'!H144), IFERROR('Raw Data'!H144 = ROUND('Raw Data'!H144, 4),FALSE)),"",_xlfn.REGEXEXTRACT(CELL("address",H144), "\$([A-Z]+)\$[0-9]+"))),_xlfn.REGEXEXTRACT(CELL("address",H144), "\$([A-Z]+)\$[0-9]+"))</f>
        <v/>
      </c>
      <c r="I144" s="7" t="str" cm="1">
        <f t="array" aca="1" ref="I144" ca="1">IFERROR(IF(OR('Raw Data'!I144="",LEN(TRIM('Raw Data'!I144))=0),"",IF(AND(ISNUMBER('Raw Data'!I144), IFERROR('Raw Data'!I144 = ROUND('Raw Data'!I144, 4),FALSE)),"",_xlfn.REGEXEXTRACT(CELL("address",I144), "\$([A-Z]+)\$[0-9]+"))),_xlfn.REGEXEXTRACT(CELL("address",I144), "\$([A-Z]+)\$[0-9]+"))</f>
        <v/>
      </c>
      <c r="J144" s="7" t="str" cm="1">
        <f t="array" aca="1" ref="J144" ca="1">IFERROR(IF(OR('Raw Data'!J144="",LEN(TRIM('Raw Data'!J144))=0),"",IF(AND(ISNUMBER('Raw Data'!J144), IFERROR('Raw Data'!J144 = ROUND('Raw Data'!J144, 4),FALSE)),"",_xlfn.REGEXEXTRACT(CELL("address",J144), "\$([A-Z]+)\$[0-9]+"))),_xlfn.REGEXEXTRACT(CELL("address",J144), "\$([A-Z]+)\$[0-9]+"))</f>
        <v/>
      </c>
      <c r="K144" s="7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7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</row>
    <row r="145" spans="2:22" x14ac:dyDescent="0.25">
      <c r="B145" s="7" t="str" cm="1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20,LEN('Raw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Data'!D145))=0),"",IF(AND(ISNUMBER('Raw Data'!D145),'Raw Data'!D145&gt;=Configuration!$D$2),"",_xlfn.REGEXEXTRACT(CELL("address",'Raw Data'!D145),"\$([A-Z]+)\$[0-9]+"))),_xlfn.REGEXEXTRACT(CELL("address",D145), "\$([A-Z]+)\$[0-9]+"))</f>
        <v/>
      </c>
      <c r="E145" s="7" t="str" cm="1">
        <f t="array" aca="1" ref="E145" ca="1">IFERROR(IF(OR('Raw Data'!E145="",LEN(TRIM('Raw Data'!E145))=0),"",IF(AND(ISNUMBER('Raw Data'!E145), IFERROR('Raw Data'!E145 = ROUND('Raw Data'!E145, 4),FALSE)),"",_xlfn.REGEXEXTRACT(CELL("address",E145), "\$([A-Z]+)\$[0-9]+"))),_xlfn.REGEXEXTRACT(CELL("address",E145), "\$([A-Z]+)\$[0-9]+"))</f>
        <v/>
      </c>
      <c r="F145" s="7" t="str" cm="1">
        <f t="array" aca="1" ref="F145" ca="1">IFERROR(IF(OR('Raw Data'!F145="",LEN(TRIM('Raw Data'!F145))=0),"",IF(AND(ISNUMBER('Raw Data'!F145), IFERROR('Raw Data'!F145 = ROUND('Raw Data'!F145, 4),FALSE)),"",_xlfn.REGEXEXTRACT(CELL("address",F145), "\$([A-Z]+)\$[0-9]+"))),_xlfn.REGEXEXTRACT(CELL("address",F145), "\$([A-Z]+)\$[0-9]+"))</f>
        <v/>
      </c>
      <c r="G145" s="7" t="str" cm="1">
        <f t="array" aca="1" ref="G145" ca="1">IFERROR(IF(OR('Raw Data'!G145="",LEN(TRIM('Raw Data'!G145))=0),"",IF(AND(ISNUMBER('Raw Data'!G145), IFERROR('Raw Data'!G145 = ROUND('Raw Data'!G145, 4),FALSE)),"",_xlfn.REGEXEXTRACT(CELL("address",G145), "\$([A-Z]+)\$[0-9]+"))),_xlfn.REGEXEXTRACT(CELL("address",G145), "\$([A-Z]+)\$[0-9]+"))</f>
        <v/>
      </c>
      <c r="H145" s="7" t="str" cm="1">
        <f t="array" aca="1" ref="H145" ca="1">IFERROR(IF(OR('Raw Data'!H145="",LEN(TRIM('Raw Data'!H145))=0),"",IF(AND(ISNUMBER('Raw Data'!H145), IFERROR('Raw Data'!H145 = ROUND('Raw Data'!H145, 4),FALSE)),"",_xlfn.REGEXEXTRACT(CELL("address",H145), "\$([A-Z]+)\$[0-9]+"))),_xlfn.REGEXEXTRACT(CELL("address",H145), "\$([A-Z]+)\$[0-9]+"))</f>
        <v/>
      </c>
      <c r="I145" s="7" t="str" cm="1">
        <f t="array" aca="1" ref="I145" ca="1">IFERROR(IF(OR('Raw Data'!I145="",LEN(TRIM('Raw Data'!I145))=0),"",IF(AND(ISNUMBER('Raw Data'!I145), IFERROR('Raw Data'!I145 = ROUND('Raw Data'!I145, 4),FALSE)),"",_xlfn.REGEXEXTRACT(CELL("address",I145), "\$([A-Z]+)\$[0-9]+"))),_xlfn.REGEXEXTRACT(CELL("address",I145), "\$([A-Z]+)\$[0-9]+"))</f>
        <v/>
      </c>
      <c r="J145" s="7" t="str" cm="1">
        <f t="array" aca="1" ref="J145" ca="1">IFERROR(IF(OR('Raw Data'!J145="",LEN(TRIM('Raw Data'!J145))=0),"",IF(AND(ISNUMBER('Raw Data'!J145), IFERROR('Raw Data'!J145 = ROUND('Raw Data'!J145, 4),FALSE)),"",_xlfn.REGEXEXTRACT(CELL("address",J145), "\$([A-Z]+)\$[0-9]+"))),_xlfn.REGEXEXTRACT(CELL("address",J145), "\$([A-Z]+)\$[0-9]+"))</f>
        <v/>
      </c>
      <c r="K145" s="7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7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</row>
    <row r="146" spans="2:22" x14ac:dyDescent="0.25">
      <c r="B146" s="7" t="str" cm="1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20,LEN('Raw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Data'!D146))=0),"",IF(AND(ISNUMBER('Raw Data'!D146),'Raw Data'!D146&gt;=Configuration!$D$2),"",_xlfn.REGEXEXTRACT(CELL("address",'Raw Data'!D146),"\$([A-Z]+)\$[0-9]+"))),_xlfn.REGEXEXTRACT(CELL("address",D146), "\$([A-Z]+)\$[0-9]+"))</f>
        <v/>
      </c>
      <c r="E146" s="7" t="str" cm="1">
        <f t="array" aca="1" ref="E146" ca="1">IFERROR(IF(OR('Raw Data'!E146="",LEN(TRIM('Raw Data'!E146))=0),"",IF(AND(ISNUMBER('Raw Data'!E146), IFERROR('Raw Data'!E146 = ROUND('Raw Data'!E146, 4),FALSE)),"",_xlfn.REGEXEXTRACT(CELL("address",E146), "\$([A-Z]+)\$[0-9]+"))),_xlfn.REGEXEXTRACT(CELL("address",E146), "\$([A-Z]+)\$[0-9]+"))</f>
        <v/>
      </c>
      <c r="F146" s="7" t="str" cm="1">
        <f t="array" aca="1" ref="F146" ca="1">IFERROR(IF(OR('Raw Data'!F146="",LEN(TRIM('Raw Data'!F146))=0),"",IF(AND(ISNUMBER('Raw Data'!F146), IFERROR('Raw Data'!F146 = ROUND('Raw Data'!F146, 4),FALSE)),"",_xlfn.REGEXEXTRACT(CELL("address",F146), "\$([A-Z]+)\$[0-9]+"))),_xlfn.REGEXEXTRACT(CELL("address",F146), "\$([A-Z]+)\$[0-9]+"))</f>
        <v/>
      </c>
      <c r="G146" s="7" t="str" cm="1">
        <f t="array" aca="1" ref="G146" ca="1">IFERROR(IF(OR('Raw Data'!G146="",LEN(TRIM('Raw Data'!G146))=0),"",IF(AND(ISNUMBER('Raw Data'!G146), IFERROR('Raw Data'!G146 = ROUND('Raw Data'!G146, 4),FALSE)),"",_xlfn.REGEXEXTRACT(CELL("address",G146), "\$([A-Z]+)\$[0-9]+"))),_xlfn.REGEXEXTRACT(CELL("address",G146), "\$([A-Z]+)\$[0-9]+"))</f>
        <v/>
      </c>
      <c r="H146" s="7" t="str" cm="1">
        <f t="array" aca="1" ref="H146" ca="1">IFERROR(IF(OR('Raw Data'!H146="",LEN(TRIM('Raw Data'!H146))=0),"",IF(AND(ISNUMBER('Raw Data'!H146), IFERROR('Raw Data'!H146 = ROUND('Raw Data'!H146, 4),FALSE)),"",_xlfn.REGEXEXTRACT(CELL("address",H146), "\$([A-Z]+)\$[0-9]+"))),_xlfn.REGEXEXTRACT(CELL("address",H146), "\$([A-Z]+)\$[0-9]+"))</f>
        <v/>
      </c>
      <c r="I146" s="7" t="str" cm="1">
        <f t="array" aca="1" ref="I146" ca="1">IFERROR(IF(OR('Raw Data'!I146="",LEN(TRIM('Raw Data'!I146))=0),"",IF(AND(ISNUMBER('Raw Data'!I146), IFERROR('Raw Data'!I146 = ROUND('Raw Data'!I146, 4),FALSE)),"",_xlfn.REGEXEXTRACT(CELL("address",I146), "\$([A-Z]+)\$[0-9]+"))),_xlfn.REGEXEXTRACT(CELL("address",I146), "\$([A-Z]+)\$[0-9]+"))</f>
        <v/>
      </c>
      <c r="J146" s="7" t="str" cm="1">
        <f t="array" aca="1" ref="J146" ca="1">IFERROR(IF(OR('Raw Data'!J146="",LEN(TRIM('Raw Data'!J146))=0),"",IF(AND(ISNUMBER('Raw Data'!J146), IFERROR('Raw Data'!J146 = ROUND('Raw Data'!J146, 4),FALSE)),"",_xlfn.REGEXEXTRACT(CELL("address",J146), "\$([A-Z]+)\$[0-9]+"))),_xlfn.REGEXEXTRACT(CELL("address",J146), "\$([A-Z]+)\$[0-9]+"))</f>
        <v/>
      </c>
      <c r="K146" s="7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7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</row>
    <row r="147" spans="2:22" x14ac:dyDescent="0.25">
      <c r="B147" s="7" t="str" cm="1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20,LEN('Raw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Data'!D147))=0),"",IF(AND(ISNUMBER('Raw Data'!D147),'Raw Data'!D147&gt;=Configuration!$D$2),"",_xlfn.REGEXEXTRACT(CELL("address",'Raw Data'!D147),"\$([A-Z]+)\$[0-9]+"))),_xlfn.REGEXEXTRACT(CELL("address",D147), "\$([A-Z]+)\$[0-9]+"))</f>
        <v/>
      </c>
      <c r="E147" s="7" t="str" cm="1">
        <f t="array" aca="1" ref="E147" ca="1">IFERROR(IF(OR('Raw Data'!E147="",LEN(TRIM('Raw Data'!E147))=0),"",IF(AND(ISNUMBER('Raw Data'!E147), IFERROR('Raw Data'!E147 = ROUND('Raw Data'!E147, 4),FALSE)),"",_xlfn.REGEXEXTRACT(CELL("address",E147), "\$([A-Z]+)\$[0-9]+"))),_xlfn.REGEXEXTRACT(CELL("address",E147), "\$([A-Z]+)\$[0-9]+"))</f>
        <v/>
      </c>
      <c r="F147" s="7" t="str" cm="1">
        <f t="array" aca="1" ref="F147" ca="1">IFERROR(IF(OR('Raw Data'!F147="",LEN(TRIM('Raw Data'!F147))=0),"",IF(AND(ISNUMBER('Raw Data'!F147), IFERROR('Raw Data'!F147 = ROUND('Raw Data'!F147, 4),FALSE)),"",_xlfn.REGEXEXTRACT(CELL("address",F147), "\$([A-Z]+)\$[0-9]+"))),_xlfn.REGEXEXTRACT(CELL("address",F147), "\$([A-Z]+)\$[0-9]+"))</f>
        <v/>
      </c>
      <c r="G147" s="7" t="str" cm="1">
        <f t="array" aca="1" ref="G147" ca="1">IFERROR(IF(OR('Raw Data'!G147="",LEN(TRIM('Raw Data'!G147))=0),"",IF(AND(ISNUMBER('Raw Data'!G147), IFERROR('Raw Data'!G147 = ROUND('Raw Data'!G147, 4),FALSE)),"",_xlfn.REGEXEXTRACT(CELL("address",G147), "\$([A-Z]+)\$[0-9]+"))),_xlfn.REGEXEXTRACT(CELL("address",G147), "\$([A-Z]+)\$[0-9]+"))</f>
        <v/>
      </c>
      <c r="H147" s="7" t="str" cm="1">
        <f t="array" aca="1" ref="H147" ca="1">IFERROR(IF(OR('Raw Data'!H147="",LEN(TRIM('Raw Data'!H147))=0),"",IF(AND(ISNUMBER('Raw Data'!H147), IFERROR('Raw Data'!H147 = ROUND('Raw Data'!H147, 4),FALSE)),"",_xlfn.REGEXEXTRACT(CELL("address",H147), "\$([A-Z]+)\$[0-9]+"))),_xlfn.REGEXEXTRACT(CELL("address",H147), "\$([A-Z]+)\$[0-9]+"))</f>
        <v/>
      </c>
      <c r="I147" s="7" t="str" cm="1">
        <f t="array" aca="1" ref="I147" ca="1">IFERROR(IF(OR('Raw Data'!I147="",LEN(TRIM('Raw Data'!I147))=0),"",IF(AND(ISNUMBER('Raw Data'!I147), IFERROR('Raw Data'!I147 = ROUND('Raw Data'!I147, 4),FALSE)),"",_xlfn.REGEXEXTRACT(CELL("address",I147), "\$([A-Z]+)\$[0-9]+"))),_xlfn.REGEXEXTRACT(CELL("address",I147), "\$([A-Z]+)\$[0-9]+"))</f>
        <v/>
      </c>
      <c r="J147" s="7" t="str" cm="1">
        <f t="array" aca="1" ref="J147" ca="1">IFERROR(IF(OR('Raw Data'!J147="",LEN(TRIM('Raw Data'!J147))=0),"",IF(AND(ISNUMBER('Raw Data'!J147), IFERROR('Raw Data'!J147 = ROUND('Raw Data'!J147, 4),FALSE)),"",_xlfn.REGEXEXTRACT(CELL("address",J147), "\$([A-Z]+)\$[0-9]+"))),_xlfn.REGEXEXTRACT(CELL("address",J147), "\$([A-Z]+)\$[0-9]+"))</f>
        <v/>
      </c>
      <c r="K147" s="7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7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</row>
    <row r="148" spans="2:22" x14ac:dyDescent="0.25">
      <c r="B148" s="7" t="str" cm="1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20,LEN('Raw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Data'!D148))=0),"",IF(AND(ISNUMBER('Raw Data'!D148),'Raw Data'!D148&gt;=Configuration!$D$2),"",_xlfn.REGEXEXTRACT(CELL("address",'Raw Data'!D148),"\$([A-Z]+)\$[0-9]+"))),_xlfn.REGEXEXTRACT(CELL("address",D148), "\$([A-Z]+)\$[0-9]+"))</f>
        <v/>
      </c>
      <c r="E148" s="7" t="str" cm="1">
        <f t="array" aca="1" ref="E148" ca="1">IFERROR(IF(OR('Raw Data'!E148="",LEN(TRIM('Raw Data'!E148))=0),"",IF(AND(ISNUMBER('Raw Data'!E148), IFERROR('Raw Data'!E148 = ROUND('Raw Data'!E148, 4),FALSE)),"",_xlfn.REGEXEXTRACT(CELL("address",E148), "\$([A-Z]+)\$[0-9]+"))),_xlfn.REGEXEXTRACT(CELL("address",E148), "\$([A-Z]+)\$[0-9]+"))</f>
        <v/>
      </c>
      <c r="F148" s="7" t="str" cm="1">
        <f t="array" aca="1" ref="F148" ca="1">IFERROR(IF(OR('Raw Data'!F148="",LEN(TRIM('Raw Data'!F148))=0),"",IF(AND(ISNUMBER('Raw Data'!F148), IFERROR('Raw Data'!F148 = ROUND('Raw Data'!F148, 4),FALSE)),"",_xlfn.REGEXEXTRACT(CELL("address",F148), "\$([A-Z]+)\$[0-9]+"))),_xlfn.REGEXEXTRACT(CELL("address",F148), "\$([A-Z]+)\$[0-9]+"))</f>
        <v/>
      </c>
      <c r="G148" s="7" t="str" cm="1">
        <f t="array" aca="1" ref="G148" ca="1">IFERROR(IF(OR('Raw Data'!G148="",LEN(TRIM('Raw Data'!G148))=0),"",IF(AND(ISNUMBER('Raw Data'!G148), IFERROR('Raw Data'!G148 = ROUND('Raw Data'!G148, 4),FALSE)),"",_xlfn.REGEXEXTRACT(CELL("address",G148), "\$([A-Z]+)\$[0-9]+"))),_xlfn.REGEXEXTRACT(CELL("address",G148), "\$([A-Z]+)\$[0-9]+"))</f>
        <v/>
      </c>
      <c r="H148" s="7" t="str" cm="1">
        <f t="array" aca="1" ref="H148" ca="1">IFERROR(IF(OR('Raw Data'!H148="",LEN(TRIM('Raw Data'!H148))=0),"",IF(AND(ISNUMBER('Raw Data'!H148), IFERROR('Raw Data'!H148 = ROUND('Raw Data'!H148, 4),FALSE)),"",_xlfn.REGEXEXTRACT(CELL("address",H148), "\$([A-Z]+)\$[0-9]+"))),_xlfn.REGEXEXTRACT(CELL("address",H148), "\$([A-Z]+)\$[0-9]+"))</f>
        <v/>
      </c>
      <c r="I148" s="7" t="str" cm="1">
        <f t="array" aca="1" ref="I148" ca="1">IFERROR(IF(OR('Raw Data'!I148="",LEN(TRIM('Raw Data'!I148))=0),"",IF(AND(ISNUMBER('Raw Data'!I148), IFERROR('Raw Data'!I148 = ROUND('Raw Data'!I148, 4),FALSE)),"",_xlfn.REGEXEXTRACT(CELL("address",I148), "\$([A-Z]+)\$[0-9]+"))),_xlfn.REGEXEXTRACT(CELL("address",I148), "\$([A-Z]+)\$[0-9]+"))</f>
        <v/>
      </c>
      <c r="J148" s="7" t="str" cm="1">
        <f t="array" aca="1" ref="J148" ca="1">IFERROR(IF(OR('Raw Data'!J148="",LEN(TRIM('Raw Data'!J148))=0),"",IF(AND(ISNUMBER('Raw Data'!J148), IFERROR('Raw Data'!J148 = ROUND('Raw Data'!J148, 4),FALSE)),"",_xlfn.REGEXEXTRACT(CELL("address",J148), "\$([A-Z]+)\$[0-9]+"))),_xlfn.REGEXEXTRACT(CELL("address",J148), "\$([A-Z]+)\$[0-9]+"))</f>
        <v/>
      </c>
      <c r="K148" s="7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7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</row>
    <row r="149" spans="2:22" x14ac:dyDescent="0.25">
      <c r="B149" s="7" t="str" cm="1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20,LEN('Raw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Data'!D149))=0),"",IF(AND(ISNUMBER('Raw Data'!D149),'Raw Data'!D149&gt;=Configuration!$D$2),"",_xlfn.REGEXEXTRACT(CELL("address",'Raw Data'!D149),"\$([A-Z]+)\$[0-9]+"))),_xlfn.REGEXEXTRACT(CELL("address",D149), "\$([A-Z]+)\$[0-9]+"))</f>
        <v/>
      </c>
      <c r="E149" s="7" t="str" cm="1">
        <f t="array" aca="1" ref="E149" ca="1">IFERROR(IF(OR('Raw Data'!E149="",LEN(TRIM('Raw Data'!E149))=0),"",IF(AND(ISNUMBER('Raw Data'!E149), IFERROR('Raw Data'!E149 = ROUND('Raw Data'!E149, 4),FALSE)),"",_xlfn.REGEXEXTRACT(CELL("address",E149), "\$([A-Z]+)\$[0-9]+"))),_xlfn.REGEXEXTRACT(CELL("address",E149), "\$([A-Z]+)\$[0-9]+"))</f>
        <v/>
      </c>
      <c r="F149" s="7" t="str" cm="1">
        <f t="array" aca="1" ref="F149" ca="1">IFERROR(IF(OR('Raw Data'!F149="",LEN(TRIM('Raw Data'!F149))=0),"",IF(AND(ISNUMBER('Raw Data'!F149), IFERROR('Raw Data'!F149 = ROUND('Raw Data'!F149, 4),FALSE)),"",_xlfn.REGEXEXTRACT(CELL("address",F149), "\$([A-Z]+)\$[0-9]+"))),_xlfn.REGEXEXTRACT(CELL("address",F149), "\$([A-Z]+)\$[0-9]+"))</f>
        <v/>
      </c>
      <c r="G149" s="7" t="str" cm="1">
        <f t="array" aca="1" ref="G149" ca="1">IFERROR(IF(OR('Raw Data'!G149="",LEN(TRIM('Raw Data'!G149))=0),"",IF(AND(ISNUMBER('Raw Data'!G149), IFERROR('Raw Data'!G149 = ROUND('Raw Data'!G149, 4),FALSE)),"",_xlfn.REGEXEXTRACT(CELL("address",G149), "\$([A-Z]+)\$[0-9]+"))),_xlfn.REGEXEXTRACT(CELL("address",G149), "\$([A-Z]+)\$[0-9]+"))</f>
        <v/>
      </c>
      <c r="H149" s="7" t="str" cm="1">
        <f t="array" aca="1" ref="H149" ca="1">IFERROR(IF(OR('Raw Data'!H149="",LEN(TRIM('Raw Data'!H149))=0),"",IF(AND(ISNUMBER('Raw Data'!H149), IFERROR('Raw Data'!H149 = ROUND('Raw Data'!H149, 4),FALSE)),"",_xlfn.REGEXEXTRACT(CELL("address",H149), "\$([A-Z]+)\$[0-9]+"))),_xlfn.REGEXEXTRACT(CELL("address",H149), "\$([A-Z]+)\$[0-9]+"))</f>
        <v/>
      </c>
      <c r="I149" s="7" t="str" cm="1">
        <f t="array" aca="1" ref="I149" ca="1">IFERROR(IF(OR('Raw Data'!I149="",LEN(TRIM('Raw Data'!I149))=0),"",IF(AND(ISNUMBER('Raw Data'!I149), IFERROR('Raw Data'!I149 = ROUND('Raw Data'!I149, 4),FALSE)),"",_xlfn.REGEXEXTRACT(CELL("address",I149), "\$([A-Z]+)\$[0-9]+"))),_xlfn.REGEXEXTRACT(CELL("address",I149), "\$([A-Z]+)\$[0-9]+"))</f>
        <v/>
      </c>
      <c r="J149" s="7" t="str" cm="1">
        <f t="array" aca="1" ref="J149" ca="1">IFERROR(IF(OR('Raw Data'!J149="",LEN(TRIM('Raw Data'!J149))=0),"",IF(AND(ISNUMBER('Raw Data'!J149), IFERROR('Raw Data'!J149 = ROUND('Raw Data'!J149, 4),FALSE)),"",_xlfn.REGEXEXTRACT(CELL("address",J149), "\$([A-Z]+)\$[0-9]+"))),_xlfn.REGEXEXTRACT(CELL("address",J149), "\$([A-Z]+)\$[0-9]+"))</f>
        <v/>
      </c>
      <c r="K149" s="7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7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</row>
    <row r="150" spans="2:22" x14ac:dyDescent="0.25">
      <c r="B150" s="7" t="str" cm="1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20,LEN('Raw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Data'!D150))=0),"",IF(AND(ISNUMBER('Raw Data'!D150),'Raw Data'!D150&gt;=Configuration!$D$2),"",_xlfn.REGEXEXTRACT(CELL("address",'Raw Data'!D150),"\$([A-Z]+)\$[0-9]+"))),_xlfn.REGEXEXTRACT(CELL("address",D150), "\$([A-Z]+)\$[0-9]+"))</f>
        <v/>
      </c>
      <c r="E150" s="7" t="str" cm="1">
        <f t="array" aca="1" ref="E150" ca="1">IFERROR(IF(OR('Raw Data'!E150="",LEN(TRIM('Raw Data'!E150))=0),"",IF(AND(ISNUMBER('Raw Data'!E150), IFERROR('Raw Data'!E150 = ROUND('Raw Data'!E150, 4),FALSE)),"",_xlfn.REGEXEXTRACT(CELL("address",E150), "\$([A-Z]+)\$[0-9]+"))),_xlfn.REGEXEXTRACT(CELL("address",E150), "\$([A-Z]+)\$[0-9]+"))</f>
        <v/>
      </c>
      <c r="F150" s="7" t="str" cm="1">
        <f t="array" aca="1" ref="F150" ca="1">IFERROR(IF(OR('Raw Data'!F150="",LEN(TRIM('Raw Data'!F150))=0),"",IF(AND(ISNUMBER('Raw Data'!F150), IFERROR('Raw Data'!F150 = ROUND('Raw Data'!F150, 4),FALSE)),"",_xlfn.REGEXEXTRACT(CELL("address",F150), "\$([A-Z]+)\$[0-9]+"))),_xlfn.REGEXEXTRACT(CELL("address",F150), "\$([A-Z]+)\$[0-9]+"))</f>
        <v/>
      </c>
      <c r="G150" s="7" t="str" cm="1">
        <f t="array" aca="1" ref="G150" ca="1">IFERROR(IF(OR('Raw Data'!G150="",LEN(TRIM('Raw Data'!G150))=0),"",IF(AND(ISNUMBER('Raw Data'!G150), IFERROR('Raw Data'!G150 = ROUND('Raw Data'!G150, 4),FALSE)),"",_xlfn.REGEXEXTRACT(CELL("address",G150), "\$([A-Z]+)\$[0-9]+"))),_xlfn.REGEXEXTRACT(CELL("address",G150), "\$([A-Z]+)\$[0-9]+"))</f>
        <v/>
      </c>
      <c r="H150" s="7" t="str" cm="1">
        <f t="array" aca="1" ref="H150" ca="1">IFERROR(IF(OR('Raw Data'!H150="",LEN(TRIM('Raw Data'!H150))=0),"",IF(AND(ISNUMBER('Raw Data'!H150), IFERROR('Raw Data'!H150 = ROUND('Raw Data'!H150, 4),FALSE)),"",_xlfn.REGEXEXTRACT(CELL("address",H150), "\$([A-Z]+)\$[0-9]+"))),_xlfn.REGEXEXTRACT(CELL("address",H150), "\$([A-Z]+)\$[0-9]+"))</f>
        <v/>
      </c>
      <c r="I150" s="7" t="str" cm="1">
        <f t="array" aca="1" ref="I150" ca="1">IFERROR(IF(OR('Raw Data'!I150="",LEN(TRIM('Raw Data'!I150))=0),"",IF(AND(ISNUMBER('Raw Data'!I150), IFERROR('Raw Data'!I150 = ROUND('Raw Data'!I150, 4),FALSE)),"",_xlfn.REGEXEXTRACT(CELL("address",I150), "\$([A-Z]+)\$[0-9]+"))),_xlfn.REGEXEXTRACT(CELL("address",I150), "\$([A-Z]+)\$[0-9]+"))</f>
        <v/>
      </c>
      <c r="J150" s="7" t="str" cm="1">
        <f t="array" aca="1" ref="J150" ca="1">IFERROR(IF(OR('Raw Data'!J150="",LEN(TRIM('Raw Data'!J150))=0),"",IF(AND(ISNUMBER('Raw Data'!J150), IFERROR('Raw Data'!J150 = ROUND('Raw Data'!J150, 4),FALSE)),"",_xlfn.REGEXEXTRACT(CELL("address",J150), "\$([A-Z]+)\$[0-9]+"))),_xlfn.REGEXEXTRACT(CELL("address",J150), "\$([A-Z]+)\$[0-9]+"))</f>
        <v/>
      </c>
      <c r="K150" s="7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7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</row>
    <row r="151" spans="2:22" x14ac:dyDescent="0.25">
      <c r="B151" s="7" t="str" cm="1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20,LEN('Raw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Data'!D151))=0),"",IF(AND(ISNUMBER('Raw Data'!D151),'Raw Data'!D151&gt;=Configuration!$D$2),"",_xlfn.REGEXEXTRACT(CELL("address",'Raw Data'!D151),"\$([A-Z]+)\$[0-9]+"))),_xlfn.REGEXEXTRACT(CELL("address",D151), "\$([A-Z]+)\$[0-9]+"))</f>
        <v/>
      </c>
      <c r="E151" s="7" t="str" cm="1">
        <f t="array" aca="1" ref="E151" ca="1">IFERROR(IF(OR('Raw Data'!E151="",LEN(TRIM('Raw Data'!E151))=0),"",IF(AND(ISNUMBER('Raw Data'!E151), IFERROR('Raw Data'!E151 = ROUND('Raw Data'!E151, 4),FALSE)),"",_xlfn.REGEXEXTRACT(CELL("address",E151), "\$([A-Z]+)\$[0-9]+"))),_xlfn.REGEXEXTRACT(CELL("address",E151), "\$([A-Z]+)\$[0-9]+"))</f>
        <v/>
      </c>
      <c r="F151" s="7" t="str" cm="1">
        <f t="array" aca="1" ref="F151" ca="1">IFERROR(IF(OR('Raw Data'!F151="",LEN(TRIM('Raw Data'!F151))=0),"",IF(AND(ISNUMBER('Raw Data'!F151), IFERROR('Raw Data'!F151 = ROUND('Raw Data'!F151, 4),FALSE)),"",_xlfn.REGEXEXTRACT(CELL("address",F151), "\$([A-Z]+)\$[0-9]+"))),_xlfn.REGEXEXTRACT(CELL("address",F151), "\$([A-Z]+)\$[0-9]+"))</f>
        <v/>
      </c>
      <c r="G151" s="7" t="str" cm="1">
        <f t="array" aca="1" ref="G151" ca="1">IFERROR(IF(OR('Raw Data'!G151="",LEN(TRIM('Raw Data'!G151))=0),"",IF(AND(ISNUMBER('Raw Data'!G151), IFERROR('Raw Data'!G151 = ROUND('Raw Data'!G151, 4),FALSE)),"",_xlfn.REGEXEXTRACT(CELL("address",G151), "\$([A-Z]+)\$[0-9]+"))),_xlfn.REGEXEXTRACT(CELL("address",G151), "\$([A-Z]+)\$[0-9]+"))</f>
        <v/>
      </c>
      <c r="H151" s="7" t="str" cm="1">
        <f t="array" aca="1" ref="H151" ca="1">IFERROR(IF(OR('Raw Data'!H151="",LEN(TRIM('Raw Data'!H151))=0),"",IF(AND(ISNUMBER('Raw Data'!H151), IFERROR('Raw Data'!H151 = ROUND('Raw Data'!H151, 4),FALSE)),"",_xlfn.REGEXEXTRACT(CELL("address",H151), "\$([A-Z]+)\$[0-9]+"))),_xlfn.REGEXEXTRACT(CELL("address",H151), "\$([A-Z]+)\$[0-9]+"))</f>
        <v/>
      </c>
      <c r="I151" s="7" t="str" cm="1">
        <f t="array" aca="1" ref="I151" ca="1">IFERROR(IF(OR('Raw Data'!I151="",LEN(TRIM('Raw Data'!I151))=0),"",IF(AND(ISNUMBER('Raw Data'!I151), IFERROR('Raw Data'!I151 = ROUND('Raw Data'!I151, 4),FALSE)),"",_xlfn.REGEXEXTRACT(CELL("address",I151), "\$([A-Z]+)\$[0-9]+"))),_xlfn.REGEXEXTRACT(CELL("address",I151), "\$([A-Z]+)\$[0-9]+"))</f>
        <v/>
      </c>
      <c r="J151" s="7" t="str" cm="1">
        <f t="array" aca="1" ref="J151" ca="1">IFERROR(IF(OR('Raw Data'!J151="",LEN(TRIM('Raw Data'!J151))=0),"",IF(AND(ISNUMBER('Raw Data'!J151), IFERROR('Raw Data'!J151 = ROUND('Raw Data'!J151, 4),FALSE)),"",_xlfn.REGEXEXTRACT(CELL("address",J151), "\$([A-Z]+)\$[0-9]+"))),_xlfn.REGEXEXTRACT(CELL("address",J151), "\$([A-Z]+)\$[0-9]+"))</f>
        <v/>
      </c>
      <c r="K151" s="7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7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</row>
    <row r="152" spans="2:22" x14ac:dyDescent="0.25">
      <c r="B152" s="7" t="str" cm="1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20,LEN('Raw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Data'!D152))=0),"",IF(AND(ISNUMBER('Raw Data'!D152),'Raw Data'!D152&gt;=Configuration!$D$2),"",_xlfn.REGEXEXTRACT(CELL("address",'Raw Data'!D152),"\$([A-Z]+)\$[0-9]+"))),_xlfn.REGEXEXTRACT(CELL("address",D152), "\$([A-Z]+)\$[0-9]+"))</f>
        <v/>
      </c>
      <c r="E152" s="7" t="str" cm="1">
        <f t="array" aca="1" ref="E152" ca="1">IFERROR(IF(OR('Raw Data'!E152="",LEN(TRIM('Raw Data'!E152))=0),"",IF(AND(ISNUMBER('Raw Data'!E152), IFERROR('Raw Data'!E152 = ROUND('Raw Data'!E152, 4),FALSE)),"",_xlfn.REGEXEXTRACT(CELL("address",E152), "\$([A-Z]+)\$[0-9]+"))),_xlfn.REGEXEXTRACT(CELL("address",E152), "\$([A-Z]+)\$[0-9]+"))</f>
        <v/>
      </c>
      <c r="F152" s="7" t="str" cm="1">
        <f t="array" aca="1" ref="F152" ca="1">IFERROR(IF(OR('Raw Data'!F152="",LEN(TRIM('Raw Data'!F152))=0),"",IF(AND(ISNUMBER('Raw Data'!F152), IFERROR('Raw Data'!F152 = ROUND('Raw Data'!F152, 4),FALSE)),"",_xlfn.REGEXEXTRACT(CELL("address",F152), "\$([A-Z]+)\$[0-9]+"))),_xlfn.REGEXEXTRACT(CELL("address",F152), "\$([A-Z]+)\$[0-9]+"))</f>
        <v/>
      </c>
      <c r="G152" s="7" t="str" cm="1">
        <f t="array" aca="1" ref="G152" ca="1">IFERROR(IF(OR('Raw Data'!G152="",LEN(TRIM('Raw Data'!G152))=0),"",IF(AND(ISNUMBER('Raw Data'!G152), IFERROR('Raw Data'!G152 = ROUND('Raw Data'!G152, 4),FALSE)),"",_xlfn.REGEXEXTRACT(CELL("address",G152), "\$([A-Z]+)\$[0-9]+"))),_xlfn.REGEXEXTRACT(CELL("address",G152), "\$([A-Z]+)\$[0-9]+"))</f>
        <v/>
      </c>
      <c r="H152" s="7" t="str" cm="1">
        <f t="array" aca="1" ref="H152" ca="1">IFERROR(IF(OR('Raw Data'!H152="",LEN(TRIM('Raw Data'!H152))=0),"",IF(AND(ISNUMBER('Raw Data'!H152), IFERROR('Raw Data'!H152 = ROUND('Raw Data'!H152, 4),FALSE)),"",_xlfn.REGEXEXTRACT(CELL("address",H152), "\$([A-Z]+)\$[0-9]+"))),_xlfn.REGEXEXTRACT(CELL("address",H152), "\$([A-Z]+)\$[0-9]+"))</f>
        <v/>
      </c>
      <c r="I152" s="7" t="str" cm="1">
        <f t="array" aca="1" ref="I152" ca="1">IFERROR(IF(OR('Raw Data'!I152="",LEN(TRIM('Raw Data'!I152))=0),"",IF(AND(ISNUMBER('Raw Data'!I152), IFERROR('Raw Data'!I152 = ROUND('Raw Data'!I152, 4),FALSE)),"",_xlfn.REGEXEXTRACT(CELL("address",I152), "\$([A-Z]+)\$[0-9]+"))),_xlfn.REGEXEXTRACT(CELL("address",I152), "\$([A-Z]+)\$[0-9]+"))</f>
        <v/>
      </c>
      <c r="J152" s="7" t="str" cm="1">
        <f t="array" aca="1" ref="J152" ca="1">IFERROR(IF(OR('Raw Data'!J152="",LEN(TRIM('Raw Data'!J152))=0),"",IF(AND(ISNUMBER('Raw Data'!J152), IFERROR('Raw Data'!J152 = ROUND('Raw Data'!J152, 4),FALSE)),"",_xlfn.REGEXEXTRACT(CELL("address",J152), "\$([A-Z]+)\$[0-9]+"))),_xlfn.REGEXEXTRACT(CELL("address",J152), "\$([A-Z]+)\$[0-9]+"))</f>
        <v/>
      </c>
      <c r="K152" s="7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7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</row>
    <row r="153" spans="2:22" x14ac:dyDescent="0.25">
      <c r="B153" s="7" t="str" cm="1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20,LEN('Raw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Data'!D153))=0),"",IF(AND(ISNUMBER('Raw Data'!D153),'Raw Data'!D153&gt;=Configuration!$D$2),"",_xlfn.REGEXEXTRACT(CELL("address",'Raw Data'!D153),"\$([A-Z]+)\$[0-9]+"))),_xlfn.REGEXEXTRACT(CELL("address",D153), "\$([A-Z]+)\$[0-9]+"))</f>
        <v/>
      </c>
      <c r="E153" s="7" t="str" cm="1">
        <f t="array" aca="1" ref="E153" ca="1">IFERROR(IF(OR('Raw Data'!E153="",LEN(TRIM('Raw Data'!E153))=0),"",IF(AND(ISNUMBER('Raw Data'!E153), IFERROR('Raw Data'!E153 = ROUND('Raw Data'!E153, 4),FALSE)),"",_xlfn.REGEXEXTRACT(CELL("address",E153), "\$([A-Z]+)\$[0-9]+"))),_xlfn.REGEXEXTRACT(CELL("address",E153), "\$([A-Z]+)\$[0-9]+"))</f>
        <v/>
      </c>
      <c r="F153" s="7" t="str" cm="1">
        <f t="array" aca="1" ref="F153" ca="1">IFERROR(IF(OR('Raw Data'!F153="",LEN(TRIM('Raw Data'!F153))=0),"",IF(AND(ISNUMBER('Raw Data'!F153), IFERROR('Raw Data'!F153 = ROUND('Raw Data'!F153, 4),FALSE)),"",_xlfn.REGEXEXTRACT(CELL("address",F153), "\$([A-Z]+)\$[0-9]+"))),_xlfn.REGEXEXTRACT(CELL("address",F153), "\$([A-Z]+)\$[0-9]+"))</f>
        <v/>
      </c>
      <c r="G153" s="7" t="str" cm="1">
        <f t="array" aca="1" ref="G153" ca="1">IFERROR(IF(OR('Raw Data'!G153="",LEN(TRIM('Raw Data'!G153))=0),"",IF(AND(ISNUMBER('Raw Data'!G153), IFERROR('Raw Data'!G153 = ROUND('Raw Data'!G153, 4),FALSE)),"",_xlfn.REGEXEXTRACT(CELL("address",G153), "\$([A-Z]+)\$[0-9]+"))),_xlfn.REGEXEXTRACT(CELL("address",G153), "\$([A-Z]+)\$[0-9]+"))</f>
        <v/>
      </c>
      <c r="H153" s="7" t="str" cm="1">
        <f t="array" aca="1" ref="H153" ca="1">IFERROR(IF(OR('Raw Data'!H153="",LEN(TRIM('Raw Data'!H153))=0),"",IF(AND(ISNUMBER('Raw Data'!H153), IFERROR('Raw Data'!H153 = ROUND('Raw Data'!H153, 4),FALSE)),"",_xlfn.REGEXEXTRACT(CELL("address",H153), "\$([A-Z]+)\$[0-9]+"))),_xlfn.REGEXEXTRACT(CELL("address",H153), "\$([A-Z]+)\$[0-9]+"))</f>
        <v/>
      </c>
      <c r="I153" s="7" t="str" cm="1">
        <f t="array" aca="1" ref="I153" ca="1">IFERROR(IF(OR('Raw Data'!I153="",LEN(TRIM('Raw Data'!I153))=0),"",IF(AND(ISNUMBER('Raw Data'!I153), IFERROR('Raw Data'!I153 = ROUND('Raw Data'!I153, 4),FALSE)),"",_xlfn.REGEXEXTRACT(CELL("address",I153), "\$([A-Z]+)\$[0-9]+"))),_xlfn.REGEXEXTRACT(CELL("address",I153), "\$([A-Z]+)\$[0-9]+"))</f>
        <v/>
      </c>
      <c r="J153" s="7" t="str" cm="1">
        <f t="array" aca="1" ref="J153" ca="1">IFERROR(IF(OR('Raw Data'!J153="",LEN(TRIM('Raw Data'!J153))=0),"",IF(AND(ISNUMBER('Raw Data'!J153), IFERROR('Raw Data'!J153 = ROUND('Raw Data'!J153, 4),FALSE)),"",_xlfn.REGEXEXTRACT(CELL("address",J153), "\$([A-Z]+)\$[0-9]+"))),_xlfn.REGEXEXTRACT(CELL("address",J153), "\$([A-Z]+)\$[0-9]+"))</f>
        <v/>
      </c>
      <c r="K153" s="7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7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</row>
    <row r="154" spans="2:22" x14ac:dyDescent="0.25">
      <c r="B154" s="7" t="str" cm="1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20,LEN('Raw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Data'!D154))=0),"",IF(AND(ISNUMBER('Raw Data'!D154),'Raw Data'!D154&gt;=Configuration!$D$2),"",_xlfn.REGEXEXTRACT(CELL("address",'Raw Data'!D154),"\$([A-Z]+)\$[0-9]+"))),_xlfn.REGEXEXTRACT(CELL("address",D154), "\$([A-Z]+)\$[0-9]+"))</f>
        <v/>
      </c>
      <c r="E154" s="7" t="str" cm="1">
        <f t="array" aca="1" ref="E154" ca="1">IFERROR(IF(OR('Raw Data'!E154="",LEN(TRIM('Raw Data'!E154))=0),"",IF(AND(ISNUMBER('Raw Data'!E154), IFERROR('Raw Data'!E154 = ROUND('Raw Data'!E154, 4),FALSE)),"",_xlfn.REGEXEXTRACT(CELL("address",E154), "\$([A-Z]+)\$[0-9]+"))),_xlfn.REGEXEXTRACT(CELL("address",E154), "\$([A-Z]+)\$[0-9]+"))</f>
        <v/>
      </c>
      <c r="F154" s="7" t="str" cm="1">
        <f t="array" aca="1" ref="F154" ca="1">IFERROR(IF(OR('Raw Data'!F154="",LEN(TRIM('Raw Data'!F154))=0),"",IF(AND(ISNUMBER('Raw Data'!F154), IFERROR('Raw Data'!F154 = ROUND('Raw Data'!F154, 4),FALSE)),"",_xlfn.REGEXEXTRACT(CELL("address",F154), "\$([A-Z]+)\$[0-9]+"))),_xlfn.REGEXEXTRACT(CELL("address",F154), "\$([A-Z]+)\$[0-9]+"))</f>
        <v/>
      </c>
      <c r="G154" s="7" t="str" cm="1">
        <f t="array" aca="1" ref="G154" ca="1">IFERROR(IF(OR('Raw Data'!G154="",LEN(TRIM('Raw Data'!G154))=0),"",IF(AND(ISNUMBER('Raw Data'!G154), IFERROR('Raw Data'!G154 = ROUND('Raw Data'!G154, 4),FALSE)),"",_xlfn.REGEXEXTRACT(CELL("address",G154), "\$([A-Z]+)\$[0-9]+"))),_xlfn.REGEXEXTRACT(CELL("address",G154), "\$([A-Z]+)\$[0-9]+"))</f>
        <v/>
      </c>
      <c r="H154" s="7" t="str" cm="1">
        <f t="array" aca="1" ref="H154" ca="1">IFERROR(IF(OR('Raw Data'!H154="",LEN(TRIM('Raw Data'!H154))=0),"",IF(AND(ISNUMBER('Raw Data'!H154), IFERROR('Raw Data'!H154 = ROUND('Raw Data'!H154, 4),FALSE)),"",_xlfn.REGEXEXTRACT(CELL("address",H154), "\$([A-Z]+)\$[0-9]+"))),_xlfn.REGEXEXTRACT(CELL("address",H154), "\$([A-Z]+)\$[0-9]+"))</f>
        <v/>
      </c>
      <c r="I154" s="7" t="str" cm="1">
        <f t="array" aca="1" ref="I154" ca="1">IFERROR(IF(OR('Raw Data'!I154="",LEN(TRIM('Raw Data'!I154))=0),"",IF(AND(ISNUMBER('Raw Data'!I154), IFERROR('Raw Data'!I154 = ROUND('Raw Data'!I154, 4),FALSE)),"",_xlfn.REGEXEXTRACT(CELL("address",I154), "\$([A-Z]+)\$[0-9]+"))),_xlfn.REGEXEXTRACT(CELL("address",I154), "\$([A-Z]+)\$[0-9]+"))</f>
        <v/>
      </c>
      <c r="J154" s="7" t="str" cm="1">
        <f t="array" aca="1" ref="J154" ca="1">IFERROR(IF(OR('Raw Data'!J154="",LEN(TRIM('Raw Data'!J154))=0),"",IF(AND(ISNUMBER('Raw Data'!J154), IFERROR('Raw Data'!J154 = ROUND('Raw Data'!J154, 4),FALSE)),"",_xlfn.REGEXEXTRACT(CELL("address",J154), "\$([A-Z]+)\$[0-9]+"))),_xlfn.REGEXEXTRACT(CELL("address",J154), "\$([A-Z]+)\$[0-9]+"))</f>
        <v/>
      </c>
      <c r="K154" s="7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7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</row>
    <row r="155" spans="2:22" x14ac:dyDescent="0.25">
      <c r="B155" s="7" t="str" cm="1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20,LEN('Raw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Data'!D155))=0),"",IF(AND(ISNUMBER('Raw Data'!D155),'Raw Data'!D155&gt;=Configuration!$D$2),"",_xlfn.REGEXEXTRACT(CELL("address",'Raw Data'!D155),"\$([A-Z]+)\$[0-9]+"))),_xlfn.REGEXEXTRACT(CELL("address",D155), "\$([A-Z]+)\$[0-9]+"))</f>
        <v/>
      </c>
      <c r="E155" s="7" t="str" cm="1">
        <f t="array" aca="1" ref="E155" ca="1">IFERROR(IF(OR('Raw Data'!E155="",LEN(TRIM('Raw Data'!E155))=0),"",IF(AND(ISNUMBER('Raw Data'!E155), IFERROR('Raw Data'!E155 = ROUND('Raw Data'!E155, 4),FALSE)),"",_xlfn.REGEXEXTRACT(CELL("address",E155), "\$([A-Z]+)\$[0-9]+"))),_xlfn.REGEXEXTRACT(CELL("address",E155), "\$([A-Z]+)\$[0-9]+"))</f>
        <v/>
      </c>
      <c r="F155" s="7" t="str" cm="1">
        <f t="array" aca="1" ref="F155" ca="1">IFERROR(IF(OR('Raw Data'!F155="",LEN(TRIM('Raw Data'!F155))=0),"",IF(AND(ISNUMBER('Raw Data'!F155), IFERROR('Raw Data'!F155 = ROUND('Raw Data'!F155, 4),FALSE)),"",_xlfn.REGEXEXTRACT(CELL("address",F155), "\$([A-Z]+)\$[0-9]+"))),_xlfn.REGEXEXTRACT(CELL("address",F155), "\$([A-Z]+)\$[0-9]+"))</f>
        <v/>
      </c>
      <c r="G155" s="7" t="str" cm="1">
        <f t="array" aca="1" ref="G155" ca="1">IFERROR(IF(OR('Raw Data'!G155="",LEN(TRIM('Raw Data'!G155))=0),"",IF(AND(ISNUMBER('Raw Data'!G155), IFERROR('Raw Data'!G155 = ROUND('Raw Data'!G155, 4),FALSE)),"",_xlfn.REGEXEXTRACT(CELL("address",G155), "\$([A-Z]+)\$[0-9]+"))),_xlfn.REGEXEXTRACT(CELL("address",G155), "\$([A-Z]+)\$[0-9]+"))</f>
        <v/>
      </c>
      <c r="H155" s="7" t="str" cm="1">
        <f t="array" aca="1" ref="H155" ca="1">IFERROR(IF(OR('Raw Data'!H155="",LEN(TRIM('Raw Data'!H155))=0),"",IF(AND(ISNUMBER('Raw Data'!H155), IFERROR('Raw Data'!H155 = ROUND('Raw Data'!H155, 4),FALSE)),"",_xlfn.REGEXEXTRACT(CELL("address",H155), "\$([A-Z]+)\$[0-9]+"))),_xlfn.REGEXEXTRACT(CELL("address",H155), "\$([A-Z]+)\$[0-9]+"))</f>
        <v/>
      </c>
      <c r="I155" s="7" t="str" cm="1">
        <f t="array" aca="1" ref="I155" ca="1">IFERROR(IF(OR('Raw Data'!I155="",LEN(TRIM('Raw Data'!I155))=0),"",IF(AND(ISNUMBER('Raw Data'!I155), IFERROR('Raw Data'!I155 = ROUND('Raw Data'!I155, 4),FALSE)),"",_xlfn.REGEXEXTRACT(CELL("address",I155), "\$([A-Z]+)\$[0-9]+"))),_xlfn.REGEXEXTRACT(CELL("address",I155), "\$([A-Z]+)\$[0-9]+"))</f>
        <v/>
      </c>
      <c r="J155" s="7" t="str" cm="1">
        <f t="array" aca="1" ref="J155" ca="1">IFERROR(IF(OR('Raw Data'!J155="",LEN(TRIM('Raw Data'!J155))=0),"",IF(AND(ISNUMBER('Raw Data'!J155), IFERROR('Raw Data'!J155 = ROUND('Raw Data'!J155, 4),FALSE)),"",_xlfn.REGEXEXTRACT(CELL("address",J155), "\$([A-Z]+)\$[0-9]+"))),_xlfn.REGEXEXTRACT(CELL("address",J155), "\$([A-Z]+)\$[0-9]+"))</f>
        <v/>
      </c>
      <c r="K155" s="7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7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</row>
    <row r="156" spans="2:22" x14ac:dyDescent="0.25">
      <c r="B156" s="7" t="str" cm="1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20,LEN('Raw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Data'!D156))=0),"",IF(AND(ISNUMBER('Raw Data'!D156),'Raw Data'!D156&gt;=Configuration!$D$2),"",_xlfn.REGEXEXTRACT(CELL("address",'Raw Data'!D156),"\$([A-Z]+)\$[0-9]+"))),_xlfn.REGEXEXTRACT(CELL("address",D156), "\$([A-Z]+)\$[0-9]+"))</f>
        <v/>
      </c>
      <c r="E156" s="7" t="str" cm="1">
        <f t="array" aca="1" ref="E156" ca="1">IFERROR(IF(OR('Raw Data'!E156="",LEN(TRIM('Raw Data'!E156))=0),"",IF(AND(ISNUMBER('Raw Data'!E156), IFERROR('Raw Data'!E156 = ROUND('Raw Data'!E156, 4),FALSE)),"",_xlfn.REGEXEXTRACT(CELL("address",E156), "\$([A-Z]+)\$[0-9]+"))),_xlfn.REGEXEXTRACT(CELL("address",E156), "\$([A-Z]+)\$[0-9]+"))</f>
        <v/>
      </c>
      <c r="F156" s="7" t="str" cm="1">
        <f t="array" aca="1" ref="F156" ca="1">IFERROR(IF(OR('Raw Data'!F156="",LEN(TRIM('Raw Data'!F156))=0),"",IF(AND(ISNUMBER('Raw Data'!F156), IFERROR('Raw Data'!F156 = ROUND('Raw Data'!F156, 4),FALSE)),"",_xlfn.REGEXEXTRACT(CELL("address",F156), "\$([A-Z]+)\$[0-9]+"))),_xlfn.REGEXEXTRACT(CELL("address",F156), "\$([A-Z]+)\$[0-9]+"))</f>
        <v/>
      </c>
      <c r="G156" s="7" t="str" cm="1">
        <f t="array" aca="1" ref="G156" ca="1">IFERROR(IF(OR('Raw Data'!G156="",LEN(TRIM('Raw Data'!G156))=0),"",IF(AND(ISNUMBER('Raw Data'!G156), IFERROR('Raw Data'!G156 = ROUND('Raw Data'!G156, 4),FALSE)),"",_xlfn.REGEXEXTRACT(CELL("address",G156), "\$([A-Z]+)\$[0-9]+"))),_xlfn.REGEXEXTRACT(CELL("address",G156), "\$([A-Z]+)\$[0-9]+"))</f>
        <v/>
      </c>
      <c r="H156" s="7" t="str" cm="1">
        <f t="array" aca="1" ref="H156" ca="1">IFERROR(IF(OR('Raw Data'!H156="",LEN(TRIM('Raw Data'!H156))=0),"",IF(AND(ISNUMBER('Raw Data'!H156), IFERROR('Raw Data'!H156 = ROUND('Raw Data'!H156, 4),FALSE)),"",_xlfn.REGEXEXTRACT(CELL("address",H156), "\$([A-Z]+)\$[0-9]+"))),_xlfn.REGEXEXTRACT(CELL("address",H156), "\$([A-Z]+)\$[0-9]+"))</f>
        <v/>
      </c>
      <c r="I156" s="7" t="str" cm="1">
        <f t="array" aca="1" ref="I156" ca="1">IFERROR(IF(OR('Raw Data'!I156="",LEN(TRIM('Raw Data'!I156))=0),"",IF(AND(ISNUMBER('Raw Data'!I156), IFERROR('Raw Data'!I156 = ROUND('Raw Data'!I156, 4),FALSE)),"",_xlfn.REGEXEXTRACT(CELL("address",I156), "\$([A-Z]+)\$[0-9]+"))),_xlfn.REGEXEXTRACT(CELL("address",I156), "\$([A-Z]+)\$[0-9]+"))</f>
        <v/>
      </c>
      <c r="J156" s="7" t="str" cm="1">
        <f t="array" aca="1" ref="J156" ca="1">IFERROR(IF(OR('Raw Data'!J156="",LEN(TRIM('Raw Data'!J156))=0),"",IF(AND(ISNUMBER('Raw Data'!J156), IFERROR('Raw Data'!J156 = ROUND('Raw Data'!J156, 4),FALSE)),"",_xlfn.REGEXEXTRACT(CELL("address",J156), "\$([A-Z]+)\$[0-9]+"))),_xlfn.REGEXEXTRACT(CELL("address",J156), "\$([A-Z]+)\$[0-9]+"))</f>
        <v/>
      </c>
      <c r="K156" s="7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7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</row>
    <row r="157" spans="2:22" x14ac:dyDescent="0.25">
      <c r="B157" s="7" t="str" cm="1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20,LEN('Raw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Data'!D157))=0),"",IF(AND(ISNUMBER('Raw Data'!D157),'Raw Data'!D157&gt;=Configuration!$D$2),"",_xlfn.REGEXEXTRACT(CELL("address",'Raw Data'!D157),"\$([A-Z]+)\$[0-9]+"))),_xlfn.REGEXEXTRACT(CELL("address",D157), "\$([A-Z]+)\$[0-9]+"))</f>
        <v/>
      </c>
      <c r="E157" s="7" t="str" cm="1">
        <f t="array" aca="1" ref="E157" ca="1">IFERROR(IF(OR('Raw Data'!E157="",LEN(TRIM('Raw Data'!E157))=0),"",IF(AND(ISNUMBER('Raw Data'!E157), IFERROR('Raw Data'!E157 = ROUND('Raw Data'!E157, 4),FALSE)),"",_xlfn.REGEXEXTRACT(CELL("address",E157), "\$([A-Z]+)\$[0-9]+"))),_xlfn.REGEXEXTRACT(CELL("address",E157), "\$([A-Z]+)\$[0-9]+"))</f>
        <v/>
      </c>
      <c r="F157" s="7" t="str" cm="1">
        <f t="array" aca="1" ref="F157" ca="1">IFERROR(IF(OR('Raw Data'!F157="",LEN(TRIM('Raw Data'!F157))=0),"",IF(AND(ISNUMBER('Raw Data'!F157), IFERROR('Raw Data'!F157 = ROUND('Raw Data'!F157, 4),FALSE)),"",_xlfn.REGEXEXTRACT(CELL("address",F157), "\$([A-Z]+)\$[0-9]+"))),_xlfn.REGEXEXTRACT(CELL("address",F157), "\$([A-Z]+)\$[0-9]+"))</f>
        <v/>
      </c>
      <c r="G157" s="7" t="str" cm="1">
        <f t="array" aca="1" ref="G157" ca="1">IFERROR(IF(OR('Raw Data'!G157="",LEN(TRIM('Raw Data'!G157))=0),"",IF(AND(ISNUMBER('Raw Data'!G157), IFERROR('Raw Data'!G157 = ROUND('Raw Data'!G157, 4),FALSE)),"",_xlfn.REGEXEXTRACT(CELL("address",G157), "\$([A-Z]+)\$[0-9]+"))),_xlfn.REGEXEXTRACT(CELL("address",G157), "\$([A-Z]+)\$[0-9]+"))</f>
        <v/>
      </c>
      <c r="H157" s="7" t="str" cm="1">
        <f t="array" aca="1" ref="H157" ca="1">IFERROR(IF(OR('Raw Data'!H157="",LEN(TRIM('Raw Data'!H157))=0),"",IF(AND(ISNUMBER('Raw Data'!H157), IFERROR('Raw Data'!H157 = ROUND('Raw Data'!H157, 4),FALSE)),"",_xlfn.REGEXEXTRACT(CELL("address",H157), "\$([A-Z]+)\$[0-9]+"))),_xlfn.REGEXEXTRACT(CELL("address",H157), "\$([A-Z]+)\$[0-9]+"))</f>
        <v/>
      </c>
      <c r="I157" s="7" t="str" cm="1">
        <f t="array" aca="1" ref="I157" ca="1">IFERROR(IF(OR('Raw Data'!I157="",LEN(TRIM('Raw Data'!I157))=0),"",IF(AND(ISNUMBER('Raw Data'!I157), IFERROR('Raw Data'!I157 = ROUND('Raw Data'!I157, 4),FALSE)),"",_xlfn.REGEXEXTRACT(CELL("address",I157), "\$([A-Z]+)\$[0-9]+"))),_xlfn.REGEXEXTRACT(CELL("address",I157), "\$([A-Z]+)\$[0-9]+"))</f>
        <v/>
      </c>
      <c r="J157" s="7" t="str" cm="1">
        <f t="array" aca="1" ref="J157" ca="1">IFERROR(IF(OR('Raw Data'!J157="",LEN(TRIM('Raw Data'!J157))=0),"",IF(AND(ISNUMBER('Raw Data'!J157), IFERROR('Raw Data'!J157 = ROUND('Raw Data'!J157, 4),FALSE)),"",_xlfn.REGEXEXTRACT(CELL("address",J157), "\$([A-Z]+)\$[0-9]+"))),_xlfn.REGEXEXTRACT(CELL("address",J157), "\$([A-Z]+)\$[0-9]+"))</f>
        <v/>
      </c>
      <c r="K157" s="7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7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</row>
    <row r="158" spans="2:22" x14ac:dyDescent="0.25">
      <c r="B158" s="7" t="str" cm="1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20,LEN('Raw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Data'!D158))=0),"",IF(AND(ISNUMBER('Raw Data'!D158),'Raw Data'!D158&gt;=Configuration!$D$2),"",_xlfn.REGEXEXTRACT(CELL("address",'Raw Data'!D158),"\$([A-Z]+)\$[0-9]+"))),_xlfn.REGEXEXTRACT(CELL("address",D158), "\$([A-Z]+)\$[0-9]+"))</f>
        <v/>
      </c>
      <c r="E158" s="7" t="str" cm="1">
        <f t="array" aca="1" ref="E158" ca="1">IFERROR(IF(OR('Raw Data'!E158="",LEN(TRIM('Raw Data'!E158))=0),"",IF(AND(ISNUMBER('Raw Data'!E158), IFERROR('Raw Data'!E158 = ROUND('Raw Data'!E158, 4),FALSE)),"",_xlfn.REGEXEXTRACT(CELL("address",E158), "\$([A-Z]+)\$[0-9]+"))),_xlfn.REGEXEXTRACT(CELL("address",E158), "\$([A-Z]+)\$[0-9]+"))</f>
        <v/>
      </c>
      <c r="F158" s="7" t="str" cm="1">
        <f t="array" aca="1" ref="F158" ca="1">IFERROR(IF(OR('Raw Data'!F158="",LEN(TRIM('Raw Data'!F158))=0),"",IF(AND(ISNUMBER('Raw Data'!F158), IFERROR('Raw Data'!F158 = ROUND('Raw Data'!F158, 4),FALSE)),"",_xlfn.REGEXEXTRACT(CELL("address",F158), "\$([A-Z]+)\$[0-9]+"))),_xlfn.REGEXEXTRACT(CELL("address",F158), "\$([A-Z]+)\$[0-9]+"))</f>
        <v/>
      </c>
      <c r="G158" s="7" t="str" cm="1">
        <f t="array" aca="1" ref="G158" ca="1">IFERROR(IF(OR('Raw Data'!G158="",LEN(TRIM('Raw Data'!G158))=0),"",IF(AND(ISNUMBER('Raw Data'!G158), IFERROR('Raw Data'!G158 = ROUND('Raw Data'!G158, 4),FALSE)),"",_xlfn.REGEXEXTRACT(CELL("address",G158), "\$([A-Z]+)\$[0-9]+"))),_xlfn.REGEXEXTRACT(CELL("address",G158), "\$([A-Z]+)\$[0-9]+"))</f>
        <v/>
      </c>
      <c r="H158" s="7" t="str" cm="1">
        <f t="array" aca="1" ref="H158" ca="1">IFERROR(IF(OR('Raw Data'!H158="",LEN(TRIM('Raw Data'!H158))=0),"",IF(AND(ISNUMBER('Raw Data'!H158), IFERROR('Raw Data'!H158 = ROUND('Raw Data'!H158, 4),FALSE)),"",_xlfn.REGEXEXTRACT(CELL("address",H158), "\$([A-Z]+)\$[0-9]+"))),_xlfn.REGEXEXTRACT(CELL("address",H158), "\$([A-Z]+)\$[0-9]+"))</f>
        <v/>
      </c>
      <c r="I158" s="7" t="str" cm="1">
        <f t="array" aca="1" ref="I158" ca="1">IFERROR(IF(OR('Raw Data'!I158="",LEN(TRIM('Raw Data'!I158))=0),"",IF(AND(ISNUMBER('Raw Data'!I158), IFERROR('Raw Data'!I158 = ROUND('Raw Data'!I158, 4),FALSE)),"",_xlfn.REGEXEXTRACT(CELL("address",I158), "\$([A-Z]+)\$[0-9]+"))),_xlfn.REGEXEXTRACT(CELL("address",I158), "\$([A-Z]+)\$[0-9]+"))</f>
        <v/>
      </c>
      <c r="J158" s="7" t="str" cm="1">
        <f t="array" aca="1" ref="J158" ca="1">IFERROR(IF(OR('Raw Data'!J158="",LEN(TRIM('Raw Data'!J158))=0),"",IF(AND(ISNUMBER('Raw Data'!J158), IFERROR('Raw Data'!J158 = ROUND('Raw Data'!J158, 4),FALSE)),"",_xlfn.REGEXEXTRACT(CELL("address",J158), "\$([A-Z]+)\$[0-9]+"))),_xlfn.REGEXEXTRACT(CELL("address",J158), "\$([A-Z]+)\$[0-9]+"))</f>
        <v/>
      </c>
      <c r="K158" s="7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7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</row>
    <row r="159" spans="2:22" x14ac:dyDescent="0.25">
      <c r="B159" s="7" t="str" cm="1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20,LEN('Raw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Data'!D159))=0),"",IF(AND(ISNUMBER('Raw Data'!D159),'Raw Data'!D159&gt;=Configuration!$D$2),"",_xlfn.REGEXEXTRACT(CELL("address",'Raw Data'!D159),"\$([A-Z]+)\$[0-9]+"))),_xlfn.REGEXEXTRACT(CELL("address",D159), "\$([A-Z]+)\$[0-9]+"))</f>
        <v/>
      </c>
      <c r="E159" s="7" t="str" cm="1">
        <f t="array" aca="1" ref="E159" ca="1">IFERROR(IF(OR('Raw Data'!E159="",LEN(TRIM('Raw Data'!E159))=0),"",IF(AND(ISNUMBER('Raw Data'!E159), IFERROR('Raw Data'!E159 = ROUND('Raw Data'!E159, 4),FALSE)),"",_xlfn.REGEXEXTRACT(CELL("address",E159), "\$([A-Z]+)\$[0-9]+"))),_xlfn.REGEXEXTRACT(CELL("address",E159), "\$([A-Z]+)\$[0-9]+"))</f>
        <v/>
      </c>
      <c r="F159" s="7" t="str" cm="1">
        <f t="array" aca="1" ref="F159" ca="1">IFERROR(IF(OR('Raw Data'!F159="",LEN(TRIM('Raw Data'!F159))=0),"",IF(AND(ISNUMBER('Raw Data'!F159), IFERROR('Raw Data'!F159 = ROUND('Raw Data'!F159, 4),FALSE)),"",_xlfn.REGEXEXTRACT(CELL("address",F159), "\$([A-Z]+)\$[0-9]+"))),_xlfn.REGEXEXTRACT(CELL("address",F159), "\$([A-Z]+)\$[0-9]+"))</f>
        <v/>
      </c>
      <c r="G159" s="7" t="str" cm="1">
        <f t="array" aca="1" ref="G159" ca="1">IFERROR(IF(OR('Raw Data'!G159="",LEN(TRIM('Raw Data'!G159))=0),"",IF(AND(ISNUMBER('Raw Data'!G159), IFERROR('Raw Data'!G159 = ROUND('Raw Data'!G159, 4),FALSE)),"",_xlfn.REGEXEXTRACT(CELL("address",G159), "\$([A-Z]+)\$[0-9]+"))),_xlfn.REGEXEXTRACT(CELL("address",G159), "\$([A-Z]+)\$[0-9]+"))</f>
        <v/>
      </c>
      <c r="H159" s="7" t="str" cm="1">
        <f t="array" aca="1" ref="H159" ca="1">IFERROR(IF(OR('Raw Data'!H159="",LEN(TRIM('Raw Data'!H159))=0),"",IF(AND(ISNUMBER('Raw Data'!H159), IFERROR('Raw Data'!H159 = ROUND('Raw Data'!H159, 4),FALSE)),"",_xlfn.REGEXEXTRACT(CELL("address",H159), "\$([A-Z]+)\$[0-9]+"))),_xlfn.REGEXEXTRACT(CELL("address",H159), "\$([A-Z]+)\$[0-9]+"))</f>
        <v/>
      </c>
      <c r="I159" s="7" t="str" cm="1">
        <f t="array" aca="1" ref="I159" ca="1">IFERROR(IF(OR('Raw Data'!I159="",LEN(TRIM('Raw Data'!I159))=0),"",IF(AND(ISNUMBER('Raw Data'!I159), IFERROR('Raw Data'!I159 = ROUND('Raw Data'!I159, 4),FALSE)),"",_xlfn.REGEXEXTRACT(CELL("address",I159), "\$([A-Z]+)\$[0-9]+"))),_xlfn.REGEXEXTRACT(CELL("address",I159), "\$([A-Z]+)\$[0-9]+"))</f>
        <v/>
      </c>
      <c r="J159" s="7" t="str" cm="1">
        <f t="array" aca="1" ref="J159" ca="1">IFERROR(IF(OR('Raw Data'!J159="",LEN(TRIM('Raw Data'!J159))=0),"",IF(AND(ISNUMBER('Raw Data'!J159), IFERROR('Raw Data'!J159 = ROUND('Raw Data'!J159, 4),FALSE)),"",_xlfn.REGEXEXTRACT(CELL("address",J159), "\$([A-Z]+)\$[0-9]+"))),_xlfn.REGEXEXTRACT(CELL("address",J159), "\$([A-Z]+)\$[0-9]+"))</f>
        <v/>
      </c>
      <c r="K159" s="7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7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</row>
    <row r="160" spans="2:22" x14ac:dyDescent="0.25">
      <c r="B160" s="7" t="str" cm="1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20,LEN('Raw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Data'!D160))=0),"",IF(AND(ISNUMBER('Raw Data'!D160),'Raw Data'!D160&gt;=Configuration!$D$2),"",_xlfn.REGEXEXTRACT(CELL("address",'Raw Data'!D160),"\$([A-Z]+)\$[0-9]+"))),_xlfn.REGEXEXTRACT(CELL("address",D160), "\$([A-Z]+)\$[0-9]+"))</f>
        <v/>
      </c>
      <c r="E160" s="7" t="str" cm="1">
        <f t="array" aca="1" ref="E160" ca="1">IFERROR(IF(OR('Raw Data'!E160="",LEN(TRIM('Raw Data'!E160))=0),"",IF(AND(ISNUMBER('Raw Data'!E160), IFERROR('Raw Data'!E160 = ROUND('Raw Data'!E160, 4),FALSE)),"",_xlfn.REGEXEXTRACT(CELL("address",E160), "\$([A-Z]+)\$[0-9]+"))),_xlfn.REGEXEXTRACT(CELL("address",E160), "\$([A-Z]+)\$[0-9]+"))</f>
        <v/>
      </c>
      <c r="F160" s="7" t="str" cm="1">
        <f t="array" aca="1" ref="F160" ca="1">IFERROR(IF(OR('Raw Data'!F160="",LEN(TRIM('Raw Data'!F160))=0),"",IF(AND(ISNUMBER('Raw Data'!F160), IFERROR('Raw Data'!F160 = ROUND('Raw Data'!F160, 4),FALSE)),"",_xlfn.REGEXEXTRACT(CELL("address",F160), "\$([A-Z]+)\$[0-9]+"))),_xlfn.REGEXEXTRACT(CELL("address",F160), "\$([A-Z]+)\$[0-9]+"))</f>
        <v/>
      </c>
      <c r="G160" s="7" t="str" cm="1">
        <f t="array" aca="1" ref="G160" ca="1">IFERROR(IF(OR('Raw Data'!G160="",LEN(TRIM('Raw Data'!G160))=0),"",IF(AND(ISNUMBER('Raw Data'!G160), IFERROR('Raw Data'!G160 = ROUND('Raw Data'!G160, 4),FALSE)),"",_xlfn.REGEXEXTRACT(CELL("address",G160), "\$([A-Z]+)\$[0-9]+"))),_xlfn.REGEXEXTRACT(CELL("address",G160), "\$([A-Z]+)\$[0-9]+"))</f>
        <v/>
      </c>
      <c r="H160" s="7" t="str" cm="1">
        <f t="array" aca="1" ref="H160" ca="1">IFERROR(IF(OR('Raw Data'!H160="",LEN(TRIM('Raw Data'!H160))=0),"",IF(AND(ISNUMBER('Raw Data'!H160), IFERROR('Raw Data'!H160 = ROUND('Raw Data'!H160, 4),FALSE)),"",_xlfn.REGEXEXTRACT(CELL("address",H160), "\$([A-Z]+)\$[0-9]+"))),_xlfn.REGEXEXTRACT(CELL("address",H160), "\$([A-Z]+)\$[0-9]+"))</f>
        <v/>
      </c>
      <c r="I160" s="7" t="str" cm="1">
        <f t="array" aca="1" ref="I160" ca="1">IFERROR(IF(OR('Raw Data'!I160="",LEN(TRIM('Raw Data'!I160))=0),"",IF(AND(ISNUMBER('Raw Data'!I160), IFERROR('Raw Data'!I160 = ROUND('Raw Data'!I160, 4),FALSE)),"",_xlfn.REGEXEXTRACT(CELL("address",I160), "\$([A-Z]+)\$[0-9]+"))),_xlfn.REGEXEXTRACT(CELL("address",I160), "\$([A-Z]+)\$[0-9]+"))</f>
        <v/>
      </c>
      <c r="J160" s="7" t="str" cm="1">
        <f t="array" aca="1" ref="J160" ca="1">IFERROR(IF(OR('Raw Data'!J160="",LEN(TRIM('Raw Data'!J160))=0),"",IF(AND(ISNUMBER('Raw Data'!J160), IFERROR('Raw Data'!J160 = ROUND('Raw Data'!J160, 4),FALSE)),"",_xlfn.REGEXEXTRACT(CELL("address",J160), "\$([A-Z]+)\$[0-9]+"))),_xlfn.REGEXEXTRACT(CELL("address",J160), "\$([A-Z]+)\$[0-9]+"))</f>
        <v/>
      </c>
      <c r="K160" s="7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7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</row>
    <row r="161" spans="2:22" x14ac:dyDescent="0.25">
      <c r="B161" s="7" t="str" cm="1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20,LEN('Raw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Data'!D161))=0),"",IF(AND(ISNUMBER('Raw Data'!D161),'Raw Data'!D161&gt;=Configuration!$D$2),"",_xlfn.REGEXEXTRACT(CELL("address",'Raw Data'!D161),"\$([A-Z]+)\$[0-9]+"))),_xlfn.REGEXEXTRACT(CELL("address",D161), "\$([A-Z]+)\$[0-9]+"))</f>
        <v/>
      </c>
      <c r="E161" s="7" t="str" cm="1">
        <f t="array" aca="1" ref="E161" ca="1">IFERROR(IF(OR('Raw Data'!E161="",LEN(TRIM('Raw Data'!E161))=0),"",IF(AND(ISNUMBER('Raw Data'!E161), IFERROR('Raw Data'!E161 = ROUND('Raw Data'!E161, 4),FALSE)),"",_xlfn.REGEXEXTRACT(CELL("address",E161), "\$([A-Z]+)\$[0-9]+"))),_xlfn.REGEXEXTRACT(CELL("address",E161), "\$([A-Z]+)\$[0-9]+"))</f>
        <v/>
      </c>
      <c r="F161" s="7" t="str" cm="1">
        <f t="array" aca="1" ref="F161" ca="1">IFERROR(IF(OR('Raw Data'!F161="",LEN(TRIM('Raw Data'!F161))=0),"",IF(AND(ISNUMBER('Raw Data'!F161), IFERROR('Raw Data'!F161 = ROUND('Raw Data'!F161, 4),FALSE)),"",_xlfn.REGEXEXTRACT(CELL("address",F161), "\$([A-Z]+)\$[0-9]+"))),_xlfn.REGEXEXTRACT(CELL("address",F161), "\$([A-Z]+)\$[0-9]+"))</f>
        <v/>
      </c>
      <c r="G161" s="7" t="str" cm="1">
        <f t="array" aca="1" ref="G161" ca="1">IFERROR(IF(OR('Raw Data'!G161="",LEN(TRIM('Raw Data'!G161))=0),"",IF(AND(ISNUMBER('Raw Data'!G161), IFERROR('Raw Data'!G161 = ROUND('Raw Data'!G161, 4),FALSE)),"",_xlfn.REGEXEXTRACT(CELL("address",G161), "\$([A-Z]+)\$[0-9]+"))),_xlfn.REGEXEXTRACT(CELL("address",G161), "\$([A-Z]+)\$[0-9]+"))</f>
        <v/>
      </c>
      <c r="H161" s="7" t="str" cm="1">
        <f t="array" aca="1" ref="H161" ca="1">IFERROR(IF(OR('Raw Data'!H161="",LEN(TRIM('Raw Data'!H161))=0),"",IF(AND(ISNUMBER('Raw Data'!H161), IFERROR('Raw Data'!H161 = ROUND('Raw Data'!H161, 4),FALSE)),"",_xlfn.REGEXEXTRACT(CELL("address",H161), "\$([A-Z]+)\$[0-9]+"))),_xlfn.REGEXEXTRACT(CELL("address",H161), "\$([A-Z]+)\$[0-9]+"))</f>
        <v/>
      </c>
      <c r="I161" s="7" t="str" cm="1">
        <f t="array" aca="1" ref="I161" ca="1">IFERROR(IF(OR('Raw Data'!I161="",LEN(TRIM('Raw Data'!I161))=0),"",IF(AND(ISNUMBER('Raw Data'!I161), IFERROR('Raw Data'!I161 = ROUND('Raw Data'!I161, 4),FALSE)),"",_xlfn.REGEXEXTRACT(CELL("address",I161), "\$([A-Z]+)\$[0-9]+"))),_xlfn.REGEXEXTRACT(CELL("address",I161), "\$([A-Z]+)\$[0-9]+"))</f>
        <v/>
      </c>
      <c r="J161" s="7" t="str" cm="1">
        <f t="array" aca="1" ref="J161" ca="1">IFERROR(IF(OR('Raw Data'!J161="",LEN(TRIM('Raw Data'!J161))=0),"",IF(AND(ISNUMBER('Raw Data'!J161), IFERROR('Raw Data'!J161 = ROUND('Raw Data'!J161, 4),FALSE)),"",_xlfn.REGEXEXTRACT(CELL("address",J161), "\$([A-Z]+)\$[0-9]+"))),_xlfn.REGEXEXTRACT(CELL("address",J161), "\$([A-Z]+)\$[0-9]+"))</f>
        <v/>
      </c>
      <c r="K161" s="7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7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</row>
    <row r="162" spans="2:22" x14ac:dyDescent="0.25">
      <c r="B162" s="7" t="str" cm="1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20,LEN('Raw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Data'!D162))=0),"",IF(AND(ISNUMBER('Raw Data'!D162),'Raw Data'!D162&gt;=Configuration!$D$2),"",_xlfn.REGEXEXTRACT(CELL("address",'Raw Data'!D162),"\$([A-Z]+)\$[0-9]+"))),_xlfn.REGEXEXTRACT(CELL("address",D162), "\$([A-Z]+)\$[0-9]+"))</f>
        <v/>
      </c>
      <c r="E162" s="7" t="str" cm="1">
        <f t="array" aca="1" ref="E162" ca="1">IFERROR(IF(OR('Raw Data'!E162="",LEN(TRIM('Raw Data'!E162))=0),"",IF(AND(ISNUMBER('Raw Data'!E162), IFERROR('Raw Data'!E162 = ROUND('Raw Data'!E162, 4),FALSE)),"",_xlfn.REGEXEXTRACT(CELL("address",E162), "\$([A-Z]+)\$[0-9]+"))),_xlfn.REGEXEXTRACT(CELL("address",E162), "\$([A-Z]+)\$[0-9]+"))</f>
        <v/>
      </c>
      <c r="F162" s="7" t="str" cm="1">
        <f t="array" aca="1" ref="F162" ca="1">IFERROR(IF(OR('Raw Data'!F162="",LEN(TRIM('Raw Data'!F162))=0),"",IF(AND(ISNUMBER('Raw Data'!F162), IFERROR('Raw Data'!F162 = ROUND('Raw Data'!F162, 4),FALSE)),"",_xlfn.REGEXEXTRACT(CELL("address",F162), "\$([A-Z]+)\$[0-9]+"))),_xlfn.REGEXEXTRACT(CELL("address",F162), "\$([A-Z]+)\$[0-9]+"))</f>
        <v/>
      </c>
      <c r="G162" s="7" t="str" cm="1">
        <f t="array" aca="1" ref="G162" ca="1">IFERROR(IF(OR('Raw Data'!G162="",LEN(TRIM('Raw Data'!G162))=0),"",IF(AND(ISNUMBER('Raw Data'!G162), IFERROR('Raw Data'!G162 = ROUND('Raw Data'!G162, 4),FALSE)),"",_xlfn.REGEXEXTRACT(CELL("address",G162), "\$([A-Z]+)\$[0-9]+"))),_xlfn.REGEXEXTRACT(CELL("address",G162), "\$([A-Z]+)\$[0-9]+"))</f>
        <v/>
      </c>
      <c r="H162" s="7" t="str" cm="1">
        <f t="array" aca="1" ref="H162" ca="1">IFERROR(IF(OR('Raw Data'!H162="",LEN(TRIM('Raw Data'!H162))=0),"",IF(AND(ISNUMBER('Raw Data'!H162), IFERROR('Raw Data'!H162 = ROUND('Raw Data'!H162, 4),FALSE)),"",_xlfn.REGEXEXTRACT(CELL("address",H162), "\$([A-Z]+)\$[0-9]+"))),_xlfn.REGEXEXTRACT(CELL("address",H162), "\$([A-Z]+)\$[0-9]+"))</f>
        <v/>
      </c>
      <c r="I162" s="7" t="str" cm="1">
        <f t="array" aca="1" ref="I162" ca="1">IFERROR(IF(OR('Raw Data'!I162="",LEN(TRIM('Raw Data'!I162))=0),"",IF(AND(ISNUMBER('Raw Data'!I162), IFERROR('Raw Data'!I162 = ROUND('Raw Data'!I162, 4),FALSE)),"",_xlfn.REGEXEXTRACT(CELL("address",I162), "\$([A-Z]+)\$[0-9]+"))),_xlfn.REGEXEXTRACT(CELL("address",I162), "\$([A-Z]+)\$[0-9]+"))</f>
        <v/>
      </c>
      <c r="J162" s="7" t="str" cm="1">
        <f t="array" aca="1" ref="J162" ca="1">IFERROR(IF(OR('Raw Data'!J162="",LEN(TRIM('Raw Data'!J162))=0),"",IF(AND(ISNUMBER('Raw Data'!J162), IFERROR('Raw Data'!J162 = ROUND('Raw Data'!J162, 4),FALSE)),"",_xlfn.REGEXEXTRACT(CELL("address",J162), "\$([A-Z]+)\$[0-9]+"))),_xlfn.REGEXEXTRACT(CELL("address",J162), "\$([A-Z]+)\$[0-9]+"))</f>
        <v/>
      </c>
      <c r="K162" s="7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7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</row>
    <row r="163" spans="2:22" x14ac:dyDescent="0.25">
      <c r="B163" s="7" t="str" cm="1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20,LEN('Raw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Data'!D163))=0),"",IF(AND(ISNUMBER('Raw Data'!D163),'Raw Data'!D163&gt;=Configuration!$D$2),"",_xlfn.REGEXEXTRACT(CELL("address",'Raw Data'!D163),"\$([A-Z]+)\$[0-9]+"))),_xlfn.REGEXEXTRACT(CELL("address",D163), "\$([A-Z]+)\$[0-9]+"))</f>
        <v/>
      </c>
      <c r="E163" s="7" t="str" cm="1">
        <f t="array" aca="1" ref="E163" ca="1">IFERROR(IF(OR('Raw Data'!E163="",LEN(TRIM('Raw Data'!E163))=0),"",IF(AND(ISNUMBER('Raw Data'!E163), IFERROR('Raw Data'!E163 = ROUND('Raw Data'!E163, 4),FALSE)),"",_xlfn.REGEXEXTRACT(CELL("address",E163), "\$([A-Z]+)\$[0-9]+"))),_xlfn.REGEXEXTRACT(CELL("address",E163), "\$([A-Z]+)\$[0-9]+"))</f>
        <v/>
      </c>
      <c r="F163" s="7" t="str" cm="1">
        <f t="array" aca="1" ref="F163" ca="1">IFERROR(IF(OR('Raw Data'!F163="",LEN(TRIM('Raw Data'!F163))=0),"",IF(AND(ISNUMBER('Raw Data'!F163), IFERROR('Raw Data'!F163 = ROUND('Raw Data'!F163, 4),FALSE)),"",_xlfn.REGEXEXTRACT(CELL("address",F163), "\$([A-Z]+)\$[0-9]+"))),_xlfn.REGEXEXTRACT(CELL("address",F163), "\$([A-Z]+)\$[0-9]+"))</f>
        <v/>
      </c>
      <c r="G163" s="7" t="str" cm="1">
        <f t="array" aca="1" ref="G163" ca="1">IFERROR(IF(OR('Raw Data'!G163="",LEN(TRIM('Raw Data'!G163))=0),"",IF(AND(ISNUMBER('Raw Data'!G163), IFERROR('Raw Data'!G163 = ROUND('Raw Data'!G163, 4),FALSE)),"",_xlfn.REGEXEXTRACT(CELL("address",G163), "\$([A-Z]+)\$[0-9]+"))),_xlfn.REGEXEXTRACT(CELL("address",G163), "\$([A-Z]+)\$[0-9]+"))</f>
        <v/>
      </c>
      <c r="H163" s="7" t="str" cm="1">
        <f t="array" aca="1" ref="H163" ca="1">IFERROR(IF(OR('Raw Data'!H163="",LEN(TRIM('Raw Data'!H163))=0),"",IF(AND(ISNUMBER('Raw Data'!H163), IFERROR('Raw Data'!H163 = ROUND('Raw Data'!H163, 4),FALSE)),"",_xlfn.REGEXEXTRACT(CELL("address",H163), "\$([A-Z]+)\$[0-9]+"))),_xlfn.REGEXEXTRACT(CELL("address",H163), "\$([A-Z]+)\$[0-9]+"))</f>
        <v/>
      </c>
      <c r="I163" s="7" t="str" cm="1">
        <f t="array" aca="1" ref="I163" ca="1">IFERROR(IF(OR('Raw Data'!I163="",LEN(TRIM('Raw Data'!I163))=0),"",IF(AND(ISNUMBER('Raw Data'!I163), IFERROR('Raw Data'!I163 = ROUND('Raw Data'!I163, 4),FALSE)),"",_xlfn.REGEXEXTRACT(CELL("address",I163), "\$([A-Z]+)\$[0-9]+"))),_xlfn.REGEXEXTRACT(CELL("address",I163), "\$([A-Z]+)\$[0-9]+"))</f>
        <v/>
      </c>
      <c r="J163" s="7" t="str" cm="1">
        <f t="array" aca="1" ref="J163" ca="1">IFERROR(IF(OR('Raw Data'!J163="",LEN(TRIM('Raw Data'!J163))=0),"",IF(AND(ISNUMBER('Raw Data'!J163), IFERROR('Raw Data'!J163 = ROUND('Raw Data'!J163, 4),FALSE)),"",_xlfn.REGEXEXTRACT(CELL("address",J163), "\$([A-Z]+)\$[0-9]+"))),_xlfn.REGEXEXTRACT(CELL("address",J163), "\$([A-Z]+)\$[0-9]+"))</f>
        <v/>
      </c>
      <c r="K163" s="7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7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</row>
    <row r="164" spans="2:22" x14ac:dyDescent="0.25">
      <c r="B164" s="7" t="str" cm="1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20,LEN('Raw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Data'!D164))=0),"",IF(AND(ISNUMBER('Raw Data'!D164),'Raw Data'!D164&gt;=Configuration!$D$2),"",_xlfn.REGEXEXTRACT(CELL("address",'Raw Data'!D164),"\$([A-Z]+)\$[0-9]+"))),_xlfn.REGEXEXTRACT(CELL("address",D164), "\$([A-Z]+)\$[0-9]+"))</f>
        <v/>
      </c>
      <c r="E164" s="7" t="str" cm="1">
        <f t="array" aca="1" ref="E164" ca="1">IFERROR(IF(OR('Raw Data'!E164="",LEN(TRIM('Raw Data'!E164))=0),"",IF(AND(ISNUMBER('Raw Data'!E164), IFERROR('Raw Data'!E164 = ROUND('Raw Data'!E164, 4),FALSE)),"",_xlfn.REGEXEXTRACT(CELL("address",E164), "\$([A-Z]+)\$[0-9]+"))),_xlfn.REGEXEXTRACT(CELL("address",E164), "\$([A-Z]+)\$[0-9]+"))</f>
        <v/>
      </c>
      <c r="F164" s="7" t="str" cm="1">
        <f t="array" aca="1" ref="F164" ca="1">IFERROR(IF(OR('Raw Data'!F164="",LEN(TRIM('Raw Data'!F164))=0),"",IF(AND(ISNUMBER('Raw Data'!F164), IFERROR('Raw Data'!F164 = ROUND('Raw Data'!F164, 4),FALSE)),"",_xlfn.REGEXEXTRACT(CELL("address",F164), "\$([A-Z]+)\$[0-9]+"))),_xlfn.REGEXEXTRACT(CELL("address",F164), "\$([A-Z]+)\$[0-9]+"))</f>
        <v/>
      </c>
      <c r="G164" s="7" t="str" cm="1">
        <f t="array" aca="1" ref="G164" ca="1">IFERROR(IF(OR('Raw Data'!G164="",LEN(TRIM('Raw Data'!G164))=0),"",IF(AND(ISNUMBER('Raw Data'!G164), IFERROR('Raw Data'!G164 = ROUND('Raw Data'!G164, 4),FALSE)),"",_xlfn.REGEXEXTRACT(CELL("address",G164), "\$([A-Z]+)\$[0-9]+"))),_xlfn.REGEXEXTRACT(CELL("address",G164), "\$([A-Z]+)\$[0-9]+"))</f>
        <v/>
      </c>
      <c r="H164" s="7" t="str" cm="1">
        <f t="array" aca="1" ref="H164" ca="1">IFERROR(IF(OR('Raw Data'!H164="",LEN(TRIM('Raw Data'!H164))=0),"",IF(AND(ISNUMBER('Raw Data'!H164), IFERROR('Raw Data'!H164 = ROUND('Raw Data'!H164, 4),FALSE)),"",_xlfn.REGEXEXTRACT(CELL("address",H164), "\$([A-Z]+)\$[0-9]+"))),_xlfn.REGEXEXTRACT(CELL("address",H164), "\$([A-Z]+)\$[0-9]+"))</f>
        <v/>
      </c>
      <c r="I164" s="7" t="str" cm="1">
        <f t="array" aca="1" ref="I164" ca="1">IFERROR(IF(OR('Raw Data'!I164="",LEN(TRIM('Raw Data'!I164))=0),"",IF(AND(ISNUMBER('Raw Data'!I164), IFERROR('Raw Data'!I164 = ROUND('Raw Data'!I164, 4),FALSE)),"",_xlfn.REGEXEXTRACT(CELL("address",I164), "\$([A-Z]+)\$[0-9]+"))),_xlfn.REGEXEXTRACT(CELL("address",I164), "\$([A-Z]+)\$[0-9]+"))</f>
        <v/>
      </c>
      <c r="J164" s="7" t="str" cm="1">
        <f t="array" aca="1" ref="J164" ca="1">IFERROR(IF(OR('Raw Data'!J164="",LEN(TRIM('Raw Data'!J164))=0),"",IF(AND(ISNUMBER('Raw Data'!J164), IFERROR('Raw Data'!J164 = ROUND('Raw Data'!J164, 4),FALSE)),"",_xlfn.REGEXEXTRACT(CELL("address",J164), "\$([A-Z]+)\$[0-9]+"))),_xlfn.REGEXEXTRACT(CELL("address",J164), "\$([A-Z]+)\$[0-9]+"))</f>
        <v/>
      </c>
      <c r="K164" s="7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7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</row>
    <row r="165" spans="2:22" x14ac:dyDescent="0.25">
      <c r="B165" s="7" t="str" cm="1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20,LEN('Raw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Data'!D165))=0),"",IF(AND(ISNUMBER('Raw Data'!D165),'Raw Data'!D165&gt;=Configuration!$D$2),"",_xlfn.REGEXEXTRACT(CELL("address",'Raw Data'!D165),"\$([A-Z]+)\$[0-9]+"))),_xlfn.REGEXEXTRACT(CELL("address",D165), "\$([A-Z]+)\$[0-9]+"))</f>
        <v/>
      </c>
      <c r="E165" s="7" t="str" cm="1">
        <f t="array" aca="1" ref="E165" ca="1">IFERROR(IF(OR('Raw Data'!E165="",LEN(TRIM('Raw Data'!E165))=0),"",IF(AND(ISNUMBER('Raw Data'!E165), IFERROR('Raw Data'!E165 = ROUND('Raw Data'!E165, 4),FALSE)),"",_xlfn.REGEXEXTRACT(CELL("address",E165), "\$([A-Z]+)\$[0-9]+"))),_xlfn.REGEXEXTRACT(CELL("address",E165), "\$([A-Z]+)\$[0-9]+"))</f>
        <v/>
      </c>
      <c r="F165" s="7" t="str" cm="1">
        <f t="array" aca="1" ref="F165" ca="1">IFERROR(IF(OR('Raw Data'!F165="",LEN(TRIM('Raw Data'!F165))=0),"",IF(AND(ISNUMBER('Raw Data'!F165), IFERROR('Raw Data'!F165 = ROUND('Raw Data'!F165, 4),FALSE)),"",_xlfn.REGEXEXTRACT(CELL("address",F165), "\$([A-Z]+)\$[0-9]+"))),_xlfn.REGEXEXTRACT(CELL("address",F165), "\$([A-Z]+)\$[0-9]+"))</f>
        <v/>
      </c>
      <c r="G165" s="7" t="str" cm="1">
        <f t="array" aca="1" ref="G165" ca="1">IFERROR(IF(OR('Raw Data'!G165="",LEN(TRIM('Raw Data'!G165))=0),"",IF(AND(ISNUMBER('Raw Data'!G165), IFERROR('Raw Data'!G165 = ROUND('Raw Data'!G165, 4),FALSE)),"",_xlfn.REGEXEXTRACT(CELL("address",G165), "\$([A-Z]+)\$[0-9]+"))),_xlfn.REGEXEXTRACT(CELL("address",G165), "\$([A-Z]+)\$[0-9]+"))</f>
        <v/>
      </c>
      <c r="H165" s="7" t="str" cm="1">
        <f t="array" aca="1" ref="H165" ca="1">IFERROR(IF(OR('Raw Data'!H165="",LEN(TRIM('Raw Data'!H165))=0),"",IF(AND(ISNUMBER('Raw Data'!H165), IFERROR('Raw Data'!H165 = ROUND('Raw Data'!H165, 4),FALSE)),"",_xlfn.REGEXEXTRACT(CELL("address",H165), "\$([A-Z]+)\$[0-9]+"))),_xlfn.REGEXEXTRACT(CELL("address",H165), "\$([A-Z]+)\$[0-9]+"))</f>
        <v/>
      </c>
      <c r="I165" s="7" t="str" cm="1">
        <f t="array" aca="1" ref="I165" ca="1">IFERROR(IF(OR('Raw Data'!I165="",LEN(TRIM('Raw Data'!I165))=0),"",IF(AND(ISNUMBER('Raw Data'!I165), IFERROR('Raw Data'!I165 = ROUND('Raw Data'!I165, 4),FALSE)),"",_xlfn.REGEXEXTRACT(CELL("address",I165), "\$([A-Z]+)\$[0-9]+"))),_xlfn.REGEXEXTRACT(CELL("address",I165), "\$([A-Z]+)\$[0-9]+"))</f>
        <v/>
      </c>
      <c r="J165" s="7" t="str" cm="1">
        <f t="array" aca="1" ref="J165" ca="1">IFERROR(IF(OR('Raw Data'!J165="",LEN(TRIM('Raw Data'!J165))=0),"",IF(AND(ISNUMBER('Raw Data'!J165), IFERROR('Raw Data'!J165 = ROUND('Raw Data'!J165, 4),FALSE)),"",_xlfn.REGEXEXTRACT(CELL("address",J165), "\$([A-Z]+)\$[0-9]+"))),_xlfn.REGEXEXTRACT(CELL("address",J165), "\$([A-Z]+)\$[0-9]+"))</f>
        <v/>
      </c>
      <c r="K165" s="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</row>
    <row r="166" spans="2:22" x14ac:dyDescent="0.25">
      <c r="B166" s="7" t="str" cm="1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20,LEN('Raw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Data'!D166))=0),"",IF(AND(ISNUMBER('Raw Data'!D166),'Raw Data'!D166&gt;=Configuration!$D$2),"",_xlfn.REGEXEXTRACT(CELL("address",'Raw Data'!D166),"\$([A-Z]+)\$[0-9]+"))),_xlfn.REGEXEXTRACT(CELL("address",D166), "\$([A-Z]+)\$[0-9]+"))</f>
        <v/>
      </c>
      <c r="E166" s="7" t="str" cm="1">
        <f t="array" aca="1" ref="E166" ca="1">IFERROR(IF(OR('Raw Data'!E166="",LEN(TRIM('Raw Data'!E166))=0),"",IF(AND(ISNUMBER('Raw Data'!E166), IFERROR('Raw Data'!E166 = ROUND('Raw Data'!E166, 4),FALSE)),"",_xlfn.REGEXEXTRACT(CELL("address",E166), "\$([A-Z]+)\$[0-9]+"))),_xlfn.REGEXEXTRACT(CELL("address",E166), "\$([A-Z]+)\$[0-9]+"))</f>
        <v/>
      </c>
      <c r="F166" s="7" t="str" cm="1">
        <f t="array" aca="1" ref="F166" ca="1">IFERROR(IF(OR('Raw Data'!F166="",LEN(TRIM('Raw Data'!F166))=0),"",IF(AND(ISNUMBER('Raw Data'!F166), IFERROR('Raw Data'!F166 = ROUND('Raw Data'!F166, 4),FALSE)),"",_xlfn.REGEXEXTRACT(CELL("address",F166), "\$([A-Z]+)\$[0-9]+"))),_xlfn.REGEXEXTRACT(CELL("address",F166), "\$([A-Z]+)\$[0-9]+"))</f>
        <v/>
      </c>
      <c r="G166" s="7" t="str" cm="1">
        <f t="array" aca="1" ref="G166" ca="1">IFERROR(IF(OR('Raw Data'!G166="",LEN(TRIM('Raw Data'!G166))=0),"",IF(AND(ISNUMBER('Raw Data'!G166), IFERROR('Raw Data'!G166 = ROUND('Raw Data'!G166, 4),FALSE)),"",_xlfn.REGEXEXTRACT(CELL("address",G166), "\$([A-Z]+)\$[0-9]+"))),_xlfn.REGEXEXTRACT(CELL("address",G166), "\$([A-Z]+)\$[0-9]+"))</f>
        <v/>
      </c>
      <c r="H166" s="7" t="str" cm="1">
        <f t="array" aca="1" ref="H166" ca="1">IFERROR(IF(OR('Raw Data'!H166="",LEN(TRIM('Raw Data'!H166))=0),"",IF(AND(ISNUMBER('Raw Data'!H166), IFERROR('Raw Data'!H166 = ROUND('Raw Data'!H166, 4),FALSE)),"",_xlfn.REGEXEXTRACT(CELL("address",H166), "\$([A-Z]+)\$[0-9]+"))),_xlfn.REGEXEXTRACT(CELL("address",H166), "\$([A-Z]+)\$[0-9]+"))</f>
        <v/>
      </c>
      <c r="I166" s="7" t="str" cm="1">
        <f t="array" aca="1" ref="I166" ca="1">IFERROR(IF(OR('Raw Data'!I166="",LEN(TRIM('Raw Data'!I166))=0),"",IF(AND(ISNUMBER('Raw Data'!I166), IFERROR('Raw Data'!I166 = ROUND('Raw Data'!I166, 4),FALSE)),"",_xlfn.REGEXEXTRACT(CELL("address",I166), "\$([A-Z]+)\$[0-9]+"))),_xlfn.REGEXEXTRACT(CELL("address",I166), "\$([A-Z]+)\$[0-9]+"))</f>
        <v/>
      </c>
      <c r="J166" s="7" t="str" cm="1">
        <f t="array" aca="1" ref="J166" ca="1">IFERROR(IF(OR('Raw Data'!J166="",LEN(TRIM('Raw Data'!J166))=0),"",IF(AND(ISNUMBER('Raw Data'!J166), IFERROR('Raw Data'!J166 = ROUND('Raw Data'!J166, 4),FALSE)),"",_xlfn.REGEXEXTRACT(CELL("address",J166), "\$([A-Z]+)\$[0-9]+"))),_xlfn.REGEXEXTRACT(CELL("address",J166), "\$([A-Z]+)\$[0-9]+"))</f>
        <v/>
      </c>
      <c r="K166" s="7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7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</row>
    <row r="167" spans="2:22" x14ac:dyDescent="0.25">
      <c r="B167" s="7" t="str" cm="1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20,LEN('Raw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Data'!D167))=0),"",IF(AND(ISNUMBER('Raw Data'!D167),'Raw Data'!D167&gt;=Configuration!$D$2),"",_xlfn.REGEXEXTRACT(CELL("address",'Raw Data'!D167),"\$([A-Z]+)\$[0-9]+"))),_xlfn.REGEXEXTRACT(CELL("address",D167), "\$([A-Z]+)\$[0-9]+"))</f>
        <v/>
      </c>
      <c r="E167" s="7" t="str" cm="1">
        <f t="array" aca="1" ref="E167" ca="1">IFERROR(IF(OR('Raw Data'!E167="",LEN(TRIM('Raw Data'!E167))=0),"",IF(AND(ISNUMBER('Raw Data'!E167), IFERROR('Raw Data'!E167 = ROUND('Raw Data'!E167, 4),FALSE)),"",_xlfn.REGEXEXTRACT(CELL("address",E167), "\$([A-Z]+)\$[0-9]+"))),_xlfn.REGEXEXTRACT(CELL("address",E167), "\$([A-Z]+)\$[0-9]+"))</f>
        <v/>
      </c>
      <c r="F167" s="7" t="str" cm="1">
        <f t="array" aca="1" ref="F167" ca="1">IFERROR(IF(OR('Raw Data'!F167="",LEN(TRIM('Raw Data'!F167))=0),"",IF(AND(ISNUMBER('Raw Data'!F167), IFERROR('Raw Data'!F167 = ROUND('Raw Data'!F167, 4),FALSE)),"",_xlfn.REGEXEXTRACT(CELL("address",F167), "\$([A-Z]+)\$[0-9]+"))),_xlfn.REGEXEXTRACT(CELL("address",F167), "\$([A-Z]+)\$[0-9]+"))</f>
        <v/>
      </c>
      <c r="G167" s="7" t="str" cm="1">
        <f t="array" aca="1" ref="G167" ca="1">IFERROR(IF(OR('Raw Data'!G167="",LEN(TRIM('Raw Data'!G167))=0),"",IF(AND(ISNUMBER('Raw Data'!G167), IFERROR('Raw Data'!G167 = ROUND('Raw Data'!G167, 4),FALSE)),"",_xlfn.REGEXEXTRACT(CELL("address",G167), "\$([A-Z]+)\$[0-9]+"))),_xlfn.REGEXEXTRACT(CELL("address",G167), "\$([A-Z]+)\$[0-9]+"))</f>
        <v/>
      </c>
      <c r="H167" s="7" t="str" cm="1">
        <f t="array" aca="1" ref="H167" ca="1">IFERROR(IF(OR('Raw Data'!H167="",LEN(TRIM('Raw Data'!H167))=0),"",IF(AND(ISNUMBER('Raw Data'!H167), IFERROR('Raw Data'!H167 = ROUND('Raw Data'!H167, 4),FALSE)),"",_xlfn.REGEXEXTRACT(CELL("address",H167), "\$([A-Z]+)\$[0-9]+"))),_xlfn.REGEXEXTRACT(CELL("address",H167), "\$([A-Z]+)\$[0-9]+"))</f>
        <v/>
      </c>
      <c r="I167" s="7" t="str" cm="1">
        <f t="array" aca="1" ref="I167" ca="1">IFERROR(IF(OR('Raw Data'!I167="",LEN(TRIM('Raw Data'!I167))=0),"",IF(AND(ISNUMBER('Raw Data'!I167), IFERROR('Raw Data'!I167 = ROUND('Raw Data'!I167, 4),FALSE)),"",_xlfn.REGEXEXTRACT(CELL("address",I167), "\$([A-Z]+)\$[0-9]+"))),_xlfn.REGEXEXTRACT(CELL("address",I167), "\$([A-Z]+)\$[0-9]+"))</f>
        <v/>
      </c>
      <c r="J167" s="7" t="str" cm="1">
        <f t="array" aca="1" ref="J167" ca="1">IFERROR(IF(OR('Raw Data'!J167="",LEN(TRIM('Raw Data'!J167))=0),"",IF(AND(ISNUMBER('Raw Data'!J167), IFERROR('Raw Data'!J167 = ROUND('Raw Data'!J167, 4),FALSE)),"",_xlfn.REGEXEXTRACT(CELL("address",J167), "\$([A-Z]+)\$[0-9]+"))),_xlfn.REGEXEXTRACT(CELL("address",J167), "\$([A-Z]+)\$[0-9]+"))</f>
        <v/>
      </c>
      <c r="K167" s="7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7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</row>
    <row r="168" spans="2:22" x14ac:dyDescent="0.25">
      <c r="B168" s="7" t="str" cm="1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20,LEN('Raw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Data'!D168))=0),"",IF(AND(ISNUMBER('Raw Data'!D168),'Raw Data'!D168&gt;=Configuration!$D$2),"",_xlfn.REGEXEXTRACT(CELL("address",'Raw Data'!D168),"\$([A-Z]+)\$[0-9]+"))),_xlfn.REGEXEXTRACT(CELL("address",D168), "\$([A-Z]+)\$[0-9]+"))</f>
        <v/>
      </c>
      <c r="E168" s="7" t="str" cm="1">
        <f t="array" aca="1" ref="E168" ca="1">IFERROR(IF(OR('Raw Data'!E168="",LEN(TRIM('Raw Data'!E168))=0),"",IF(AND(ISNUMBER('Raw Data'!E168), IFERROR('Raw Data'!E168 = ROUND('Raw Data'!E168, 4),FALSE)),"",_xlfn.REGEXEXTRACT(CELL("address",E168), "\$([A-Z]+)\$[0-9]+"))),_xlfn.REGEXEXTRACT(CELL("address",E168), "\$([A-Z]+)\$[0-9]+"))</f>
        <v/>
      </c>
      <c r="F168" s="7" t="str" cm="1">
        <f t="array" aca="1" ref="F168" ca="1">IFERROR(IF(OR('Raw Data'!F168="",LEN(TRIM('Raw Data'!F168))=0),"",IF(AND(ISNUMBER('Raw Data'!F168), IFERROR('Raw Data'!F168 = ROUND('Raw Data'!F168, 4),FALSE)),"",_xlfn.REGEXEXTRACT(CELL("address",F168), "\$([A-Z]+)\$[0-9]+"))),_xlfn.REGEXEXTRACT(CELL("address",F168), "\$([A-Z]+)\$[0-9]+"))</f>
        <v/>
      </c>
      <c r="G168" s="7" t="str" cm="1">
        <f t="array" aca="1" ref="G168" ca="1">IFERROR(IF(OR('Raw Data'!G168="",LEN(TRIM('Raw Data'!G168))=0),"",IF(AND(ISNUMBER('Raw Data'!G168), IFERROR('Raw Data'!G168 = ROUND('Raw Data'!G168, 4),FALSE)),"",_xlfn.REGEXEXTRACT(CELL("address",G168), "\$([A-Z]+)\$[0-9]+"))),_xlfn.REGEXEXTRACT(CELL("address",G168), "\$([A-Z]+)\$[0-9]+"))</f>
        <v/>
      </c>
      <c r="H168" s="7" t="str" cm="1">
        <f t="array" aca="1" ref="H168" ca="1">IFERROR(IF(OR('Raw Data'!H168="",LEN(TRIM('Raw Data'!H168))=0),"",IF(AND(ISNUMBER('Raw Data'!H168), IFERROR('Raw Data'!H168 = ROUND('Raw Data'!H168, 4),FALSE)),"",_xlfn.REGEXEXTRACT(CELL("address",H168), "\$([A-Z]+)\$[0-9]+"))),_xlfn.REGEXEXTRACT(CELL("address",H168), "\$([A-Z]+)\$[0-9]+"))</f>
        <v/>
      </c>
      <c r="I168" s="7" t="str" cm="1">
        <f t="array" aca="1" ref="I168" ca="1">IFERROR(IF(OR('Raw Data'!I168="",LEN(TRIM('Raw Data'!I168))=0),"",IF(AND(ISNUMBER('Raw Data'!I168), IFERROR('Raw Data'!I168 = ROUND('Raw Data'!I168, 4),FALSE)),"",_xlfn.REGEXEXTRACT(CELL("address",I168), "\$([A-Z]+)\$[0-9]+"))),_xlfn.REGEXEXTRACT(CELL("address",I168), "\$([A-Z]+)\$[0-9]+"))</f>
        <v/>
      </c>
      <c r="J168" s="7" t="str" cm="1">
        <f t="array" aca="1" ref="J168" ca="1">IFERROR(IF(OR('Raw Data'!J168="",LEN(TRIM('Raw Data'!J168))=0),"",IF(AND(ISNUMBER('Raw Data'!J168), IFERROR('Raw Data'!J168 = ROUND('Raw Data'!J168, 4),FALSE)),"",_xlfn.REGEXEXTRACT(CELL("address",J168), "\$([A-Z]+)\$[0-9]+"))),_xlfn.REGEXEXTRACT(CELL("address",J168), "\$([A-Z]+)\$[0-9]+"))</f>
        <v/>
      </c>
      <c r="K168" s="7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7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</row>
    <row r="169" spans="2:22" x14ac:dyDescent="0.25">
      <c r="B169" s="7" t="str" cm="1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20,LEN('Raw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Data'!D169))=0),"",IF(AND(ISNUMBER('Raw Data'!D169),'Raw Data'!D169&gt;=Configuration!$D$2),"",_xlfn.REGEXEXTRACT(CELL("address",'Raw Data'!D169),"\$([A-Z]+)\$[0-9]+"))),_xlfn.REGEXEXTRACT(CELL("address",D169), "\$([A-Z]+)\$[0-9]+"))</f>
        <v/>
      </c>
      <c r="E169" s="7" t="str" cm="1">
        <f t="array" aca="1" ref="E169" ca="1">IFERROR(IF(OR('Raw Data'!E169="",LEN(TRIM('Raw Data'!E169))=0),"",IF(AND(ISNUMBER('Raw Data'!E169), IFERROR('Raw Data'!E169 = ROUND('Raw Data'!E169, 4),FALSE)),"",_xlfn.REGEXEXTRACT(CELL("address",E169), "\$([A-Z]+)\$[0-9]+"))),_xlfn.REGEXEXTRACT(CELL("address",E169), "\$([A-Z]+)\$[0-9]+"))</f>
        <v/>
      </c>
      <c r="F169" s="7" t="str" cm="1">
        <f t="array" aca="1" ref="F169" ca="1">IFERROR(IF(OR('Raw Data'!F169="",LEN(TRIM('Raw Data'!F169))=0),"",IF(AND(ISNUMBER('Raw Data'!F169), IFERROR('Raw Data'!F169 = ROUND('Raw Data'!F169, 4),FALSE)),"",_xlfn.REGEXEXTRACT(CELL("address",F169), "\$([A-Z]+)\$[0-9]+"))),_xlfn.REGEXEXTRACT(CELL("address",F169), "\$([A-Z]+)\$[0-9]+"))</f>
        <v/>
      </c>
      <c r="G169" s="7" t="str" cm="1">
        <f t="array" aca="1" ref="G169" ca="1">IFERROR(IF(OR('Raw Data'!G169="",LEN(TRIM('Raw Data'!G169))=0),"",IF(AND(ISNUMBER('Raw Data'!G169), IFERROR('Raw Data'!G169 = ROUND('Raw Data'!G169, 4),FALSE)),"",_xlfn.REGEXEXTRACT(CELL("address",G169), "\$([A-Z]+)\$[0-9]+"))),_xlfn.REGEXEXTRACT(CELL("address",G169), "\$([A-Z]+)\$[0-9]+"))</f>
        <v/>
      </c>
      <c r="H169" s="7" t="str" cm="1">
        <f t="array" aca="1" ref="H169" ca="1">IFERROR(IF(OR('Raw Data'!H169="",LEN(TRIM('Raw Data'!H169))=0),"",IF(AND(ISNUMBER('Raw Data'!H169), IFERROR('Raw Data'!H169 = ROUND('Raw Data'!H169, 4),FALSE)),"",_xlfn.REGEXEXTRACT(CELL("address",H169), "\$([A-Z]+)\$[0-9]+"))),_xlfn.REGEXEXTRACT(CELL("address",H169), "\$([A-Z]+)\$[0-9]+"))</f>
        <v/>
      </c>
      <c r="I169" s="7" t="str" cm="1">
        <f t="array" aca="1" ref="I169" ca="1">IFERROR(IF(OR('Raw Data'!I169="",LEN(TRIM('Raw Data'!I169))=0),"",IF(AND(ISNUMBER('Raw Data'!I169), IFERROR('Raw Data'!I169 = ROUND('Raw Data'!I169, 4),FALSE)),"",_xlfn.REGEXEXTRACT(CELL("address",I169), "\$([A-Z]+)\$[0-9]+"))),_xlfn.REGEXEXTRACT(CELL("address",I169), "\$([A-Z]+)\$[0-9]+"))</f>
        <v/>
      </c>
      <c r="J169" s="7" t="str" cm="1">
        <f t="array" aca="1" ref="J169" ca="1">IFERROR(IF(OR('Raw Data'!J169="",LEN(TRIM('Raw Data'!J169))=0),"",IF(AND(ISNUMBER('Raw Data'!J169), IFERROR('Raw Data'!J169 = ROUND('Raw Data'!J169, 4),FALSE)),"",_xlfn.REGEXEXTRACT(CELL("address",J169), "\$([A-Z]+)\$[0-9]+"))),_xlfn.REGEXEXTRACT(CELL("address",J169), "\$([A-Z]+)\$[0-9]+"))</f>
        <v/>
      </c>
      <c r="K169" s="7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7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</row>
    <row r="170" spans="2:22" x14ac:dyDescent="0.25">
      <c r="B170" s="7" t="str" cm="1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20,LEN('Raw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Data'!D170))=0),"",IF(AND(ISNUMBER('Raw Data'!D170),'Raw Data'!D170&gt;=Configuration!$D$2),"",_xlfn.REGEXEXTRACT(CELL("address",'Raw Data'!D170),"\$([A-Z]+)\$[0-9]+"))),_xlfn.REGEXEXTRACT(CELL("address",D170), "\$([A-Z]+)\$[0-9]+"))</f>
        <v/>
      </c>
      <c r="E170" s="7" t="str" cm="1">
        <f t="array" aca="1" ref="E170" ca="1">IFERROR(IF(OR('Raw Data'!E170="",LEN(TRIM('Raw Data'!E170))=0),"",IF(AND(ISNUMBER('Raw Data'!E170), IFERROR('Raw Data'!E170 = ROUND('Raw Data'!E170, 4),FALSE)),"",_xlfn.REGEXEXTRACT(CELL("address",E170), "\$([A-Z]+)\$[0-9]+"))),_xlfn.REGEXEXTRACT(CELL("address",E170), "\$([A-Z]+)\$[0-9]+"))</f>
        <v/>
      </c>
      <c r="F170" s="7" t="str" cm="1">
        <f t="array" aca="1" ref="F170" ca="1">IFERROR(IF(OR('Raw Data'!F170="",LEN(TRIM('Raw Data'!F170))=0),"",IF(AND(ISNUMBER('Raw Data'!F170), IFERROR('Raw Data'!F170 = ROUND('Raw Data'!F170, 4),FALSE)),"",_xlfn.REGEXEXTRACT(CELL("address",F170), "\$([A-Z]+)\$[0-9]+"))),_xlfn.REGEXEXTRACT(CELL("address",F170), "\$([A-Z]+)\$[0-9]+"))</f>
        <v/>
      </c>
      <c r="G170" s="7" t="str" cm="1">
        <f t="array" aca="1" ref="G170" ca="1">IFERROR(IF(OR('Raw Data'!G170="",LEN(TRIM('Raw Data'!G170))=0),"",IF(AND(ISNUMBER('Raw Data'!G170), IFERROR('Raw Data'!G170 = ROUND('Raw Data'!G170, 4),FALSE)),"",_xlfn.REGEXEXTRACT(CELL("address",G170), "\$([A-Z]+)\$[0-9]+"))),_xlfn.REGEXEXTRACT(CELL("address",G170), "\$([A-Z]+)\$[0-9]+"))</f>
        <v/>
      </c>
      <c r="H170" s="7" t="str" cm="1">
        <f t="array" aca="1" ref="H170" ca="1">IFERROR(IF(OR('Raw Data'!H170="",LEN(TRIM('Raw Data'!H170))=0),"",IF(AND(ISNUMBER('Raw Data'!H170), IFERROR('Raw Data'!H170 = ROUND('Raw Data'!H170, 4),FALSE)),"",_xlfn.REGEXEXTRACT(CELL("address",H170), "\$([A-Z]+)\$[0-9]+"))),_xlfn.REGEXEXTRACT(CELL("address",H170), "\$([A-Z]+)\$[0-9]+"))</f>
        <v/>
      </c>
      <c r="I170" s="7" t="str" cm="1">
        <f t="array" aca="1" ref="I170" ca="1">IFERROR(IF(OR('Raw Data'!I170="",LEN(TRIM('Raw Data'!I170))=0),"",IF(AND(ISNUMBER('Raw Data'!I170), IFERROR('Raw Data'!I170 = ROUND('Raw Data'!I170, 4),FALSE)),"",_xlfn.REGEXEXTRACT(CELL("address",I170), "\$([A-Z]+)\$[0-9]+"))),_xlfn.REGEXEXTRACT(CELL("address",I170), "\$([A-Z]+)\$[0-9]+"))</f>
        <v/>
      </c>
      <c r="J170" s="7" t="str" cm="1">
        <f t="array" aca="1" ref="J170" ca="1">IFERROR(IF(OR('Raw Data'!J170="",LEN(TRIM('Raw Data'!J170))=0),"",IF(AND(ISNUMBER('Raw Data'!J170), IFERROR('Raw Data'!J170 = ROUND('Raw Data'!J170, 4),FALSE)),"",_xlfn.REGEXEXTRACT(CELL("address",J170), "\$([A-Z]+)\$[0-9]+"))),_xlfn.REGEXEXTRACT(CELL("address",J170), "\$([A-Z]+)\$[0-9]+"))</f>
        <v/>
      </c>
      <c r="K170" s="7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7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</row>
    <row r="171" spans="2:22" x14ac:dyDescent="0.25">
      <c r="B171" s="7" t="str" cm="1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20,LEN('Raw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Data'!D171))=0),"",IF(AND(ISNUMBER('Raw Data'!D171),'Raw Data'!D171&gt;=Configuration!$D$2),"",_xlfn.REGEXEXTRACT(CELL("address",'Raw Data'!D171),"\$([A-Z]+)\$[0-9]+"))),_xlfn.REGEXEXTRACT(CELL("address",D171), "\$([A-Z]+)\$[0-9]+"))</f>
        <v/>
      </c>
      <c r="E171" s="7" t="str" cm="1">
        <f t="array" aca="1" ref="E171" ca="1">IFERROR(IF(OR('Raw Data'!E171="",LEN(TRIM('Raw Data'!E171))=0),"",IF(AND(ISNUMBER('Raw Data'!E171), IFERROR('Raw Data'!E171 = ROUND('Raw Data'!E171, 4),FALSE)),"",_xlfn.REGEXEXTRACT(CELL("address",E171), "\$([A-Z]+)\$[0-9]+"))),_xlfn.REGEXEXTRACT(CELL("address",E171), "\$([A-Z]+)\$[0-9]+"))</f>
        <v/>
      </c>
      <c r="F171" s="7" t="str" cm="1">
        <f t="array" aca="1" ref="F171" ca="1">IFERROR(IF(OR('Raw Data'!F171="",LEN(TRIM('Raw Data'!F171))=0),"",IF(AND(ISNUMBER('Raw Data'!F171), IFERROR('Raw Data'!F171 = ROUND('Raw Data'!F171, 4),FALSE)),"",_xlfn.REGEXEXTRACT(CELL("address",F171), "\$([A-Z]+)\$[0-9]+"))),_xlfn.REGEXEXTRACT(CELL("address",F171), "\$([A-Z]+)\$[0-9]+"))</f>
        <v/>
      </c>
      <c r="G171" s="7" t="str" cm="1">
        <f t="array" aca="1" ref="G171" ca="1">IFERROR(IF(OR('Raw Data'!G171="",LEN(TRIM('Raw Data'!G171))=0),"",IF(AND(ISNUMBER('Raw Data'!G171), IFERROR('Raw Data'!G171 = ROUND('Raw Data'!G171, 4),FALSE)),"",_xlfn.REGEXEXTRACT(CELL("address",G171), "\$([A-Z]+)\$[0-9]+"))),_xlfn.REGEXEXTRACT(CELL("address",G171), "\$([A-Z]+)\$[0-9]+"))</f>
        <v/>
      </c>
      <c r="H171" s="7" t="str" cm="1">
        <f t="array" aca="1" ref="H171" ca="1">IFERROR(IF(OR('Raw Data'!H171="",LEN(TRIM('Raw Data'!H171))=0),"",IF(AND(ISNUMBER('Raw Data'!H171), IFERROR('Raw Data'!H171 = ROUND('Raw Data'!H171, 4),FALSE)),"",_xlfn.REGEXEXTRACT(CELL("address",H171), "\$([A-Z]+)\$[0-9]+"))),_xlfn.REGEXEXTRACT(CELL("address",H171), "\$([A-Z]+)\$[0-9]+"))</f>
        <v/>
      </c>
      <c r="I171" s="7" t="str" cm="1">
        <f t="array" aca="1" ref="I171" ca="1">IFERROR(IF(OR('Raw Data'!I171="",LEN(TRIM('Raw Data'!I171))=0),"",IF(AND(ISNUMBER('Raw Data'!I171), IFERROR('Raw Data'!I171 = ROUND('Raw Data'!I171, 4),FALSE)),"",_xlfn.REGEXEXTRACT(CELL("address",I171), "\$([A-Z]+)\$[0-9]+"))),_xlfn.REGEXEXTRACT(CELL("address",I171), "\$([A-Z]+)\$[0-9]+"))</f>
        <v/>
      </c>
      <c r="J171" s="7" t="str" cm="1">
        <f t="array" aca="1" ref="J171" ca="1">IFERROR(IF(OR('Raw Data'!J171="",LEN(TRIM('Raw Data'!J171))=0),"",IF(AND(ISNUMBER('Raw Data'!J171), IFERROR('Raw Data'!J171 = ROUND('Raw Data'!J171, 4),FALSE)),"",_xlfn.REGEXEXTRACT(CELL("address",J171), "\$([A-Z]+)\$[0-9]+"))),_xlfn.REGEXEXTRACT(CELL("address",J171), "\$([A-Z]+)\$[0-9]+"))</f>
        <v/>
      </c>
      <c r="K171" s="7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7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</row>
    <row r="172" spans="2:22" x14ac:dyDescent="0.25">
      <c r="B172" s="7" t="str" cm="1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20,LEN('Raw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Data'!D172))=0),"",IF(AND(ISNUMBER('Raw Data'!D172),'Raw Data'!D172&gt;=Configuration!$D$2),"",_xlfn.REGEXEXTRACT(CELL("address",'Raw Data'!D172),"\$([A-Z]+)\$[0-9]+"))),_xlfn.REGEXEXTRACT(CELL("address",D172), "\$([A-Z]+)\$[0-9]+"))</f>
        <v/>
      </c>
      <c r="E172" s="7" t="str" cm="1">
        <f t="array" aca="1" ref="E172" ca="1">IFERROR(IF(OR('Raw Data'!E172="",LEN(TRIM('Raw Data'!E172))=0),"",IF(AND(ISNUMBER('Raw Data'!E172), IFERROR('Raw Data'!E172 = ROUND('Raw Data'!E172, 4),FALSE)),"",_xlfn.REGEXEXTRACT(CELL("address",E172), "\$([A-Z]+)\$[0-9]+"))),_xlfn.REGEXEXTRACT(CELL("address",E172), "\$([A-Z]+)\$[0-9]+"))</f>
        <v/>
      </c>
      <c r="F172" s="7" t="str" cm="1">
        <f t="array" aca="1" ref="F172" ca="1">IFERROR(IF(OR('Raw Data'!F172="",LEN(TRIM('Raw Data'!F172))=0),"",IF(AND(ISNUMBER('Raw Data'!F172), IFERROR('Raw Data'!F172 = ROUND('Raw Data'!F172, 4),FALSE)),"",_xlfn.REGEXEXTRACT(CELL("address",F172), "\$([A-Z]+)\$[0-9]+"))),_xlfn.REGEXEXTRACT(CELL("address",F172), "\$([A-Z]+)\$[0-9]+"))</f>
        <v/>
      </c>
      <c r="G172" s="7" t="str" cm="1">
        <f t="array" aca="1" ref="G172" ca="1">IFERROR(IF(OR('Raw Data'!G172="",LEN(TRIM('Raw Data'!G172))=0),"",IF(AND(ISNUMBER('Raw Data'!G172), IFERROR('Raw Data'!G172 = ROUND('Raw Data'!G172, 4),FALSE)),"",_xlfn.REGEXEXTRACT(CELL("address",G172), "\$([A-Z]+)\$[0-9]+"))),_xlfn.REGEXEXTRACT(CELL("address",G172), "\$([A-Z]+)\$[0-9]+"))</f>
        <v/>
      </c>
      <c r="H172" s="7" t="str" cm="1">
        <f t="array" aca="1" ref="H172" ca="1">IFERROR(IF(OR('Raw Data'!H172="",LEN(TRIM('Raw Data'!H172))=0),"",IF(AND(ISNUMBER('Raw Data'!H172), IFERROR('Raw Data'!H172 = ROUND('Raw Data'!H172, 4),FALSE)),"",_xlfn.REGEXEXTRACT(CELL("address",H172), "\$([A-Z]+)\$[0-9]+"))),_xlfn.REGEXEXTRACT(CELL("address",H172), "\$([A-Z]+)\$[0-9]+"))</f>
        <v/>
      </c>
      <c r="I172" s="7" t="str" cm="1">
        <f t="array" aca="1" ref="I172" ca="1">IFERROR(IF(OR('Raw Data'!I172="",LEN(TRIM('Raw Data'!I172))=0),"",IF(AND(ISNUMBER('Raw Data'!I172), IFERROR('Raw Data'!I172 = ROUND('Raw Data'!I172, 4),FALSE)),"",_xlfn.REGEXEXTRACT(CELL("address",I172), "\$([A-Z]+)\$[0-9]+"))),_xlfn.REGEXEXTRACT(CELL("address",I172), "\$([A-Z]+)\$[0-9]+"))</f>
        <v/>
      </c>
      <c r="J172" s="7" t="str" cm="1">
        <f t="array" aca="1" ref="J172" ca="1">IFERROR(IF(OR('Raw Data'!J172="",LEN(TRIM('Raw Data'!J172))=0),"",IF(AND(ISNUMBER('Raw Data'!J172), IFERROR('Raw Data'!J172 = ROUND('Raw Data'!J172, 4),FALSE)),"",_xlfn.REGEXEXTRACT(CELL("address",J172), "\$([A-Z]+)\$[0-9]+"))),_xlfn.REGEXEXTRACT(CELL("address",J172), "\$([A-Z]+)\$[0-9]+"))</f>
        <v/>
      </c>
      <c r="K172" s="7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7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</row>
    <row r="173" spans="2:22" x14ac:dyDescent="0.25">
      <c r="B173" s="7" t="str" cm="1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20,LEN('Raw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Data'!D173))=0),"",IF(AND(ISNUMBER('Raw Data'!D173),'Raw Data'!D173&gt;=Configuration!$D$2),"",_xlfn.REGEXEXTRACT(CELL("address",'Raw Data'!D173),"\$([A-Z]+)\$[0-9]+"))),_xlfn.REGEXEXTRACT(CELL("address",D173), "\$([A-Z]+)\$[0-9]+"))</f>
        <v/>
      </c>
      <c r="E173" s="7" t="str" cm="1">
        <f t="array" aca="1" ref="E173" ca="1">IFERROR(IF(OR('Raw Data'!E173="",LEN(TRIM('Raw Data'!E173))=0),"",IF(AND(ISNUMBER('Raw Data'!E173), IFERROR('Raw Data'!E173 = ROUND('Raw Data'!E173, 4),FALSE)),"",_xlfn.REGEXEXTRACT(CELL("address",E173), "\$([A-Z]+)\$[0-9]+"))),_xlfn.REGEXEXTRACT(CELL("address",E173), "\$([A-Z]+)\$[0-9]+"))</f>
        <v/>
      </c>
      <c r="F173" s="7" t="str" cm="1">
        <f t="array" aca="1" ref="F173" ca="1">IFERROR(IF(OR('Raw Data'!F173="",LEN(TRIM('Raw Data'!F173))=0),"",IF(AND(ISNUMBER('Raw Data'!F173), IFERROR('Raw Data'!F173 = ROUND('Raw Data'!F173, 4),FALSE)),"",_xlfn.REGEXEXTRACT(CELL("address",F173), "\$([A-Z]+)\$[0-9]+"))),_xlfn.REGEXEXTRACT(CELL("address",F173), "\$([A-Z]+)\$[0-9]+"))</f>
        <v/>
      </c>
      <c r="G173" s="7" t="str" cm="1">
        <f t="array" aca="1" ref="G173" ca="1">IFERROR(IF(OR('Raw Data'!G173="",LEN(TRIM('Raw Data'!G173))=0),"",IF(AND(ISNUMBER('Raw Data'!G173), IFERROR('Raw Data'!G173 = ROUND('Raw Data'!G173, 4),FALSE)),"",_xlfn.REGEXEXTRACT(CELL("address",G173), "\$([A-Z]+)\$[0-9]+"))),_xlfn.REGEXEXTRACT(CELL("address",G173), "\$([A-Z]+)\$[0-9]+"))</f>
        <v/>
      </c>
      <c r="H173" s="7" t="str" cm="1">
        <f t="array" aca="1" ref="H173" ca="1">IFERROR(IF(OR('Raw Data'!H173="",LEN(TRIM('Raw Data'!H173))=0),"",IF(AND(ISNUMBER('Raw Data'!H173), IFERROR('Raw Data'!H173 = ROUND('Raw Data'!H173, 4),FALSE)),"",_xlfn.REGEXEXTRACT(CELL("address",H173), "\$([A-Z]+)\$[0-9]+"))),_xlfn.REGEXEXTRACT(CELL("address",H173), "\$([A-Z]+)\$[0-9]+"))</f>
        <v/>
      </c>
      <c r="I173" s="7" t="str" cm="1">
        <f t="array" aca="1" ref="I173" ca="1">IFERROR(IF(OR('Raw Data'!I173="",LEN(TRIM('Raw Data'!I173))=0),"",IF(AND(ISNUMBER('Raw Data'!I173), IFERROR('Raw Data'!I173 = ROUND('Raw Data'!I173, 4),FALSE)),"",_xlfn.REGEXEXTRACT(CELL("address",I173), "\$([A-Z]+)\$[0-9]+"))),_xlfn.REGEXEXTRACT(CELL("address",I173), "\$([A-Z]+)\$[0-9]+"))</f>
        <v/>
      </c>
      <c r="J173" s="7" t="str" cm="1">
        <f t="array" aca="1" ref="J173" ca="1">IFERROR(IF(OR('Raw Data'!J173="",LEN(TRIM('Raw Data'!J173))=0),"",IF(AND(ISNUMBER('Raw Data'!J173), IFERROR('Raw Data'!J173 = ROUND('Raw Data'!J173, 4),FALSE)),"",_xlfn.REGEXEXTRACT(CELL("address",J173), "\$([A-Z]+)\$[0-9]+"))),_xlfn.REGEXEXTRACT(CELL("address",J173), "\$([A-Z]+)\$[0-9]+"))</f>
        <v/>
      </c>
      <c r="K173" s="7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7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</row>
    <row r="174" spans="2:22" x14ac:dyDescent="0.25">
      <c r="B174" s="7" t="str" cm="1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20,LEN('Raw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Data'!D174))=0),"",IF(AND(ISNUMBER('Raw Data'!D174),'Raw Data'!D174&gt;=Configuration!$D$2),"",_xlfn.REGEXEXTRACT(CELL("address",'Raw Data'!D174),"\$([A-Z]+)\$[0-9]+"))),_xlfn.REGEXEXTRACT(CELL("address",D174), "\$([A-Z]+)\$[0-9]+"))</f>
        <v/>
      </c>
      <c r="E174" s="7" t="str" cm="1">
        <f t="array" aca="1" ref="E174" ca="1">IFERROR(IF(OR('Raw Data'!E174="",LEN(TRIM('Raw Data'!E174))=0),"",IF(AND(ISNUMBER('Raw Data'!E174), IFERROR('Raw Data'!E174 = ROUND('Raw Data'!E174, 4),FALSE)),"",_xlfn.REGEXEXTRACT(CELL("address",E174), "\$([A-Z]+)\$[0-9]+"))),_xlfn.REGEXEXTRACT(CELL("address",E174), "\$([A-Z]+)\$[0-9]+"))</f>
        <v/>
      </c>
      <c r="F174" s="7" t="str" cm="1">
        <f t="array" aca="1" ref="F174" ca="1">IFERROR(IF(OR('Raw Data'!F174="",LEN(TRIM('Raw Data'!F174))=0),"",IF(AND(ISNUMBER('Raw Data'!F174), IFERROR('Raw Data'!F174 = ROUND('Raw Data'!F174, 4),FALSE)),"",_xlfn.REGEXEXTRACT(CELL("address",F174), "\$([A-Z]+)\$[0-9]+"))),_xlfn.REGEXEXTRACT(CELL("address",F174), "\$([A-Z]+)\$[0-9]+"))</f>
        <v/>
      </c>
      <c r="G174" s="7" t="str" cm="1">
        <f t="array" aca="1" ref="G174" ca="1">IFERROR(IF(OR('Raw Data'!G174="",LEN(TRIM('Raw Data'!G174))=0),"",IF(AND(ISNUMBER('Raw Data'!G174), IFERROR('Raw Data'!G174 = ROUND('Raw Data'!G174, 4),FALSE)),"",_xlfn.REGEXEXTRACT(CELL("address",G174), "\$([A-Z]+)\$[0-9]+"))),_xlfn.REGEXEXTRACT(CELL("address",G174), "\$([A-Z]+)\$[0-9]+"))</f>
        <v/>
      </c>
      <c r="H174" s="7" t="str" cm="1">
        <f t="array" aca="1" ref="H174" ca="1">IFERROR(IF(OR('Raw Data'!H174="",LEN(TRIM('Raw Data'!H174))=0),"",IF(AND(ISNUMBER('Raw Data'!H174), IFERROR('Raw Data'!H174 = ROUND('Raw Data'!H174, 4),FALSE)),"",_xlfn.REGEXEXTRACT(CELL("address",H174), "\$([A-Z]+)\$[0-9]+"))),_xlfn.REGEXEXTRACT(CELL("address",H174), "\$([A-Z]+)\$[0-9]+"))</f>
        <v/>
      </c>
      <c r="I174" s="7" t="str" cm="1">
        <f t="array" aca="1" ref="I174" ca="1">IFERROR(IF(OR('Raw Data'!I174="",LEN(TRIM('Raw Data'!I174))=0),"",IF(AND(ISNUMBER('Raw Data'!I174), IFERROR('Raw Data'!I174 = ROUND('Raw Data'!I174, 4),FALSE)),"",_xlfn.REGEXEXTRACT(CELL("address",I174), "\$([A-Z]+)\$[0-9]+"))),_xlfn.REGEXEXTRACT(CELL("address",I174), "\$([A-Z]+)\$[0-9]+"))</f>
        <v/>
      </c>
      <c r="J174" s="7" t="str" cm="1">
        <f t="array" aca="1" ref="J174" ca="1">IFERROR(IF(OR('Raw Data'!J174="",LEN(TRIM('Raw Data'!J174))=0),"",IF(AND(ISNUMBER('Raw Data'!J174), IFERROR('Raw Data'!J174 = ROUND('Raw Data'!J174, 4),FALSE)),"",_xlfn.REGEXEXTRACT(CELL("address",J174), "\$([A-Z]+)\$[0-9]+"))),_xlfn.REGEXEXTRACT(CELL("address",J174), "\$([A-Z]+)\$[0-9]+"))</f>
        <v/>
      </c>
      <c r="K174" s="7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7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</row>
    <row r="175" spans="2:22" x14ac:dyDescent="0.25">
      <c r="B175" s="7" t="str" cm="1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20,LEN('Raw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Data'!D175))=0),"",IF(AND(ISNUMBER('Raw Data'!D175),'Raw Data'!D175&gt;=Configuration!$D$2),"",_xlfn.REGEXEXTRACT(CELL("address",'Raw Data'!D175),"\$([A-Z]+)\$[0-9]+"))),_xlfn.REGEXEXTRACT(CELL("address",D175), "\$([A-Z]+)\$[0-9]+"))</f>
        <v/>
      </c>
      <c r="E175" s="7" t="str" cm="1">
        <f t="array" aca="1" ref="E175" ca="1">IFERROR(IF(OR('Raw Data'!E175="",LEN(TRIM('Raw Data'!E175))=0),"",IF(AND(ISNUMBER('Raw Data'!E175), IFERROR('Raw Data'!E175 = ROUND('Raw Data'!E175, 4),FALSE)),"",_xlfn.REGEXEXTRACT(CELL("address",E175), "\$([A-Z]+)\$[0-9]+"))),_xlfn.REGEXEXTRACT(CELL("address",E175), "\$([A-Z]+)\$[0-9]+"))</f>
        <v/>
      </c>
      <c r="F175" s="7" t="str" cm="1">
        <f t="array" aca="1" ref="F175" ca="1">IFERROR(IF(OR('Raw Data'!F175="",LEN(TRIM('Raw Data'!F175))=0),"",IF(AND(ISNUMBER('Raw Data'!F175), IFERROR('Raw Data'!F175 = ROUND('Raw Data'!F175, 4),FALSE)),"",_xlfn.REGEXEXTRACT(CELL("address",F175), "\$([A-Z]+)\$[0-9]+"))),_xlfn.REGEXEXTRACT(CELL("address",F175), "\$([A-Z]+)\$[0-9]+"))</f>
        <v/>
      </c>
      <c r="G175" s="7" t="str" cm="1">
        <f t="array" aca="1" ref="G175" ca="1">IFERROR(IF(OR('Raw Data'!G175="",LEN(TRIM('Raw Data'!G175))=0),"",IF(AND(ISNUMBER('Raw Data'!G175), IFERROR('Raw Data'!G175 = ROUND('Raw Data'!G175, 4),FALSE)),"",_xlfn.REGEXEXTRACT(CELL("address",G175), "\$([A-Z]+)\$[0-9]+"))),_xlfn.REGEXEXTRACT(CELL("address",G175), "\$([A-Z]+)\$[0-9]+"))</f>
        <v/>
      </c>
      <c r="H175" s="7" t="str" cm="1">
        <f t="array" aca="1" ref="H175" ca="1">IFERROR(IF(OR('Raw Data'!H175="",LEN(TRIM('Raw Data'!H175))=0),"",IF(AND(ISNUMBER('Raw Data'!H175), IFERROR('Raw Data'!H175 = ROUND('Raw Data'!H175, 4),FALSE)),"",_xlfn.REGEXEXTRACT(CELL("address",H175), "\$([A-Z]+)\$[0-9]+"))),_xlfn.REGEXEXTRACT(CELL("address",H175), "\$([A-Z]+)\$[0-9]+"))</f>
        <v/>
      </c>
      <c r="I175" s="7" t="str" cm="1">
        <f t="array" aca="1" ref="I175" ca="1">IFERROR(IF(OR('Raw Data'!I175="",LEN(TRIM('Raw Data'!I175))=0),"",IF(AND(ISNUMBER('Raw Data'!I175), IFERROR('Raw Data'!I175 = ROUND('Raw Data'!I175, 4),FALSE)),"",_xlfn.REGEXEXTRACT(CELL("address",I175), "\$([A-Z]+)\$[0-9]+"))),_xlfn.REGEXEXTRACT(CELL("address",I175), "\$([A-Z]+)\$[0-9]+"))</f>
        <v/>
      </c>
      <c r="J175" s="7" t="str" cm="1">
        <f t="array" aca="1" ref="J175" ca="1">IFERROR(IF(OR('Raw Data'!J175="",LEN(TRIM('Raw Data'!J175))=0),"",IF(AND(ISNUMBER('Raw Data'!J175), IFERROR('Raw Data'!J175 = ROUND('Raw Data'!J175, 4),FALSE)),"",_xlfn.REGEXEXTRACT(CELL("address",J175), "\$([A-Z]+)\$[0-9]+"))),_xlfn.REGEXEXTRACT(CELL("address",J175), "\$([A-Z]+)\$[0-9]+"))</f>
        <v/>
      </c>
      <c r="K175" s="7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7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</row>
    <row r="176" spans="2:22" x14ac:dyDescent="0.25">
      <c r="B176" s="7" t="str" cm="1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20,LEN('Raw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Data'!D176))=0),"",IF(AND(ISNUMBER('Raw Data'!D176),'Raw Data'!D176&gt;=Configuration!$D$2),"",_xlfn.REGEXEXTRACT(CELL("address",'Raw Data'!D176),"\$([A-Z]+)\$[0-9]+"))),_xlfn.REGEXEXTRACT(CELL("address",D176), "\$([A-Z]+)\$[0-9]+"))</f>
        <v/>
      </c>
      <c r="E176" s="7" t="str" cm="1">
        <f t="array" aca="1" ref="E176" ca="1">IFERROR(IF(OR('Raw Data'!E176="",LEN(TRIM('Raw Data'!E176))=0),"",IF(AND(ISNUMBER('Raw Data'!E176), IFERROR('Raw Data'!E176 = ROUND('Raw Data'!E176, 4),FALSE)),"",_xlfn.REGEXEXTRACT(CELL("address",E176), "\$([A-Z]+)\$[0-9]+"))),_xlfn.REGEXEXTRACT(CELL("address",E176), "\$([A-Z]+)\$[0-9]+"))</f>
        <v/>
      </c>
      <c r="F176" s="7" t="str" cm="1">
        <f t="array" aca="1" ref="F176" ca="1">IFERROR(IF(OR('Raw Data'!F176="",LEN(TRIM('Raw Data'!F176))=0),"",IF(AND(ISNUMBER('Raw Data'!F176), IFERROR('Raw Data'!F176 = ROUND('Raw Data'!F176, 4),FALSE)),"",_xlfn.REGEXEXTRACT(CELL("address",F176), "\$([A-Z]+)\$[0-9]+"))),_xlfn.REGEXEXTRACT(CELL("address",F176), "\$([A-Z]+)\$[0-9]+"))</f>
        <v/>
      </c>
      <c r="G176" s="7" t="str" cm="1">
        <f t="array" aca="1" ref="G176" ca="1">IFERROR(IF(OR('Raw Data'!G176="",LEN(TRIM('Raw Data'!G176))=0),"",IF(AND(ISNUMBER('Raw Data'!G176), IFERROR('Raw Data'!G176 = ROUND('Raw Data'!G176, 4),FALSE)),"",_xlfn.REGEXEXTRACT(CELL("address",G176), "\$([A-Z]+)\$[0-9]+"))),_xlfn.REGEXEXTRACT(CELL("address",G176), "\$([A-Z]+)\$[0-9]+"))</f>
        <v/>
      </c>
      <c r="H176" s="7" t="str" cm="1">
        <f t="array" aca="1" ref="H176" ca="1">IFERROR(IF(OR('Raw Data'!H176="",LEN(TRIM('Raw Data'!H176))=0),"",IF(AND(ISNUMBER('Raw Data'!H176), IFERROR('Raw Data'!H176 = ROUND('Raw Data'!H176, 4),FALSE)),"",_xlfn.REGEXEXTRACT(CELL("address",H176), "\$([A-Z]+)\$[0-9]+"))),_xlfn.REGEXEXTRACT(CELL("address",H176), "\$([A-Z]+)\$[0-9]+"))</f>
        <v/>
      </c>
      <c r="I176" s="7" t="str" cm="1">
        <f t="array" aca="1" ref="I176" ca="1">IFERROR(IF(OR('Raw Data'!I176="",LEN(TRIM('Raw Data'!I176))=0),"",IF(AND(ISNUMBER('Raw Data'!I176), IFERROR('Raw Data'!I176 = ROUND('Raw Data'!I176, 4),FALSE)),"",_xlfn.REGEXEXTRACT(CELL("address",I176), "\$([A-Z]+)\$[0-9]+"))),_xlfn.REGEXEXTRACT(CELL("address",I176), "\$([A-Z]+)\$[0-9]+"))</f>
        <v/>
      </c>
      <c r="J176" s="7" t="str" cm="1">
        <f t="array" aca="1" ref="J176" ca="1">IFERROR(IF(OR('Raw Data'!J176="",LEN(TRIM('Raw Data'!J176))=0),"",IF(AND(ISNUMBER('Raw Data'!J176), IFERROR('Raw Data'!J176 = ROUND('Raw Data'!J176, 4),FALSE)),"",_xlfn.REGEXEXTRACT(CELL("address",J176), "\$([A-Z]+)\$[0-9]+"))),_xlfn.REGEXEXTRACT(CELL("address",J176), "\$([A-Z]+)\$[0-9]+"))</f>
        <v/>
      </c>
      <c r="K176" s="7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7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</row>
    <row r="177" spans="2:22" x14ac:dyDescent="0.25">
      <c r="B177" s="7" t="str" cm="1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20,LEN('Raw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Data'!D177))=0),"",IF(AND(ISNUMBER('Raw Data'!D177),'Raw Data'!D177&gt;=Configuration!$D$2),"",_xlfn.REGEXEXTRACT(CELL("address",'Raw Data'!D177),"\$([A-Z]+)\$[0-9]+"))),_xlfn.REGEXEXTRACT(CELL("address",D177), "\$([A-Z]+)\$[0-9]+"))</f>
        <v/>
      </c>
      <c r="E177" s="7" t="str" cm="1">
        <f t="array" aca="1" ref="E177" ca="1">IFERROR(IF(OR('Raw Data'!E177="",LEN(TRIM('Raw Data'!E177))=0),"",IF(AND(ISNUMBER('Raw Data'!E177), IFERROR('Raw Data'!E177 = ROUND('Raw Data'!E177, 4),FALSE)),"",_xlfn.REGEXEXTRACT(CELL("address",E177), "\$([A-Z]+)\$[0-9]+"))),_xlfn.REGEXEXTRACT(CELL("address",E177), "\$([A-Z]+)\$[0-9]+"))</f>
        <v/>
      </c>
      <c r="F177" s="7" t="str" cm="1">
        <f t="array" aca="1" ref="F177" ca="1">IFERROR(IF(OR('Raw Data'!F177="",LEN(TRIM('Raw Data'!F177))=0),"",IF(AND(ISNUMBER('Raw Data'!F177), IFERROR('Raw Data'!F177 = ROUND('Raw Data'!F177, 4),FALSE)),"",_xlfn.REGEXEXTRACT(CELL("address",F177), "\$([A-Z]+)\$[0-9]+"))),_xlfn.REGEXEXTRACT(CELL("address",F177), "\$([A-Z]+)\$[0-9]+"))</f>
        <v/>
      </c>
      <c r="G177" s="7" t="str" cm="1">
        <f t="array" aca="1" ref="G177" ca="1">IFERROR(IF(OR('Raw Data'!G177="",LEN(TRIM('Raw Data'!G177))=0),"",IF(AND(ISNUMBER('Raw Data'!G177), IFERROR('Raw Data'!G177 = ROUND('Raw Data'!G177, 4),FALSE)),"",_xlfn.REGEXEXTRACT(CELL("address",G177), "\$([A-Z]+)\$[0-9]+"))),_xlfn.REGEXEXTRACT(CELL("address",G177), "\$([A-Z]+)\$[0-9]+"))</f>
        <v/>
      </c>
      <c r="H177" s="7" t="str" cm="1">
        <f t="array" aca="1" ref="H177" ca="1">IFERROR(IF(OR('Raw Data'!H177="",LEN(TRIM('Raw Data'!H177))=0),"",IF(AND(ISNUMBER('Raw Data'!H177), IFERROR('Raw Data'!H177 = ROUND('Raw Data'!H177, 4),FALSE)),"",_xlfn.REGEXEXTRACT(CELL("address",H177), "\$([A-Z]+)\$[0-9]+"))),_xlfn.REGEXEXTRACT(CELL("address",H177), "\$([A-Z]+)\$[0-9]+"))</f>
        <v/>
      </c>
      <c r="I177" s="7" t="str" cm="1">
        <f t="array" aca="1" ref="I177" ca="1">IFERROR(IF(OR('Raw Data'!I177="",LEN(TRIM('Raw Data'!I177))=0),"",IF(AND(ISNUMBER('Raw Data'!I177), IFERROR('Raw Data'!I177 = ROUND('Raw Data'!I177, 4),FALSE)),"",_xlfn.REGEXEXTRACT(CELL("address",I177), "\$([A-Z]+)\$[0-9]+"))),_xlfn.REGEXEXTRACT(CELL("address",I177), "\$([A-Z]+)\$[0-9]+"))</f>
        <v/>
      </c>
      <c r="J177" s="7" t="str" cm="1">
        <f t="array" aca="1" ref="J177" ca="1">IFERROR(IF(OR('Raw Data'!J177="",LEN(TRIM('Raw Data'!J177))=0),"",IF(AND(ISNUMBER('Raw Data'!J177), IFERROR('Raw Data'!J177 = ROUND('Raw Data'!J177, 4),FALSE)),"",_xlfn.REGEXEXTRACT(CELL("address",J177), "\$([A-Z]+)\$[0-9]+"))),_xlfn.REGEXEXTRACT(CELL("address",J177), "\$([A-Z]+)\$[0-9]+"))</f>
        <v/>
      </c>
      <c r="K177" s="7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7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</row>
    <row r="178" spans="2:22" x14ac:dyDescent="0.25">
      <c r="B178" s="7" t="str" cm="1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20,LEN('Raw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Data'!D178))=0),"",IF(AND(ISNUMBER('Raw Data'!D178),'Raw Data'!D178&gt;=Configuration!$D$2),"",_xlfn.REGEXEXTRACT(CELL("address",'Raw Data'!D178),"\$([A-Z]+)\$[0-9]+"))),_xlfn.REGEXEXTRACT(CELL("address",D178), "\$([A-Z]+)\$[0-9]+"))</f>
        <v/>
      </c>
      <c r="E178" s="7" t="str" cm="1">
        <f t="array" aca="1" ref="E178" ca="1">IFERROR(IF(OR('Raw Data'!E178="",LEN(TRIM('Raw Data'!E178))=0),"",IF(AND(ISNUMBER('Raw Data'!E178), IFERROR('Raw Data'!E178 = ROUND('Raw Data'!E178, 4),FALSE)),"",_xlfn.REGEXEXTRACT(CELL("address",E178), "\$([A-Z]+)\$[0-9]+"))),_xlfn.REGEXEXTRACT(CELL("address",E178), "\$([A-Z]+)\$[0-9]+"))</f>
        <v/>
      </c>
      <c r="F178" s="7" t="str" cm="1">
        <f t="array" aca="1" ref="F178" ca="1">IFERROR(IF(OR('Raw Data'!F178="",LEN(TRIM('Raw Data'!F178))=0),"",IF(AND(ISNUMBER('Raw Data'!F178), IFERROR('Raw Data'!F178 = ROUND('Raw Data'!F178, 4),FALSE)),"",_xlfn.REGEXEXTRACT(CELL("address",F178), "\$([A-Z]+)\$[0-9]+"))),_xlfn.REGEXEXTRACT(CELL("address",F178), "\$([A-Z]+)\$[0-9]+"))</f>
        <v/>
      </c>
      <c r="G178" s="7" t="str" cm="1">
        <f t="array" aca="1" ref="G178" ca="1">IFERROR(IF(OR('Raw Data'!G178="",LEN(TRIM('Raw Data'!G178))=0),"",IF(AND(ISNUMBER('Raw Data'!G178), IFERROR('Raw Data'!G178 = ROUND('Raw Data'!G178, 4),FALSE)),"",_xlfn.REGEXEXTRACT(CELL("address",G178), "\$([A-Z]+)\$[0-9]+"))),_xlfn.REGEXEXTRACT(CELL("address",G178), "\$([A-Z]+)\$[0-9]+"))</f>
        <v/>
      </c>
      <c r="H178" s="7" t="str" cm="1">
        <f t="array" aca="1" ref="H178" ca="1">IFERROR(IF(OR('Raw Data'!H178="",LEN(TRIM('Raw Data'!H178))=0),"",IF(AND(ISNUMBER('Raw Data'!H178), IFERROR('Raw Data'!H178 = ROUND('Raw Data'!H178, 4),FALSE)),"",_xlfn.REGEXEXTRACT(CELL("address",H178), "\$([A-Z]+)\$[0-9]+"))),_xlfn.REGEXEXTRACT(CELL("address",H178), "\$([A-Z]+)\$[0-9]+"))</f>
        <v/>
      </c>
      <c r="I178" s="7" t="str" cm="1">
        <f t="array" aca="1" ref="I178" ca="1">IFERROR(IF(OR('Raw Data'!I178="",LEN(TRIM('Raw Data'!I178))=0),"",IF(AND(ISNUMBER('Raw Data'!I178), IFERROR('Raw Data'!I178 = ROUND('Raw Data'!I178, 4),FALSE)),"",_xlfn.REGEXEXTRACT(CELL("address",I178), "\$([A-Z]+)\$[0-9]+"))),_xlfn.REGEXEXTRACT(CELL("address",I178), "\$([A-Z]+)\$[0-9]+"))</f>
        <v/>
      </c>
      <c r="J178" s="7" t="str" cm="1">
        <f t="array" aca="1" ref="J178" ca="1">IFERROR(IF(OR('Raw Data'!J178="",LEN(TRIM('Raw Data'!J178))=0),"",IF(AND(ISNUMBER('Raw Data'!J178), IFERROR('Raw Data'!J178 = ROUND('Raw Data'!J178, 4),FALSE)),"",_xlfn.REGEXEXTRACT(CELL("address",J178), "\$([A-Z]+)\$[0-9]+"))),_xlfn.REGEXEXTRACT(CELL("address",J178), "\$([A-Z]+)\$[0-9]+"))</f>
        <v/>
      </c>
      <c r="K178" s="7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7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</row>
    <row r="179" spans="2:22" x14ac:dyDescent="0.25">
      <c r="B179" s="7" t="str" cm="1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20,LEN('Raw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Data'!D179))=0),"",IF(AND(ISNUMBER('Raw Data'!D179),'Raw Data'!D179&gt;=Configuration!$D$2),"",_xlfn.REGEXEXTRACT(CELL("address",'Raw Data'!D179),"\$([A-Z]+)\$[0-9]+"))),_xlfn.REGEXEXTRACT(CELL("address",D179), "\$([A-Z]+)\$[0-9]+"))</f>
        <v/>
      </c>
      <c r="E179" s="7" t="str" cm="1">
        <f t="array" aca="1" ref="E179" ca="1">IFERROR(IF(OR('Raw Data'!E179="",LEN(TRIM('Raw Data'!E179))=0),"",IF(AND(ISNUMBER('Raw Data'!E179), IFERROR('Raw Data'!E179 = ROUND('Raw Data'!E179, 4),FALSE)),"",_xlfn.REGEXEXTRACT(CELL("address",E179), "\$([A-Z]+)\$[0-9]+"))),_xlfn.REGEXEXTRACT(CELL("address",E179), "\$([A-Z]+)\$[0-9]+"))</f>
        <v/>
      </c>
      <c r="F179" s="7" t="str" cm="1">
        <f t="array" aca="1" ref="F179" ca="1">IFERROR(IF(OR('Raw Data'!F179="",LEN(TRIM('Raw Data'!F179))=0),"",IF(AND(ISNUMBER('Raw Data'!F179), IFERROR('Raw Data'!F179 = ROUND('Raw Data'!F179, 4),FALSE)),"",_xlfn.REGEXEXTRACT(CELL("address",F179), "\$([A-Z]+)\$[0-9]+"))),_xlfn.REGEXEXTRACT(CELL("address",F179), "\$([A-Z]+)\$[0-9]+"))</f>
        <v/>
      </c>
      <c r="G179" s="7" t="str" cm="1">
        <f t="array" aca="1" ref="G179" ca="1">IFERROR(IF(OR('Raw Data'!G179="",LEN(TRIM('Raw Data'!G179))=0),"",IF(AND(ISNUMBER('Raw Data'!G179), IFERROR('Raw Data'!G179 = ROUND('Raw Data'!G179, 4),FALSE)),"",_xlfn.REGEXEXTRACT(CELL("address",G179), "\$([A-Z]+)\$[0-9]+"))),_xlfn.REGEXEXTRACT(CELL("address",G179), "\$([A-Z]+)\$[0-9]+"))</f>
        <v/>
      </c>
      <c r="H179" s="7" t="str" cm="1">
        <f t="array" aca="1" ref="H179" ca="1">IFERROR(IF(OR('Raw Data'!H179="",LEN(TRIM('Raw Data'!H179))=0),"",IF(AND(ISNUMBER('Raw Data'!H179), IFERROR('Raw Data'!H179 = ROUND('Raw Data'!H179, 4),FALSE)),"",_xlfn.REGEXEXTRACT(CELL("address",H179), "\$([A-Z]+)\$[0-9]+"))),_xlfn.REGEXEXTRACT(CELL("address",H179), "\$([A-Z]+)\$[0-9]+"))</f>
        <v/>
      </c>
      <c r="I179" s="7" t="str" cm="1">
        <f t="array" aca="1" ref="I179" ca="1">IFERROR(IF(OR('Raw Data'!I179="",LEN(TRIM('Raw Data'!I179))=0),"",IF(AND(ISNUMBER('Raw Data'!I179), IFERROR('Raw Data'!I179 = ROUND('Raw Data'!I179, 4),FALSE)),"",_xlfn.REGEXEXTRACT(CELL("address",I179), "\$([A-Z]+)\$[0-9]+"))),_xlfn.REGEXEXTRACT(CELL("address",I179), "\$([A-Z]+)\$[0-9]+"))</f>
        <v/>
      </c>
      <c r="J179" s="7" t="str" cm="1">
        <f t="array" aca="1" ref="J179" ca="1">IFERROR(IF(OR('Raw Data'!J179="",LEN(TRIM('Raw Data'!J179))=0),"",IF(AND(ISNUMBER('Raw Data'!J179), IFERROR('Raw Data'!J179 = ROUND('Raw Data'!J179, 4),FALSE)),"",_xlfn.REGEXEXTRACT(CELL("address",J179), "\$([A-Z]+)\$[0-9]+"))),_xlfn.REGEXEXTRACT(CELL("address",J179), "\$([A-Z]+)\$[0-9]+"))</f>
        <v/>
      </c>
      <c r="K179" s="7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7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</row>
    <row r="180" spans="2:22" x14ac:dyDescent="0.25">
      <c r="B180" s="7" t="str" cm="1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20,LEN('Raw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Data'!D180))=0),"",IF(AND(ISNUMBER('Raw Data'!D180),'Raw Data'!D180&gt;=Configuration!$D$2),"",_xlfn.REGEXEXTRACT(CELL("address",'Raw Data'!D180),"\$([A-Z]+)\$[0-9]+"))),_xlfn.REGEXEXTRACT(CELL("address",D180), "\$([A-Z]+)\$[0-9]+"))</f>
        <v/>
      </c>
      <c r="E180" s="7" t="str" cm="1">
        <f t="array" aca="1" ref="E180" ca="1">IFERROR(IF(OR('Raw Data'!E180="",LEN(TRIM('Raw Data'!E180))=0),"",IF(AND(ISNUMBER('Raw Data'!E180), IFERROR('Raw Data'!E180 = ROUND('Raw Data'!E180, 4),FALSE)),"",_xlfn.REGEXEXTRACT(CELL("address",E180), "\$([A-Z]+)\$[0-9]+"))),_xlfn.REGEXEXTRACT(CELL("address",E180), "\$([A-Z]+)\$[0-9]+"))</f>
        <v/>
      </c>
      <c r="F180" s="7" t="str" cm="1">
        <f t="array" aca="1" ref="F180" ca="1">IFERROR(IF(OR('Raw Data'!F180="",LEN(TRIM('Raw Data'!F180))=0),"",IF(AND(ISNUMBER('Raw Data'!F180), IFERROR('Raw Data'!F180 = ROUND('Raw Data'!F180, 4),FALSE)),"",_xlfn.REGEXEXTRACT(CELL("address",F180), "\$([A-Z]+)\$[0-9]+"))),_xlfn.REGEXEXTRACT(CELL("address",F180), "\$([A-Z]+)\$[0-9]+"))</f>
        <v/>
      </c>
      <c r="G180" s="7" t="str" cm="1">
        <f t="array" aca="1" ref="G180" ca="1">IFERROR(IF(OR('Raw Data'!G180="",LEN(TRIM('Raw Data'!G180))=0),"",IF(AND(ISNUMBER('Raw Data'!G180), IFERROR('Raw Data'!G180 = ROUND('Raw Data'!G180, 4),FALSE)),"",_xlfn.REGEXEXTRACT(CELL("address",G180), "\$([A-Z]+)\$[0-9]+"))),_xlfn.REGEXEXTRACT(CELL("address",G180), "\$([A-Z]+)\$[0-9]+"))</f>
        <v/>
      </c>
      <c r="H180" s="7" t="str" cm="1">
        <f t="array" aca="1" ref="H180" ca="1">IFERROR(IF(OR('Raw Data'!H180="",LEN(TRIM('Raw Data'!H180))=0),"",IF(AND(ISNUMBER('Raw Data'!H180), IFERROR('Raw Data'!H180 = ROUND('Raw Data'!H180, 4),FALSE)),"",_xlfn.REGEXEXTRACT(CELL("address",H180), "\$([A-Z]+)\$[0-9]+"))),_xlfn.REGEXEXTRACT(CELL("address",H180), "\$([A-Z]+)\$[0-9]+"))</f>
        <v/>
      </c>
      <c r="I180" s="7" t="str" cm="1">
        <f t="array" aca="1" ref="I180" ca="1">IFERROR(IF(OR('Raw Data'!I180="",LEN(TRIM('Raw Data'!I180))=0),"",IF(AND(ISNUMBER('Raw Data'!I180), IFERROR('Raw Data'!I180 = ROUND('Raw Data'!I180, 4),FALSE)),"",_xlfn.REGEXEXTRACT(CELL("address",I180), "\$([A-Z]+)\$[0-9]+"))),_xlfn.REGEXEXTRACT(CELL("address",I180), "\$([A-Z]+)\$[0-9]+"))</f>
        <v/>
      </c>
      <c r="J180" s="7" t="str" cm="1">
        <f t="array" aca="1" ref="J180" ca="1">IFERROR(IF(OR('Raw Data'!J180="",LEN(TRIM('Raw Data'!J180))=0),"",IF(AND(ISNUMBER('Raw Data'!J180), IFERROR('Raw Data'!J180 = ROUND('Raw Data'!J180, 4),FALSE)),"",_xlfn.REGEXEXTRACT(CELL("address",J180), "\$([A-Z]+)\$[0-9]+"))),_xlfn.REGEXEXTRACT(CELL("address",J180), "\$([A-Z]+)\$[0-9]+"))</f>
        <v/>
      </c>
      <c r="K180" s="7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7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</row>
    <row r="181" spans="2:22" x14ac:dyDescent="0.25">
      <c r="B181" s="7" t="str" cm="1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20,LEN('Raw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Data'!D181))=0),"",IF(AND(ISNUMBER('Raw Data'!D181),'Raw Data'!D181&gt;=Configuration!$D$2),"",_xlfn.REGEXEXTRACT(CELL("address",'Raw Data'!D181),"\$([A-Z]+)\$[0-9]+"))),_xlfn.REGEXEXTRACT(CELL("address",D181), "\$([A-Z]+)\$[0-9]+"))</f>
        <v/>
      </c>
      <c r="E181" s="7" t="str" cm="1">
        <f t="array" aca="1" ref="E181" ca="1">IFERROR(IF(OR('Raw Data'!E181="",LEN(TRIM('Raw Data'!E181))=0),"",IF(AND(ISNUMBER('Raw Data'!E181), IFERROR('Raw Data'!E181 = ROUND('Raw Data'!E181, 4),FALSE)),"",_xlfn.REGEXEXTRACT(CELL("address",E181), "\$([A-Z]+)\$[0-9]+"))),_xlfn.REGEXEXTRACT(CELL("address",E181), "\$([A-Z]+)\$[0-9]+"))</f>
        <v/>
      </c>
      <c r="F181" s="7" t="str" cm="1">
        <f t="array" aca="1" ref="F181" ca="1">IFERROR(IF(OR('Raw Data'!F181="",LEN(TRIM('Raw Data'!F181))=0),"",IF(AND(ISNUMBER('Raw Data'!F181), IFERROR('Raw Data'!F181 = ROUND('Raw Data'!F181, 4),FALSE)),"",_xlfn.REGEXEXTRACT(CELL("address",F181), "\$([A-Z]+)\$[0-9]+"))),_xlfn.REGEXEXTRACT(CELL("address",F181), "\$([A-Z]+)\$[0-9]+"))</f>
        <v/>
      </c>
      <c r="G181" s="7" t="str" cm="1">
        <f t="array" aca="1" ref="G181" ca="1">IFERROR(IF(OR('Raw Data'!G181="",LEN(TRIM('Raw Data'!G181))=0),"",IF(AND(ISNUMBER('Raw Data'!G181), IFERROR('Raw Data'!G181 = ROUND('Raw Data'!G181, 4),FALSE)),"",_xlfn.REGEXEXTRACT(CELL("address",G181), "\$([A-Z]+)\$[0-9]+"))),_xlfn.REGEXEXTRACT(CELL("address",G181), "\$([A-Z]+)\$[0-9]+"))</f>
        <v/>
      </c>
      <c r="H181" s="7" t="str" cm="1">
        <f t="array" aca="1" ref="H181" ca="1">IFERROR(IF(OR('Raw Data'!H181="",LEN(TRIM('Raw Data'!H181))=0),"",IF(AND(ISNUMBER('Raw Data'!H181), IFERROR('Raw Data'!H181 = ROUND('Raw Data'!H181, 4),FALSE)),"",_xlfn.REGEXEXTRACT(CELL("address",H181), "\$([A-Z]+)\$[0-9]+"))),_xlfn.REGEXEXTRACT(CELL("address",H181), "\$([A-Z]+)\$[0-9]+"))</f>
        <v/>
      </c>
      <c r="I181" s="7" t="str" cm="1">
        <f t="array" aca="1" ref="I181" ca="1">IFERROR(IF(OR('Raw Data'!I181="",LEN(TRIM('Raw Data'!I181))=0),"",IF(AND(ISNUMBER('Raw Data'!I181), IFERROR('Raw Data'!I181 = ROUND('Raw Data'!I181, 4),FALSE)),"",_xlfn.REGEXEXTRACT(CELL("address",I181), "\$([A-Z]+)\$[0-9]+"))),_xlfn.REGEXEXTRACT(CELL("address",I181), "\$([A-Z]+)\$[0-9]+"))</f>
        <v/>
      </c>
      <c r="J181" s="7" t="str" cm="1">
        <f t="array" aca="1" ref="J181" ca="1">IFERROR(IF(OR('Raw Data'!J181="",LEN(TRIM('Raw Data'!J181))=0),"",IF(AND(ISNUMBER('Raw Data'!J181), IFERROR('Raw Data'!J181 = ROUND('Raw Data'!J181, 4),FALSE)),"",_xlfn.REGEXEXTRACT(CELL("address",J181), "\$([A-Z]+)\$[0-9]+"))),_xlfn.REGEXEXTRACT(CELL("address",J181), "\$([A-Z]+)\$[0-9]+"))</f>
        <v/>
      </c>
      <c r="K181" s="7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7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</row>
    <row r="182" spans="2:22" x14ac:dyDescent="0.25">
      <c r="B182" s="7" t="str" cm="1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20,LEN('Raw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Data'!D182))=0),"",IF(AND(ISNUMBER('Raw Data'!D182),'Raw Data'!D182&gt;=Configuration!$D$2),"",_xlfn.REGEXEXTRACT(CELL("address",'Raw Data'!D182),"\$([A-Z]+)\$[0-9]+"))),_xlfn.REGEXEXTRACT(CELL("address",D182), "\$([A-Z]+)\$[0-9]+"))</f>
        <v/>
      </c>
      <c r="E182" s="7" t="str" cm="1">
        <f t="array" aca="1" ref="E182" ca="1">IFERROR(IF(OR('Raw Data'!E182="",LEN(TRIM('Raw Data'!E182))=0),"",IF(AND(ISNUMBER('Raw Data'!E182), IFERROR('Raw Data'!E182 = ROUND('Raw Data'!E182, 4),FALSE)),"",_xlfn.REGEXEXTRACT(CELL("address",E182), "\$([A-Z]+)\$[0-9]+"))),_xlfn.REGEXEXTRACT(CELL("address",E182), "\$([A-Z]+)\$[0-9]+"))</f>
        <v/>
      </c>
      <c r="F182" s="7" t="str" cm="1">
        <f t="array" aca="1" ref="F182" ca="1">IFERROR(IF(OR('Raw Data'!F182="",LEN(TRIM('Raw Data'!F182))=0),"",IF(AND(ISNUMBER('Raw Data'!F182), IFERROR('Raw Data'!F182 = ROUND('Raw Data'!F182, 4),FALSE)),"",_xlfn.REGEXEXTRACT(CELL("address",F182), "\$([A-Z]+)\$[0-9]+"))),_xlfn.REGEXEXTRACT(CELL("address",F182), "\$([A-Z]+)\$[0-9]+"))</f>
        <v/>
      </c>
      <c r="G182" s="7" t="str" cm="1">
        <f t="array" aca="1" ref="G182" ca="1">IFERROR(IF(OR('Raw Data'!G182="",LEN(TRIM('Raw Data'!G182))=0),"",IF(AND(ISNUMBER('Raw Data'!G182), IFERROR('Raw Data'!G182 = ROUND('Raw Data'!G182, 4),FALSE)),"",_xlfn.REGEXEXTRACT(CELL("address",G182), "\$([A-Z]+)\$[0-9]+"))),_xlfn.REGEXEXTRACT(CELL("address",G182), "\$([A-Z]+)\$[0-9]+"))</f>
        <v/>
      </c>
      <c r="H182" s="7" t="str" cm="1">
        <f t="array" aca="1" ref="H182" ca="1">IFERROR(IF(OR('Raw Data'!H182="",LEN(TRIM('Raw Data'!H182))=0),"",IF(AND(ISNUMBER('Raw Data'!H182), IFERROR('Raw Data'!H182 = ROUND('Raw Data'!H182, 4),FALSE)),"",_xlfn.REGEXEXTRACT(CELL("address",H182), "\$([A-Z]+)\$[0-9]+"))),_xlfn.REGEXEXTRACT(CELL("address",H182), "\$([A-Z]+)\$[0-9]+"))</f>
        <v/>
      </c>
      <c r="I182" s="7" t="str" cm="1">
        <f t="array" aca="1" ref="I182" ca="1">IFERROR(IF(OR('Raw Data'!I182="",LEN(TRIM('Raw Data'!I182))=0),"",IF(AND(ISNUMBER('Raw Data'!I182), IFERROR('Raw Data'!I182 = ROUND('Raw Data'!I182, 4),FALSE)),"",_xlfn.REGEXEXTRACT(CELL("address",I182), "\$([A-Z]+)\$[0-9]+"))),_xlfn.REGEXEXTRACT(CELL("address",I182), "\$([A-Z]+)\$[0-9]+"))</f>
        <v/>
      </c>
      <c r="J182" s="7" t="str" cm="1">
        <f t="array" aca="1" ref="J182" ca="1">IFERROR(IF(OR('Raw Data'!J182="",LEN(TRIM('Raw Data'!J182))=0),"",IF(AND(ISNUMBER('Raw Data'!J182), IFERROR('Raw Data'!J182 = ROUND('Raw Data'!J182, 4),FALSE)),"",_xlfn.REGEXEXTRACT(CELL("address",J182), "\$([A-Z]+)\$[0-9]+"))),_xlfn.REGEXEXTRACT(CELL("address",J182), "\$([A-Z]+)\$[0-9]+"))</f>
        <v/>
      </c>
      <c r="K182" s="7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7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</row>
    <row r="183" spans="2:22" x14ac:dyDescent="0.25">
      <c r="B183" s="7" t="str" cm="1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20,LEN('Raw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Data'!D183))=0),"",IF(AND(ISNUMBER('Raw Data'!D183),'Raw Data'!D183&gt;=Configuration!$D$2),"",_xlfn.REGEXEXTRACT(CELL("address",'Raw Data'!D183),"\$([A-Z]+)\$[0-9]+"))),_xlfn.REGEXEXTRACT(CELL("address",D183), "\$([A-Z]+)\$[0-9]+"))</f>
        <v/>
      </c>
      <c r="E183" s="7" t="str" cm="1">
        <f t="array" aca="1" ref="E183" ca="1">IFERROR(IF(OR('Raw Data'!E183="",LEN(TRIM('Raw Data'!E183))=0),"",IF(AND(ISNUMBER('Raw Data'!E183), IFERROR('Raw Data'!E183 = ROUND('Raw Data'!E183, 4),FALSE)),"",_xlfn.REGEXEXTRACT(CELL("address",E183), "\$([A-Z]+)\$[0-9]+"))),_xlfn.REGEXEXTRACT(CELL("address",E183), "\$([A-Z]+)\$[0-9]+"))</f>
        <v/>
      </c>
      <c r="F183" s="7" t="str" cm="1">
        <f t="array" aca="1" ref="F183" ca="1">IFERROR(IF(OR('Raw Data'!F183="",LEN(TRIM('Raw Data'!F183))=0),"",IF(AND(ISNUMBER('Raw Data'!F183), IFERROR('Raw Data'!F183 = ROUND('Raw Data'!F183, 4),FALSE)),"",_xlfn.REGEXEXTRACT(CELL("address",F183), "\$([A-Z]+)\$[0-9]+"))),_xlfn.REGEXEXTRACT(CELL("address",F183), "\$([A-Z]+)\$[0-9]+"))</f>
        <v/>
      </c>
      <c r="G183" s="7" t="str" cm="1">
        <f t="array" aca="1" ref="G183" ca="1">IFERROR(IF(OR('Raw Data'!G183="",LEN(TRIM('Raw Data'!G183))=0),"",IF(AND(ISNUMBER('Raw Data'!G183), IFERROR('Raw Data'!G183 = ROUND('Raw Data'!G183, 4),FALSE)),"",_xlfn.REGEXEXTRACT(CELL("address",G183), "\$([A-Z]+)\$[0-9]+"))),_xlfn.REGEXEXTRACT(CELL("address",G183), "\$([A-Z]+)\$[0-9]+"))</f>
        <v/>
      </c>
      <c r="H183" s="7" t="str" cm="1">
        <f t="array" aca="1" ref="H183" ca="1">IFERROR(IF(OR('Raw Data'!H183="",LEN(TRIM('Raw Data'!H183))=0),"",IF(AND(ISNUMBER('Raw Data'!H183), IFERROR('Raw Data'!H183 = ROUND('Raw Data'!H183, 4),FALSE)),"",_xlfn.REGEXEXTRACT(CELL("address",H183), "\$([A-Z]+)\$[0-9]+"))),_xlfn.REGEXEXTRACT(CELL("address",H183), "\$([A-Z]+)\$[0-9]+"))</f>
        <v/>
      </c>
      <c r="I183" s="7" t="str" cm="1">
        <f t="array" aca="1" ref="I183" ca="1">IFERROR(IF(OR('Raw Data'!I183="",LEN(TRIM('Raw Data'!I183))=0),"",IF(AND(ISNUMBER('Raw Data'!I183), IFERROR('Raw Data'!I183 = ROUND('Raw Data'!I183, 4),FALSE)),"",_xlfn.REGEXEXTRACT(CELL("address",I183), "\$([A-Z]+)\$[0-9]+"))),_xlfn.REGEXEXTRACT(CELL("address",I183), "\$([A-Z]+)\$[0-9]+"))</f>
        <v/>
      </c>
      <c r="J183" s="7" t="str" cm="1">
        <f t="array" aca="1" ref="J183" ca="1">IFERROR(IF(OR('Raw Data'!J183="",LEN(TRIM('Raw Data'!J183))=0),"",IF(AND(ISNUMBER('Raw Data'!J183), IFERROR('Raw Data'!J183 = ROUND('Raw Data'!J183, 4),FALSE)),"",_xlfn.REGEXEXTRACT(CELL("address",J183), "\$([A-Z]+)\$[0-9]+"))),_xlfn.REGEXEXTRACT(CELL("address",J183), "\$([A-Z]+)\$[0-9]+"))</f>
        <v/>
      </c>
      <c r="K183" s="7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7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</row>
    <row r="184" spans="2:22" x14ac:dyDescent="0.25">
      <c r="B184" s="7" t="str" cm="1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20,LEN('Raw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Data'!D184))=0),"",IF(AND(ISNUMBER('Raw Data'!D184),'Raw Data'!D184&gt;=Configuration!$D$2),"",_xlfn.REGEXEXTRACT(CELL("address",'Raw Data'!D184),"\$([A-Z]+)\$[0-9]+"))),_xlfn.REGEXEXTRACT(CELL("address",D184), "\$([A-Z]+)\$[0-9]+"))</f>
        <v/>
      </c>
      <c r="E184" s="7" t="str" cm="1">
        <f t="array" aca="1" ref="E184" ca="1">IFERROR(IF(OR('Raw Data'!E184="",LEN(TRIM('Raw Data'!E184))=0),"",IF(AND(ISNUMBER('Raw Data'!E184), IFERROR('Raw Data'!E184 = ROUND('Raw Data'!E184, 4),FALSE)),"",_xlfn.REGEXEXTRACT(CELL("address",E184), "\$([A-Z]+)\$[0-9]+"))),_xlfn.REGEXEXTRACT(CELL("address",E184), "\$([A-Z]+)\$[0-9]+"))</f>
        <v/>
      </c>
      <c r="F184" s="7" t="str" cm="1">
        <f t="array" aca="1" ref="F184" ca="1">IFERROR(IF(OR('Raw Data'!F184="",LEN(TRIM('Raw Data'!F184))=0),"",IF(AND(ISNUMBER('Raw Data'!F184), IFERROR('Raw Data'!F184 = ROUND('Raw Data'!F184, 4),FALSE)),"",_xlfn.REGEXEXTRACT(CELL("address",F184), "\$([A-Z]+)\$[0-9]+"))),_xlfn.REGEXEXTRACT(CELL("address",F184), "\$([A-Z]+)\$[0-9]+"))</f>
        <v/>
      </c>
      <c r="G184" s="7" t="str" cm="1">
        <f t="array" aca="1" ref="G184" ca="1">IFERROR(IF(OR('Raw Data'!G184="",LEN(TRIM('Raw Data'!G184))=0),"",IF(AND(ISNUMBER('Raw Data'!G184), IFERROR('Raw Data'!G184 = ROUND('Raw Data'!G184, 4),FALSE)),"",_xlfn.REGEXEXTRACT(CELL("address",G184), "\$([A-Z]+)\$[0-9]+"))),_xlfn.REGEXEXTRACT(CELL("address",G184), "\$([A-Z]+)\$[0-9]+"))</f>
        <v/>
      </c>
      <c r="H184" s="7" t="str" cm="1">
        <f t="array" aca="1" ref="H184" ca="1">IFERROR(IF(OR('Raw Data'!H184="",LEN(TRIM('Raw Data'!H184))=0),"",IF(AND(ISNUMBER('Raw Data'!H184), IFERROR('Raw Data'!H184 = ROUND('Raw Data'!H184, 4),FALSE)),"",_xlfn.REGEXEXTRACT(CELL("address",H184), "\$([A-Z]+)\$[0-9]+"))),_xlfn.REGEXEXTRACT(CELL("address",H184), "\$([A-Z]+)\$[0-9]+"))</f>
        <v/>
      </c>
      <c r="I184" s="7" t="str" cm="1">
        <f t="array" aca="1" ref="I184" ca="1">IFERROR(IF(OR('Raw Data'!I184="",LEN(TRIM('Raw Data'!I184))=0),"",IF(AND(ISNUMBER('Raw Data'!I184), IFERROR('Raw Data'!I184 = ROUND('Raw Data'!I184, 4),FALSE)),"",_xlfn.REGEXEXTRACT(CELL("address",I184), "\$([A-Z]+)\$[0-9]+"))),_xlfn.REGEXEXTRACT(CELL("address",I184), "\$([A-Z]+)\$[0-9]+"))</f>
        <v/>
      </c>
      <c r="J184" s="7" t="str" cm="1">
        <f t="array" aca="1" ref="J184" ca="1">IFERROR(IF(OR('Raw Data'!J184="",LEN(TRIM('Raw Data'!J184))=0),"",IF(AND(ISNUMBER('Raw Data'!J184), IFERROR('Raw Data'!J184 = ROUND('Raw Data'!J184, 4),FALSE)),"",_xlfn.REGEXEXTRACT(CELL("address",J184), "\$([A-Z]+)\$[0-9]+"))),_xlfn.REGEXEXTRACT(CELL("address",J184), "\$([A-Z]+)\$[0-9]+"))</f>
        <v/>
      </c>
      <c r="K184" s="7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7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</row>
    <row r="185" spans="2:22" x14ac:dyDescent="0.25">
      <c r="B185" s="7" t="str" cm="1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20,LEN('Raw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Data'!D185))=0),"",IF(AND(ISNUMBER('Raw Data'!D185),'Raw Data'!D185&gt;=Configuration!$D$2),"",_xlfn.REGEXEXTRACT(CELL("address",'Raw Data'!D185),"\$([A-Z]+)\$[0-9]+"))),_xlfn.REGEXEXTRACT(CELL("address",D185), "\$([A-Z]+)\$[0-9]+"))</f>
        <v/>
      </c>
      <c r="E185" s="7" t="str" cm="1">
        <f t="array" aca="1" ref="E185" ca="1">IFERROR(IF(OR('Raw Data'!E185="",LEN(TRIM('Raw Data'!E185))=0),"",IF(AND(ISNUMBER('Raw Data'!E185), IFERROR('Raw Data'!E185 = ROUND('Raw Data'!E185, 4),FALSE)),"",_xlfn.REGEXEXTRACT(CELL("address",E185), "\$([A-Z]+)\$[0-9]+"))),_xlfn.REGEXEXTRACT(CELL("address",E185), "\$([A-Z]+)\$[0-9]+"))</f>
        <v/>
      </c>
      <c r="F185" s="7" t="str" cm="1">
        <f t="array" aca="1" ref="F185" ca="1">IFERROR(IF(OR('Raw Data'!F185="",LEN(TRIM('Raw Data'!F185))=0),"",IF(AND(ISNUMBER('Raw Data'!F185), IFERROR('Raw Data'!F185 = ROUND('Raw Data'!F185, 4),FALSE)),"",_xlfn.REGEXEXTRACT(CELL("address",F185), "\$([A-Z]+)\$[0-9]+"))),_xlfn.REGEXEXTRACT(CELL("address",F185), "\$([A-Z]+)\$[0-9]+"))</f>
        <v/>
      </c>
      <c r="G185" s="7" t="str" cm="1">
        <f t="array" aca="1" ref="G185" ca="1">IFERROR(IF(OR('Raw Data'!G185="",LEN(TRIM('Raw Data'!G185))=0),"",IF(AND(ISNUMBER('Raw Data'!G185), IFERROR('Raw Data'!G185 = ROUND('Raw Data'!G185, 4),FALSE)),"",_xlfn.REGEXEXTRACT(CELL("address",G185), "\$([A-Z]+)\$[0-9]+"))),_xlfn.REGEXEXTRACT(CELL("address",G185), "\$([A-Z]+)\$[0-9]+"))</f>
        <v/>
      </c>
      <c r="H185" s="7" t="str" cm="1">
        <f t="array" aca="1" ref="H185" ca="1">IFERROR(IF(OR('Raw Data'!H185="",LEN(TRIM('Raw Data'!H185))=0),"",IF(AND(ISNUMBER('Raw Data'!H185), IFERROR('Raw Data'!H185 = ROUND('Raw Data'!H185, 4),FALSE)),"",_xlfn.REGEXEXTRACT(CELL("address",H185), "\$([A-Z]+)\$[0-9]+"))),_xlfn.REGEXEXTRACT(CELL("address",H185), "\$([A-Z]+)\$[0-9]+"))</f>
        <v/>
      </c>
      <c r="I185" s="7" t="str" cm="1">
        <f t="array" aca="1" ref="I185" ca="1">IFERROR(IF(OR('Raw Data'!I185="",LEN(TRIM('Raw Data'!I185))=0),"",IF(AND(ISNUMBER('Raw Data'!I185), IFERROR('Raw Data'!I185 = ROUND('Raw Data'!I185, 4),FALSE)),"",_xlfn.REGEXEXTRACT(CELL("address",I185), "\$([A-Z]+)\$[0-9]+"))),_xlfn.REGEXEXTRACT(CELL("address",I185), "\$([A-Z]+)\$[0-9]+"))</f>
        <v/>
      </c>
      <c r="J185" s="7" t="str" cm="1">
        <f t="array" aca="1" ref="J185" ca="1">IFERROR(IF(OR('Raw Data'!J185="",LEN(TRIM('Raw Data'!J185))=0),"",IF(AND(ISNUMBER('Raw Data'!J185), IFERROR('Raw Data'!J185 = ROUND('Raw Data'!J185, 4),FALSE)),"",_xlfn.REGEXEXTRACT(CELL("address",J185), "\$([A-Z]+)\$[0-9]+"))),_xlfn.REGEXEXTRACT(CELL("address",J185), "\$([A-Z]+)\$[0-9]+"))</f>
        <v/>
      </c>
      <c r="K185" s="7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7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</row>
    <row r="186" spans="2:22" x14ac:dyDescent="0.25">
      <c r="B186" s="7" t="str" cm="1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20,LEN('Raw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Data'!D186))=0),"",IF(AND(ISNUMBER('Raw Data'!D186),'Raw Data'!D186&gt;=Configuration!$D$2),"",_xlfn.REGEXEXTRACT(CELL("address",'Raw Data'!D186),"\$([A-Z]+)\$[0-9]+"))),_xlfn.REGEXEXTRACT(CELL("address",D186), "\$([A-Z]+)\$[0-9]+"))</f>
        <v/>
      </c>
      <c r="E186" s="7" t="str" cm="1">
        <f t="array" aca="1" ref="E186" ca="1">IFERROR(IF(OR('Raw Data'!E186="",LEN(TRIM('Raw Data'!E186))=0),"",IF(AND(ISNUMBER('Raw Data'!E186), IFERROR('Raw Data'!E186 = ROUND('Raw Data'!E186, 4),FALSE)),"",_xlfn.REGEXEXTRACT(CELL("address",E186), "\$([A-Z]+)\$[0-9]+"))),_xlfn.REGEXEXTRACT(CELL("address",E186), "\$([A-Z]+)\$[0-9]+"))</f>
        <v/>
      </c>
      <c r="F186" s="7" t="str" cm="1">
        <f t="array" aca="1" ref="F186" ca="1">IFERROR(IF(OR('Raw Data'!F186="",LEN(TRIM('Raw Data'!F186))=0),"",IF(AND(ISNUMBER('Raw Data'!F186), IFERROR('Raw Data'!F186 = ROUND('Raw Data'!F186, 4),FALSE)),"",_xlfn.REGEXEXTRACT(CELL("address",F186), "\$([A-Z]+)\$[0-9]+"))),_xlfn.REGEXEXTRACT(CELL("address",F186), "\$([A-Z]+)\$[0-9]+"))</f>
        <v/>
      </c>
      <c r="G186" s="7" t="str" cm="1">
        <f t="array" aca="1" ref="G186" ca="1">IFERROR(IF(OR('Raw Data'!G186="",LEN(TRIM('Raw Data'!G186))=0),"",IF(AND(ISNUMBER('Raw Data'!G186), IFERROR('Raw Data'!G186 = ROUND('Raw Data'!G186, 4),FALSE)),"",_xlfn.REGEXEXTRACT(CELL("address",G186), "\$([A-Z]+)\$[0-9]+"))),_xlfn.REGEXEXTRACT(CELL("address",G186), "\$([A-Z]+)\$[0-9]+"))</f>
        <v/>
      </c>
      <c r="H186" s="7" t="str" cm="1">
        <f t="array" aca="1" ref="H186" ca="1">IFERROR(IF(OR('Raw Data'!H186="",LEN(TRIM('Raw Data'!H186))=0),"",IF(AND(ISNUMBER('Raw Data'!H186), IFERROR('Raw Data'!H186 = ROUND('Raw Data'!H186, 4),FALSE)),"",_xlfn.REGEXEXTRACT(CELL("address",H186), "\$([A-Z]+)\$[0-9]+"))),_xlfn.REGEXEXTRACT(CELL("address",H186), "\$([A-Z]+)\$[0-9]+"))</f>
        <v/>
      </c>
      <c r="I186" s="7" t="str" cm="1">
        <f t="array" aca="1" ref="I186" ca="1">IFERROR(IF(OR('Raw Data'!I186="",LEN(TRIM('Raw Data'!I186))=0),"",IF(AND(ISNUMBER('Raw Data'!I186), IFERROR('Raw Data'!I186 = ROUND('Raw Data'!I186, 4),FALSE)),"",_xlfn.REGEXEXTRACT(CELL("address",I186), "\$([A-Z]+)\$[0-9]+"))),_xlfn.REGEXEXTRACT(CELL("address",I186), "\$([A-Z]+)\$[0-9]+"))</f>
        <v/>
      </c>
      <c r="J186" s="7" t="str" cm="1">
        <f t="array" aca="1" ref="J186" ca="1">IFERROR(IF(OR('Raw Data'!J186="",LEN(TRIM('Raw Data'!J186))=0),"",IF(AND(ISNUMBER('Raw Data'!J186), IFERROR('Raw Data'!J186 = ROUND('Raw Data'!J186, 4),FALSE)),"",_xlfn.REGEXEXTRACT(CELL("address",J186), "\$([A-Z]+)\$[0-9]+"))),_xlfn.REGEXEXTRACT(CELL("address",J186), "\$([A-Z]+)\$[0-9]+"))</f>
        <v/>
      </c>
      <c r="K186" s="7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7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</row>
    <row r="187" spans="2:22" x14ac:dyDescent="0.25">
      <c r="B187" s="7" t="str" cm="1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20,LEN('Raw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Data'!D187))=0),"",IF(AND(ISNUMBER('Raw Data'!D187),'Raw Data'!D187&gt;=Configuration!$D$2),"",_xlfn.REGEXEXTRACT(CELL("address",'Raw Data'!D187),"\$([A-Z]+)\$[0-9]+"))),_xlfn.REGEXEXTRACT(CELL("address",D187), "\$([A-Z]+)\$[0-9]+"))</f>
        <v/>
      </c>
      <c r="E187" s="7" t="str" cm="1">
        <f t="array" aca="1" ref="E187" ca="1">IFERROR(IF(OR('Raw Data'!E187="",LEN(TRIM('Raw Data'!E187))=0),"",IF(AND(ISNUMBER('Raw Data'!E187), IFERROR('Raw Data'!E187 = ROUND('Raw Data'!E187, 4),FALSE)),"",_xlfn.REGEXEXTRACT(CELL("address",E187), "\$([A-Z]+)\$[0-9]+"))),_xlfn.REGEXEXTRACT(CELL("address",E187), "\$([A-Z]+)\$[0-9]+"))</f>
        <v/>
      </c>
      <c r="F187" s="7" t="str" cm="1">
        <f t="array" aca="1" ref="F187" ca="1">IFERROR(IF(OR('Raw Data'!F187="",LEN(TRIM('Raw Data'!F187))=0),"",IF(AND(ISNUMBER('Raw Data'!F187), IFERROR('Raw Data'!F187 = ROUND('Raw Data'!F187, 4),FALSE)),"",_xlfn.REGEXEXTRACT(CELL("address",F187), "\$([A-Z]+)\$[0-9]+"))),_xlfn.REGEXEXTRACT(CELL("address",F187), "\$([A-Z]+)\$[0-9]+"))</f>
        <v/>
      </c>
      <c r="G187" s="7" t="str" cm="1">
        <f t="array" aca="1" ref="G187" ca="1">IFERROR(IF(OR('Raw Data'!G187="",LEN(TRIM('Raw Data'!G187))=0),"",IF(AND(ISNUMBER('Raw Data'!G187), IFERROR('Raw Data'!G187 = ROUND('Raw Data'!G187, 4),FALSE)),"",_xlfn.REGEXEXTRACT(CELL("address",G187), "\$([A-Z]+)\$[0-9]+"))),_xlfn.REGEXEXTRACT(CELL("address",G187), "\$([A-Z]+)\$[0-9]+"))</f>
        <v/>
      </c>
      <c r="H187" s="7" t="str" cm="1">
        <f t="array" aca="1" ref="H187" ca="1">IFERROR(IF(OR('Raw Data'!H187="",LEN(TRIM('Raw Data'!H187))=0),"",IF(AND(ISNUMBER('Raw Data'!H187), IFERROR('Raw Data'!H187 = ROUND('Raw Data'!H187, 4),FALSE)),"",_xlfn.REGEXEXTRACT(CELL("address",H187), "\$([A-Z]+)\$[0-9]+"))),_xlfn.REGEXEXTRACT(CELL("address",H187), "\$([A-Z]+)\$[0-9]+"))</f>
        <v/>
      </c>
      <c r="I187" s="7" t="str" cm="1">
        <f t="array" aca="1" ref="I187" ca="1">IFERROR(IF(OR('Raw Data'!I187="",LEN(TRIM('Raw Data'!I187))=0),"",IF(AND(ISNUMBER('Raw Data'!I187), IFERROR('Raw Data'!I187 = ROUND('Raw Data'!I187, 4),FALSE)),"",_xlfn.REGEXEXTRACT(CELL("address",I187), "\$([A-Z]+)\$[0-9]+"))),_xlfn.REGEXEXTRACT(CELL("address",I187), "\$([A-Z]+)\$[0-9]+"))</f>
        <v/>
      </c>
      <c r="J187" s="7" t="str" cm="1">
        <f t="array" aca="1" ref="J187" ca="1">IFERROR(IF(OR('Raw Data'!J187="",LEN(TRIM('Raw Data'!J187))=0),"",IF(AND(ISNUMBER('Raw Data'!J187), IFERROR('Raw Data'!J187 = ROUND('Raw Data'!J187, 4),FALSE)),"",_xlfn.REGEXEXTRACT(CELL("address",J187), "\$([A-Z]+)\$[0-9]+"))),_xlfn.REGEXEXTRACT(CELL("address",J187), "\$([A-Z]+)\$[0-9]+"))</f>
        <v/>
      </c>
      <c r="K187" s="7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7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</row>
    <row r="188" spans="2:22" x14ac:dyDescent="0.25">
      <c r="B188" s="7" t="str" cm="1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20,LEN('Raw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Data'!D188))=0),"",IF(AND(ISNUMBER('Raw Data'!D188),'Raw Data'!D188&gt;=Configuration!$D$2),"",_xlfn.REGEXEXTRACT(CELL("address",'Raw Data'!D188),"\$([A-Z]+)\$[0-9]+"))),_xlfn.REGEXEXTRACT(CELL("address",D188), "\$([A-Z]+)\$[0-9]+"))</f>
        <v/>
      </c>
      <c r="E188" s="7" t="str" cm="1">
        <f t="array" aca="1" ref="E188" ca="1">IFERROR(IF(OR('Raw Data'!E188="",LEN(TRIM('Raw Data'!E188))=0),"",IF(AND(ISNUMBER('Raw Data'!E188), IFERROR('Raw Data'!E188 = ROUND('Raw Data'!E188, 4),FALSE)),"",_xlfn.REGEXEXTRACT(CELL("address",E188), "\$([A-Z]+)\$[0-9]+"))),_xlfn.REGEXEXTRACT(CELL("address",E188), "\$([A-Z]+)\$[0-9]+"))</f>
        <v/>
      </c>
      <c r="F188" s="7" t="str" cm="1">
        <f t="array" aca="1" ref="F188" ca="1">IFERROR(IF(OR('Raw Data'!F188="",LEN(TRIM('Raw Data'!F188))=0),"",IF(AND(ISNUMBER('Raw Data'!F188), IFERROR('Raw Data'!F188 = ROUND('Raw Data'!F188, 4),FALSE)),"",_xlfn.REGEXEXTRACT(CELL("address",F188), "\$([A-Z]+)\$[0-9]+"))),_xlfn.REGEXEXTRACT(CELL("address",F188), "\$([A-Z]+)\$[0-9]+"))</f>
        <v/>
      </c>
      <c r="G188" s="7" t="str" cm="1">
        <f t="array" aca="1" ref="G188" ca="1">IFERROR(IF(OR('Raw Data'!G188="",LEN(TRIM('Raw Data'!G188))=0),"",IF(AND(ISNUMBER('Raw Data'!G188), IFERROR('Raw Data'!G188 = ROUND('Raw Data'!G188, 4),FALSE)),"",_xlfn.REGEXEXTRACT(CELL("address",G188), "\$([A-Z]+)\$[0-9]+"))),_xlfn.REGEXEXTRACT(CELL("address",G188), "\$([A-Z]+)\$[0-9]+"))</f>
        <v/>
      </c>
      <c r="H188" s="7" t="str" cm="1">
        <f t="array" aca="1" ref="H188" ca="1">IFERROR(IF(OR('Raw Data'!H188="",LEN(TRIM('Raw Data'!H188))=0),"",IF(AND(ISNUMBER('Raw Data'!H188), IFERROR('Raw Data'!H188 = ROUND('Raw Data'!H188, 4),FALSE)),"",_xlfn.REGEXEXTRACT(CELL("address",H188), "\$([A-Z]+)\$[0-9]+"))),_xlfn.REGEXEXTRACT(CELL("address",H188), "\$([A-Z]+)\$[0-9]+"))</f>
        <v/>
      </c>
      <c r="I188" s="7" t="str" cm="1">
        <f t="array" aca="1" ref="I188" ca="1">IFERROR(IF(OR('Raw Data'!I188="",LEN(TRIM('Raw Data'!I188))=0),"",IF(AND(ISNUMBER('Raw Data'!I188), IFERROR('Raw Data'!I188 = ROUND('Raw Data'!I188, 4),FALSE)),"",_xlfn.REGEXEXTRACT(CELL("address",I188), "\$([A-Z]+)\$[0-9]+"))),_xlfn.REGEXEXTRACT(CELL("address",I188), "\$([A-Z]+)\$[0-9]+"))</f>
        <v/>
      </c>
      <c r="J188" s="7" t="str" cm="1">
        <f t="array" aca="1" ref="J188" ca="1">IFERROR(IF(OR('Raw Data'!J188="",LEN(TRIM('Raw Data'!J188))=0),"",IF(AND(ISNUMBER('Raw Data'!J188), IFERROR('Raw Data'!J188 = ROUND('Raw Data'!J188, 4),FALSE)),"",_xlfn.REGEXEXTRACT(CELL("address",J188), "\$([A-Z]+)\$[0-9]+"))),_xlfn.REGEXEXTRACT(CELL("address",J188), "\$([A-Z]+)\$[0-9]+"))</f>
        <v/>
      </c>
      <c r="K188" s="7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7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</row>
    <row r="189" spans="2:22" x14ac:dyDescent="0.25">
      <c r="B189" s="7" t="str" cm="1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20,LEN('Raw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Data'!D189))=0),"",IF(AND(ISNUMBER('Raw Data'!D189),'Raw Data'!D189&gt;=Configuration!$D$2),"",_xlfn.REGEXEXTRACT(CELL("address",'Raw Data'!D189),"\$([A-Z]+)\$[0-9]+"))),_xlfn.REGEXEXTRACT(CELL("address",D189), "\$([A-Z]+)\$[0-9]+"))</f>
        <v/>
      </c>
      <c r="E189" s="7" t="str" cm="1">
        <f t="array" aca="1" ref="E189" ca="1">IFERROR(IF(OR('Raw Data'!E189="",LEN(TRIM('Raw Data'!E189))=0),"",IF(AND(ISNUMBER('Raw Data'!E189), IFERROR('Raw Data'!E189 = ROUND('Raw Data'!E189, 4),FALSE)),"",_xlfn.REGEXEXTRACT(CELL("address",E189), "\$([A-Z]+)\$[0-9]+"))),_xlfn.REGEXEXTRACT(CELL("address",E189), "\$([A-Z]+)\$[0-9]+"))</f>
        <v/>
      </c>
      <c r="F189" s="7" t="str" cm="1">
        <f t="array" aca="1" ref="F189" ca="1">IFERROR(IF(OR('Raw Data'!F189="",LEN(TRIM('Raw Data'!F189))=0),"",IF(AND(ISNUMBER('Raw Data'!F189), IFERROR('Raw Data'!F189 = ROUND('Raw Data'!F189, 4),FALSE)),"",_xlfn.REGEXEXTRACT(CELL("address",F189), "\$([A-Z]+)\$[0-9]+"))),_xlfn.REGEXEXTRACT(CELL("address",F189), "\$([A-Z]+)\$[0-9]+"))</f>
        <v/>
      </c>
      <c r="G189" s="7" t="str" cm="1">
        <f t="array" aca="1" ref="G189" ca="1">IFERROR(IF(OR('Raw Data'!G189="",LEN(TRIM('Raw Data'!G189))=0),"",IF(AND(ISNUMBER('Raw Data'!G189), IFERROR('Raw Data'!G189 = ROUND('Raw Data'!G189, 4),FALSE)),"",_xlfn.REGEXEXTRACT(CELL("address",G189), "\$([A-Z]+)\$[0-9]+"))),_xlfn.REGEXEXTRACT(CELL("address",G189), "\$([A-Z]+)\$[0-9]+"))</f>
        <v/>
      </c>
      <c r="H189" s="7" t="str" cm="1">
        <f t="array" aca="1" ref="H189" ca="1">IFERROR(IF(OR('Raw Data'!H189="",LEN(TRIM('Raw Data'!H189))=0),"",IF(AND(ISNUMBER('Raw Data'!H189), IFERROR('Raw Data'!H189 = ROUND('Raw Data'!H189, 4),FALSE)),"",_xlfn.REGEXEXTRACT(CELL("address",H189), "\$([A-Z]+)\$[0-9]+"))),_xlfn.REGEXEXTRACT(CELL("address",H189), "\$([A-Z]+)\$[0-9]+"))</f>
        <v/>
      </c>
      <c r="I189" s="7" t="str" cm="1">
        <f t="array" aca="1" ref="I189" ca="1">IFERROR(IF(OR('Raw Data'!I189="",LEN(TRIM('Raw Data'!I189))=0),"",IF(AND(ISNUMBER('Raw Data'!I189), IFERROR('Raw Data'!I189 = ROUND('Raw Data'!I189, 4),FALSE)),"",_xlfn.REGEXEXTRACT(CELL("address",I189), "\$([A-Z]+)\$[0-9]+"))),_xlfn.REGEXEXTRACT(CELL("address",I189), "\$([A-Z]+)\$[0-9]+"))</f>
        <v/>
      </c>
      <c r="J189" s="7" t="str" cm="1">
        <f t="array" aca="1" ref="J189" ca="1">IFERROR(IF(OR('Raw Data'!J189="",LEN(TRIM('Raw Data'!J189))=0),"",IF(AND(ISNUMBER('Raw Data'!J189), IFERROR('Raw Data'!J189 = ROUND('Raw Data'!J189, 4),FALSE)),"",_xlfn.REGEXEXTRACT(CELL("address",J189), "\$([A-Z]+)\$[0-9]+"))),_xlfn.REGEXEXTRACT(CELL("address",J189), "\$([A-Z]+)\$[0-9]+"))</f>
        <v/>
      </c>
      <c r="K189" s="7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7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</row>
    <row r="190" spans="2:22" x14ac:dyDescent="0.25">
      <c r="B190" s="7" t="str" cm="1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20,LEN('Raw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Data'!D190))=0),"",IF(AND(ISNUMBER('Raw Data'!D190),'Raw Data'!D190&gt;=Configuration!$D$2),"",_xlfn.REGEXEXTRACT(CELL("address",'Raw Data'!D190),"\$([A-Z]+)\$[0-9]+"))),_xlfn.REGEXEXTRACT(CELL("address",D190), "\$([A-Z]+)\$[0-9]+"))</f>
        <v/>
      </c>
      <c r="E190" s="7" t="str" cm="1">
        <f t="array" aca="1" ref="E190" ca="1">IFERROR(IF(OR('Raw Data'!E190="",LEN(TRIM('Raw Data'!E190))=0),"",IF(AND(ISNUMBER('Raw Data'!E190), IFERROR('Raw Data'!E190 = ROUND('Raw Data'!E190, 4),FALSE)),"",_xlfn.REGEXEXTRACT(CELL("address",E190), "\$([A-Z]+)\$[0-9]+"))),_xlfn.REGEXEXTRACT(CELL("address",E190), "\$([A-Z]+)\$[0-9]+"))</f>
        <v/>
      </c>
      <c r="F190" s="7" t="str" cm="1">
        <f t="array" aca="1" ref="F190" ca="1">IFERROR(IF(OR('Raw Data'!F190="",LEN(TRIM('Raw Data'!F190))=0),"",IF(AND(ISNUMBER('Raw Data'!F190), IFERROR('Raw Data'!F190 = ROUND('Raw Data'!F190, 4),FALSE)),"",_xlfn.REGEXEXTRACT(CELL("address",F190), "\$([A-Z]+)\$[0-9]+"))),_xlfn.REGEXEXTRACT(CELL("address",F190), "\$([A-Z]+)\$[0-9]+"))</f>
        <v/>
      </c>
      <c r="G190" s="7" t="str" cm="1">
        <f t="array" aca="1" ref="G190" ca="1">IFERROR(IF(OR('Raw Data'!G190="",LEN(TRIM('Raw Data'!G190))=0),"",IF(AND(ISNUMBER('Raw Data'!G190), IFERROR('Raw Data'!G190 = ROUND('Raw Data'!G190, 4),FALSE)),"",_xlfn.REGEXEXTRACT(CELL("address",G190), "\$([A-Z]+)\$[0-9]+"))),_xlfn.REGEXEXTRACT(CELL("address",G190), "\$([A-Z]+)\$[0-9]+"))</f>
        <v/>
      </c>
      <c r="H190" s="7" t="str" cm="1">
        <f t="array" aca="1" ref="H190" ca="1">IFERROR(IF(OR('Raw Data'!H190="",LEN(TRIM('Raw Data'!H190))=0),"",IF(AND(ISNUMBER('Raw Data'!H190), IFERROR('Raw Data'!H190 = ROUND('Raw Data'!H190, 4),FALSE)),"",_xlfn.REGEXEXTRACT(CELL("address",H190), "\$([A-Z]+)\$[0-9]+"))),_xlfn.REGEXEXTRACT(CELL("address",H190), "\$([A-Z]+)\$[0-9]+"))</f>
        <v/>
      </c>
      <c r="I190" s="7" t="str" cm="1">
        <f t="array" aca="1" ref="I190" ca="1">IFERROR(IF(OR('Raw Data'!I190="",LEN(TRIM('Raw Data'!I190))=0),"",IF(AND(ISNUMBER('Raw Data'!I190), IFERROR('Raw Data'!I190 = ROUND('Raw Data'!I190, 4),FALSE)),"",_xlfn.REGEXEXTRACT(CELL("address",I190), "\$([A-Z]+)\$[0-9]+"))),_xlfn.REGEXEXTRACT(CELL("address",I190), "\$([A-Z]+)\$[0-9]+"))</f>
        <v/>
      </c>
      <c r="J190" s="7" t="str" cm="1">
        <f t="array" aca="1" ref="J190" ca="1">IFERROR(IF(OR('Raw Data'!J190="",LEN(TRIM('Raw Data'!J190))=0),"",IF(AND(ISNUMBER('Raw Data'!J190), IFERROR('Raw Data'!J190 = ROUND('Raw Data'!J190, 4),FALSE)),"",_xlfn.REGEXEXTRACT(CELL("address",J190), "\$([A-Z]+)\$[0-9]+"))),_xlfn.REGEXEXTRACT(CELL("address",J190), "\$([A-Z]+)\$[0-9]+"))</f>
        <v/>
      </c>
      <c r="K190" s="7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7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</row>
    <row r="191" spans="2:22" x14ac:dyDescent="0.25">
      <c r="B191" s="7" t="str" cm="1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20,LEN('Raw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Data'!D191))=0),"",IF(AND(ISNUMBER('Raw Data'!D191),'Raw Data'!D191&gt;=Configuration!$D$2),"",_xlfn.REGEXEXTRACT(CELL("address",'Raw Data'!D191),"\$([A-Z]+)\$[0-9]+"))),_xlfn.REGEXEXTRACT(CELL("address",D191), "\$([A-Z]+)\$[0-9]+"))</f>
        <v/>
      </c>
      <c r="E191" s="7" t="str" cm="1">
        <f t="array" aca="1" ref="E191" ca="1">IFERROR(IF(OR('Raw Data'!E191="",LEN(TRIM('Raw Data'!E191))=0),"",IF(AND(ISNUMBER('Raw Data'!E191), IFERROR('Raw Data'!E191 = ROUND('Raw Data'!E191, 4),FALSE)),"",_xlfn.REGEXEXTRACT(CELL("address",E191), "\$([A-Z]+)\$[0-9]+"))),_xlfn.REGEXEXTRACT(CELL("address",E191), "\$([A-Z]+)\$[0-9]+"))</f>
        <v/>
      </c>
      <c r="F191" s="7" t="str" cm="1">
        <f t="array" aca="1" ref="F191" ca="1">IFERROR(IF(OR('Raw Data'!F191="",LEN(TRIM('Raw Data'!F191))=0),"",IF(AND(ISNUMBER('Raw Data'!F191), IFERROR('Raw Data'!F191 = ROUND('Raw Data'!F191, 4),FALSE)),"",_xlfn.REGEXEXTRACT(CELL("address",F191), "\$([A-Z]+)\$[0-9]+"))),_xlfn.REGEXEXTRACT(CELL("address",F191), "\$([A-Z]+)\$[0-9]+"))</f>
        <v/>
      </c>
      <c r="G191" s="7" t="str" cm="1">
        <f t="array" aca="1" ref="G191" ca="1">IFERROR(IF(OR('Raw Data'!G191="",LEN(TRIM('Raw Data'!G191))=0),"",IF(AND(ISNUMBER('Raw Data'!G191), IFERROR('Raw Data'!G191 = ROUND('Raw Data'!G191, 4),FALSE)),"",_xlfn.REGEXEXTRACT(CELL("address",G191), "\$([A-Z]+)\$[0-9]+"))),_xlfn.REGEXEXTRACT(CELL("address",G191), "\$([A-Z]+)\$[0-9]+"))</f>
        <v/>
      </c>
      <c r="H191" s="7" t="str" cm="1">
        <f t="array" aca="1" ref="H191" ca="1">IFERROR(IF(OR('Raw Data'!H191="",LEN(TRIM('Raw Data'!H191))=0),"",IF(AND(ISNUMBER('Raw Data'!H191), IFERROR('Raw Data'!H191 = ROUND('Raw Data'!H191, 4),FALSE)),"",_xlfn.REGEXEXTRACT(CELL("address",H191), "\$([A-Z]+)\$[0-9]+"))),_xlfn.REGEXEXTRACT(CELL("address",H191), "\$([A-Z]+)\$[0-9]+"))</f>
        <v/>
      </c>
      <c r="I191" s="7" t="str" cm="1">
        <f t="array" aca="1" ref="I191" ca="1">IFERROR(IF(OR('Raw Data'!I191="",LEN(TRIM('Raw Data'!I191))=0),"",IF(AND(ISNUMBER('Raw Data'!I191), IFERROR('Raw Data'!I191 = ROUND('Raw Data'!I191, 4),FALSE)),"",_xlfn.REGEXEXTRACT(CELL("address",I191), "\$([A-Z]+)\$[0-9]+"))),_xlfn.REGEXEXTRACT(CELL("address",I191), "\$([A-Z]+)\$[0-9]+"))</f>
        <v/>
      </c>
      <c r="J191" s="7" t="str" cm="1">
        <f t="array" aca="1" ref="J191" ca="1">IFERROR(IF(OR('Raw Data'!J191="",LEN(TRIM('Raw Data'!J191))=0),"",IF(AND(ISNUMBER('Raw Data'!J191), IFERROR('Raw Data'!J191 = ROUND('Raw Data'!J191, 4),FALSE)),"",_xlfn.REGEXEXTRACT(CELL("address",J191), "\$([A-Z]+)\$[0-9]+"))),_xlfn.REGEXEXTRACT(CELL("address",J191), "\$([A-Z]+)\$[0-9]+"))</f>
        <v/>
      </c>
      <c r="K191" s="7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7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</row>
    <row r="192" spans="2:22" x14ac:dyDescent="0.25">
      <c r="B192" s="7" t="str" cm="1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20,LEN('Raw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Data'!D192))=0),"",IF(AND(ISNUMBER('Raw Data'!D192),'Raw Data'!D192&gt;=Configuration!$D$2),"",_xlfn.REGEXEXTRACT(CELL("address",'Raw Data'!D192),"\$([A-Z]+)\$[0-9]+"))),_xlfn.REGEXEXTRACT(CELL("address",D192), "\$([A-Z]+)\$[0-9]+"))</f>
        <v/>
      </c>
      <c r="E192" s="7" t="str" cm="1">
        <f t="array" aca="1" ref="E192" ca="1">IFERROR(IF(OR('Raw Data'!E192="",LEN(TRIM('Raw Data'!E192))=0),"",IF(AND(ISNUMBER('Raw Data'!E192), IFERROR('Raw Data'!E192 = ROUND('Raw Data'!E192, 4),FALSE)),"",_xlfn.REGEXEXTRACT(CELL("address",E192), "\$([A-Z]+)\$[0-9]+"))),_xlfn.REGEXEXTRACT(CELL("address",E192), "\$([A-Z]+)\$[0-9]+"))</f>
        <v/>
      </c>
      <c r="F192" s="7" t="str" cm="1">
        <f t="array" aca="1" ref="F192" ca="1">IFERROR(IF(OR('Raw Data'!F192="",LEN(TRIM('Raw Data'!F192))=0),"",IF(AND(ISNUMBER('Raw Data'!F192), IFERROR('Raw Data'!F192 = ROUND('Raw Data'!F192, 4),FALSE)),"",_xlfn.REGEXEXTRACT(CELL("address",F192), "\$([A-Z]+)\$[0-9]+"))),_xlfn.REGEXEXTRACT(CELL("address",F192), "\$([A-Z]+)\$[0-9]+"))</f>
        <v/>
      </c>
      <c r="G192" s="7" t="str" cm="1">
        <f t="array" aca="1" ref="G192" ca="1">IFERROR(IF(OR('Raw Data'!G192="",LEN(TRIM('Raw Data'!G192))=0),"",IF(AND(ISNUMBER('Raw Data'!G192), IFERROR('Raw Data'!G192 = ROUND('Raw Data'!G192, 4),FALSE)),"",_xlfn.REGEXEXTRACT(CELL("address",G192), "\$([A-Z]+)\$[0-9]+"))),_xlfn.REGEXEXTRACT(CELL("address",G192), "\$([A-Z]+)\$[0-9]+"))</f>
        <v/>
      </c>
      <c r="H192" s="7" t="str" cm="1">
        <f t="array" aca="1" ref="H192" ca="1">IFERROR(IF(OR('Raw Data'!H192="",LEN(TRIM('Raw Data'!H192))=0),"",IF(AND(ISNUMBER('Raw Data'!H192), IFERROR('Raw Data'!H192 = ROUND('Raw Data'!H192, 4),FALSE)),"",_xlfn.REGEXEXTRACT(CELL("address",H192), "\$([A-Z]+)\$[0-9]+"))),_xlfn.REGEXEXTRACT(CELL("address",H192), "\$([A-Z]+)\$[0-9]+"))</f>
        <v/>
      </c>
      <c r="I192" s="7" t="str" cm="1">
        <f t="array" aca="1" ref="I192" ca="1">IFERROR(IF(OR('Raw Data'!I192="",LEN(TRIM('Raw Data'!I192))=0),"",IF(AND(ISNUMBER('Raw Data'!I192), IFERROR('Raw Data'!I192 = ROUND('Raw Data'!I192, 4),FALSE)),"",_xlfn.REGEXEXTRACT(CELL("address",I192), "\$([A-Z]+)\$[0-9]+"))),_xlfn.REGEXEXTRACT(CELL("address",I192), "\$([A-Z]+)\$[0-9]+"))</f>
        <v/>
      </c>
      <c r="J192" s="7" t="str" cm="1">
        <f t="array" aca="1" ref="J192" ca="1">IFERROR(IF(OR('Raw Data'!J192="",LEN(TRIM('Raw Data'!J192))=0),"",IF(AND(ISNUMBER('Raw Data'!J192), IFERROR('Raw Data'!J192 = ROUND('Raw Data'!J192, 4),FALSE)),"",_xlfn.REGEXEXTRACT(CELL("address",J192), "\$([A-Z]+)\$[0-9]+"))),_xlfn.REGEXEXTRACT(CELL("address",J192), "\$([A-Z]+)\$[0-9]+"))</f>
        <v/>
      </c>
      <c r="K192" s="7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7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</row>
    <row r="193" spans="2:22" x14ac:dyDescent="0.25">
      <c r="B193" s="7" t="str" cm="1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20,LEN('Raw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Data'!D193))=0),"",IF(AND(ISNUMBER('Raw Data'!D193),'Raw Data'!D193&gt;=Configuration!$D$2),"",_xlfn.REGEXEXTRACT(CELL("address",'Raw Data'!D193),"\$([A-Z]+)\$[0-9]+"))),_xlfn.REGEXEXTRACT(CELL("address",D193), "\$([A-Z]+)\$[0-9]+"))</f>
        <v/>
      </c>
      <c r="E193" s="7" t="str" cm="1">
        <f t="array" aca="1" ref="E193" ca="1">IFERROR(IF(OR('Raw Data'!E193="",LEN(TRIM('Raw Data'!E193))=0),"",IF(AND(ISNUMBER('Raw Data'!E193), IFERROR('Raw Data'!E193 = ROUND('Raw Data'!E193, 4),FALSE)),"",_xlfn.REGEXEXTRACT(CELL("address",E193), "\$([A-Z]+)\$[0-9]+"))),_xlfn.REGEXEXTRACT(CELL("address",E193), "\$([A-Z]+)\$[0-9]+"))</f>
        <v/>
      </c>
      <c r="F193" s="7" t="str" cm="1">
        <f t="array" aca="1" ref="F193" ca="1">IFERROR(IF(OR('Raw Data'!F193="",LEN(TRIM('Raw Data'!F193))=0),"",IF(AND(ISNUMBER('Raw Data'!F193), IFERROR('Raw Data'!F193 = ROUND('Raw Data'!F193, 4),FALSE)),"",_xlfn.REGEXEXTRACT(CELL("address",F193), "\$([A-Z]+)\$[0-9]+"))),_xlfn.REGEXEXTRACT(CELL("address",F193), "\$([A-Z]+)\$[0-9]+"))</f>
        <v/>
      </c>
      <c r="G193" s="7" t="str" cm="1">
        <f t="array" aca="1" ref="G193" ca="1">IFERROR(IF(OR('Raw Data'!G193="",LEN(TRIM('Raw Data'!G193))=0),"",IF(AND(ISNUMBER('Raw Data'!G193), IFERROR('Raw Data'!G193 = ROUND('Raw Data'!G193, 4),FALSE)),"",_xlfn.REGEXEXTRACT(CELL("address",G193), "\$([A-Z]+)\$[0-9]+"))),_xlfn.REGEXEXTRACT(CELL("address",G193), "\$([A-Z]+)\$[0-9]+"))</f>
        <v/>
      </c>
      <c r="H193" s="7" t="str" cm="1">
        <f t="array" aca="1" ref="H193" ca="1">IFERROR(IF(OR('Raw Data'!H193="",LEN(TRIM('Raw Data'!H193))=0),"",IF(AND(ISNUMBER('Raw Data'!H193), IFERROR('Raw Data'!H193 = ROUND('Raw Data'!H193, 4),FALSE)),"",_xlfn.REGEXEXTRACT(CELL("address",H193), "\$([A-Z]+)\$[0-9]+"))),_xlfn.REGEXEXTRACT(CELL("address",H193), "\$([A-Z]+)\$[0-9]+"))</f>
        <v/>
      </c>
      <c r="I193" s="7" t="str" cm="1">
        <f t="array" aca="1" ref="I193" ca="1">IFERROR(IF(OR('Raw Data'!I193="",LEN(TRIM('Raw Data'!I193))=0),"",IF(AND(ISNUMBER('Raw Data'!I193), IFERROR('Raw Data'!I193 = ROUND('Raw Data'!I193, 4),FALSE)),"",_xlfn.REGEXEXTRACT(CELL("address",I193), "\$([A-Z]+)\$[0-9]+"))),_xlfn.REGEXEXTRACT(CELL("address",I193), "\$([A-Z]+)\$[0-9]+"))</f>
        <v/>
      </c>
      <c r="J193" s="7" t="str" cm="1">
        <f t="array" aca="1" ref="J193" ca="1">IFERROR(IF(OR('Raw Data'!J193="",LEN(TRIM('Raw Data'!J193))=0),"",IF(AND(ISNUMBER('Raw Data'!J193), IFERROR('Raw Data'!J193 = ROUND('Raw Data'!J193, 4),FALSE)),"",_xlfn.REGEXEXTRACT(CELL("address",J193), "\$([A-Z]+)\$[0-9]+"))),_xlfn.REGEXEXTRACT(CELL("address",J193), "\$([A-Z]+)\$[0-9]+"))</f>
        <v/>
      </c>
      <c r="K193" s="7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7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</row>
    <row r="194" spans="2:22" x14ac:dyDescent="0.25">
      <c r="B194" s="7" t="str" cm="1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20,LEN('Raw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Data'!D194))=0),"",IF(AND(ISNUMBER('Raw Data'!D194),'Raw Data'!D194&gt;=Configuration!$D$2),"",_xlfn.REGEXEXTRACT(CELL("address",'Raw Data'!D194),"\$([A-Z]+)\$[0-9]+"))),_xlfn.REGEXEXTRACT(CELL("address",D194), "\$([A-Z]+)\$[0-9]+"))</f>
        <v/>
      </c>
      <c r="E194" s="7" t="str" cm="1">
        <f t="array" aca="1" ref="E194" ca="1">IFERROR(IF(OR('Raw Data'!E194="",LEN(TRIM('Raw Data'!E194))=0),"",IF(AND(ISNUMBER('Raw Data'!E194), IFERROR('Raw Data'!E194 = ROUND('Raw Data'!E194, 4),FALSE)),"",_xlfn.REGEXEXTRACT(CELL("address",E194), "\$([A-Z]+)\$[0-9]+"))),_xlfn.REGEXEXTRACT(CELL("address",E194), "\$([A-Z]+)\$[0-9]+"))</f>
        <v/>
      </c>
      <c r="F194" s="7" t="str" cm="1">
        <f t="array" aca="1" ref="F194" ca="1">IFERROR(IF(OR('Raw Data'!F194="",LEN(TRIM('Raw Data'!F194))=0),"",IF(AND(ISNUMBER('Raw Data'!F194), IFERROR('Raw Data'!F194 = ROUND('Raw Data'!F194, 4),FALSE)),"",_xlfn.REGEXEXTRACT(CELL("address",F194), "\$([A-Z]+)\$[0-9]+"))),_xlfn.REGEXEXTRACT(CELL("address",F194), "\$([A-Z]+)\$[0-9]+"))</f>
        <v/>
      </c>
      <c r="G194" s="7" t="str" cm="1">
        <f t="array" aca="1" ref="G194" ca="1">IFERROR(IF(OR('Raw Data'!G194="",LEN(TRIM('Raw Data'!G194))=0),"",IF(AND(ISNUMBER('Raw Data'!G194), IFERROR('Raw Data'!G194 = ROUND('Raw Data'!G194, 4),FALSE)),"",_xlfn.REGEXEXTRACT(CELL("address",G194), "\$([A-Z]+)\$[0-9]+"))),_xlfn.REGEXEXTRACT(CELL("address",G194), "\$([A-Z]+)\$[0-9]+"))</f>
        <v/>
      </c>
      <c r="H194" s="7" t="str" cm="1">
        <f t="array" aca="1" ref="H194" ca="1">IFERROR(IF(OR('Raw Data'!H194="",LEN(TRIM('Raw Data'!H194))=0),"",IF(AND(ISNUMBER('Raw Data'!H194), IFERROR('Raw Data'!H194 = ROUND('Raw Data'!H194, 4),FALSE)),"",_xlfn.REGEXEXTRACT(CELL("address",H194), "\$([A-Z]+)\$[0-9]+"))),_xlfn.REGEXEXTRACT(CELL("address",H194), "\$([A-Z]+)\$[0-9]+"))</f>
        <v/>
      </c>
      <c r="I194" s="7" t="str" cm="1">
        <f t="array" aca="1" ref="I194" ca="1">IFERROR(IF(OR('Raw Data'!I194="",LEN(TRIM('Raw Data'!I194))=0),"",IF(AND(ISNUMBER('Raw Data'!I194), IFERROR('Raw Data'!I194 = ROUND('Raw Data'!I194, 4),FALSE)),"",_xlfn.REGEXEXTRACT(CELL("address",I194), "\$([A-Z]+)\$[0-9]+"))),_xlfn.REGEXEXTRACT(CELL("address",I194), "\$([A-Z]+)\$[0-9]+"))</f>
        <v/>
      </c>
      <c r="J194" s="7" t="str" cm="1">
        <f t="array" aca="1" ref="J194" ca="1">IFERROR(IF(OR('Raw Data'!J194="",LEN(TRIM('Raw Data'!J194))=0),"",IF(AND(ISNUMBER('Raw Data'!J194), IFERROR('Raw Data'!J194 = ROUND('Raw Data'!J194, 4),FALSE)),"",_xlfn.REGEXEXTRACT(CELL("address",J194), "\$([A-Z]+)\$[0-9]+"))),_xlfn.REGEXEXTRACT(CELL("address",J194), "\$([A-Z]+)\$[0-9]+"))</f>
        <v/>
      </c>
      <c r="K194" s="7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7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</row>
    <row r="195" spans="2:22" x14ac:dyDescent="0.25">
      <c r="B195" s="7" t="str" cm="1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20,LEN('Raw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Data'!D195))=0),"",IF(AND(ISNUMBER('Raw Data'!D195),'Raw Data'!D195&gt;=Configuration!$D$2),"",_xlfn.REGEXEXTRACT(CELL("address",'Raw Data'!D195),"\$([A-Z]+)\$[0-9]+"))),_xlfn.REGEXEXTRACT(CELL("address",D195), "\$([A-Z]+)\$[0-9]+"))</f>
        <v/>
      </c>
      <c r="E195" s="7" t="str" cm="1">
        <f t="array" aca="1" ref="E195" ca="1">IFERROR(IF(OR('Raw Data'!E195="",LEN(TRIM('Raw Data'!E195))=0),"",IF(AND(ISNUMBER('Raw Data'!E195), IFERROR('Raw Data'!E195 = ROUND('Raw Data'!E195, 4),FALSE)),"",_xlfn.REGEXEXTRACT(CELL("address",E195), "\$([A-Z]+)\$[0-9]+"))),_xlfn.REGEXEXTRACT(CELL("address",E195), "\$([A-Z]+)\$[0-9]+"))</f>
        <v/>
      </c>
      <c r="F195" s="7" t="str" cm="1">
        <f t="array" aca="1" ref="F195" ca="1">IFERROR(IF(OR('Raw Data'!F195="",LEN(TRIM('Raw Data'!F195))=0),"",IF(AND(ISNUMBER('Raw Data'!F195), IFERROR('Raw Data'!F195 = ROUND('Raw Data'!F195, 4),FALSE)),"",_xlfn.REGEXEXTRACT(CELL("address",F195), "\$([A-Z]+)\$[0-9]+"))),_xlfn.REGEXEXTRACT(CELL("address",F195), "\$([A-Z]+)\$[0-9]+"))</f>
        <v/>
      </c>
      <c r="G195" s="7" t="str" cm="1">
        <f t="array" aca="1" ref="G195" ca="1">IFERROR(IF(OR('Raw Data'!G195="",LEN(TRIM('Raw Data'!G195))=0),"",IF(AND(ISNUMBER('Raw Data'!G195), IFERROR('Raw Data'!G195 = ROUND('Raw Data'!G195, 4),FALSE)),"",_xlfn.REGEXEXTRACT(CELL("address",G195), "\$([A-Z]+)\$[0-9]+"))),_xlfn.REGEXEXTRACT(CELL("address",G195), "\$([A-Z]+)\$[0-9]+"))</f>
        <v/>
      </c>
      <c r="H195" s="7" t="str" cm="1">
        <f t="array" aca="1" ref="H195" ca="1">IFERROR(IF(OR('Raw Data'!H195="",LEN(TRIM('Raw Data'!H195))=0),"",IF(AND(ISNUMBER('Raw Data'!H195), IFERROR('Raw Data'!H195 = ROUND('Raw Data'!H195, 4),FALSE)),"",_xlfn.REGEXEXTRACT(CELL("address",H195), "\$([A-Z]+)\$[0-9]+"))),_xlfn.REGEXEXTRACT(CELL("address",H195), "\$([A-Z]+)\$[0-9]+"))</f>
        <v/>
      </c>
      <c r="I195" s="7" t="str" cm="1">
        <f t="array" aca="1" ref="I195" ca="1">IFERROR(IF(OR('Raw Data'!I195="",LEN(TRIM('Raw Data'!I195))=0),"",IF(AND(ISNUMBER('Raw Data'!I195), IFERROR('Raw Data'!I195 = ROUND('Raw Data'!I195, 4),FALSE)),"",_xlfn.REGEXEXTRACT(CELL("address",I195), "\$([A-Z]+)\$[0-9]+"))),_xlfn.REGEXEXTRACT(CELL("address",I195), "\$([A-Z]+)\$[0-9]+"))</f>
        <v/>
      </c>
      <c r="J195" s="7" t="str" cm="1">
        <f t="array" aca="1" ref="J195" ca="1">IFERROR(IF(OR('Raw Data'!J195="",LEN(TRIM('Raw Data'!J195))=0),"",IF(AND(ISNUMBER('Raw Data'!J195), IFERROR('Raw Data'!J195 = ROUND('Raw Data'!J195, 4),FALSE)),"",_xlfn.REGEXEXTRACT(CELL("address",J195), "\$([A-Z]+)\$[0-9]+"))),_xlfn.REGEXEXTRACT(CELL("address",J195), "\$([A-Z]+)\$[0-9]+"))</f>
        <v/>
      </c>
      <c r="K195" s="7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7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</row>
    <row r="196" spans="2:22" x14ac:dyDescent="0.25">
      <c r="B196" s="7" t="str" cm="1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20,LEN('Raw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Data'!D196))=0),"",IF(AND(ISNUMBER('Raw Data'!D196),'Raw Data'!D196&gt;=Configuration!$D$2),"",_xlfn.REGEXEXTRACT(CELL("address",'Raw Data'!D196),"\$([A-Z]+)\$[0-9]+"))),_xlfn.REGEXEXTRACT(CELL("address",D196), "\$([A-Z]+)\$[0-9]+"))</f>
        <v/>
      </c>
      <c r="E196" s="7" t="str" cm="1">
        <f t="array" aca="1" ref="E196" ca="1">IFERROR(IF(OR('Raw Data'!E196="",LEN(TRIM('Raw Data'!E196))=0),"",IF(AND(ISNUMBER('Raw Data'!E196), IFERROR('Raw Data'!E196 = ROUND('Raw Data'!E196, 4),FALSE)),"",_xlfn.REGEXEXTRACT(CELL("address",E196), "\$([A-Z]+)\$[0-9]+"))),_xlfn.REGEXEXTRACT(CELL("address",E196), "\$([A-Z]+)\$[0-9]+"))</f>
        <v/>
      </c>
      <c r="F196" s="7" t="str" cm="1">
        <f t="array" aca="1" ref="F196" ca="1">IFERROR(IF(OR('Raw Data'!F196="",LEN(TRIM('Raw Data'!F196))=0),"",IF(AND(ISNUMBER('Raw Data'!F196), IFERROR('Raw Data'!F196 = ROUND('Raw Data'!F196, 4),FALSE)),"",_xlfn.REGEXEXTRACT(CELL("address",F196), "\$([A-Z]+)\$[0-9]+"))),_xlfn.REGEXEXTRACT(CELL("address",F196), "\$([A-Z]+)\$[0-9]+"))</f>
        <v/>
      </c>
      <c r="G196" s="7" t="str" cm="1">
        <f t="array" aca="1" ref="G196" ca="1">IFERROR(IF(OR('Raw Data'!G196="",LEN(TRIM('Raw Data'!G196))=0),"",IF(AND(ISNUMBER('Raw Data'!G196), IFERROR('Raw Data'!G196 = ROUND('Raw Data'!G196, 4),FALSE)),"",_xlfn.REGEXEXTRACT(CELL("address",G196), "\$([A-Z]+)\$[0-9]+"))),_xlfn.REGEXEXTRACT(CELL("address",G196), "\$([A-Z]+)\$[0-9]+"))</f>
        <v/>
      </c>
      <c r="H196" s="7" t="str" cm="1">
        <f t="array" aca="1" ref="H196" ca="1">IFERROR(IF(OR('Raw Data'!H196="",LEN(TRIM('Raw Data'!H196))=0),"",IF(AND(ISNUMBER('Raw Data'!H196), IFERROR('Raw Data'!H196 = ROUND('Raw Data'!H196, 4),FALSE)),"",_xlfn.REGEXEXTRACT(CELL("address",H196), "\$([A-Z]+)\$[0-9]+"))),_xlfn.REGEXEXTRACT(CELL("address",H196), "\$([A-Z]+)\$[0-9]+"))</f>
        <v/>
      </c>
      <c r="I196" s="7" t="str" cm="1">
        <f t="array" aca="1" ref="I196" ca="1">IFERROR(IF(OR('Raw Data'!I196="",LEN(TRIM('Raw Data'!I196))=0),"",IF(AND(ISNUMBER('Raw Data'!I196), IFERROR('Raw Data'!I196 = ROUND('Raw Data'!I196, 4),FALSE)),"",_xlfn.REGEXEXTRACT(CELL("address",I196), "\$([A-Z]+)\$[0-9]+"))),_xlfn.REGEXEXTRACT(CELL("address",I196), "\$([A-Z]+)\$[0-9]+"))</f>
        <v/>
      </c>
      <c r="J196" s="7" t="str" cm="1">
        <f t="array" aca="1" ref="J196" ca="1">IFERROR(IF(OR('Raw Data'!J196="",LEN(TRIM('Raw Data'!J196))=0),"",IF(AND(ISNUMBER('Raw Data'!J196), IFERROR('Raw Data'!J196 = ROUND('Raw Data'!J196, 4),FALSE)),"",_xlfn.REGEXEXTRACT(CELL("address",J196), "\$([A-Z]+)\$[0-9]+"))),_xlfn.REGEXEXTRACT(CELL("address",J196), "\$([A-Z]+)\$[0-9]+"))</f>
        <v/>
      </c>
      <c r="K196" s="7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7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</row>
    <row r="197" spans="2:22" x14ac:dyDescent="0.25">
      <c r="B197" s="7" t="str" cm="1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20,LEN('Raw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Data'!D197))=0),"",IF(AND(ISNUMBER('Raw Data'!D197),'Raw Data'!D197&gt;=Configuration!$D$2),"",_xlfn.REGEXEXTRACT(CELL("address",'Raw Data'!D197),"\$([A-Z]+)\$[0-9]+"))),_xlfn.REGEXEXTRACT(CELL("address",D197), "\$([A-Z]+)\$[0-9]+"))</f>
        <v/>
      </c>
      <c r="E197" s="7" t="str" cm="1">
        <f t="array" aca="1" ref="E197" ca="1">IFERROR(IF(OR('Raw Data'!E197="",LEN(TRIM('Raw Data'!E197))=0),"",IF(AND(ISNUMBER('Raw Data'!E197), IFERROR('Raw Data'!E197 = ROUND('Raw Data'!E197, 4),FALSE)),"",_xlfn.REGEXEXTRACT(CELL("address",E197), "\$([A-Z]+)\$[0-9]+"))),_xlfn.REGEXEXTRACT(CELL("address",E197), "\$([A-Z]+)\$[0-9]+"))</f>
        <v/>
      </c>
      <c r="F197" s="7" t="str" cm="1">
        <f t="array" aca="1" ref="F197" ca="1">IFERROR(IF(OR('Raw Data'!F197="",LEN(TRIM('Raw Data'!F197))=0),"",IF(AND(ISNUMBER('Raw Data'!F197), IFERROR('Raw Data'!F197 = ROUND('Raw Data'!F197, 4),FALSE)),"",_xlfn.REGEXEXTRACT(CELL("address",F197), "\$([A-Z]+)\$[0-9]+"))),_xlfn.REGEXEXTRACT(CELL("address",F197), "\$([A-Z]+)\$[0-9]+"))</f>
        <v/>
      </c>
      <c r="G197" s="7" t="str" cm="1">
        <f t="array" aca="1" ref="G197" ca="1">IFERROR(IF(OR('Raw Data'!G197="",LEN(TRIM('Raw Data'!G197))=0),"",IF(AND(ISNUMBER('Raw Data'!G197), IFERROR('Raw Data'!G197 = ROUND('Raw Data'!G197, 4),FALSE)),"",_xlfn.REGEXEXTRACT(CELL("address",G197), "\$([A-Z]+)\$[0-9]+"))),_xlfn.REGEXEXTRACT(CELL("address",G197), "\$([A-Z]+)\$[0-9]+"))</f>
        <v/>
      </c>
      <c r="H197" s="7" t="str" cm="1">
        <f t="array" aca="1" ref="H197" ca="1">IFERROR(IF(OR('Raw Data'!H197="",LEN(TRIM('Raw Data'!H197))=0),"",IF(AND(ISNUMBER('Raw Data'!H197), IFERROR('Raw Data'!H197 = ROUND('Raw Data'!H197, 4),FALSE)),"",_xlfn.REGEXEXTRACT(CELL("address",H197), "\$([A-Z]+)\$[0-9]+"))),_xlfn.REGEXEXTRACT(CELL("address",H197), "\$([A-Z]+)\$[0-9]+"))</f>
        <v/>
      </c>
      <c r="I197" s="7" t="str" cm="1">
        <f t="array" aca="1" ref="I197" ca="1">IFERROR(IF(OR('Raw Data'!I197="",LEN(TRIM('Raw Data'!I197))=0),"",IF(AND(ISNUMBER('Raw Data'!I197), IFERROR('Raw Data'!I197 = ROUND('Raw Data'!I197, 4),FALSE)),"",_xlfn.REGEXEXTRACT(CELL("address",I197), "\$([A-Z]+)\$[0-9]+"))),_xlfn.REGEXEXTRACT(CELL("address",I197), "\$([A-Z]+)\$[0-9]+"))</f>
        <v/>
      </c>
      <c r="J197" s="7" t="str" cm="1">
        <f t="array" aca="1" ref="J197" ca="1">IFERROR(IF(OR('Raw Data'!J197="",LEN(TRIM('Raw Data'!J197))=0),"",IF(AND(ISNUMBER('Raw Data'!J197), IFERROR('Raw Data'!J197 = ROUND('Raw Data'!J197, 4),FALSE)),"",_xlfn.REGEXEXTRACT(CELL("address",J197), "\$([A-Z]+)\$[0-9]+"))),_xlfn.REGEXEXTRACT(CELL("address",J197), "\$([A-Z]+)\$[0-9]+"))</f>
        <v/>
      </c>
      <c r="K197" s="7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7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</row>
    <row r="198" spans="2:22" x14ac:dyDescent="0.25">
      <c r="B198" s="7" t="str" cm="1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20,LEN('Raw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Data'!D198))=0),"",IF(AND(ISNUMBER('Raw Data'!D198),'Raw Data'!D198&gt;=Configuration!$D$2),"",_xlfn.REGEXEXTRACT(CELL("address",'Raw Data'!D198),"\$([A-Z]+)\$[0-9]+"))),_xlfn.REGEXEXTRACT(CELL("address",D198), "\$([A-Z]+)\$[0-9]+"))</f>
        <v/>
      </c>
      <c r="E198" s="7" t="str" cm="1">
        <f t="array" aca="1" ref="E198" ca="1">IFERROR(IF(OR('Raw Data'!E198="",LEN(TRIM('Raw Data'!E198))=0),"",IF(AND(ISNUMBER('Raw Data'!E198), IFERROR('Raw Data'!E198 = ROUND('Raw Data'!E198, 4),FALSE)),"",_xlfn.REGEXEXTRACT(CELL("address",E198), "\$([A-Z]+)\$[0-9]+"))),_xlfn.REGEXEXTRACT(CELL("address",E198), "\$([A-Z]+)\$[0-9]+"))</f>
        <v/>
      </c>
      <c r="F198" s="7" t="str" cm="1">
        <f t="array" aca="1" ref="F198" ca="1">IFERROR(IF(OR('Raw Data'!F198="",LEN(TRIM('Raw Data'!F198))=0),"",IF(AND(ISNUMBER('Raw Data'!F198), IFERROR('Raw Data'!F198 = ROUND('Raw Data'!F198, 4),FALSE)),"",_xlfn.REGEXEXTRACT(CELL("address",F198), "\$([A-Z]+)\$[0-9]+"))),_xlfn.REGEXEXTRACT(CELL("address",F198), "\$([A-Z]+)\$[0-9]+"))</f>
        <v/>
      </c>
      <c r="G198" s="7" t="str" cm="1">
        <f t="array" aca="1" ref="G198" ca="1">IFERROR(IF(OR('Raw Data'!G198="",LEN(TRIM('Raw Data'!G198))=0),"",IF(AND(ISNUMBER('Raw Data'!G198), IFERROR('Raw Data'!G198 = ROUND('Raw Data'!G198, 4),FALSE)),"",_xlfn.REGEXEXTRACT(CELL("address",G198), "\$([A-Z]+)\$[0-9]+"))),_xlfn.REGEXEXTRACT(CELL("address",G198), "\$([A-Z]+)\$[0-9]+"))</f>
        <v/>
      </c>
      <c r="H198" s="7" t="str" cm="1">
        <f t="array" aca="1" ref="H198" ca="1">IFERROR(IF(OR('Raw Data'!H198="",LEN(TRIM('Raw Data'!H198))=0),"",IF(AND(ISNUMBER('Raw Data'!H198), IFERROR('Raw Data'!H198 = ROUND('Raw Data'!H198, 4),FALSE)),"",_xlfn.REGEXEXTRACT(CELL("address",H198), "\$([A-Z]+)\$[0-9]+"))),_xlfn.REGEXEXTRACT(CELL("address",H198), "\$([A-Z]+)\$[0-9]+"))</f>
        <v/>
      </c>
      <c r="I198" s="7" t="str" cm="1">
        <f t="array" aca="1" ref="I198" ca="1">IFERROR(IF(OR('Raw Data'!I198="",LEN(TRIM('Raw Data'!I198))=0),"",IF(AND(ISNUMBER('Raw Data'!I198), IFERROR('Raw Data'!I198 = ROUND('Raw Data'!I198, 4),FALSE)),"",_xlfn.REGEXEXTRACT(CELL("address",I198), "\$([A-Z]+)\$[0-9]+"))),_xlfn.REGEXEXTRACT(CELL("address",I198), "\$([A-Z]+)\$[0-9]+"))</f>
        <v/>
      </c>
      <c r="J198" s="7" t="str" cm="1">
        <f t="array" aca="1" ref="J198" ca="1">IFERROR(IF(OR('Raw Data'!J198="",LEN(TRIM('Raw Data'!J198))=0),"",IF(AND(ISNUMBER('Raw Data'!J198), IFERROR('Raw Data'!J198 = ROUND('Raw Data'!J198, 4),FALSE)),"",_xlfn.REGEXEXTRACT(CELL("address",J198), "\$([A-Z]+)\$[0-9]+"))),_xlfn.REGEXEXTRACT(CELL("address",J198), "\$([A-Z]+)\$[0-9]+"))</f>
        <v/>
      </c>
      <c r="K198" s="7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7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</row>
    <row r="199" spans="2:22" x14ac:dyDescent="0.25">
      <c r="B199" s="7" t="str" cm="1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20,LEN('Raw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Data'!D199))=0),"",IF(AND(ISNUMBER('Raw Data'!D199),'Raw Data'!D199&gt;=Configuration!$D$2),"",_xlfn.REGEXEXTRACT(CELL("address",'Raw Data'!D199),"\$([A-Z]+)\$[0-9]+"))),_xlfn.REGEXEXTRACT(CELL("address",D199), "\$([A-Z]+)\$[0-9]+"))</f>
        <v/>
      </c>
      <c r="E199" s="7" t="str" cm="1">
        <f t="array" aca="1" ref="E199" ca="1">IFERROR(IF(OR('Raw Data'!E199="",LEN(TRIM('Raw Data'!E199))=0),"",IF(AND(ISNUMBER('Raw Data'!E199), IFERROR('Raw Data'!E199 = ROUND('Raw Data'!E199, 4),FALSE)),"",_xlfn.REGEXEXTRACT(CELL("address",E199), "\$([A-Z]+)\$[0-9]+"))),_xlfn.REGEXEXTRACT(CELL("address",E199), "\$([A-Z]+)\$[0-9]+"))</f>
        <v/>
      </c>
      <c r="F199" s="7" t="str" cm="1">
        <f t="array" aca="1" ref="F199" ca="1">IFERROR(IF(OR('Raw Data'!F199="",LEN(TRIM('Raw Data'!F199))=0),"",IF(AND(ISNUMBER('Raw Data'!F199), IFERROR('Raw Data'!F199 = ROUND('Raw Data'!F199, 4),FALSE)),"",_xlfn.REGEXEXTRACT(CELL("address",F199), "\$([A-Z]+)\$[0-9]+"))),_xlfn.REGEXEXTRACT(CELL("address",F199), "\$([A-Z]+)\$[0-9]+"))</f>
        <v/>
      </c>
      <c r="G199" s="7" t="str" cm="1">
        <f t="array" aca="1" ref="G199" ca="1">IFERROR(IF(OR('Raw Data'!G199="",LEN(TRIM('Raw Data'!G199))=0),"",IF(AND(ISNUMBER('Raw Data'!G199), IFERROR('Raw Data'!G199 = ROUND('Raw Data'!G199, 4),FALSE)),"",_xlfn.REGEXEXTRACT(CELL("address",G199), "\$([A-Z]+)\$[0-9]+"))),_xlfn.REGEXEXTRACT(CELL("address",G199), "\$([A-Z]+)\$[0-9]+"))</f>
        <v/>
      </c>
      <c r="H199" s="7" t="str" cm="1">
        <f t="array" aca="1" ref="H199" ca="1">IFERROR(IF(OR('Raw Data'!H199="",LEN(TRIM('Raw Data'!H199))=0),"",IF(AND(ISNUMBER('Raw Data'!H199), IFERROR('Raw Data'!H199 = ROUND('Raw Data'!H199, 4),FALSE)),"",_xlfn.REGEXEXTRACT(CELL("address",H199), "\$([A-Z]+)\$[0-9]+"))),_xlfn.REGEXEXTRACT(CELL("address",H199), "\$([A-Z]+)\$[0-9]+"))</f>
        <v/>
      </c>
      <c r="I199" s="7" t="str" cm="1">
        <f t="array" aca="1" ref="I199" ca="1">IFERROR(IF(OR('Raw Data'!I199="",LEN(TRIM('Raw Data'!I199))=0),"",IF(AND(ISNUMBER('Raw Data'!I199), IFERROR('Raw Data'!I199 = ROUND('Raw Data'!I199, 4),FALSE)),"",_xlfn.REGEXEXTRACT(CELL("address",I199), "\$([A-Z]+)\$[0-9]+"))),_xlfn.REGEXEXTRACT(CELL("address",I199), "\$([A-Z]+)\$[0-9]+"))</f>
        <v/>
      </c>
      <c r="J199" s="7" t="str" cm="1">
        <f t="array" aca="1" ref="J199" ca="1">IFERROR(IF(OR('Raw Data'!J199="",LEN(TRIM('Raw Data'!J199))=0),"",IF(AND(ISNUMBER('Raw Data'!J199), IFERROR('Raw Data'!J199 = ROUND('Raw Data'!J199, 4),FALSE)),"",_xlfn.REGEXEXTRACT(CELL("address",J199), "\$([A-Z]+)\$[0-9]+"))),_xlfn.REGEXEXTRACT(CELL("address",J199), "\$([A-Z]+)\$[0-9]+"))</f>
        <v/>
      </c>
      <c r="K199" s="7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7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</row>
    <row r="200" spans="2:22" x14ac:dyDescent="0.25">
      <c r="B200" s="7" t="str" cm="1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20,LEN('Raw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Data'!D200))=0),"",IF(AND(ISNUMBER('Raw Data'!D200),'Raw Data'!D200&gt;=Configuration!$D$2),"",_xlfn.REGEXEXTRACT(CELL("address",'Raw Data'!D200),"\$([A-Z]+)\$[0-9]+"))),_xlfn.REGEXEXTRACT(CELL("address",D200), "\$([A-Z]+)\$[0-9]+"))</f>
        <v/>
      </c>
      <c r="E200" s="7" t="str" cm="1">
        <f t="array" aca="1" ref="E200" ca="1">IFERROR(IF(OR('Raw Data'!E200="",LEN(TRIM('Raw Data'!E200))=0),"",IF(AND(ISNUMBER('Raw Data'!E200), IFERROR('Raw Data'!E200 = ROUND('Raw Data'!E200, 4),FALSE)),"",_xlfn.REGEXEXTRACT(CELL("address",E200), "\$([A-Z]+)\$[0-9]+"))),_xlfn.REGEXEXTRACT(CELL("address",E200), "\$([A-Z]+)\$[0-9]+"))</f>
        <v/>
      </c>
      <c r="F200" s="7" t="str" cm="1">
        <f t="array" aca="1" ref="F200" ca="1">IFERROR(IF(OR('Raw Data'!F200="",LEN(TRIM('Raw Data'!F200))=0),"",IF(AND(ISNUMBER('Raw Data'!F200), IFERROR('Raw Data'!F200 = ROUND('Raw Data'!F200, 4),FALSE)),"",_xlfn.REGEXEXTRACT(CELL("address",F200), "\$([A-Z]+)\$[0-9]+"))),_xlfn.REGEXEXTRACT(CELL("address",F200), "\$([A-Z]+)\$[0-9]+"))</f>
        <v/>
      </c>
      <c r="G200" s="7" t="str" cm="1">
        <f t="array" aca="1" ref="G200" ca="1">IFERROR(IF(OR('Raw Data'!G200="",LEN(TRIM('Raw Data'!G200))=0),"",IF(AND(ISNUMBER('Raw Data'!G200), IFERROR('Raw Data'!G200 = ROUND('Raw Data'!G200, 4),FALSE)),"",_xlfn.REGEXEXTRACT(CELL("address",G200), "\$([A-Z]+)\$[0-9]+"))),_xlfn.REGEXEXTRACT(CELL("address",G200), "\$([A-Z]+)\$[0-9]+"))</f>
        <v/>
      </c>
      <c r="H200" s="7" t="str" cm="1">
        <f t="array" aca="1" ref="H200" ca="1">IFERROR(IF(OR('Raw Data'!H200="",LEN(TRIM('Raw Data'!H200))=0),"",IF(AND(ISNUMBER('Raw Data'!H200), IFERROR('Raw Data'!H200 = ROUND('Raw Data'!H200, 4),FALSE)),"",_xlfn.REGEXEXTRACT(CELL("address",H200), "\$([A-Z]+)\$[0-9]+"))),_xlfn.REGEXEXTRACT(CELL("address",H200), "\$([A-Z]+)\$[0-9]+"))</f>
        <v/>
      </c>
      <c r="I200" s="7" t="str" cm="1">
        <f t="array" aca="1" ref="I200" ca="1">IFERROR(IF(OR('Raw Data'!I200="",LEN(TRIM('Raw Data'!I200))=0),"",IF(AND(ISNUMBER('Raw Data'!I200), IFERROR('Raw Data'!I200 = ROUND('Raw Data'!I200, 4),FALSE)),"",_xlfn.REGEXEXTRACT(CELL("address",I200), "\$([A-Z]+)\$[0-9]+"))),_xlfn.REGEXEXTRACT(CELL("address",I200), "\$([A-Z]+)\$[0-9]+"))</f>
        <v/>
      </c>
      <c r="J200" s="7" t="str" cm="1">
        <f t="array" aca="1" ref="J200" ca="1">IFERROR(IF(OR('Raw Data'!J200="",LEN(TRIM('Raw Data'!J200))=0),"",IF(AND(ISNUMBER('Raw Data'!J200), IFERROR('Raw Data'!J200 = ROUND('Raw Data'!J200, 4),FALSE)),"",_xlfn.REGEXEXTRACT(CELL("address",J200), "\$([A-Z]+)\$[0-9]+"))),_xlfn.REGEXEXTRACT(CELL("address",J200), "\$([A-Z]+)\$[0-9]+"))</f>
        <v/>
      </c>
      <c r="K200" s="7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7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</row>
    <row r="201" spans="2:22" x14ac:dyDescent="0.25">
      <c r="B201" s="7" t="str" cm="1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20,LEN('Raw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Data'!D201))=0),"",IF(AND(ISNUMBER('Raw Data'!D201),'Raw Data'!D201&gt;=Configuration!$D$2),"",_xlfn.REGEXEXTRACT(CELL("address",'Raw Data'!D201),"\$([A-Z]+)\$[0-9]+"))),_xlfn.REGEXEXTRACT(CELL("address",D201), "\$([A-Z]+)\$[0-9]+"))</f>
        <v/>
      </c>
      <c r="E201" s="7" t="str" cm="1">
        <f t="array" aca="1" ref="E201" ca="1">IFERROR(IF(OR('Raw Data'!E201="",LEN(TRIM('Raw Data'!E201))=0),"",IF(AND(ISNUMBER('Raw Data'!E201), IFERROR('Raw Data'!E201 = ROUND('Raw Data'!E201, 4),FALSE)),"",_xlfn.REGEXEXTRACT(CELL("address",E201), "\$([A-Z]+)\$[0-9]+"))),_xlfn.REGEXEXTRACT(CELL("address",E201), "\$([A-Z]+)\$[0-9]+"))</f>
        <v/>
      </c>
      <c r="F201" s="7" t="str" cm="1">
        <f t="array" aca="1" ref="F201" ca="1">IFERROR(IF(OR('Raw Data'!F201="",LEN(TRIM('Raw Data'!F201))=0),"",IF(AND(ISNUMBER('Raw Data'!F201), IFERROR('Raw Data'!F201 = ROUND('Raw Data'!F201, 4),FALSE)),"",_xlfn.REGEXEXTRACT(CELL("address",F201), "\$([A-Z]+)\$[0-9]+"))),_xlfn.REGEXEXTRACT(CELL("address",F201), "\$([A-Z]+)\$[0-9]+"))</f>
        <v/>
      </c>
      <c r="G201" s="7" t="str" cm="1">
        <f t="array" aca="1" ref="G201" ca="1">IFERROR(IF(OR('Raw Data'!G201="",LEN(TRIM('Raw Data'!G201))=0),"",IF(AND(ISNUMBER('Raw Data'!G201), IFERROR('Raw Data'!G201 = ROUND('Raw Data'!G201, 4),FALSE)),"",_xlfn.REGEXEXTRACT(CELL("address",G201), "\$([A-Z]+)\$[0-9]+"))),_xlfn.REGEXEXTRACT(CELL("address",G201), "\$([A-Z]+)\$[0-9]+"))</f>
        <v/>
      </c>
      <c r="H201" s="7" t="str" cm="1">
        <f t="array" aca="1" ref="H201" ca="1">IFERROR(IF(OR('Raw Data'!H201="",LEN(TRIM('Raw Data'!H201))=0),"",IF(AND(ISNUMBER('Raw Data'!H201), IFERROR('Raw Data'!H201 = ROUND('Raw Data'!H201, 4),FALSE)),"",_xlfn.REGEXEXTRACT(CELL("address",H201), "\$([A-Z]+)\$[0-9]+"))),_xlfn.REGEXEXTRACT(CELL("address",H201), "\$([A-Z]+)\$[0-9]+"))</f>
        <v/>
      </c>
      <c r="I201" s="7" t="str" cm="1">
        <f t="array" aca="1" ref="I201" ca="1">IFERROR(IF(OR('Raw Data'!I201="",LEN(TRIM('Raw Data'!I201))=0),"",IF(AND(ISNUMBER('Raw Data'!I201), IFERROR('Raw Data'!I201 = ROUND('Raw Data'!I201, 4),FALSE)),"",_xlfn.REGEXEXTRACT(CELL("address",I201), "\$([A-Z]+)\$[0-9]+"))),_xlfn.REGEXEXTRACT(CELL("address",I201), "\$([A-Z]+)\$[0-9]+"))</f>
        <v/>
      </c>
      <c r="J201" s="7" t="str" cm="1">
        <f t="array" aca="1" ref="J201" ca="1">IFERROR(IF(OR('Raw Data'!J201="",LEN(TRIM('Raw Data'!J201))=0),"",IF(AND(ISNUMBER('Raw Data'!J201), IFERROR('Raw Data'!J201 = ROUND('Raw Data'!J201, 4),FALSE)),"",_xlfn.REGEXEXTRACT(CELL("address",J201), "\$([A-Z]+)\$[0-9]+"))),_xlfn.REGEXEXTRACT(CELL("address",J201), "\$([A-Z]+)\$[0-9]+"))</f>
        <v/>
      </c>
      <c r="K201" s="7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7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</row>
    <row r="202" spans="2:22" x14ac:dyDescent="0.25">
      <c r="B202" s="7" t="str" cm="1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20,LEN('Raw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Data'!D202))=0),"",IF(AND(ISNUMBER('Raw Data'!D202),'Raw Data'!D202&gt;=Configuration!$D$2),"",_xlfn.REGEXEXTRACT(CELL("address",'Raw Data'!D202),"\$([A-Z]+)\$[0-9]+"))),_xlfn.REGEXEXTRACT(CELL("address",D202), "\$([A-Z]+)\$[0-9]+"))</f>
        <v/>
      </c>
      <c r="E202" s="7" t="str" cm="1">
        <f t="array" aca="1" ref="E202" ca="1">IFERROR(IF(OR('Raw Data'!E202="",LEN(TRIM('Raw Data'!E202))=0),"",IF(AND(ISNUMBER('Raw Data'!E202), IFERROR('Raw Data'!E202 = ROUND('Raw Data'!E202, 4),FALSE)),"",_xlfn.REGEXEXTRACT(CELL("address",E202), "\$([A-Z]+)\$[0-9]+"))),_xlfn.REGEXEXTRACT(CELL("address",E202), "\$([A-Z]+)\$[0-9]+"))</f>
        <v/>
      </c>
      <c r="F202" s="7" t="str" cm="1">
        <f t="array" aca="1" ref="F202" ca="1">IFERROR(IF(OR('Raw Data'!F202="",LEN(TRIM('Raw Data'!F202))=0),"",IF(AND(ISNUMBER('Raw Data'!F202), IFERROR('Raw Data'!F202 = ROUND('Raw Data'!F202, 4),FALSE)),"",_xlfn.REGEXEXTRACT(CELL("address",F202), "\$([A-Z]+)\$[0-9]+"))),_xlfn.REGEXEXTRACT(CELL("address",F202), "\$([A-Z]+)\$[0-9]+"))</f>
        <v/>
      </c>
      <c r="G202" s="7" t="str" cm="1">
        <f t="array" aca="1" ref="G202" ca="1">IFERROR(IF(OR('Raw Data'!G202="",LEN(TRIM('Raw Data'!G202))=0),"",IF(AND(ISNUMBER('Raw Data'!G202), IFERROR('Raw Data'!G202 = ROUND('Raw Data'!G202, 4),FALSE)),"",_xlfn.REGEXEXTRACT(CELL("address",G202), "\$([A-Z]+)\$[0-9]+"))),_xlfn.REGEXEXTRACT(CELL("address",G202), "\$([A-Z]+)\$[0-9]+"))</f>
        <v/>
      </c>
      <c r="H202" s="7" t="str" cm="1">
        <f t="array" aca="1" ref="H202" ca="1">IFERROR(IF(OR('Raw Data'!H202="",LEN(TRIM('Raw Data'!H202))=0),"",IF(AND(ISNUMBER('Raw Data'!H202), IFERROR('Raw Data'!H202 = ROUND('Raw Data'!H202, 4),FALSE)),"",_xlfn.REGEXEXTRACT(CELL("address",H202), "\$([A-Z]+)\$[0-9]+"))),_xlfn.REGEXEXTRACT(CELL("address",H202), "\$([A-Z]+)\$[0-9]+"))</f>
        <v/>
      </c>
      <c r="I202" s="7" t="str" cm="1">
        <f t="array" aca="1" ref="I202" ca="1">IFERROR(IF(OR('Raw Data'!I202="",LEN(TRIM('Raw Data'!I202))=0),"",IF(AND(ISNUMBER('Raw Data'!I202), IFERROR('Raw Data'!I202 = ROUND('Raw Data'!I202, 4),FALSE)),"",_xlfn.REGEXEXTRACT(CELL("address",I202), "\$([A-Z]+)\$[0-9]+"))),_xlfn.REGEXEXTRACT(CELL("address",I202), "\$([A-Z]+)\$[0-9]+"))</f>
        <v/>
      </c>
      <c r="J202" s="7" t="str" cm="1">
        <f t="array" aca="1" ref="J202" ca="1">IFERROR(IF(OR('Raw Data'!J202="",LEN(TRIM('Raw Data'!J202))=0),"",IF(AND(ISNUMBER('Raw Data'!J202), IFERROR('Raw Data'!J202 = ROUND('Raw Data'!J202, 4),FALSE)),"",_xlfn.REGEXEXTRACT(CELL("address",J202), "\$([A-Z]+)\$[0-9]+"))),_xlfn.REGEXEXTRACT(CELL("address",J202), "\$([A-Z]+)\$[0-9]+"))</f>
        <v/>
      </c>
      <c r="K202" s="7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7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</row>
    <row r="203" spans="2:22" x14ac:dyDescent="0.25">
      <c r="B203" s="7" t="str" cm="1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20,LEN('Raw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Data'!D203))=0),"",IF(AND(ISNUMBER('Raw Data'!D203),'Raw Data'!D203&gt;=Configuration!$D$2),"",_xlfn.REGEXEXTRACT(CELL("address",'Raw Data'!D203),"\$([A-Z]+)\$[0-9]+"))),_xlfn.REGEXEXTRACT(CELL("address",D203), "\$([A-Z]+)\$[0-9]+"))</f>
        <v/>
      </c>
      <c r="E203" s="7" t="str" cm="1">
        <f t="array" aca="1" ref="E203" ca="1">IFERROR(IF(OR('Raw Data'!E203="",LEN(TRIM('Raw Data'!E203))=0),"",IF(AND(ISNUMBER('Raw Data'!E203), IFERROR('Raw Data'!E203 = ROUND('Raw Data'!E203, 4),FALSE)),"",_xlfn.REGEXEXTRACT(CELL("address",E203), "\$([A-Z]+)\$[0-9]+"))),_xlfn.REGEXEXTRACT(CELL("address",E203), "\$([A-Z]+)\$[0-9]+"))</f>
        <v/>
      </c>
      <c r="F203" s="7" t="str" cm="1">
        <f t="array" aca="1" ref="F203" ca="1">IFERROR(IF(OR('Raw Data'!F203="",LEN(TRIM('Raw Data'!F203))=0),"",IF(AND(ISNUMBER('Raw Data'!F203), IFERROR('Raw Data'!F203 = ROUND('Raw Data'!F203, 4),FALSE)),"",_xlfn.REGEXEXTRACT(CELL("address",F203), "\$([A-Z]+)\$[0-9]+"))),_xlfn.REGEXEXTRACT(CELL("address",F203), "\$([A-Z]+)\$[0-9]+"))</f>
        <v/>
      </c>
      <c r="G203" s="7" t="str" cm="1">
        <f t="array" aca="1" ref="G203" ca="1">IFERROR(IF(OR('Raw Data'!G203="",LEN(TRIM('Raw Data'!G203))=0),"",IF(AND(ISNUMBER('Raw Data'!G203), IFERROR('Raw Data'!G203 = ROUND('Raw Data'!G203, 4),FALSE)),"",_xlfn.REGEXEXTRACT(CELL("address",G203), "\$([A-Z]+)\$[0-9]+"))),_xlfn.REGEXEXTRACT(CELL("address",G203), "\$([A-Z]+)\$[0-9]+"))</f>
        <v/>
      </c>
      <c r="H203" s="7" t="str" cm="1">
        <f t="array" aca="1" ref="H203" ca="1">IFERROR(IF(OR('Raw Data'!H203="",LEN(TRIM('Raw Data'!H203))=0),"",IF(AND(ISNUMBER('Raw Data'!H203), IFERROR('Raw Data'!H203 = ROUND('Raw Data'!H203, 4),FALSE)),"",_xlfn.REGEXEXTRACT(CELL("address",H203), "\$([A-Z]+)\$[0-9]+"))),_xlfn.REGEXEXTRACT(CELL("address",H203), "\$([A-Z]+)\$[0-9]+"))</f>
        <v/>
      </c>
      <c r="I203" s="7" t="str" cm="1">
        <f t="array" aca="1" ref="I203" ca="1">IFERROR(IF(OR('Raw Data'!I203="",LEN(TRIM('Raw Data'!I203))=0),"",IF(AND(ISNUMBER('Raw Data'!I203), IFERROR('Raw Data'!I203 = ROUND('Raw Data'!I203, 4),FALSE)),"",_xlfn.REGEXEXTRACT(CELL("address",I203), "\$([A-Z]+)\$[0-9]+"))),_xlfn.REGEXEXTRACT(CELL("address",I203), "\$([A-Z]+)\$[0-9]+"))</f>
        <v/>
      </c>
      <c r="J203" s="7" t="str" cm="1">
        <f t="array" aca="1" ref="J203" ca="1">IFERROR(IF(OR('Raw Data'!J203="",LEN(TRIM('Raw Data'!J203))=0),"",IF(AND(ISNUMBER('Raw Data'!J203), IFERROR('Raw Data'!J203 = ROUND('Raw Data'!J203, 4),FALSE)),"",_xlfn.REGEXEXTRACT(CELL("address",J203), "\$([A-Z]+)\$[0-9]+"))),_xlfn.REGEXEXTRACT(CELL("address",J203), "\$([A-Z]+)\$[0-9]+"))</f>
        <v/>
      </c>
      <c r="K203" s="7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7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</row>
    <row r="204" spans="2:22" x14ac:dyDescent="0.25">
      <c r="B204" s="7" t="str" cm="1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20,LEN('Raw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Data'!D204))=0),"",IF(AND(ISNUMBER('Raw Data'!D204),'Raw Data'!D204&gt;=Configuration!$D$2),"",_xlfn.REGEXEXTRACT(CELL("address",'Raw Data'!D204),"\$([A-Z]+)\$[0-9]+"))),_xlfn.REGEXEXTRACT(CELL("address",D204), "\$([A-Z]+)\$[0-9]+"))</f>
        <v/>
      </c>
      <c r="E204" s="7" t="str" cm="1">
        <f t="array" aca="1" ref="E204" ca="1">IFERROR(IF(OR('Raw Data'!E204="",LEN(TRIM('Raw Data'!E204))=0),"",IF(AND(ISNUMBER('Raw Data'!E204), IFERROR('Raw Data'!E204 = ROUND('Raw Data'!E204, 4),FALSE)),"",_xlfn.REGEXEXTRACT(CELL("address",E204), "\$([A-Z]+)\$[0-9]+"))),_xlfn.REGEXEXTRACT(CELL("address",E204), "\$([A-Z]+)\$[0-9]+"))</f>
        <v/>
      </c>
      <c r="F204" s="7" t="str" cm="1">
        <f t="array" aca="1" ref="F204" ca="1">IFERROR(IF(OR('Raw Data'!F204="",LEN(TRIM('Raw Data'!F204))=0),"",IF(AND(ISNUMBER('Raw Data'!F204), IFERROR('Raw Data'!F204 = ROUND('Raw Data'!F204, 4),FALSE)),"",_xlfn.REGEXEXTRACT(CELL("address",F204), "\$([A-Z]+)\$[0-9]+"))),_xlfn.REGEXEXTRACT(CELL("address",F204), "\$([A-Z]+)\$[0-9]+"))</f>
        <v/>
      </c>
      <c r="G204" s="7" t="str" cm="1">
        <f t="array" aca="1" ref="G204" ca="1">IFERROR(IF(OR('Raw Data'!G204="",LEN(TRIM('Raw Data'!G204))=0),"",IF(AND(ISNUMBER('Raw Data'!G204), IFERROR('Raw Data'!G204 = ROUND('Raw Data'!G204, 4),FALSE)),"",_xlfn.REGEXEXTRACT(CELL("address",G204), "\$([A-Z]+)\$[0-9]+"))),_xlfn.REGEXEXTRACT(CELL("address",G204), "\$([A-Z]+)\$[0-9]+"))</f>
        <v/>
      </c>
      <c r="H204" s="7" t="str" cm="1">
        <f t="array" aca="1" ref="H204" ca="1">IFERROR(IF(OR('Raw Data'!H204="",LEN(TRIM('Raw Data'!H204))=0),"",IF(AND(ISNUMBER('Raw Data'!H204), IFERROR('Raw Data'!H204 = ROUND('Raw Data'!H204, 4),FALSE)),"",_xlfn.REGEXEXTRACT(CELL("address",H204), "\$([A-Z]+)\$[0-9]+"))),_xlfn.REGEXEXTRACT(CELL("address",H204), "\$([A-Z]+)\$[0-9]+"))</f>
        <v/>
      </c>
      <c r="I204" s="7" t="str" cm="1">
        <f t="array" aca="1" ref="I204" ca="1">IFERROR(IF(OR('Raw Data'!I204="",LEN(TRIM('Raw Data'!I204))=0),"",IF(AND(ISNUMBER('Raw Data'!I204), IFERROR('Raw Data'!I204 = ROUND('Raw Data'!I204, 4),FALSE)),"",_xlfn.REGEXEXTRACT(CELL("address",I204), "\$([A-Z]+)\$[0-9]+"))),_xlfn.REGEXEXTRACT(CELL("address",I204), "\$([A-Z]+)\$[0-9]+"))</f>
        <v/>
      </c>
      <c r="J204" s="7" t="str" cm="1">
        <f t="array" aca="1" ref="J204" ca="1">IFERROR(IF(OR('Raw Data'!J204="",LEN(TRIM('Raw Data'!J204))=0),"",IF(AND(ISNUMBER('Raw Data'!J204), IFERROR('Raw Data'!J204 = ROUND('Raw Data'!J204, 4),FALSE)),"",_xlfn.REGEXEXTRACT(CELL("address",J204), "\$([A-Z]+)\$[0-9]+"))),_xlfn.REGEXEXTRACT(CELL("address",J204), "\$([A-Z]+)\$[0-9]+"))</f>
        <v/>
      </c>
      <c r="K204" s="7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7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</row>
    <row r="205" spans="2:22" x14ac:dyDescent="0.25">
      <c r="B205" s="7" t="str" cm="1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20,LEN('Raw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Data'!D205))=0),"",IF(AND(ISNUMBER('Raw Data'!D205),'Raw Data'!D205&gt;=Configuration!$D$2),"",_xlfn.REGEXEXTRACT(CELL("address",'Raw Data'!D205),"\$([A-Z]+)\$[0-9]+"))),_xlfn.REGEXEXTRACT(CELL("address",D205), "\$([A-Z]+)\$[0-9]+"))</f>
        <v/>
      </c>
      <c r="E205" s="7" t="str" cm="1">
        <f t="array" aca="1" ref="E205" ca="1">IFERROR(IF(OR('Raw Data'!E205="",LEN(TRIM('Raw Data'!E205))=0),"",IF(AND(ISNUMBER('Raw Data'!E205), IFERROR('Raw Data'!E205 = ROUND('Raw Data'!E205, 4),FALSE)),"",_xlfn.REGEXEXTRACT(CELL("address",E205), "\$([A-Z]+)\$[0-9]+"))),_xlfn.REGEXEXTRACT(CELL("address",E205), "\$([A-Z]+)\$[0-9]+"))</f>
        <v/>
      </c>
      <c r="F205" s="7" t="str" cm="1">
        <f t="array" aca="1" ref="F205" ca="1">IFERROR(IF(OR('Raw Data'!F205="",LEN(TRIM('Raw Data'!F205))=0),"",IF(AND(ISNUMBER('Raw Data'!F205), IFERROR('Raw Data'!F205 = ROUND('Raw Data'!F205, 4),FALSE)),"",_xlfn.REGEXEXTRACT(CELL("address",F205), "\$([A-Z]+)\$[0-9]+"))),_xlfn.REGEXEXTRACT(CELL("address",F205), "\$([A-Z]+)\$[0-9]+"))</f>
        <v/>
      </c>
      <c r="G205" s="7" t="str" cm="1">
        <f t="array" aca="1" ref="G205" ca="1">IFERROR(IF(OR('Raw Data'!G205="",LEN(TRIM('Raw Data'!G205))=0),"",IF(AND(ISNUMBER('Raw Data'!G205), IFERROR('Raw Data'!G205 = ROUND('Raw Data'!G205, 4),FALSE)),"",_xlfn.REGEXEXTRACT(CELL("address",G205), "\$([A-Z]+)\$[0-9]+"))),_xlfn.REGEXEXTRACT(CELL("address",G205), "\$([A-Z]+)\$[0-9]+"))</f>
        <v/>
      </c>
      <c r="H205" s="7" t="str" cm="1">
        <f t="array" aca="1" ref="H205" ca="1">IFERROR(IF(OR('Raw Data'!H205="",LEN(TRIM('Raw Data'!H205))=0),"",IF(AND(ISNUMBER('Raw Data'!H205), IFERROR('Raw Data'!H205 = ROUND('Raw Data'!H205, 4),FALSE)),"",_xlfn.REGEXEXTRACT(CELL("address",H205), "\$([A-Z]+)\$[0-9]+"))),_xlfn.REGEXEXTRACT(CELL("address",H205), "\$([A-Z]+)\$[0-9]+"))</f>
        <v/>
      </c>
      <c r="I205" s="7" t="str" cm="1">
        <f t="array" aca="1" ref="I205" ca="1">IFERROR(IF(OR('Raw Data'!I205="",LEN(TRIM('Raw Data'!I205))=0),"",IF(AND(ISNUMBER('Raw Data'!I205), IFERROR('Raw Data'!I205 = ROUND('Raw Data'!I205, 4),FALSE)),"",_xlfn.REGEXEXTRACT(CELL("address",I205), "\$([A-Z]+)\$[0-9]+"))),_xlfn.REGEXEXTRACT(CELL("address",I205), "\$([A-Z]+)\$[0-9]+"))</f>
        <v/>
      </c>
      <c r="J205" s="7" t="str" cm="1">
        <f t="array" aca="1" ref="J205" ca="1">IFERROR(IF(OR('Raw Data'!J205="",LEN(TRIM('Raw Data'!J205))=0),"",IF(AND(ISNUMBER('Raw Data'!J205), IFERROR('Raw Data'!J205 = ROUND('Raw Data'!J205, 4),FALSE)),"",_xlfn.REGEXEXTRACT(CELL("address",J205), "\$([A-Z]+)\$[0-9]+"))),_xlfn.REGEXEXTRACT(CELL("address",J205), "\$([A-Z]+)\$[0-9]+"))</f>
        <v/>
      </c>
      <c r="K205" s="7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7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</row>
    <row r="206" spans="2:22" x14ac:dyDescent="0.25">
      <c r="B206" s="7" t="str" cm="1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20,LEN('Raw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Data'!D206))=0),"",IF(AND(ISNUMBER('Raw Data'!D206),'Raw Data'!D206&gt;=Configuration!$D$2),"",_xlfn.REGEXEXTRACT(CELL("address",'Raw Data'!D206),"\$([A-Z]+)\$[0-9]+"))),_xlfn.REGEXEXTRACT(CELL("address",D206), "\$([A-Z]+)\$[0-9]+"))</f>
        <v/>
      </c>
      <c r="E206" s="7" t="str" cm="1">
        <f t="array" aca="1" ref="E206" ca="1">IFERROR(IF(OR('Raw Data'!E206="",LEN(TRIM('Raw Data'!E206))=0),"",IF(AND(ISNUMBER('Raw Data'!E206), IFERROR('Raw Data'!E206 = ROUND('Raw Data'!E206, 4),FALSE)),"",_xlfn.REGEXEXTRACT(CELL("address",E206), "\$([A-Z]+)\$[0-9]+"))),_xlfn.REGEXEXTRACT(CELL("address",E206), "\$([A-Z]+)\$[0-9]+"))</f>
        <v/>
      </c>
      <c r="F206" s="7" t="str" cm="1">
        <f t="array" aca="1" ref="F206" ca="1">IFERROR(IF(OR('Raw Data'!F206="",LEN(TRIM('Raw Data'!F206))=0),"",IF(AND(ISNUMBER('Raw Data'!F206), IFERROR('Raw Data'!F206 = ROUND('Raw Data'!F206, 4),FALSE)),"",_xlfn.REGEXEXTRACT(CELL("address",F206), "\$([A-Z]+)\$[0-9]+"))),_xlfn.REGEXEXTRACT(CELL("address",F206), "\$([A-Z]+)\$[0-9]+"))</f>
        <v/>
      </c>
      <c r="G206" s="7" t="str" cm="1">
        <f t="array" aca="1" ref="G206" ca="1">IFERROR(IF(OR('Raw Data'!G206="",LEN(TRIM('Raw Data'!G206))=0),"",IF(AND(ISNUMBER('Raw Data'!G206), IFERROR('Raw Data'!G206 = ROUND('Raw Data'!G206, 4),FALSE)),"",_xlfn.REGEXEXTRACT(CELL("address",G206), "\$([A-Z]+)\$[0-9]+"))),_xlfn.REGEXEXTRACT(CELL("address",G206), "\$([A-Z]+)\$[0-9]+"))</f>
        <v/>
      </c>
      <c r="H206" s="7" t="str" cm="1">
        <f t="array" aca="1" ref="H206" ca="1">IFERROR(IF(OR('Raw Data'!H206="",LEN(TRIM('Raw Data'!H206))=0),"",IF(AND(ISNUMBER('Raw Data'!H206), IFERROR('Raw Data'!H206 = ROUND('Raw Data'!H206, 4),FALSE)),"",_xlfn.REGEXEXTRACT(CELL("address",H206), "\$([A-Z]+)\$[0-9]+"))),_xlfn.REGEXEXTRACT(CELL("address",H206), "\$([A-Z]+)\$[0-9]+"))</f>
        <v/>
      </c>
      <c r="I206" s="7" t="str" cm="1">
        <f t="array" aca="1" ref="I206" ca="1">IFERROR(IF(OR('Raw Data'!I206="",LEN(TRIM('Raw Data'!I206))=0),"",IF(AND(ISNUMBER('Raw Data'!I206), IFERROR('Raw Data'!I206 = ROUND('Raw Data'!I206, 4),FALSE)),"",_xlfn.REGEXEXTRACT(CELL("address",I206), "\$([A-Z]+)\$[0-9]+"))),_xlfn.REGEXEXTRACT(CELL("address",I206), "\$([A-Z]+)\$[0-9]+"))</f>
        <v/>
      </c>
      <c r="J206" s="7" t="str" cm="1">
        <f t="array" aca="1" ref="J206" ca="1">IFERROR(IF(OR('Raw Data'!J206="",LEN(TRIM('Raw Data'!J206))=0),"",IF(AND(ISNUMBER('Raw Data'!J206), IFERROR('Raw Data'!J206 = ROUND('Raw Data'!J206, 4),FALSE)),"",_xlfn.REGEXEXTRACT(CELL("address",J206), "\$([A-Z]+)\$[0-9]+"))),_xlfn.REGEXEXTRACT(CELL("address",J206), "\$([A-Z]+)\$[0-9]+"))</f>
        <v/>
      </c>
      <c r="K206" s="7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7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</row>
    <row r="207" spans="2:22" x14ac:dyDescent="0.25">
      <c r="B207" s="7" t="str" cm="1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20,LEN('Raw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Data'!D207))=0),"",IF(AND(ISNUMBER('Raw Data'!D207),'Raw Data'!D207&gt;=Configuration!$D$2),"",_xlfn.REGEXEXTRACT(CELL("address",'Raw Data'!D207),"\$([A-Z]+)\$[0-9]+"))),_xlfn.REGEXEXTRACT(CELL("address",D207), "\$([A-Z]+)\$[0-9]+"))</f>
        <v/>
      </c>
      <c r="E207" s="7" t="str" cm="1">
        <f t="array" aca="1" ref="E207" ca="1">IFERROR(IF(OR('Raw Data'!E207="",LEN(TRIM('Raw Data'!E207))=0),"",IF(AND(ISNUMBER('Raw Data'!E207), IFERROR('Raw Data'!E207 = ROUND('Raw Data'!E207, 4),FALSE)),"",_xlfn.REGEXEXTRACT(CELL("address",E207), "\$([A-Z]+)\$[0-9]+"))),_xlfn.REGEXEXTRACT(CELL("address",E207), "\$([A-Z]+)\$[0-9]+"))</f>
        <v/>
      </c>
      <c r="F207" s="7" t="str" cm="1">
        <f t="array" aca="1" ref="F207" ca="1">IFERROR(IF(OR('Raw Data'!F207="",LEN(TRIM('Raw Data'!F207))=0),"",IF(AND(ISNUMBER('Raw Data'!F207), IFERROR('Raw Data'!F207 = ROUND('Raw Data'!F207, 4),FALSE)),"",_xlfn.REGEXEXTRACT(CELL("address",F207), "\$([A-Z]+)\$[0-9]+"))),_xlfn.REGEXEXTRACT(CELL("address",F207), "\$([A-Z]+)\$[0-9]+"))</f>
        <v/>
      </c>
      <c r="G207" s="7" t="str" cm="1">
        <f t="array" aca="1" ref="G207" ca="1">IFERROR(IF(OR('Raw Data'!G207="",LEN(TRIM('Raw Data'!G207))=0),"",IF(AND(ISNUMBER('Raw Data'!G207), IFERROR('Raw Data'!G207 = ROUND('Raw Data'!G207, 4),FALSE)),"",_xlfn.REGEXEXTRACT(CELL("address",G207), "\$([A-Z]+)\$[0-9]+"))),_xlfn.REGEXEXTRACT(CELL("address",G207), "\$([A-Z]+)\$[0-9]+"))</f>
        <v/>
      </c>
      <c r="H207" s="7" t="str" cm="1">
        <f t="array" aca="1" ref="H207" ca="1">IFERROR(IF(OR('Raw Data'!H207="",LEN(TRIM('Raw Data'!H207))=0),"",IF(AND(ISNUMBER('Raw Data'!H207), IFERROR('Raw Data'!H207 = ROUND('Raw Data'!H207, 4),FALSE)),"",_xlfn.REGEXEXTRACT(CELL("address",H207), "\$([A-Z]+)\$[0-9]+"))),_xlfn.REGEXEXTRACT(CELL("address",H207), "\$([A-Z]+)\$[0-9]+"))</f>
        <v/>
      </c>
      <c r="I207" s="7" t="str" cm="1">
        <f t="array" aca="1" ref="I207" ca="1">IFERROR(IF(OR('Raw Data'!I207="",LEN(TRIM('Raw Data'!I207))=0),"",IF(AND(ISNUMBER('Raw Data'!I207), IFERROR('Raw Data'!I207 = ROUND('Raw Data'!I207, 4),FALSE)),"",_xlfn.REGEXEXTRACT(CELL("address",I207), "\$([A-Z]+)\$[0-9]+"))),_xlfn.REGEXEXTRACT(CELL("address",I207), "\$([A-Z]+)\$[0-9]+"))</f>
        <v/>
      </c>
      <c r="J207" s="7" t="str" cm="1">
        <f t="array" aca="1" ref="J207" ca="1">IFERROR(IF(OR('Raw Data'!J207="",LEN(TRIM('Raw Data'!J207))=0),"",IF(AND(ISNUMBER('Raw Data'!J207), IFERROR('Raw Data'!J207 = ROUND('Raw Data'!J207, 4),FALSE)),"",_xlfn.REGEXEXTRACT(CELL("address",J207), "\$([A-Z]+)\$[0-9]+"))),_xlfn.REGEXEXTRACT(CELL("address",J207), "\$([A-Z]+)\$[0-9]+"))</f>
        <v/>
      </c>
      <c r="K207" s="7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7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</row>
    <row r="208" spans="2:22" x14ac:dyDescent="0.25">
      <c r="B208" s="7" t="str" cm="1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20,LEN('Raw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Data'!D208))=0),"",IF(AND(ISNUMBER('Raw Data'!D208),'Raw Data'!D208&gt;=Configuration!$D$2),"",_xlfn.REGEXEXTRACT(CELL("address",'Raw Data'!D208),"\$([A-Z]+)\$[0-9]+"))),_xlfn.REGEXEXTRACT(CELL("address",D208), "\$([A-Z]+)\$[0-9]+"))</f>
        <v/>
      </c>
      <c r="E208" s="7" t="str" cm="1">
        <f t="array" aca="1" ref="E208" ca="1">IFERROR(IF(OR('Raw Data'!E208="",LEN(TRIM('Raw Data'!E208))=0),"",IF(AND(ISNUMBER('Raw Data'!E208), IFERROR('Raw Data'!E208 = ROUND('Raw Data'!E208, 4),FALSE)),"",_xlfn.REGEXEXTRACT(CELL("address",E208), "\$([A-Z]+)\$[0-9]+"))),_xlfn.REGEXEXTRACT(CELL("address",E208), "\$([A-Z]+)\$[0-9]+"))</f>
        <v/>
      </c>
      <c r="F208" s="7" t="str" cm="1">
        <f t="array" aca="1" ref="F208" ca="1">IFERROR(IF(OR('Raw Data'!F208="",LEN(TRIM('Raw Data'!F208))=0),"",IF(AND(ISNUMBER('Raw Data'!F208), IFERROR('Raw Data'!F208 = ROUND('Raw Data'!F208, 4),FALSE)),"",_xlfn.REGEXEXTRACT(CELL("address",F208), "\$([A-Z]+)\$[0-9]+"))),_xlfn.REGEXEXTRACT(CELL("address",F208), "\$([A-Z]+)\$[0-9]+"))</f>
        <v/>
      </c>
      <c r="G208" s="7" t="str" cm="1">
        <f t="array" aca="1" ref="G208" ca="1">IFERROR(IF(OR('Raw Data'!G208="",LEN(TRIM('Raw Data'!G208))=0),"",IF(AND(ISNUMBER('Raw Data'!G208), IFERROR('Raw Data'!G208 = ROUND('Raw Data'!G208, 4),FALSE)),"",_xlfn.REGEXEXTRACT(CELL("address",G208), "\$([A-Z]+)\$[0-9]+"))),_xlfn.REGEXEXTRACT(CELL("address",G208), "\$([A-Z]+)\$[0-9]+"))</f>
        <v/>
      </c>
      <c r="H208" s="7" t="str" cm="1">
        <f t="array" aca="1" ref="H208" ca="1">IFERROR(IF(OR('Raw Data'!H208="",LEN(TRIM('Raw Data'!H208))=0),"",IF(AND(ISNUMBER('Raw Data'!H208), IFERROR('Raw Data'!H208 = ROUND('Raw Data'!H208, 4),FALSE)),"",_xlfn.REGEXEXTRACT(CELL("address",H208), "\$([A-Z]+)\$[0-9]+"))),_xlfn.REGEXEXTRACT(CELL("address",H208), "\$([A-Z]+)\$[0-9]+"))</f>
        <v/>
      </c>
      <c r="I208" s="7" t="str" cm="1">
        <f t="array" aca="1" ref="I208" ca="1">IFERROR(IF(OR('Raw Data'!I208="",LEN(TRIM('Raw Data'!I208))=0),"",IF(AND(ISNUMBER('Raw Data'!I208), IFERROR('Raw Data'!I208 = ROUND('Raw Data'!I208, 4),FALSE)),"",_xlfn.REGEXEXTRACT(CELL("address",I208), "\$([A-Z]+)\$[0-9]+"))),_xlfn.REGEXEXTRACT(CELL("address",I208), "\$([A-Z]+)\$[0-9]+"))</f>
        <v/>
      </c>
      <c r="J208" s="7" t="str" cm="1">
        <f t="array" aca="1" ref="J208" ca="1">IFERROR(IF(OR('Raw Data'!J208="",LEN(TRIM('Raw Data'!J208))=0),"",IF(AND(ISNUMBER('Raw Data'!J208), IFERROR('Raw Data'!J208 = ROUND('Raw Data'!J208, 4),FALSE)),"",_xlfn.REGEXEXTRACT(CELL("address",J208), "\$([A-Z]+)\$[0-9]+"))),_xlfn.REGEXEXTRACT(CELL("address",J208), "\$([A-Z]+)\$[0-9]+"))</f>
        <v/>
      </c>
      <c r="K208" s="7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7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</row>
    <row r="209" spans="2:22" x14ac:dyDescent="0.25">
      <c r="B209" s="7" t="str" cm="1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20,LEN('Raw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Data'!D209))=0),"",IF(AND(ISNUMBER('Raw Data'!D209),'Raw Data'!D209&gt;=Configuration!$D$2),"",_xlfn.REGEXEXTRACT(CELL("address",'Raw Data'!D209),"\$([A-Z]+)\$[0-9]+"))),_xlfn.REGEXEXTRACT(CELL("address",D209), "\$([A-Z]+)\$[0-9]+"))</f>
        <v/>
      </c>
      <c r="E209" s="7" t="str" cm="1">
        <f t="array" aca="1" ref="E209" ca="1">IFERROR(IF(OR('Raw Data'!E209="",LEN(TRIM('Raw Data'!E209))=0),"",IF(AND(ISNUMBER('Raw Data'!E209), IFERROR('Raw Data'!E209 = ROUND('Raw Data'!E209, 4),FALSE)),"",_xlfn.REGEXEXTRACT(CELL("address",E209), "\$([A-Z]+)\$[0-9]+"))),_xlfn.REGEXEXTRACT(CELL("address",E209), "\$([A-Z]+)\$[0-9]+"))</f>
        <v/>
      </c>
      <c r="F209" s="7" t="str" cm="1">
        <f t="array" aca="1" ref="F209" ca="1">IFERROR(IF(OR('Raw Data'!F209="",LEN(TRIM('Raw Data'!F209))=0),"",IF(AND(ISNUMBER('Raw Data'!F209), IFERROR('Raw Data'!F209 = ROUND('Raw Data'!F209, 4),FALSE)),"",_xlfn.REGEXEXTRACT(CELL("address",F209), "\$([A-Z]+)\$[0-9]+"))),_xlfn.REGEXEXTRACT(CELL("address",F209), "\$([A-Z]+)\$[0-9]+"))</f>
        <v/>
      </c>
      <c r="G209" s="7" t="str" cm="1">
        <f t="array" aca="1" ref="G209" ca="1">IFERROR(IF(OR('Raw Data'!G209="",LEN(TRIM('Raw Data'!G209))=0),"",IF(AND(ISNUMBER('Raw Data'!G209), IFERROR('Raw Data'!G209 = ROUND('Raw Data'!G209, 4),FALSE)),"",_xlfn.REGEXEXTRACT(CELL("address",G209), "\$([A-Z]+)\$[0-9]+"))),_xlfn.REGEXEXTRACT(CELL("address",G209), "\$([A-Z]+)\$[0-9]+"))</f>
        <v/>
      </c>
      <c r="H209" s="7" t="str" cm="1">
        <f t="array" aca="1" ref="H209" ca="1">IFERROR(IF(OR('Raw Data'!H209="",LEN(TRIM('Raw Data'!H209))=0),"",IF(AND(ISNUMBER('Raw Data'!H209), IFERROR('Raw Data'!H209 = ROUND('Raw Data'!H209, 4),FALSE)),"",_xlfn.REGEXEXTRACT(CELL("address",H209), "\$([A-Z]+)\$[0-9]+"))),_xlfn.REGEXEXTRACT(CELL("address",H209), "\$([A-Z]+)\$[0-9]+"))</f>
        <v/>
      </c>
      <c r="I209" s="7" t="str" cm="1">
        <f t="array" aca="1" ref="I209" ca="1">IFERROR(IF(OR('Raw Data'!I209="",LEN(TRIM('Raw Data'!I209))=0),"",IF(AND(ISNUMBER('Raw Data'!I209), IFERROR('Raw Data'!I209 = ROUND('Raw Data'!I209, 4),FALSE)),"",_xlfn.REGEXEXTRACT(CELL("address",I209), "\$([A-Z]+)\$[0-9]+"))),_xlfn.REGEXEXTRACT(CELL("address",I209), "\$([A-Z]+)\$[0-9]+"))</f>
        <v/>
      </c>
      <c r="J209" s="7" t="str" cm="1">
        <f t="array" aca="1" ref="J209" ca="1">IFERROR(IF(OR('Raw Data'!J209="",LEN(TRIM('Raw Data'!J209))=0),"",IF(AND(ISNUMBER('Raw Data'!J209), IFERROR('Raw Data'!J209 = ROUND('Raw Data'!J209, 4),FALSE)),"",_xlfn.REGEXEXTRACT(CELL("address",J209), "\$([A-Z]+)\$[0-9]+"))),_xlfn.REGEXEXTRACT(CELL("address",J209), "\$([A-Z]+)\$[0-9]+"))</f>
        <v/>
      </c>
      <c r="K209" s="7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7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</row>
    <row r="210" spans="2:22" x14ac:dyDescent="0.25">
      <c r="B210" s="7" t="str" cm="1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20,LEN('Raw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Data'!D210))=0),"",IF(AND(ISNUMBER('Raw Data'!D210),'Raw Data'!D210&gt;=Configuration!$D$2),"",_xlfn.REGEXEXTRACT(CELL("address",'Raw Data'!D210),"\$([A-Z]+)\$[0-9]+"))),_xlfn.REGEXEXTRACT(CELL("address",D210), "\$([A-Z]+)\$[0-9]+"))</f>
        <v/>
      </c>
      <c r="E210" s="7" t="str" cm="1">
        <f t="array" aca="1" ref="E210" ca="1">IFERROR(IF(OR('Raw Data'!E210="",LEN(TRIM('Raw Data'!E210))=0),"",IF(AND(ISNUMBER('Raw Data'!E210), IFERROR('Raw Data'!E210 = ROUND('Raw Data'!E210, 4),FALSE)),"",_xlfn.REGEXEXTRACT(CELL("address",E210), "\$([A-Z]+)\$[0-9]+"))),_xlfn.REGEXEXTRACT(CELL("address",E210), "\$([A-Z]+)\$[0-9]+"))</f>
        <v/>
      </c>
      <c r="F210" s="7" t="str" cm="1">
        <f t="array" aca="1" ref="F210" ca="1">IFERROR(IF(OR('Raw Data'!F210="",LEN(TRIM('Raw Data'!F210))=0),"",IF(AND(ISNUMBER('Raw Data'!F210), IFERROR('Raw Data'!F210 = ROUND('Raw Data'!F210, 4),FALSE)),"",_xlfn.REGEXEXTRACT(CELL("address",F210), "\$([A-Z]+)\$[0-9]+"))),_xlfn.REGEXEXTRACT(CELL("address",F210), "\$([A-Z]+)\$[0-9]+"))</f>
        <v/>
      </c>
      <c r="G210" s="7" t="str" cm="1">
        <f t="array" aca="1" ref="G210" ca="1">IFERROR(IF(OR('Raw Data'!G210="",LEN(TRIM('Raw Data'!G210))=0),"",IF(AND(ISNUMBER('Raw Data'!G210), IFERROR('Raw Data'!G210 = ROUND('Raw Data'!G210, 4),FALSE)),"",_xlfn.REGEXEXTRACT(CELL("address",G210), "\$([A-Z]+)\$[0-9]+"))),_xlfn.REGEXEXTRACT(CELL("address",G210), "\$([A-Z]+)\$[0-9]+"))</f>
        <v/>
      </c>
      <c r="H210" s="7" t="str" cm="1">
        <f t="array" aca="1" ref="H210" ca="1">IFERROR(IF(OR('Raw Data'!H210="",LEN(TRIM('Raw Data'!H210))=0),"",IF(AND(ISNUMBER('Raw Data'!H210), IFERROR('Raw Data'!H210 = ROUND('Raw Data'!H210, 4),FALSE)),"",_xlfn.REGEXEXTRACT(CELL("address",H210), "\$([A-Z]+)\$[0-9]+"))),_xlfn.REGEXEXTRACT(CELL("address",H210), "\$([A-Z]+)\$[0-9]+"))</f>
        <v/>
      </c>
      <c r="I210" s="7" t="str" cm="1">
        <f t="array" aca="1" ref="I210" ca="1">IFERROR(IF(OR('Raw Data'!I210="",LEN(TRIM('Raw Data'!I210))=0),"",IF(AND(ISNUMBER('Raw Data'!I210), IFERROR('Raw Data'!I210 = ROUND('Raw Data'!I210, 4),FALSE)),"",_xlfn.REGEXEXTRACT(CELL("address",I210), "\$([A-Z]+)\$[0-9]+"))),_xlfn.REGEXEXTRACT(CELL("address",I210), "\$([A-Z]+)\$[0-9]+"))</f>
        <v/>
      </c>
      <c r="J210" s="7" t="str" cm="1">
        <f t="array" aca="1" ref="J210" ca="1">IFERROR(IF(OR('Raw Data'!J210="",LEN(TRIM('Raw Data'!J210))=0),"",IF(AND(ISNUMBER('Raw Data'!J210), IFERROR('Raw Data'!J210 = ROUND('Raw Data'!J210, 4),FALSE)),"",_xlfn.REGEXEXTRACT(CELL("address",J210), "\$([A-Z]+)\$[0-9]+"))),_xlfn.REGEXEXTRACT(CELL("address",J210), "\$([A-Z]+)\$[0-9]+"))</f>
        <v/>
      </c>
      <c r="K210" s="7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7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</row>
    <row r="211" spans="2:22" x14ac:dyDescent="0.25">
      <c r="B211" s="7" t="str" cm="1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20,LEN('Raw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Data'!D211))=0),"",IF(AND(ISNUMBER('Raw Data'!D211),'Raw Data'!D211&gt;=Configuration!$D$2),"",_xlfn.REGEXEXTRACT(CELL("address",'Raw Data'!D211),"\$([A-Z]+)\$[0-9]+"))),_xlfn.REGEXEXTRACT(CELL("address",D211), "\$([A-Z]+)\$[0-9]+"))</f>
        <v/>
      </c>
      <c r="E211" s="7" t="str" cm="1">
        <f t="array" aca="1" ref="E211" ca="1">IFERROR(IF(OR('Raw Data'!E211="",LEN(TRIM('Raw Data'!E211))=0),"",IF(AND(ISNUMBER('Raw Data'!E211), IFERROR('Raw Data'!E211 = ROUND('Raw Data'!E211, 4),FALSE)),"",_xlfn.REGEXEXTRACT(CELL("address",E211), "\$([A-Z]+)\$[0-9]+"))),_xlfn.REGEXEXTRACT(CELL("address",E211), "\$([A-Z]+)\$[0-9]+"))</f>
        <v/>
      </c>
      <c r="F211" s="7" t="str" cm="1">
        <f t="array" aca="1" ref="F211" ca="1">IFERROR(IF(OR('Raw Data'!F211="",LEN(TRIM('Raw Data'!F211))=0),"",IF(AND(ISNUMBER('Raw Data'!F211), IFERROR('Raw Data'!F211 = ROUND('Raw Data'!F211, 4),FALSE)),"",_xlfn.REGEXEXTRACT(CELL("address",F211), "\$([A-Z]+)\$[0-9]+"))),_xlfn.REGEXEXTRACT(CELL("address",F211), "\$([A-Z]+)\$[0-9]+"))</f>
        <v/>
      </c>
      <c r="G211" s="7" t="str" cm="1">
        <f t="array" aca="1" ref="G211" ca="1">IFERROR(IF(OR('Raw Data'!G211="",LEN(TRIM('Raw Data'!G211))=0),"",IF(AND(ISNUMBER('Raw Data'!G211), IFERROR('Raw Data'!G211 = ROUND('Raw Data'!G211, 4),FALSE)),"",_xlfn.REGEXEXTRACT(CELL("address",G211), "\$([A-Z]+)\$[0-9]+"))),_xlfn.REGEXEXTRACT(CELL("address",G211), "\$([A-Z]+)\$[0-9]+"))</f>
        <v/>
      </c>
      <c r="H211" s="7" t="str" cm="1">
        <f t="array" aca="1" ref="H211" ca="1">IFERROR(IF(OR('Raw Data'!H211="",LEN(TRIM('Raw Data'!H211))=0),"",IF(AND(ISNUMBER('Raw Data'!H211), IFERROR('Raw Data'!H211 = ROUND('Raw Data'!H211, 4),FALSE)),"",_xlfn.REGEXEXTRACT(CELL("address",H211), "\$([A-Z]+)\$[0-9]+"))),_xlfn.REGEXEXTRACT(CELL("address",H211), "\$([A-Z]+)\$[0-9]+"))</f>
        <v/>
      </c>
      <c r="I211" s="7" t="str" cm="1">
        <f t="array" aca="1" ref="I211" ca="1">IFERROR(IF(OR('Raw Data'!I211="",LEN(TRIM('Raw Data'!I211))=0),"",IF(AND(ISNUMBER('Raw Data'!I211), IFERROR('Raw Data'!I211 = ROUND('Raw Data'!I211, 4),FALSE)),"",_xlfn.REGEXEXTRACT(CELL("address",I211), "\$([A-Z]+)\$[0-9]+"))),_xlfn.REGEXEXTRACT(CELL("address",I211), "\$([A-Z]+)\$[0-9]+"))</f>
        <v/>
      </c>
      <c r="J211" s="7" t="str" cm="1">
        <f t="array" aca="1" ref="J211" ca="1">IFERROR(IF(OR('Raw Data'!J211="",LEN(TRIM('Raw Data'!J211))=0),"",IF(AND(ISNUMBER('Raw Data'!J211), IFERROR('Raw Data'!J211 = ROUND('Raw Data'!J211, 4),FALSE)),"",_xlfn.REGEXEXTRACT(CELL("address",J211), "\$([A-Z]+)\$[0-9]+"))),_xlfn.REGEXEXTRACT(CELL("address",J211), "\$([A-Z]+)\$[0-9]+"))</f>
        <v/>
      </c>
      <c r="K211" s="7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7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</row>
    <row r="212" spans="2:22" x14ac:dyDescent="0.25">
      <c r="B212" s="7" t="str" cm="1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20,LEN('Raw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Data'!D212))=0),"",IF(AND(ISNUMBER('Raw Data'!D212),'Raw Data'!D212&gt;=Configuration!$D$2),"",_xlfn.REGEXEXTRACT(CELL("address",'Raw Data'!D212),"\$([A-Z]+)\$[0-9]+"))),_xlfn.REGEXEXTRACT(CELL("address",D212), "\$([A-Z]+)\$[0-9]+"))</f>
        <v/>
      </c>
      <c r="E212" s="7" t="str" cm="1">
        <f t="array" aca="1" ref="E212" ca="1">IFERROR(IF(OR('Raw Data'!E212="",LEN(TRIM('Raw Data'!E212))=0),"",IF(AND(ISNUMBER('Raw Data'!E212), IFERROR('Raw Data'!E212 = ROUND('Raw Data'!E212, 4),FALSE)),"",_xlfn.REGEXEXTRACT(CELL("address",E212), "\$([A-Z]+)\$[0-9]+"))),_xlfn.REGEXEXTRACT(CELL("address",E212), "\$([A-Z]+)\$[0-9]+"))</f>
        <v/>
      </c>
      <c r="F212" s="7" t="str" cm="1">
        <f t="array" aca="1" ref="F212" ca="1">IFERROR(IF(OR('Raw Data'!F212="",LEN(TRIM('Raw Data'!F212))=0),"",IF(AND(ISNUMBER('Raw Data'!F212), IFERROR('Raw Data'!F212 = ROUND('Raw Data'!F212, 4),FALSE)),"",_xlfn.REGEXEXTRACT(CELL("address",F212), "\$([A-Z]+)\$[0-9]+"))),_xlfn.REGEXEXTRACT(CELL("address",F212), "\$([A-Z]+)\$[0-9]+"))</f>
        <v/>
      </c>
      <c r="G212" s="7" t="str" cm="1">
        <f t="array" aca="1" ref="G212" ca="1">IFERROR(IF(OR('Raw Data'!G212="",LEN(TRIM('Raw Data'!G212))=0),"",IF(AND(ISNUMBER('Raw Data'!G212), IFERROR('Raw Data'!G212 = ROUND('Raw Data'!G212, 4),FALSE)),"",_xlfn.REGEXEXTRACT(CELL("address",G212), "\$([A-Z]+)\$[0-9]+"))),_xlfn.REGEXEXTRACT(CELL("address",G212), "\$([A-Z]+)\$[0-9]+"))</f>
        <v/>
      </c>
      <c r="H212" s="7" t="str" cm="1">
        <f t="array" aca="1" ref="H212" ca="1">IFERROR(IF(OR('Raw Data'!H212="",LEN(TRIM('Raw Data'!H212))=0),"",IF(AND(ISNUMBER('Raw Data'!H212), IFERROR('Raw Data'!H212 = ROUND('Raw Data'!H212, 4),FALSE)),"",_xlfn.REGEXEXTRACT(CELL("address",H212), "\$([A-Z]+)\$[0-9]+"))),_xlfn.REGEXEXTRACT(CELL("address",H212), "\$([A-Z]+)\$[0-9]+"))</f>
        <v/>
      </c>
      <c r="I212" s="7" t="str" cm="1">
        <f t="array" aca="1" ref="I212" ca="1">IFERROR(IF(OR('Raw Data'!I212="",LEN(TRIM('Raw Data'!I212))=0),"",IF(AND(ISNUMBER('Raw Data'!I212), IFERROR('Raw Data'!I212 = ROUND('Raw Data'!I212, 4),FALSE)),"",_xlfn.REGEXEXTRACT(CELL("address",I212), "\$([A-Z]+)\$[0-9]+"))),_xlfn.REGEXEXTRACT(CELL("address",I212), "\$([A-Z]+)\$[0-9]+"))</f>
        <v/>
      </c>
      <c r="J212" s="7" t="str" cm="1">
        <f t="array" aca="1" ref="J212" ca="1">IFERROR(IF(OR('Raw Data'!J212="",LEN(TRIM('Raw Data'!J212))=0),"",IF(AND(ISNUMBER('Raw Data'!J212), IFERROR('Raw Data'!J212 = ROUND('Raw Data'!J212, 4),FALSE)),"",_xlfn.REGEXEXTRACT(CELL("address",J212), "\$([A-Z]+)\$[0-9]+"))),_xlfn.REGEXEXTRACT(CELL("address",J212), "\$([A-Z]+)\$[0-9]+"))</f>
        <v/>
      </c>
      <c r="K212" s="7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7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</row>
    <row r="213" spans="2:22" x14ac:dyDescent="0.25">
      <c r="B213" s="7" t="str" cm="1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20,LEN('Raw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Data'!D213))=0),"",IF(AND(ISNUMBER('Raw Data'!D213),'Raw Data'!D213&gt;=Configuration!$D$2),"",_xlfn.REGEXEXTRACT(CELL("address",'Raw Data'!D213),"\$([A-Z]+)\$[0-9]+"))),_xlfn.REGEXEXTRACT(CELL("address",D213), "\$([A-Z]+)\$[0-9]+"))</f>
        <v/>
      </c>
      <c r="E213" s="7" t="str" cm="1">
        <f t="array" aca="1" ref="E213" ca="1">IFERROR(IF(OR('Raw Data'!E213="",LEN(TRIM('Raw Data'!E213))=0),"",IF(AND(ISNUMBER('Raw Data'!E213), IFERROR('Raw Data'!E213 = ROUND('Raw Data'!E213, 4),FALSE)),"",_xlfn.REGEXEXTRACT(CELL("address",E213), "\$([A-Z]+)\$[0-9]+"))),_xlfn.REGEXEXTRACT(CELL("address",E213), "\$([A-Z]+)\$[0-9]+"))</f>
        <v/>
      </c>
      <c r="F213" s="7" t="str" cm="1">
        <f t="array" aca="1" ref="F213" ca="1">IFERROR(IF(OR('Raw Data'!F213="",LEN(TRIM('Raw Data'!F213))=0),"",IF(AND(ISNUMBER('Raw Data'!F213), IFERROR('Raw Data'!F213 = ROUND('Raw Data'!F213, 4),FALSE)),"",_xlfn.REGEXEXTRACT(CELL("address",F213), "\$([A-Z]+)\$[0-9]+"))),_xlfn.REGEXEXTRACT(CELL("address",F213), "\$([A-Z]+)\$[0-9]+"))</f>
        <v/>
      </c>
      <c r="G213" s="7" t="str" cm="1">
        <f t="array" aca="1" ref="G213" ca="1">IFERROR(IF(OR('Raw Data'!G213="",LEN(TRIM('Raw Data'!G213))=0),"",IF(AND(ISNUMBER('Raw Data'!G213), IFERROR('Raw Data'!G213 = ROUND('Raw Data'!G213, 4),FALSE)),"",_xlfn.REGEXEXTRACT(CELL("address",G213), "\$([A-Z]+)\$[0-9]+"))),_xlfn.REGEXEXTRACT(CELL("address",G213), "\$([A-Z]+)\$[0-9]+"))</f>
        <v/>
      </c>
      <c r="H213" s="7" t="str" cm="1">
        <f t="array" aca="1" ref="H213" ca="1">IFERROR(IF(OR('Raw Data'!H213="",LEN(TRIM('Raw Data'!H213))=0),"",IF(AND(ISNUMBER('Raw Data'!H213), IFERROR('Raw Data'!H213 = ROUND('Raw Data'!H213, 4),FALSE)),"",_xlfn.REGEXEXTRACT(CELL("address",H213), "\$([A-Z]+)\$[0-9]+"))),_xlfn.REGEXEXTRACT(CELL("address",H213), "\$([A-Z]+)\$[0-9]+"))</f>
        <v/>
      </c>
      <c r="I213" s="7" t="str" cm="1">
        <f t="array" aca="1" ref="I213" ca="1">IFERROR(IF(OR('Raw Data'!I213="",LEN(TRIM('Raw Data'!I213))=0),"",IF(AND(ISNUMBER('Raw Data'!I213), IFERROR('Raw Data'!I213 = ROUND('Raw Data'!I213, 4),FALSE)),"",_xlfn.REGEXEXTRACT(CELL("address",I213), "\$([A-Z]+)\$[0-9]+"))),_xlfn.REGEXEXTRACT(CELL("address",I213), "\$([A-Z]+)\$[0-9]+"))</f>
        <v/>
      </c>
      <c r="J213" s="7" t="str" cm="1">
        <f t="array" aca="1" ref="J213" ca="1">IFERROR(IF(OR('Raw Data'!J213="",LEN(TRIM('Raw Data'!J213))=0),"",IF(AND(ISNUMBER('Raw Data'!J213), IFERROR('Raw Data'!J213 = ROUND('Raw Data'!J213, 4),FALSE)),"",_xlfn.REGEXEXTRACT(CELL("address",J213), "\$([A-Z]+)\$[0-9]+"))),_xlfn.REGEXEXTRACT(CELL("address",J213), "\$([A-Z]+)\$[0-9]+"))</f>
        <v/>
      </c>
      <c r="K213" s="7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7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</row>
    <row r="214" spans="2:22" x14ac:dyDescent="0.25">
      <c r="B214" s="7" t="str" cm="1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20,LEN('Raw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Data'!D214))=0),"",IF(AND(ISNUMBER('Raw Data'!D214),'Raw Data'!D214&gt;=Configuration!$D$2),"",_xlfn.REGEXEXTRACT(CELL("address",'Raw Data'!D214),"\$([A-Z]+)\$[0-9]+"))),_xlfn.REGEXEXTRACT(CELL("address",D214), "\$([A-Z]+)\$[0-9]+"))</f>
        <v/>
      </c>
      <c r="E214" s="7" t="str" cm="1">
        <f t="array" aca="1" ref="E214" ca="1">IFERROR(IF(OR('Raw Data'!E214="",LEN(TRIM('Raw Data'!E214))=0),"",IF(AND(ISNUMBER('Raw Data'!E214), IFERROR('Raw Data'!E214 = ROUND('Raw Data'!E214, 4),FALSE)),"",_xlfn.REGEXEXTRACT(CELL("address",E214), "\$([A-Z]+)\$[0-9]+"))),_xlfn.REGEXEXTRACT(CELL("address",E214), "\$([A-Z]+)\$[0-9]+"))</f>
        <v/>
      </c>
      <c r="F214" s="7" t="str" cm="1">
        <f t="array" aca="1" ref="F214" ca="1">IFERROR(IF(OR('Raw Data'!F214="",LEN(TRIM('Raw Data'!F214))=0),"",IF(AND(ISNUMBER('Raw Data'!F214), IFERROR('Raw Data'!F214 = ROUND('Raw Data'!F214, 4),FALSE)),"",_xlfn.REGEXEXTRACT(CELL("address",F214), "\$([A-Z]+)\$[0-9]+"))),_xlfn.REGEXEXTRACT(CELL("address",F214), "\$([A-Z]+)\$[0-9]+"))</f>
        <v/>
      </c>
      <c r="G214" s="7" t="str" cm="1">
        <f t="array" aca="1" ref="G214" ca="1">IFERROR(IF(OR('Raw Data'!G214="",LEN(TRIM('Raw Data'!G214))=0),"",IF(AND(ISNUMBER('Raw Data'!G214), IFERROR('Raw Data'!G214 = ROUND('Raw Data'!G214, 4),FALSE)),"",_xlfn.REGEXEXTRACT(CELL("address",G214), "\$([A-Z]+)\$[0-9]+"))),_xlfn.REGEXEXTRACT(CELL("address",G214), "\$([A-Z]+)\$[0-9]+"))</f>
        <v/>
      </c>
      <c r="H214" s="7" t="str" cm="1">
        <f t="array" aca="1" ref="H214" ca="1">IFERROR(IF(OR('Raw Data'!H214="",LEN(TRIM('Raw Data'!H214))=0),"",IF(AND(ISNUMBER('Raw Data'!H214), IFERROR('Raw Data'!H214 = ROUND('Raw Data'!H214, 4),FALSE)),"",_xlfn.REGEXEXTRACT(CELL("address",H214), "\$([A-Z]+)\$[0-9]+"))),_xlfn.REGEXEXTRACT(CELL("address",H214), "\$([A-Z]+)\$[0-9]+"))</f>
        <v/>
      </c>
      <c r="I214" s="7" t="str" cm="1">
        <f t="array" aca="1" ref="I214" ca="1">IFERROR(IF(OR('Raw Data'!I214="",LEN(TRIM('Raw Data'!I214))=0),"",IF(AND(ISNUMBER('Raw Data'!I214), IFERROR('Raw Data'!I214 = ROUND('Raw Data'!I214, 4),FALSE)),"",_xlfn.REGEXEXTRACT(CELL("address",I214), "\$([A-Z]+)\$[0-9]+"))),_xlfn.REGEXEXTRACT(CELL("address",I214), "\$([A-Z]+)\$[0-9]+"))</f>
        <v/>
      </c>
      <c r="J214" s="7" t="str" cm="1">
        <f t="array" aca="1" ref="J214" ca="1">IFERROR(IF(OR('Raw Data'!J214="",LEN(TRIM('Raw Data'!J214))=0),"",IF(AND(ISNUMBER('Raw Data'!J214), IFERROR('Raw Data'!J214 = ROUND('Raw Data'!J214, 4),FALSE)),"",_xlfn.REGEXEXTRACT(CELL("address",J214), "\$([A-Z]+)\$[0-9]+"))),_xlfn.REGEXEXTRACT(CELL("address",J214), "\$([A-Z]+)\$[0-9]+"))</f>
        <v/>
      </c>
      <c r="K214" s="7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7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</row>
    <row r="215" spans="2:22" x14ac:dyDescent="0.25">
      <c r="B215" s="7" t="str" cm="1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20,LEN('Raw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Data'!D215))=0),"",IF(AND(ISNUMBER('Raw Data'!D215),'Raw Data'!D215&gt;=Configuration!$D$2),"",_xlfn.REGEXEXTRACT(CELL("address",'Raw Data'!D215),"\$([A-Z]+)\$[0-9]+"))),_xlfn.REGEXEXTRACT(CELL("address",D215), "\$([A-Z]+)\$[0-9]+"))</f>
        <v/>
      </c>
      <c r="E215" s="7" t="str" cm="1">
        <f t="array" aca="1" ref="E215" ca="1">IFERROR(IF(OR('Raw Data'!E215="",LEN(TRIM('Raw Data'!E215))=0),"",IF(AND(ISNUMBER('Raw Data'!E215), IFERROR('Raw Data'!E215 = ROUND('Raw Data'!E215, 4),FALSE)),"",_xlfn.REGEXEXTRACT(CELL("address",E215), "\$([A-Z]+)\$[0-9]+"))),_xlfn.REGEXEXTRACT(CELL("address",E215), "\$([A-Z]+)\$[0-9]+"))</f>
        <v/>
      </c>
      <c r="F215" s="7" t="str" cm="1">
        <f t="array" aca="1" ref="F215" ca="1">IFERROR(IF(OR('Raw Data'!F215="",LEN(TRIM('Raw Data'!F215))=0),"",IF(AND(ISNUMBER('Raw Data'!F215), IFERROR('Raw Data'!F215 = ROUND('Raw Data'!F215, 4),FALSE)),"",_xlfn.REGEXEXTRACT(CELL("address",F215), "\$([A-Z]+)\$[0-9]+"))),_xlfn.REGEXEXTRACT(CELL("address",F215), "\$([A-Z]+)\$[0-9]+"))</f>
        <v/>
      </c>
      <c r="G215" s="7" t="str" cm="1">
        <f t="array" aca="1" ref="G215" ca="1">IFERROR(IF(OR('Raw Data'!G215="",LEN(TRIM('Raw Data'!G215))=0),"",IF(AND(ISNUMBER('Raw Data'!G215), IFERROR('Raw Data'!G215 = ROUND('Raw Data'!G215, 4),FALSE)),"",_xlfn.REGEXEXTRACT(CELL("address",G215), "\$([A-Z]+)\$[0-9]+"))),_xlfn.REGEXEXTRACT(CELL("address",G215), "\$([A-Z]+)\$[0-9]+"))</f>
        <v/>
      </c>
      <c r="H215" s="7" t="str" cm="1">
        <f t="array" aca="1" ref="H215" ca="1">IFERROR(IF(OR('Raw Data'!H215="",LEN(TRIM('Raw Data'!H215))=0),"",IF(AND(ISNUMBER('Raw Data'!H215), IFERROR('Raw Data'!H215 = ROUND('Raw Data'!H215, 4),FALSE)),"",_xlfn.REGEXEXTRACT(CELL("address",H215), "\$([A-Z]+)\$[0-9]+"))),_xlfn.REGEXEXTRACT(CELL("address",H215), "\$([A-Z]+)\$[0-9]+"))</f>
        <v/>
      </c>
      <c r="I215" s="7" t="str" cm="1">
        <f t="array" aca="1" ref="I215" ca="1">IFERROR(IF(OR('Raw Data'!I215="",LEN(TRIM('Raw Data'!I215))=0),"",IF(AND(ISNUMBER('Raw Data'!I215), IFERROR('Raw Data'!I215 = ROUND('Raw Data'!I215, 4),FALSE)),"",_xlfn.REGEXEXTRACT(CELL("address",I215), "\$([A-Z]+)\$[0-9]+"))),_xlfn.REGEXEXTRACT(CELL("address",I215), "\$([A-Z]+)\$[0-9]+"))</f>
        <v/>
      </c>
      <c r="J215" s="7" t="str" cm="1">
        <f t="array" aca="1" ref="J215" ca="1">IFERROR(IF(OR('Raw Data'!J215="",LEN(TRIM('Raw Data'!J215))=0),"",IF(AND(ISNUMBER('Raw Data'!J215), IFERROR('Raw Data'!J215 = ROUND('Raw Data'!J215, 4),FALSE)),"",_xlfn.REGEXEXTRACT(CELL("address",J215), "\$([A-Z]+)\$[0-9]+"))),_xlfn.REGEXEXTRACT(CELL("address",J215), "\$([A-Z]+)\$[0-9]+"))</f>
        <v/>
      </c>
      <c r="K215" s="7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7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</row>
    <row r="216" spans="2:22" x14ac:dyDescent="0.25">
      <c r="B216" s="7" t="str" cm="1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20,LEN('Raw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Data'!D216))=0),"",IF(AND(ISNUMBER('Raw Data'!D216),'Raw Data'!D216&gt;=Configuration!$D$2),"",_xlfn.REGEXEXTRACT(CELL("address",'Raw Data'!D216),"\$([A-Z]+)\$[0-9]+"))),_xlfn.REGEXEXTRACT(CELL("address",D216), "\$([A-Z]+)\$[0-9]+"))</f>
        <v/>
      </c>
      <c r="E216" s="7" t="str" cm="1">
        <f t="array" aca="1" ref="E216" ca="1">IFERROR(IF(OR('Raw Data'!E216="",LEN(TRIM('Raw Data'!E216))=0),"",IF(AND(ISNUMBER('Raw Data'!E216), IFERROR('Raw Data'!E216 = ROUND('Raw Data'!E216, 4),FALSE)),"",_xlfn.REGEXEXTRACT(CELL("address",E216), "\$([A-Z]+)\$[0-9]+"))),_xlfn.REGEXEXTRACT(CELL("address",E216), "\$([A-Z]+)\$[0-9]+"))</f>
        <v/>
      </c>
      <c r="F216" s="7" t="str" cm="1">
        <f t="array" aca="1" ref="F216" ca="1">IFERROR(IF(OR('Raw Data'!F216="",LEN(TRIM('Raw Data'!F216))=0),"",IF(AND(ISNUMBER('Raw Data'!F216), IFERROR('Raw Data'!F216 = ROUND('Raw Data'!F216, 4),FALSE)),"",_xlfn.REGEXEXTRACT(CELL("address",F216), "\$([A-Z]+)\$[0-9]+"))),_xlfn.REGEXEXTRACT(CELL("address",F216), "\$([A-Z]+)\$[0-9]+"))</f>
        <v/>
      </c>
      <c r="G216" s="7" t="str" cm="1">
        <f t="array" aca="1" ref="G216" ca="1">IFERROR(IF(OR('Raw Data'!G216="",LEN(TRIM('Raw Data'!G216))=0),"",IF(AND(ISNUMBER('Raw Data'!G216), IFERROR('Raw Data'!G216 = ROUND('Raw Data'!G216, 4),FALSE)),"",_xlfn.REGEXEXTRACT(CELL("address",G216), "\$([A-Z]+)\$[0-9]+"))),_xlfn.REGEXEXTRACT(CELL("address",G216), "\$([A-Z]+)\$[0-9]+"))</f>
        <v/>
      </c>
      <c r="H216" s="7" t="str" cm="1">
        <f t="array" aca="1" ref="H216" ca="1">IFERROR(IF(OR('Raw Data'!H216="",LEN(TRIM('Raw Data'!H216))=0),"",IF(AND(ISNUMBER('Raw Data'!H216), IFERROR('Raw Data'!H216 = ROUND('Raw Data'!H216, 4),FALSE)),"",_xlfn.REGEXEXTRACT(CELL("address",H216), "\$([A-Z]+)\$[0-9]+"))),_xlfn.REGEXEXTRACT(CELL("address",H216), "\$([A-Z]+)\$[0-9]+"))</f>
        <v/>
      </c>
      <c r="I216" s="7" t="str" cm="1">
        <f t="array" aca="1" ref="I216" ca="1">IFERROR(IF(OR('Raw Data'!I216="",LEN(TRIM('Raw Data'!I216))=0),"",IF(AND(ISNUMBER('Raw Data'!I216), IFERROR('Raw Data'!I216 = ROUND('Raw Data'!I216, 4),FALSE)),"",_xlfn.REGEXEXTRACT(CELL("address",I216), "\$([A-Z]+)\$[0-9]+"))),_xlfn.REGEXEXTRACT(CELL("address",I216), "\$([A-Z]+)\$[0-9]+"))</f>
        <v/>
      </c>
      <c r="J216" s="7" t="str" cm="1">
        <f t="array" aca="1" ref="J216" ca="1">IFERROR(IF(OR('Raw Data'!J216="",LEN(TRIM('Raw Data'!J216))=0),"",IF(AND(ISNUMBER('Raw Data'!J216), IFERROR('Raw Data'!J216 = ROUND('Raw Data'!J216, 4),FALSE)),"",_xlfn.REGEXEXTRACT(CELL("address",J216), "\$([A-Z]+)\$[0-9]+"))),_xlfn.REGEXEXTRACT(CELL("address",J216), "\$([A-Z]+)\$[0-9]+"))</f>
        <v/>
      </c>
      <c r="K216" s="7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7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</row>
    <row r="217" spans="2:22" x14ac:dyDescent="0.25">
      <c r="B217" s="7" t="str" cm="1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20,LEN('Raw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Data'!D217))=0),"",IF(AND(ISNUMBER('Raw Data'!D217),'Raw Data'!D217&gt;=Configuration!$D$2),"",_xlfn.REGEXEXTRACT(CELL("address",'Raw Data'!D217),"\$([A-Z]+)\$[0-9]+"))),_xlfn.REGEXEXTRACT(CELL("address",D217), "\$([A-Z]+)\$[0-9]+"))</f>
        <v/>
      </c>
      <c r="E217" s="7" t="str" cm="1">
        <f t="array" aca="1" ref="E217" ca="1">IFERROR(IF(OR('Raw Data'!E217="",LEN(TRIM('Raw Data'!E217))=0),"",IF(AND(ISNUMBER('Raw Data'!E217), IFERROR('Raw Data'!E217 = ROUND('Raw Data'!E217, 4),FALSE)),"",_xlfn.REGEXEXTRACT(CELL("address",E217), "\$([A-Z]+)\$[0-9]+"))),_xlfn.REGEXEXTRACT(CELL("address",E217), "\$([A-Z]+)\$[0-9]+"))</f>
        <v/>
      </c>
      <c r="F217" s="7" t="str" cm="1">
        <f t="array" aca="1" ref="F217" ca="1">IFERROR(IF(OR('Raw Data'!F217="",LEN(TRIM('Raw Data'!F217))=0),"",IF(AND(ISNUMBER('Raw Data'!F217), IFERROR('Raw Data'!F217 = ROUND('Raw Data'!F217, 4),FALSE)),"",_xlfn.REGEXEXTRACT(CELL("address",F217), "\$([A-Z]+)\$[0-9]+"))),_xlfn.REGEXEXTRACT(CELL("address",F217), "\$([A-Z]+)\$[0-9]+"))</f>
        <v/>
      </c>
      <c r="G217" s="7" t="str" cm="1">
        <f t="array" aca="1" ref="G217" ca="1">IFERROR(IF(OR('Raw Data'!G217="",LEN(TRIM('Raw Data'!G217))=0),"",IF(AND(ISNUMBER('Raw Data'!G217), IFERROR('Raw Data'!G217 = ROUND('Raw Data'!G217, 4),FALSE)),"",_xlfn.REGEXEXTRACT(CELL("address",G217), "\$([A-Z]+)\$[0-9]+"))),_xlfn.REGEXEXTRACT(CELL("address",G217), "\$([A-Z]+)\$[0-9]+"))</f>
        <v/>
      </c>
      <c r="H217" s="7" t="str" cm="1">
        <f t="array" aca="1" ref="H217" ca="1">IFERROR(IF(OR('Raw Data'!H217="",LEN(TRIM('Raw Data'!H217))=0),"",IF(AND(ISNUMBER('Raw Data'!H217), IFERROR('Raw Data'!H217 = ROUND('Raw Data'!H217, 4),FALSE)),"",_xlfn.REGEXEXTRACT(CELL("address",H217), "\$([A-Z]+)\$[0-9]+"))),_xlfn.REGEXEXTRACT(CELL("address",H217), "\$([A-Z]+)\$[0-9]+"))</f>
        <v/>
      </c>
      <c r="I217" s="7" t="str" cm="1">
        <f t="array" aca="1" ref="I217" ca="1">IFERROR(IF(OR('Raw Data'!I217="",LEN(TRIM('Raw Data'!I217))=0),"",IF(AND(ISNUMBER('Raw Data'!I217), IFERROR('Raw Data'!I217 = ROUND('Raw Data'!I217, 4),FALSE)),"",_xlfn.REGEXEXTRACT(CELL("address",I217), "\$([A-Z]+)\$[0-9]+"))),_xlfn.REGEXEXTRACT(CELL("address",I217), "\$([A-Z]+)\$[0-9]+"))</f>
        <v/>
      </c>
      <c r="J217" s="7" t="str" cm="1">
        <f t="array" aca="1" ref="J217" ca="1">IFERROR(IF(OR('Raw Data'!J217="",LEN(TRIM('Raw Data'!J217))=0),"",IF(AND(ISNUMBER('Raw Data'!J217), IFERROR('Raw Data'!J217 = ROUND('Raw Data'!J217, 4),FALSE)),"",_xlfn.REGEXEXTRACT(CELL("address",J217), "\$([A-Z]+)\$[0-9]+"))),_xlfn.REGEXEXTRACT(CELL("address",J217), "\$([A-Z]+)\$[0-9]+"))</f>
        <v/>
      </c>
      <c r="K217" s="7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7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</row>
    <row r="218" spans="2:22" x14ac:dyDescent="0.25">
      <c r="B218" s="7" t="str" cm="1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20,LEN('Raw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Data'!D218))=0),"",IF(AND(ISNUMBER('Raw Data'!D218),'Raw Data'!D218&gt;=Configuration!$D$2),"",_xlfn.REGEXEXTRACT(CELL("address",'Raw Data'!D218),"\$([A-Z]+)\$[0-9]+"))),_xlfn.REGEXEXTRACT(CELL("address",D218), "\$([A-Z]+)\$[0-9]+"))</f>
        <v/>
      </c>
      <c r="E218" s="7" t="str" cm="1">
        <f t="array" aca="1" ref="E218" ca="1">IFERROR(IF(OR('Raw Data'!E218="",LEN(TRIM('Raw Data'!E218))=0),"",IF(AND(ISNUMBER('Raw Data'!E218), IFERROR('Raw Data'!E218 = ROUND('Raw Data'!E218, 4),FALSE)),"",_xlfn.REGEXEXTRACT(CELL("address",E218), "\$([A-Z]+)\$[0-9]+"))),_xlfn.REGEXEXTRACT(CELL("address",E218), "\$([A-Z]+)\$[0-9]+"))</f>
        <v/>
      </c>
      <c r="F218" s="7" t="str" cm="1">
        <f t="array" aca="1" ref="F218" ca="1">IFERROR(IF(OR('Raw Data'!F218="",LEN(TRIM('Raw Data'!F218))=0),"",IF(AND(ISNUMBER('Raw Data'!F218), IFERROR('Raw Data'!F218 = ROUND('Raw Data'!F218, 4),FALSE)),"",_xlfn.REGEXEXTRACT(CELL("address",F218), "\$([A-Z]+)\$[0-9]+"))),_xlfn.REGEXEXTRACT(CELL("address",F218), "\$([A-Z]+)\$[0-9]+"))</f>
        <v/>
      </c>
      <c r="G218" s="7" t="str" cm="1">
        <f t="array" aca="1" ref="G218" ca="1">IFERROR(IF(OR('Raw Data'!G218="",LEN(TRIM('Raw Data'!G218))=0),"",IF(AND(ISNUMBER('Raw Data'!G218), IFERROR('Raw Data'!G218 = ROUND('Raw Data'!G218, 4),FALSE)),"",_xlfn.REGEXEXTRACT(CELL("address",G218), "\$([A-Z]+)\$[0-9]+"))),_xlfn.REGEXEXTRACT(CELL("address",G218), "\$([A-Z]+)\$[0-9]+"))</f>
        <v/>
      </c>
      <c r="H218" s="7" t="str" cm="1">
        <f t="array" aca="1" ref="H218" ca="1">IFERROR(IF(OR('Raw Data'!H218="",LEN(TRIM('Raw Data'!H218))=0),"",IF(AND(ISNUMBER('Raw Data'!H218), IFERROR('Raw Data'!H218 = ROUND('Raw Data'!H218, 4),FALSE)),"",_xlfn.REGEXEXTRACT(CELL("address",H218), "\$([A-Z]+)\$[0-9]+"))),_xlfn.REGEXEXTRACT(CELL("address",H218), "\$([A-Z]+)\$[0-9]+"))</f>
        <v/>
      </c>
      <c r="I218" s="7" t="str" cm="1">
        <f t="array" aca="1" ref="I218" ca="1">IFERROR(IF(OR('Raw Data'!I218="",LEN(TRIM('Raw Data'!I218))=0),"",IF(AND(ISNUMBER('Raw Data'!I218), IFERROR('Raw Data'!I218 = ROUND('Raw Data'!I218, 4),FALSE)),"",_xlfn.REGEXEXTRACT(CELL("address",I218), "\$([A-Z]+)\$[0-9]+"))),_xlfn.REGEXEXTRACT(CELL("address",I218), "\$([A-Z]+)\$[0-9]+"))</f>
        <v/>
      </c>
      <c r="J218" s="7" t="str" cm="1">
        <f t="array" aca="1" ref="J218" ca="1">IFERROR(IF(OR('Raw Data'!J218="",LEN(TRIM('Raw Data'!J218))=0),"",IF(AND(ISNUMBER('Raw Data'!J218), IFERROR('Raw Data'!J218 = ROUND('Raw Data'!J218, 4),FALSE)),"",_xlfn.REGEXEXTRACT(CELL("address",J218), "\$([A-Z]+)\$[0-9]+"))),_xlfn.REGEXEXTRACT(CELL("address",J218), "\$([A-Z]+)\$[0-9]+"))</f>
        <v/>
      </c>
      <c r="K218" s="7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7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</row>
    <row r="219" spans="2:22" x14ac:dyDescent="0.25">
      <c r="B219" s="7" t="str" cm="1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20,LEN('Raw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Data'!D219))=0),"",IF(AND(ISNUMBER('Raw Data'!D219),'Raw Data'!D219&gt;=Configuration!$D$2),"",_xlfn.REGEXEXTRACT(CELL("address",'Raw Data'!D219),"\$([A-Z]+)\$[0-9]+"))),_xlfn.REGEXEXTRACT(CELL("address",D219), "\$([A-Z]+)\$[0-9]+"))</f>
        <v/>
      </c>
      <c r="E219" s="7" t="str" cm="1">
        <f t="array" aca="1" ref="E219" ca="1">IFERROR(IF(OR('Raw Data'!E219="",LEN(TRIM('Raw Data'!E219))=0),"",IF(AND(ISNUMBER('Raw Data'!E219), IFERROR('Raw Data'!E219 = ROUND('Raw Data'!E219, 4),FALSE)),"",_xlfn.REGEXEXTRACT(CELL("address",E219), "\$([A-Z]+)\$[0-9]+"))),_xlfn.REGEXEXTRACT(CELL("address",E219), "\$([A-Z]+)\$[0-9]+"))</f>
        <v/>
      </c>
      <c r="F219" s="7" t="str" cm="1">
        <f t="array" aca="1" ref="F219" ca="1">IFERROR(IF(OR('Raw Data'!F219="",LEN(TRIM('Raw Data'!F219))=0),"",IF(AND(ISNUMBER('Raw Data'!F219), IFERROR('Raw Data'!F219 = ROUND('Raw Data'!F219, 4),FALSE)),"",_xlfn.REGEXEXTRACT(CELL("address",F219), "\$([A-Z]+)\$[0-9]+"))),_xlfn.REGEXEXTRACT(CELL("address",F219), "\$([A-Z]+)\$[0-9]+"))</f>
        <v/>
      </c>
      <c r="G219" s="7" t="str" cm="1">
        <f t="array" aca="1" ref="G219" ca="1">IFERROR(IF(OR('Raw Data'!G219="",LEN(TRIM('Raw Data'!G219))=0),"",IF(AND(ISNUMBER('Raw Data'!G219), IFERROR('Raw Data'!G219 = ROUND('Raw Data'!G219, 4),FALSE)),"",_xlfn.REGEXEXTRACT(CELL("address",G219), "\$([A-Z]+)\$[0-9]+"))),_xlfn.REGEXEXTRACT(CELL("address",G219), "\$([A-Z]+)\$[0-9]+"))</f>
        <v/>
      </c>
      <c r="H219" s="7" t="str" cm="1">
        <f t="array" aca="1" ref="H219" ca="1">IFERROR(IF(OR('Raw Data'!H219="",LEN(TRIM('Raw Data'!H219))=0),"",IF(AND(ISNUMBER('Raw Data'!H219), IFERROR('Raw Data'!H219 = ROUND('Raw Data'!H219, 4),FALSE)),"",_xlfn.REGEXEXTRACT(CELL("address",H219), "\$([A-Z]+)\$[0-9]+"))),_xlfn.REGEXEXTRACT(CELL("address",H219), "\$([A-Z]+)\$[0-9]+"))</f>
        <v/>
      </c>
      <c r="I219" s="7" t="str" cm="1">
        <f t="array" aca="1" ref="I219" ca="1">IFERROR(IF(OR('Raw Data'!I219="",LEN(TRIM('Raw Data'!I219))=0),"",IF(AND(ISNUMBER('Raw Data'!I219), IFERROR('Raw Data'!I219 = ROUND('Raw Data'!I219, 4),FALSE)),"",_xlfn.REGEXEXTRACT(CELL("address",I219), "\$([A-Z]+)\$[0-9]+"))),_xlfn.REGEXEXTRACT(CELL("address",I219), "\$([A-Z]+)\$[0-9]+"))</f>
        <v/>
      </c>
      <c r="J219" s="7" t="str" cm="1">
        <f t="array" aca="1" ref="J219" ca="1">IFERROR(IF(OR('Raw Data'!J219="",LEN(TRIM('Raw Data'!J219))=0),"",IF(AND(ISNUMBER('Raw Data'!J219), IFERROR('Raw Data'!J219 = ROUND('Raw Data'!J219, 4),FALSE)),"",_xlfn.REGEXEXTRACT(CELL("address",J219), "\$([A-Z]+)\$[0-9]+"))),_xlfn.REGEXEXTRACT(CELL("address",J219), "\$([A-Z]+)\$[0-9]+"))</f>
        <v/>
      </c>
      <c r="K219" s="7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7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</row>
    <row r="220" spans="2:22" x14ac:dyDescent="0.25">
      <c r="B220" s="7" t="str" cm="1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20,LEN('Raw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Data'!D220))=0),"",IF(AND(ISNUMBER('Raw Data'!D220),'Raw Data'!D220&gt;=Configuration!$D$2),"",_xlfn.REGEXEXTRACT(CELL("address",'Raw Data'!D220),"\$([A-Z]+)\$[0-9]+"))),_xlfn.REGEXEXTRACT(CELL("address",D220), "\$([A-Z]+)\$[0-9]+"))</f>
        <v/>
      </c>
      <c r="E220" s="7" t="str" cm="1">
        <f t="array" aca="1" ref="E220" ca="1">IFERROR(IF(OR('Raw Data'!E220="",LEN(TRIM('Raw Data'!E220))=0),"",IF(AND(ISNUMBER('Raw Data'!E220), IFERROR('Raw Data'!E220 = ROUND('Raw Data'!E220, 4),FALSE)),"",_xlfn.REGEXEXTRACT(CELL("address",E220), "\$([A-Z]+)\$[0-9]+"))),_xlfn.REGEXEXTRACT(CELL("address",E220), "\$([A-Z]+)\$[0-9]+"))</f>
        <v/>
      </c>
      <c r="F220" s="7" t="str" cm="1">
        <f t="array" aca="1" ref="F220" ca="1">IFERROR(IF(OR('Raw Data'!F220="",LEN(TRIM('Raw Data'!F220))=0),"",IF(AND(ISNUMBER('Raw Data'!F220), IFERROR('Raw Data'!F220 = ROUND('Raw Data'!F220, 4),FALSE)),"",_xlfn.REGEXEXTRACT(CELL("address",F220), "\$([A-Z]+)\$[0-9]+"))),_xlfn.REGEXEXTRACT(CELL("address",F220), "\$([A-Z]+)\$[0-9]+"))</f>
        <v/>
      </c>
      <c r="G220" s="7" t="str" cm="1">
        <f t="array" aca="1" ref="G220" ca="1">IFERROR(IF(OR('Raw Data'!G220="",LEN(TRIM('Raw Data'!G220))=0),"",IF(AND(ISNUMBER('Raw Data'!G220), IFERROR('Raw Data'!G220 = ROUND('Raw Data'!G220, 4),FALSE)),"",_xlfn.REGEXEXTRACT(CELL("address",G220), "\$([A-Z]+)\$[0-9]+"))),_xlfn.REGEXEXTRACT(CELL("address",G220), "\$([A-Z]+)\$[0-9]+"))</f>
        <v/>
      </c>
      <c r="H220" s="7" t="str" cm="1">
        <f t="array" aca="1" ref="H220" ca="1">IFERROR(IF(OR('Raw Data'!H220="",LEN(TRIM('Raw Data'!H220))=0),"",IF(AND(ISNUMBER('Raw Data'!H220), IFERROR('Raw Data'!H220 = ROUND('Raw Data'!H220, 4),FALSE)),"",_xlfn.REGEXEXTRACT(CELL("address",H220), "\$([A-Z]+)\$[0-9]+"))),_xlfn.REGEXEXTRACT(CELL("address",H220), "\$([A-Z]+)\$[0-9]+"))</f>
        <v/>
      </c>
      <c r="I220" s="7" t="str" cm="1">
        <f t="array" aca="1" ref="I220" ca="1">IFERROR(IF(OR('Raw Data'!I220="",LEN(TRIM('Raw Data'!I220))=0),"",IF(AND(ISNUMBER('Raw Data'!I220), IFERROR('Raw Data'!I220 = ROUND('Raw Data'!I220, 4),FALSE)),"",_xlfn.REGEXEXTRACT(CELL("address",I220), "\$([A-Z]+)\$[0-9]+"))),_xlfn.REGEXEXTRACT(CELL("address",I220), "\$([A-Z]+)\$[0-9]+"))</f>
        <v/>
      </c>
      <c r="J220" s="7" t="str" cm="1">
        <f t="array" aca="1" ref="J220" ca="1">IFERROR(IF(OR('Raw Data'!J220="",LEN(TRIM('Raw Data'!J220))=0),"",IF(AND(ISNUMBER('Raw Data'!J220), IFERROR('Raw Data'!J220 = ROUND('Raw Data'!J220, 4),FALSE)),"",_xlfn.REGEXEXTRACT(CELL("address",J220), "\$([A-Z]+)\$[0-9]+"))),_xlfn.REGEXEXTRACT(CELL("address",J220), "\$([A-Z]+)\$[0-9]+"))</f>
        <v/>
      </c>
      <c r="K220" s="7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7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</row>
    <row r="221" spans="2:22" x14ac:dyDescent="0.25">
      <c r="B221" s="7" t="str" cm="1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20,LEN('Raw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Data'!D221))=0),"",IF(AND(ISNUMBER('Raw Data'!D221),'Raw Data'!D221&gt;=Configuration!$D$2),"",_xlfn.REGEXEXTRACT(CELL("address",'Raw Data'!D221),"\$([A-Z]+)\$[0-9]+"))),_xlfn.REGEXEXTRACT(CELL("address",D221), "\$([A-Z]+)\$[0-9]+"))</f>
        <v/>
      </c>
      <c r="E221" s="7" t="str" cm="1">
        <f t="array" aca="1" ref="E221" ca="1">IFERROR(IF(OR('Raw Data'!E221="",LEN(TRIM('Raw Data'!E221))=0),"",IF(AND(ISNUMBER('Raw Data'!E221), IFERROR('Raw Data'!E221 = ROUND('Raw Data'!E221, 4),FALSE)),"",_xlfn.REGEXEXTRACT(CELL("address",E221), "\$([A-Z]+)\$[0-9]+"))),_xlfn.REGEXEXTRACT(CELL("address",E221), "\$([A-Z]+)\$[0-9]+"))</f>
        <v/>
      </c>
      <c r="F221" s="7" t="str" cm="1">
        <f t="array" aca="1" ref="F221" ca="1">IFERROR(IF(OR('Raw Data'!F221="",LEN(TRIM('Raw Data'!F221))=0),"",IF(AND(ISNUMBER('Raw Data'!F221), IFERROR('Raw Data'!F221 = ROUND('Raw Data'!F221, 4),FALSE)),"",_xlfn.REGEXEXTRACT(CELL("address",F221), "\$([A-Z]+)\$[0-9]+"))),_xlfn.REGEXEXTRACT(CELL("address",F221), "\$([A-Z]+)\$[0-9]+"))</f>
        <v/>
      </c>
      <c r="G221" s="7" t="str" cm="1">
        <f t="array" aca="1" ref="G221" ca="1">IFERROR(IF(OR('Raw Data'!G221="",LEN(TRIM('Raw Data'!G221))=0),"",IF(AND(ISNUMBER('Raw Data'!G221), IFERROR('Raw Data'!G221 = ROUND('Raw Data'!G221, 4),FALSE)),"",_xlfn.REGEXEXTRACT(CELL("address",G221), "\$([A-Z]+)\$[0-9]+"))),_xlfn.REGEXEXTRACT(CELL("address",G221), "\$([A-Z]+)\$[0-9]+"))</f>
        <v/>
      </c>
      <c r="H221" s="7" t="str" cm="1">
        <f t="array" aca="1" ref="H221" ca="1">IFERROR(IF(OR('Raw Data'!H221="",LEN(TRIM('Raw Data'!H221))=0),"",IF(AND(ISNUMBER('Raw Data'!H221), IFERROR('Raw Data'!H221 = ROUND('Raw Data'!H221, 4),FALSE)),"",_xlfn.REGEXEXTRACT(CELL("address",H221), "\$([A-Z]+)\$[0-9]+"))),_xlfn.REGEXEXTRACT(CELL("address",H221), "\$([A-Z]+)\$[0-9]+"))</f>
        <v/>
      </c>
      <c r="I221" s="7" t="str" cm="1">
        <f t="array" aca="1" ref="I221" ca="1">IFERROR(IF(OR('Raw Data'!I221="",LEN(TRIM('Raw Data'!I221))=0),"",IF(AND(ISNUMBER('Raw Data'!I221), IFERROR('Raw Data'!I221 = ROUND('Raw Data'!I221, 4),FALSE)),"",_xlfn.REGEXEXTRACT(CELL("address",I221), "\$([A-Z]+)\$[0-9]+"))),_xlfn.REGEXEXTRACT(CELL("address",I221), "\$([A-Z]+)\$[0-9]+"))</f>
        <v/>
      </c>
      <c r="J221" s="7" t="str" cm="1">
        <f t="array" aca="1" ref="J221" ca="1">IFERROR(IF(OR('Raw Data'!J221="",LEN(TRIM('Raw Data'!J221))=0),"",IF(AND(ISNUMBER('Raw Data'!J221), IFERROR('Raw Data'!J221 = ROUND('Raw Data'!J221, 4),FALSE)),"",_xlfn.REGEXEXTRACT(CELL("address",J221), "\$([A-Z]+)\$[0-9]+"))),_xlfn.REGEXEXTRACT(CELL("address",J221), "\$([A-Z]+)\$[0-9]+"))</f>
        <v/>
      </c>
      <c r="K221" s="7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7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</row>
    <row r="222" spans="2:22" x14ac:dyDescent="0.25">
      <c r="B222" s="7" t="str" cm="1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20,LEN('Raw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Data'!D222))=0),"",IF(AND(ISNUMBER('Raw Data'!D222),'Raw Data'!D222&gt;=Configuration!$D$2),"",_xlfn.REGEXEXTRACT(CELL("address",'Raw Data'!D222),"\$([A-Z]+)\$[0-9]+"))),_xlfn.REGEXEXTRACT(CELL("address",D222), "\$([A-Z]+)\$[0-9]+"))</f>
        <v/>
      </c>
      <c r="E222" s="7" t="str" cm="1">
        <f t="array" aca="1" ref="E222" ca="1">IFERROR(IF(OR('Raw Data'!E222="",LEN(TRIM('Raw Data'!E222))=0),"",IF(AND(ISNUMBER('Raw Data'!E222), IFERROR('Raw Data'!E222 = ROUND('Raw Data'!E222, 4),FALSE)),"",_xlfn.REGEXEXTRACT(CELL("address",E222), "\$([A-Z]+)\$[0-9]+"))),_xlfn.REGEXEXTRACT(CELL("address",E222), "\$([A-Z]+)\$[0-9]+"))</f>
        <v/>
      </c>
      <c r="F222" s="7" t="str" cm="1">
        <f t="array" aca="1" ref="F222" ca="1">IFERROR(IF(OR('Raw Data'!F222="",LEN(TRIM('Raw Data'!F222))=0),"",IF(AND(ISNUMBER('Raw Data'!F222), IFERROR('Raw Data'!F222 = ROUND('Raw Data'!F222, 4),FALSE)),"",_xlfn.REGEXEXTRACT(CELL("address",F222), "\$([A-Z]+)\$[0-9]+"))),_xlfn.REGEXEXTRACT(CELL("address",F222), "\$([A-Z]+)\$[0-9]+"))</f>
        <v/>
      </c>
      <c r="G222" s="7" t="str" cm="1">
        <f t="array" aca="1" ref="G222" ca="1">IFERROR(IF(OR('Raw Data'!G222="",LEN(TRIM('Raw Data'!G222))=0),"",IF(AND(ISNUMBER('Raw Data'!G222), IFERROR('Raw Data'!G222 = ROUND('Raw Data'!G222, 4),FALSE)),"",_xlfn.REGEXEXTRACT(CELL("address",G222), "\$([A-Z]+)\$[0-9]+"))),_xlfn.REGEXEXTRACT(CELL("address",G222), "\$([A-Z]+)\$[0-9]+"))</f>
        <v/>
      </c>
      <c r="H222" s="7" t="str" cm="1">
        <f t="array" aca="1" ref="H222" ca="1">IFERROR(IF(OR('Raw Data'!H222="",LEN(TRIM('Raw Data'!H222))=0),"",IF(AND(ISNUMBER('Raw Data'!H222), IFERROR('Raw Data'!H222 = ROUND('Raw Data'!H222, 4),FALSE)),"",_xlfn.REGEXEXTRACT(CELL("address",H222), "\$([A-Z]+)\$[0-9]+"))),_xlfn.REGEXEXTRACT(CELL("address",H222), "\$([A-Z]+)\$[0-9]+"))</f>
        <v/>
      </c>
      <c r="I222" s="7" t="str" cm="1">
        <f t="array" aca="1" ref="I222" ca="1">IFERROR(IF(OR('Raw Data'!I222="",LEN(TRIM('Raw Data'!I222))=0),"",IF(AND(ISNUMBER('Raw Data'!I222), IFERROR('Raw Data'!I222 = ROUND('Raw Data'!I222, 4),FALSE)),"",_xlfn.REGEXEXTRACT(CELL("address",I222), "\$([A-Z]+)\$[0-9]+"))),_xlfn.REGEXEXTRACT(CELL("address",I222), "\$([A-Z]+)\$[0-9]+"))</f>
        <v/>
      </c>
      <c r="J222" s="7" t="str" cm="1">
        <f t="array" aca="1" ref="J222" ca="1">IFERROR(IF(OR('Raw Data'!J222="",LEN(TRIM('Raw Data'!J222))=0),"",IF(AND(ISNUMBER('Raw Data'!J222), IFERROR('Raw Data'!J222 = ROUND('Raw Data'!J222, 4),FALSE)),"",_xlfn.REGEXEXTRACT(CELL("address",J222), "\$([A-Z]+)\$[0-9]+"))),_xlfn.REGEXEXTRACT(CELL("address",J222), "\$([A-Z]+)\$[0-9]+"))</f>
        <v/>
      </c>
      <c r="K222" s="7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7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</row>
    <row r="223" spans="2:22" x14ac:dyDescent="0.25">
      <c r="B223" s="7" t="str" cm="1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20,LEN('Raw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Data'!D223))=0),"",IF(AND(ISNUMBER('Raw Data'!D223),'Raw Data'!D223&gt;=Configuration!$D$2),"",_xlfn.REGEXEXTRACT(CELL("address",'Raw Data'!D223),"\$([A-Z]+)\$[0-9]+"))),_xlfn.REGEXEXTRACT(CELL("address",D223), "\$([A-Z]+)\$[0-9]+"))</f>
        <v/>
      </c>
      <c r="E223" s="7" t="str" cm="1">
        <f t="array" aca="1" ref="E223" ca="1">IFERROR(IF(OR('Raw Data'!E223="",LEN(TRIM('Raw Data'!E223))=0),"",IF(AND(ISNUMBER('Raw Data'!E223), IFERROR('Raw Data'!E223 = ROUND('Raw Data'!E223, 4),FALSE)),"",_xlfn.REGEXEXTRACT(CELL("address",E223), "\$([A-Z]+)\$[0-9]+"))),_xlfn.REGEXEXTRACT(CELL("address",E223), "\$([A-Z]+)\$[0-9]+"))</f>
        <v/>
      </c>
      <c r="F223" s="7" t="str" cm="1">
        <f t="array" aca="1" ref="F223" ca="1">IFERROR(IF(OR('Raw Data'!F223="",LEN(TRIM('Raw Data'!F223))=0),"",IF(AND(ISNUMBER('Raw Data'!F223), IFERROR('Raw Data'!F223 = ROUND('Raw Data'!F223, 4),FALSE)),"",_xlfn.REGEXEXTRACT(CELL("address",F223), "\$([A-Z]+)\$[0-9]+"))),_xlfn.REGEXEXTRACT(CELL("address",F223), "\$([A-Z]+)\$[0-9]+"))</f>
        <v/>
      </c>
      <c r="G223" s="7" t="str" cm="1">
        <f t="array" aca="1" ref="G223" ca="1">IFERROR(IF(OR('Raw Data'!G223="",LEN(TRIM('Raw Data'!G223))=0),"",IF(AND(ISNUMBER('Raw Data'!G223), IFERROR('Raw Data'!G223 = ROUND('Raw Data'!G223, 4),FALSE)),"",_xlfn.REGEXEXTRACT(CELL("address",G223), "\$([A-Z]+)\$[0-9]+"))),_xlfn.REGEXEXTRACT(CELL("address",G223), "\$([A-Z]+)\$[0-9]+"))</f>
        <v/>
      </c>
      <c r="H223" s="7" t="str" cm="1">
        <f t="array" aca="1" ref="H223" ca="1">IFERROR(IF(OR('Raw Data'!H223="",LEN(TRIM('Raw Data'!H223))=0),"",IF(AND(ISNUMBER('Raw Data'!H223), IFERROR('Raw Data'!H223 = ROUND('Raw Data'!H223, 4),FALSE)),"",_xlfn.REGEXEXTRACT(CELL("address",H223), "\$([A-Z]+)\$[0-9]+"))),_xlfn.REGEXEXTRACT(CELL("address",H223), "\$([A-Z]+)\$[0-9]+"))</f>
        <v/>
      </c>
      <c r="I223" s="7" t="str" cm="1">
        <f t="array" aca="1" ref="I223" ca="1">IFERROR(IF(OR('Raw Data'!I223="",LEN(TRIM('Raw Data'!I223))=0),"",IF(AND(ISNUMBER('Raw Data'!I223), IFERROR('Raw Data'!I223 = ROUND('Raw Data'!I223, 4),FALSE)),"",_xlfn.REGEXEXTRACT(CELL("address",I223), "\$([A-Z]+)\$[0-9]+"))),_xlfn.REGEXEXTRACT(CELL("address",I223), "\$([A-Z]+)\$[0-9]+"))</f>
        <v/>
      </c>
      <c r="J223" s="7" t="str" cm="1">
        <f t="array" aca="1" ref="J223" ca="1">IFERROR(IF(OR('Raw Data'!J223="",LEN(TRIM('Raw Data'!J223))=0),"",IF(AND(ISNUMBER('Raw Data'!J223), IFERROR('Raw Data'!J223 = ROUND('Raw Data'!J223, 4),FALSE)),"",_xlfn.REGEXEXTRACT(CELL("address",J223), "\$([A-Z]+)\$[0-9]+"))),_xlfn.REGEXEXTRACT(CELL("address",J223), "\$([A-Z]+)\$[0-9]+"))</f>
        <v/>
      </c>
      <c r="K223" s="7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7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</row>
    <row r="224" spans="2:22" x14ac:dyDescent="0.25">
      <c r="B224" s="7" t="str" cm="1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20,LEN('Raw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Data'!D224))=0),"",IF(AND(ISNUMBER('Raw Data'!D224),'Raw Data'!D224&gt;=Configuration!$D$2),"",_xlfn.REGEXEXTRACT(CELL("address",'Raw Data'!D224),"\$([A-Z]+)\$[0-9]+"))),_xlfn.REGEXEXTRACT(CELL("address",D224), "\$([A-Z]+)\$[0-9]+"))</f>
        <v/>
      </c>
      <c r="E224" s="7" t="str" cm="1">
        <f t="array" aca="1" ref="E224" ca="1">IFERROR(IF(OR('Raw Data'!E224="",LEN(TRIM('Raw Data'!E224))=0),"",IF(AND(ISNUMBER('Raw Data'!E224), IFERROR('Raw Data'!E224 = ROUND('Raw Data'!E224, 4),FALSE)),"",_xlfn.REGEXEXTRACT(CELL("address",E224), "\$([A-Z]+)\$[0-9]+"))),_xlfn.REGEXEXTRACT(CELL("address",E224), "\$([A-Z]+)\$[0-9]+"))</f>
        <v/>
      </c>
      <c r="F224" s="7" t="str" cm="1">
        <f t="array" aca="1" ref="F224" ca="1">IFERROR(IF(OR('Raw Data'!F224="",LEN(TRIM('Raw Data'!F224))=0),"",IF(AND(ISNUMBER('Raw Data'!F224), IFERROR('Raw Data'!F224 = ROUND('Raw Data'!F224, 4),FALSE)),"",_xlfn.REGEXEXTRACT(CELL("address",F224), "\$([A-Z]+)\$[0-9]+"))),_xlfn.REGEXEXTRACT(CELL("address",F224), "\$([A-Z]+)\$[0-9]+"))</f>
        <v/>
      </c>
      <c r="G224" s="7" t="str" cm="1">
        <f t="array" aca="1" ref="G224" ca="1">IFERROR(IF(OR('Raw Data'!G224="",LEN(TRIM('Raw Data'!G224))=0),"",IF(AND(ISNUMBER('Raw Data'!G224), IFERROR('Raw Data'!G224 = ROUND('Raw Data'!G224, 4),FALSE)),"",_xlfn.REGEXEXTRACT(CELL("address",G224), "\$([A-Z]+)\$[0-9]+"))),_xlfn.REGEXEXTRACT(CELL("address",G224), "\$([A-Z]+)\$[0-9]+"))</f>
        <v/>
      </c>
      <c r="H224" s="7" t="str" cm="1">
        <f t="array" aca="1" ref="H224" ca="1">IFERROR(IF(OR('Raw Data'!H224="",LEN(TRIM('Raw Data'!H224))=0),"",IF(AND(ISNUMBER('Raw Data'!H224), IFERROR('Raw Data'!H224 = ROUND('Raw Data'!H224, 4),FALSE)),"",_xlfn.REGEXEXTRACT(CELL("address",H224), "\$([A-Z]+)\$[0-9]+"))),_xlfn.REGEXEXTRACT(CELL("address",H224), "\$([A-Z]+)\$[0-9]+"))</f>
        <v/>
      </c>
      <c r="I224" s="7" t="str" cm="1">
        <f t="array" aca="1" ref="I224" ca="1">IFERROR(IF(OR('Raw Data'!I224="",LEN(TRIM('Raw Data'!I224))=0),"",IF(AND(ISNUMBER('Raw Data'!I224), IFERROR('Raw Data'!I224 = ROUND('Raw Data'!I224, 4),FALSE)),"",_xlfn.REGEXEXTRACT(CELL("address",I224), "\$([A-Z]+)\$[0-9]+"))),_xlfn.REGEXEXTRACT(CELL("address",I224), "\$([A-Z]+)\$[0-9]+"))</f>
        <v/>
      </c>
      <c r="J224" s="7" t="str" cm="1">
        <f t="array" aca="1" ref="J224" ca="1">IFERROR(IF(OR('Raw Data'!J224="",LEN(TRIM('Raw Data'!J224))=0),"",IF(AND(ISNUMBER('Raw Data'!J224), IFERROR('Raw Data'!J224 = ROUND('Raw Data'!J224, 4),FALSE)),"",_xlfn.REGEXEXTRACT(CELL("address",J224), "\$([A-Z]+)\$[0-9]+"))),_xlfn.REGEXEXTRACT(CELL("address",J224), "\$([A-Z]+)\$[0-9]+"))</f>
        <v/>
      </c>
      <c r="K224" s="7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7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</row>
    <row r="225" spans="2:22" x14ac:dyDescent="0.25">
      <c r="B225" s="7" t="str" cm="1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20,LEN('Raw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Data'!D225))=0),"",IF(AND(ISNUMBER('Raw Data'!D225),'Raw Data'!D225&gt;=Configuration!$D$2),"",_xlfn.REGEXEXTRACT(CELL("address",'Raw Data'!D225),"\$([A-Z]+)\$[0-9]+"))),_xlfn.REGEXEXTRACT(CELL("address",D225), "\$([A-Z]+)\$[0-9]+"))</f>
        <v/>
      </c>
      <c r="E225" s="7" t="str" cm="1">
        <f t="array" aca="1" ref="E225" ca="1">IFERROR(IF(OR('Raw Data'!E225="",LEN(TRIM('Raw Data'!E225))=0),"",IF(AND(ISNUMBER('Raw Data'!E225), IFERROR('Raw Data'!E225 = ROUND('Raw Data'!E225, 4),FALSE)),"",_xlfn.REGEXEXTRACT(CELL("address",E225), "\$([A-Z]+)\$[0-9]+"))),_xlfn.REGEXEXTRACT(CELL("address",E225), "\$([A-Z]+)\$[0-9]+"))</f>
        <v/>
      </c>
      <c r="F225" s="7" t="str" cm="1">
        <f t="array" aca="1" ref="F225" ca="1">IFERROR(IF(OR('Raw Data'!F225="",LEN(TRIM('Raw Data'!F225))=0),"",IF(AND(ISNUMBER('Raw Data'!F225), IFERROR('Raw Data'!F225 = ROUND('Raw Data'!F225, 4),FALSE)),"",_xlfn.REGEXEXTRACT(CELL("address",F225), "\$([A-Z]+)\$[0-9]+"))),_xlfn.REGEXEXTRACT(CELL("address",F225), "\$([A-Z]+)\$[0-9]+"))</f>
        <v/>
      </c>
      <c r="G225" s="7" t="str" cm="1">
        <f t="array" aca="1" ref="G225" ca="1">IFERROR(IF(OR('Raw Data'!G225="",LEN(TRIM('Raw Data'!G225))=0),"",IF(AND(ISNUMBER('Raw Data'!G225), IFERROR('Raw Data'!G225 = ROUND('Raw Data'!G225, 4),FALSE)),"",_xlfn.REGEXEXTRACT(CELL("address",G225), "\$([A-Z]+)\$[0-9]+"))),_xlfn.REGEXEXTRACT(CELL("address",G225), "\$([A-Z]+)\$[0-9]+"))</f>
        <v/>
      </c>
      <c r="H225" s="7" t="str" cm="1">
        <f t="array" aca="1" ref="H225" ca="1">IFERROR(IF(OR('Raw Data'!H225="",LEN(TRIM('Raw Data'!H225))=0),"",IF(AND(ISNUMBER('Raw Data'!H225), IFERROR('Raw Data'!H225 = ROUND('Raw Data'!H225, 4),FALSE)),"",_xlfn.REGEXEXTRACT(CELL("address",H225), "\$([A-Z]+)\$[0-9]+"))),_xlfn.REGEXEXTRACT(CELL("address",H225), "\$([A-Z]+)\$[0-9]+"))</f>
        <v/>
      </c>
      <c r="I225" s="7" t="str" cm="1">
        <f t="array" aca="1" ref="I225" ca="1">IFERROR(IF(OR('Raw Data'!I225="",LEN(TRIM('Raw Data'!I225))=0),"",IF(AND(ISNUMBER('Raw Data'!I225), IFERROR('Raw Data'!I225 = ROUND('Raw Data'!I225, 4),FALSE)),"",_xlfn.REGEXEXTRACT(CELL("address",I225), "\$([A-Z]+)\$[0-9]+"))),_xlfn.REGEXEXTRACT(CELL("address",I225), "\$([A-Z]+)\$[0-9]+"))</f>
        <v/>
      </c>
      <c r="J225" s="7" t="str" cm="1">
        <f t="array" aca="1" ref="J225" ca="1">IFERROR(IF(OR('Raw Data'!J225="",LEN(TRIM('Raw Data'!J225))=0),"",IF(AND(ISNUMBER('Raw Data'!J225), IFERROR('Raw Data'!J225 = ROUND('Raw Data'!J225, 4),FALSE)),"",_xlfn.REGEXEXTRACT(CELL("address",J225), "\$([A-Z]+)\$[0-9]+"))),_xlfn.REGEXEXTRACT(CELL("address",J225), "\$([A-Z]+)\$[0-9]+"))</f>
        <v/>
      </c>
      <c r="K225" s="7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7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</row>
    <row r="226" spans="2:22" x14ac:dyDescent="0.25">
      <c r="B226" s="7" t="str" cm="1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20,LEN('Raw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Data'!D226))=0),"",IF(AND(ISNUMBER('Raw Data'!D226),'Raw Data'!D226&gt;=Configuration!$D$2),"",_xlfn.REGEXEXTRACT(CELL("address",'Raw Data'!D226),"\$([A-Z]+)\$[0-9]+"))),_xlfn.REGEXEXTRACT(CELL("address",D226), "\$([A-Z]+)\$[0-9]+"))</f>
        <v/>
      </c>
      <c r="E226" s="7" t="str" cm="1">
        <f t="array" aca="1" ref="E226" ca="1">IFERROR(IF(OR('Raw Data'!E226="",LEN(TRIM('Raw Data'!E226))=0),"",IF(AND(ISNUMBER('Raw Data'!E226), IFERROR('Raw Data'!E226 = ROUND('Raw Data'!E226, 4),FALSE)),"",_xlfn.REGEXEXTRACT(CELL("address",E226), "\$([A-Z]+)\$[0-9]+"))),_xlfn.REGEXEXTRACT(CELL("address",E226), "\$([A-Z]+)\$[0-9]+"))</f>
        <v/>
      </c>
      <c r="F226" s="7" t="str" cm="1">
        <f t="array" aca="1" ref="F226" ca="1">IFERROR(IF(OR('Raw Data'!F226="",LEN(TRIM('Raw Data'!F226))=0),"",IF(AND(ISNUMBER('Raw Data'!F226), IFERROR('Raw Data'!F226 = ROUND('Raw Data'!F226, 4),FALSE)),"",_xlfn.REGEXEXTRACT(CELL("address",F226), "\$([A-Z]+)\$[0-9]+"))),_xlfn.REGEXEXTRACT(CELL("address",F226), "\$([A-Z]+)\$[0-9]+"))</f>
        <v/>
      </c>
      <c r="G226" s="7" t="str" cm="1">
        <f t="array" aca="1" ref="G226" ca="1">IFERROR(IF(OR('Raw Data'!G226="",LEN(TRIM('Raw Data'!G226))=0),"",IF(AND(ISNUMBER('Raw Data'!G226), IFERROR('Raw Data'!G226 = ROUND('Raw Data'!G226, 4),FALSE)),"",_xlfn.REGEXEXTRACT(CELL("address",G226), "\$([A-Z]+)\$[0-9]+"))),_xlfn.REGEXEXTRACT(CELL("address",G226), "\$([A-Z]+)\$[0-9]+"))</f>
        <v/>
      </c>
      <c r="H226" s="7" t="str" cm="1">
        <f t="array" aca="1" ref="H226" ca="1">IFERROR(IF(OR('Raw Data'!H226="",LEN(TRIM('Raw Data'!H226))=0),"",IF(AND(ISNUMBER('Raw Data'!H226), IFERROR('Raw Data'!H226 = ROUND('Raw Data'!H226, 4),FALSE)),"",_xlfn.REGEXEXTRACT(CELL("address",H226), "\$([A-Z]+)\$[0-9]+"))),_xlfn.REGEXEXTRACT(CELL("address",H226), "\$([A-Z]+)\$[0-9]+"))</f>
        <v/>
      </c>
      <c r="I226" s="7" t="str" cm="1">
        <f t="array" aca="1" ref="I226" ca="1">IFERROR(IF(OR('Raw Data'!I226="",LEN(TRIM('Raw Data'!I226))=0),"",IF(AND(ISNUMBER('Raw Data'!I226), IFERROR('Raw Data'!I226 = ROUND('Raw Data'!I226, 4),FALSE)),"",_xlfn.REGEXEXTRACT(CELL("address",I226), "\$([A-Z]+)\$[0-9]+"))),_xlfn.REGEXEXTRACT(CELL("address",I226), "\$([A-Z]+)\$[0-9]+"))</f>
        <v/>
      </c>
      <c r="J226" s="7" t="str" cm="1">
        <f t="array" aca="1" ref="J226" ca="1">IFERROR(IF(OR('Raw Data'!J226="",LEN(TRIM('Raw Data'!J226))=0),"",IF(AND(ISNUMBER('Raw Data'!J226), IFERROR('Raw Data'!J226 = ROUND('Raw Data'!J226, 4),FALSE)),"",_xlfn.REGEXEXTRACT(CELL("address",J226), "\$([A-Z]+)\$[0-9]+"))),_xlfn.REGEXEXTRACT(CELL("address",J226), "\$([A-Z]+)\$[0-9]+"))</f>
        <v/>
      </c>
      <c r="K226" s="7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7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</row>
    <row r="227" spans="2:22" x14ac:dyDescent="0.25">
      <c r="B227" s="7" t="str" cm="1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20,LEN('Raw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Data'!D227))=0),"",IF(AND(ISNUMBER('Raw Data'!D227),'Raw Data'!D227&gt;=Configuration!$D$2),"",_xlfn.REGEXEXTRACT(CELL("address",'Raw Data'!D227),"\$([A-Z]+)\$[0-9]+"))),_xlfn.REGEXEXTRACT(CELL("address",D227), "\$([A-Z]+)\$[0-9]+"))</f>
        <v/>
      </c>
      <c r="E227" s="7" t="str" cm="1">
        <f t="array" aca="1" ref="E227" ca="1">IFERROR(IF(OR('Raw Data'!E227="",LEN(TRIM('Raw Data'!E227))=0),"",IF(AND(ISNUMBER('Raw Data'!E227), IFERROR('Raw Data'!E227 = ROUND('Raw Data'!E227, 4),FALSE)),"",_xlfn.REGEXEXTRACT(CELL("address",E227), "\$([A-Z]+)\$[0-9]+"))),_xlfn.REGEXEXTRACT(CELL("address",E227), "\$([A-Z]+)\$[0-9]+"))</f>
        <v/>
      </c>
      <c r="F227" s="7" t="str" cm="1">
        <f t="array" aca="1" ref="F227" ca="1">IFERROR(IF(OR('Raw Data'!F227="",LEN(TRIM('Raw Data'!F227))=0),"",IF(AND(ISNUMBER('Raw Data'!F227), IFERROR('Raw Data'!F227 = ROUND('Raw Data'!F227, 4),FALSE)),"",_xlfn.REGEXEXTRACT(CELL("address",F227), "\$([A-Z]+)\$[0-9]+"))),_xlfn.REGEXEXTRACT(CELL("address",F227), "\$([A-Z]+)\$[0-9]+"))</f>
        <v/>
      </c>
      <c r="G227" s="7" t="str" cm="1">
        <f t="array" aca="1" ref="G227" ca="1">IFERROR(IF(OR('Raw Data'!G227="",LEN(TRIM('Raw Data'!G227))=0),"",IF(AND(ISNUMBER('Raw Data'!G227), IFERROR('Raw Data'!G227 = ROUND('Raw Data'!G227, 4),FALSE)),"",_xlfn.REGEXEXTRACT(CELL("address",G227), "\$([A-Z]+)\$[0-9]+"))),_xlfn.REGEXEXTRACT(CELL("address",G227), "\$([A-Z]+)\$[0-9]+"))</f>
        <v/>
      </c>
      <c r="H227" s="7" t="str" cm="1">
        <f t="array" aca="1" ref="H227" ca="1">IFERROR(IF(OR('Raw Data'!H227="",LEN(TRIM('Raw Data'!H227))=0),"",IF(AND(ISNUMBER('Raw Data'!H227), IFERROR('Raw Data'!H227 = ROUND('Raw Data'!H227, 4),FALSE)),"",_xlfn.REGEXEXTRACT(CELL("address",H227), "\$([A-Z]+)\$[0-9]+"))),_xlfn.REGEXEXTRACT(CELL("address",H227), "\$([A-Z]+)\$[0-9]+"))</f>
        <v/>
      </c>
      <c r="I227" s="7" t="str" cm="1">
        <f t="array" aca="1" ref="I227" ca="1">IFERROR(IF(OR('Raw Data'!I227="",LEN(TRIM('Raw Data'!I227))=0),"",IF(AND(ISNUMBER('Raw Data'!I227), IFERROR('Raw Data'!I227 = ROUND('Raw Data'!I227, 4),FALSE)),"",_xlfn.REGEXEXTRACT(CELL("address",I227), "\$([A-Z]+)\$[0-9]+"))),_xlfn.REGEXEXTRACT(CELL("address",I227), "\$([A-Z]+)\$[0-9]+"))</f>
        <v/>
      </c>
      <c r="J227" s="7" t="str" cm="1">
        <f t="array" aca="1" ref="J227" ca="1">IFERROR(IF(OR('Raw Data'!J227="",LEN(TRIM('Raw Data'!J227))=0),"",IF(AND(ISNUMBER('Raw Data'!J227), IFERROR('Raw Data'!J227 = ROUND('Raw Data'!J227, 4),FALSE)),"",_xlfn.REGEXEXTRACT(CELL("address",J227), "\$([A-Z]+)\$[0-9]+"))),_xlfn.REGEXEXTRACT(CELL("address",J227), "\$([A-Z]+)\$[0-9]+"))</f>
        <v/>
      </c>
      <c r="K227" s="7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7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</row>
    <row r="228" spans="2:22" x14ac:dyDescent="0.25">
      <c r="B228" s="7" t="str" cm="1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20,LEN('Raw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Data'!D228))=0),"",IF(AND(ISNUMBER('Raw Data'!D228),'Raw Data'!D228&gt;=Configuration!$D$2),"",_xlfn.REGEXEXTRACT(CELL("address",'Raw Data'!D228),"\$([A-Z]+)\$[0-9]+"))),_xlfn.REGEXEXTRACT(CELL("address",D228), "\$([A-Z]+)\$[0-9]+"))</f>
        <v/>
      </c>
      <c r="E228" s="7" t="str" cm="1">
        <f t="array" aca="1" ref="E228" ca="1">IFERROR(IF(OR('Raw Data'!E228="",LEN(TRIM('Raw Data'!E228))=0),"",IF(AND(ISNUMBER('Raw Data'!E228), IFERROR('Raw Data'!E228 = ROUND('Raw Data'!E228, 4),FALSE)),"",_xlfn.REGEXEXTRACT(CELL("address",E228), "\$([A-Z]+)\$[0-9]+"))),_xlfn.REGEXEXTRACT(CELL("address",E228), "\$([A-Z]+)\$[0-9]+"))</f>
        <v/>
      </c>
      <c r="F228" s="7" t="str" cm="1">
        <f t="array" aca="1" ref="F228" ca="1">IFERROR(IF(OR('Raw Data'!F228="",LEN(TRIM('Raw Data'!F228))=0),"",IF(AND(ISNUMBER('Raw Data'!F228), IFERROR('Raw Data'!F228 = ROUND('Raw Data'!F228, 4),FALSE)),"",_xlfn.REGEXEXTRACT(CELL("address",F228), "\$([A-Z]+)\$[0-9]+"))),_xlfn.REGEXEXTRACT(CELL("address",F228), "\$([A-Z]+)\$[0-9]+"))</f>
        <v/>
      </c>
      <c r="G228" s="7" t="str" cm="1">
        <f t="array" aca="1" ref="G228" ca="1">IFERROR(IF(OR('Raw Data'!G228="",LEN(TRIM('Raw Data'!G228))=0),"",IF(AND(ISNUMBER('Raw Data'!G228), IFERROR('Raw Data'!G228 = ROUND('Raw Data'!G228, 4),FALSE)),"",_xlfn.REGEXEXTRACT(CELL("address",G228), "\$([A-Z]+)\$[0-9]+"))),_xlfn.REGEXEXTRACT(CELL("address",G228), "\$([A-Z]+)\$[0-9]+"))</f>
        <v/>
      </c>
      <c r="H228" s="7" t="str" cm="1">
        <f t="array" aca="1" ref="H228" ca="1">IFERROR(IF(OR('Raw Data'!H228="",LEN(TRIM('Raw Data'!H228))=0),"",IF(AND(ISNUMBER('Raw Data'!H228), IFERROR('Raw Data'!H228 = ROUND('Raw Data'!H228, 4),FALSE)),"",_xlfn.REGEXEXTRACT(CELL("address",H228), "\$([A-Z]+)\$[0-9]+"))),_xlfn.REGEXEXTRACT(CELL("address",H228), "\$([A-Z]+)\$[0-9]+"))</f>
        <v/>
      </c>
      <c r="I228" s="7" t="str" cm="1">
        <f t="array" aca="1" ref="I228" ca="1">IFERROR(IF(OR('Raw Data'!I228="",LEN(TRIM('Raw Data'!I228))=0),"",IF(AND(ISNUMBER('Raw Data'!I228), IFERROR('Raw Data'!I228 = ROUND('Raw Data'!I228, 4),FALSE)),"",_xlfn.REGEXEXTRACT(CELL("address",I228), "\$([A-Z]+)\$[0-9]+"))),_xlfn.REGEXEXTRACT(CELL("address",I228), "\$([A-Z]+)\$[0-9]+"))</f>
        <v/>
      </c>
      <c r="J228" s="7" t="str" cm="1">
        <f t="array" aca="1" ref="J228" ca="1">IFERROR(IF(OR('Raw Data'!J228="",LEN(TRIM('Raw Data'!J228))=0),"",IF(AND(ISNUMBER('Raw Data'!J228), IFERROR('Raw Data'!J228 = ROUND('Raw Data'!J228, 4),FALSE)),"",_xlfn.REGEXEXTRACT(CELL("address",J228), "\$([A-Z]+)\$[0-9]+"))),_xlfn.REGEXEXTRACT(CELL("address",J228), "\$([A-Z]+)\$[0-9]+"))</f>
        <v/>
      </c>
      <c r="K228" s="7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7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</row>
    <row r="229" spans="2:22" x14ac:dyDescent="0.25">
      <c r="B229" s="7" t="str" cm="1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20,LEN('Raw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Data'!D229))=0),"",IF(AND(ISNUMBER('Raw Data'!D229),'Raw Data'!D229&gt;=Configuration!$D$2),"",_xlfn.REGEXEXTRACT(CELL("address",'Raw Data'!D229),"\$([A-Z]+)\$[0-9]+"))),_xlfn.REGEXEXTRACT(CELL("address",D229), "\$([A-Z]+)\$[0-9]+"))</f>
        <v/>
      </c>
      <c r="E229" s="7" t="str" cm="1">
        <f t="array" aca="1" ref="E229" ca="1">IFERROR(IF(OR('Raw Data'!E229="",LEN(TRIM('Raw Data'!E229))=0),"",IF(AND(ISNUMBER('Raw Data'!E229), IFERROR('Raw Data'!E229 = ROUND('Raw Data'!E229, 4),FALSE)),"",_xlfn.REGEXEXTRACT(CELL("address",E229), "\$([A-Z]+)\$[0-9]+"))),_xlfn.REGEXEXTRACT(CELL("address",E229), "\$([A-Z]+)\$[0-9]+"))</f>
        <v/>
      </c>
      <c r="F229" s="7" t="str" cm="1">
        <f t="array" aca="1" ref="F229" ca="1">IFERROR(IF(OR('Raw Data'!F229="",LEN(TRIM('Raw Data'!F229))=0),"",IF(AND(ISNUMBER('Raw Data'!F229), IFERROR('Raw Data'!F229 = ROUND('Raw Data'!F229, 4),FALSE)),"",_xlfn.REGEXEXTRACT(CELL("address",F229), "\$([A-Z]+)\$[0-9]+"))),_xlfn.REGEXEXTRACT(CELL("address",F229), "\$([A-Z]+)\$[0-9]+"))</f>
        <v/>
      </c>
      <c r="G229" s="7" t="str" cm="1">
        <f t="array" aca="1" ref="G229" ca="1">IFERROR(IF(OR('Raw Data'!G229="",LEN(TRIM('Raw Data'!G229))=0),"",IF(AND(ISNUMBER('Raw Data'!G229), IFERROR('Raw Data'!G229 = ROUND('Raw Data'!G229, 4),FALSE)),"",_xlfn.REGEXEXTRACT(CELL("address",G229), "\$([A-Z]+)\$[0-9]+"))),_xlfn.REGEXEXTRACT(CELL("address",G229), "\$([A-Z]+)\$[0-9]+"))</f>
        <v/>
      </c>
      <c r="H229" s="7" t="str" cm="1">
        <f t="array" aca="1" ref="H229" ca="1">IFERROR(IF(OR('Raw Data'!H229="",LEN(TRIM('Raw Data'!H229))=0),"",IF(AND(ISNUMBER('Raw Data'!H229), IFERROR('Raw Data'!H229 = ROUND('Raw Data'!H229, 4),FALSE)),"",_xlfn.REGEXEXTRACT(CELL("address",H229), "\$([A-Z]+)\$[0-9]+"))),_xlfn.REGEXEXTRACT(CELL("address",H229), "\$([A-Z]+)\$[0-9]+"))</f>
        <v/>
      </c>
      <c r="I229" s="7" t="str" cm="1">
        <f t="array" aca="1" ref="I229" ca="1">IFERROR(IF(OR('Raw Data'!I229="",LEN(TRIM('Raw Data'!I229))=0),"",IF(AND(ISNUMBER('Raw Data'!I229), IFERROR('Raw Data'!I229 = ROUND('Raw Data'!I229, 4),FALSE)),"",_xlfn.REGEXEXTRACT(CELL("address",I229), "\$([A-Z]+)\$[0-9]+"))),_xlfn.REGEXEXTRACT(CELL("address",I229), "\$([A-Z]+)\$[0-9]+"))</f>
        <v/>
      </c>
      <c r="J229" s="7" t="str" cm="1">
        <f t="array" aca="1" ref="J229" ca="1">IFERROR(IF(OR('Raw Data'!J229="",LEN(TRIM('Raw Data'!J229))=0),"",IF(AND(ISNUMBER('Raw Data'!J229), IFERROR('Raw Data'!J229 = ROUND('Raw Data'!J229, 4),FALSE)),"",_xlfn.REGEXEXTRACT(CELL("address",J229), "\$([A-Z]+)\$[0-9]+"))),_xlfn.REGEXEXTRACT(CELL("address",J229), "\$([A-Z]+)\$[0-9]+"))</f>
        <v/>
      </c>
      <c r="K229" s="7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7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</row>
    <row r="230" spans="2:22" x14ac:dyDescent="0.25">
      <c r="B230" s="7" t="str" cm="1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20,LEN('Raw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Data'!D230))=0),"",IF(AND(ISNUMBER('Raw Data'!D230),'Raw Data'!D230&gt;=Configuration!$D$2),"",_xlfn.REGEXEXTRACT(CELL("address",'Raw Data'!D230),"\$([A-Z]+)\$[0-9]+"))),_xlfn.REGEXEXTRACT(CELL("address",D230), "\$([A-Z]+)\$[0-9]+"))</f>
        <v/>
      </c>
      <c r="E230" s="7" t="str" cm="1">
        <f t="array" aca="1" ref="E230" ca="1">IFERROR(IF(OR('Raw Data'!E230="",LEN(TRIM('Raw Data'!E230))=0),"",IF(AND(ISNUMBER('Raw Data'!E230), IFERROR('Raw Data'!E230 = ROUND('Raw Data'!E230, 4),FALSE)),"",_xlfn.REGEXEXTRACT(CELL("address",E230), "\$([A-Z]+)\$[0-9]+"))),_xlfn.REGEXEXTRACT(CELL("address",E230), "\$([A-Z]+)\$[0-9]+"))</f>
        <v/>
      </c>
      <c r="F230" s="7" t="str" cm="1">
        <f t="array" aca="1" ref="F230" ca="1">IFERROR(IF(OR('Raw Data'!F230="",LEN(TRIM('Raw Data'!F230))=0),"",IF(AND(ISNUMBER('Raw Data'!F230), IFERROR('Raw Data'!F230 = ROUND('Raw Data'!F230, 4),FALSE)),"",_xlfn.REGEXEXTRACT(CELL("address",F230), "\$([A-Z]+)\$[0-9]+"))),_xlfn.REGEXEXTRACT(CELL("address",F230), "\$([A-Z]+)\$[0-9]+"))</f>
        <v/>
      </c>
      <c r="G230" s="7" t="str" cm="1">
        <f t="array" aca="1" ref="G230" ca="1">IFERROR(IF(OR('Raw Data'!G230="",LEN(TRIM('Raw Data'!G230))=0),"",IF(AND(ISNUMBER('Raw Data'!G230), IFERROR('Raw Data'!G230 = ROUND('Raw Data'!G230, 4),FALSE)),"",_xlfn.REGEXEXTRACT(CELL("address",G230), "\$([A-Z]+)\$[0-9]+"))),_xlfn.REGEXEXTRACT(CELL("address",G230), "\$([A-Z]+)\$[0-9]+"))</f>
        <v/>
      </c>
      <c r="H230" s="7" t="str" cm="1">
        <f t="array" aca="1" ref="H230" ca="1">IFERROR(IF(OR('Raw Data'!H230="",LEN(TRIM('Raw Data'!H230))=0),"",IF(AND(ISNUMBER('Raw Data'!H230), IFERROR('Raw Data'!H230 = ROUND('Raw Data'!H230, 4),FALSE)),"",_xlfn.REGEXEXTRACT(CELL("address",H230), "\$([A-Z]+)\$[0-9]+"))),_xlfn.REGEXEXTRACT(CELL("address",H230), "\$([A-Z]+)\$[0-9]+"))</f>
        <v/>
      </c>
      <c r="I230" s="7" t="str" cm="1">
        <f t="array" aca="1" ref="I230" ca="1">IFERROR(IF(OR('Raw Data'!I230="",LEN(TRIM('Raw Data'!I230))=0),"",IF(AND(ISNUMBER('Raw Data'!I230), IFERROR('Raw Data'!I230 = ROUND('Raw Data'!I230, 4),FALSE)),"",_xlfn.REGEXEXTRACT(CELL("address",I230), "\$([A-Z]+)\$[0-9]+"))),_xlfn.REGEXEXTRACT(CELL("address",I230), "\$([A-Z]+)\$[0-9]+"))</f>
        <v/>
      </c>
      <c r="J230" s="7" t="str" cm="1">
        <f t="array" aca="1" ref="J230" ca="1">IFERROR(IF(OR('Raw Data'!J230="",LEN(TRIM('Raw Data'!J230))=0),"",IF(AND(ISNUMBER('Raw Data'!J230), IFERROR('Raw Data'!J230 = ROUND('Raw Data'!J230, 4),FALSE)),"",_xlfn.REGEXEXTRACT(CELL("address",J230), "\$([A-Z]+)\$[0-9]+"))),_xlfn.REGEXEXTRACT(CELL("address",J230), "\$([A-Z]+)\$[0-9]+"))</f>
        <v/>
      </c>
      <c r="K230" s="7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7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</row>
    <row r="231" spans="2:22" x14ac:dyDescent="0.25">
      <c r="B231" s="7" t="str" cm="1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20,LEN('Raw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Data'!D231))=0),"",IF(AND(ISNUMBER('Raw Data'!D231),'Raw Data'!D231&gt;=Configuration!$D$2),"",_xlfn.REGEXEXTRACT(CELL("address",'Raw Data'!D231),"\$([A-Z]+)\$[0-9]+"))),_xlfn.REGEXEXTRACT(CELL("address",D231), "\$([A-Z]+)\$[0-9]+"))</f>
        <v/>
      </c>
      <c r="E231" s="7" t="str" cm="1">
        <f t="array" aca="1" ref="E231" ca="1">IFERROR(IF(OR('Raw Data'!E231="",LEN(TRIM('Raw Data'!E231))=0),"",IF(AND(ISNUMBER('Raw Data'!E231), IFERROR('Raw Data'!E231 = ROUND('Raw Data'!E231, 4),FALSE)),"",_xlfn.REGEXEXTRACT(CELL("address",E231), "\$([A-Z]+)\$[0-9]+"))),_xlfn.REGEXEXTRACT(CELL("address",E231), "\$([A-Z]+)\$[0-9]+"))</f>
        <v/>
      </c>
      <c r="F231" s="7" t="str" cm="1">
        <f t="array" aca="1" ref="F231" ca="1">IFERROR(IF(OR('Raw Data'!F231="",LEN(TRIM('Raw Data'!F231))=0),"",IF(AND(ISNUMBER('Raw Data'!F231), IFERROR('Raw Data'!F231 = ROUND('Raw Data'!F231, 4),FALSE)),"",_xlfn.REGEXEXTRACT(CELL("address",F231), "\$([A-Z]+)\$[0-9]+"))),_xlfn.REGEXEXTRACT(CELL("address",F231), "\$([A-Z]+)\$[0-9]+"))</f>
        <v/>
      </c>
      <c r="G231" s="7" t="str" cm="1">
        <f t="array" aca="1" ref="G231" ca="1">IFERROR(IF(OR('Raw Data'!G231="",LEN(TRIM('Raw Data'!G231))=0),"",IF(AND(ISNUMBER('Raw Data'!G231), IFERROR('Raw Data'!G231 = ROUND('Raw Data'!G231, 4),FALSE)),"",_xlfn.REGEXEXTRACT(CELL("address",G231), "\$([A-Z]+)\$[0-9]+"))),_xlfn.REGEXEXTRACT(CELL("address",G231), "\$([A-Z]+)\$[0-9]+"))</f>
        <v/>
      </c>
      <c r="H231" s="7" t="str" cm="1">
        <f t="array" aca="1" ref="H231" ca="1">IFERROR(IF(OR('Raw Data'!H231="",LEN(TRIM('Raw Data'!H231))=0),"",IF(AND(ISNUMBER('Raw Data'!H231), IFERROR('Raw Data'!H231 = ROUND('Raw Data'!H231, 4),FALSE)),"",_xlfn.REGEXEXTRACT(CELL("address",H231), "\$([A-Z]+)\$[0-9]+"))),_xlfn.REGEXEXTRACT(CELL("address",H231), "\$([A-Z]+)\$[0-9]+"))</f>
        <v/>
      </c>
      <c r="I231" s="7" t="str" cm="1">
        <f t="array" aca="1" ref="I231" ca="1">IFERROR(IF(OR('Raw Data'!I231="",LEN(TRIM('Raw Data'!I231))=0),"",IF(AND(ISNUMBER('Raw Data'!I231), IFERROR('Raw Data'!I231 = ROUND('Raw Data'!I231, 4),FALSE)),"",_xlfn.REGEXEXTRACT(CELL("address",I231), "\$([A-Z]+)\$[0-9]+"))),_xlfn.REGEXEXTRACT(CELL("address",I231), "\$([A-Z]+)\$[0-9]+"))</f>
        <v/>
      </c>
      <c r="J231" s="7" t="str" cm="1">
        <f t="array" aca="1" ref="J231" ca="1">IFERROR(IF(OR('Raw Data'!J231="",LEN(TRIM('Raw Data'!J231))=0),"",IF(AND(ISNUMBER('Raw Data'!J231), IFERROR('Raw Data'!J231 = ROUND('Raw Data'!J231, 4),FALSE)),"",_xlfn.REGEXEXTRACT(CELL("address",J231), "\$([A-Z]+)\$[0-9]+"))),_xlfn.REGEXEXTRACT(CELL("address",J231), "\$([A-Z]+)\$[0-9]+"))</f>
        <v/>
      </c>
      <c r="K231" s="7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7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</row>
    <row r="232" spans="2:22" x14ac:dyDescent="0.25">
      <c r="B232" s="7" t="str" cm="1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20,LEN('Raw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Data'!D232))=0),"",IF(AND(ISNUMBER('Raw Data'!D232),'Raw Data'!D232&gt;=Configuration!$D$2),"",_xlfn.REGEXEXTRACT(CELL("address",'Raw Data'!D232),"\$([A-Z]+)\$[0-9]+"))),_xlfn.REGEXEXTRACT(CELL("address",D232), "\$([A-Z]+)\$[0-9]+"))</f>
        <v/>
      </c>
      <c r="E232" s="7" t="str" cm="1">
        <f t="array" aca="1" ref="E232" ca="1">IFERROR(IF(OR('Raw Data'!E232="",LEN(TRIM('Raw Data'!E232))=0),"",IF(AND(ISNUMBER('Raw Data'!E232), IFERROR('Raw Data'!E232 = ROUND('Raw Data'!E232, 4),FALSE)),"",_xlfn.REGEXEXTRACT(CELL("address",E232), "\$([A-Z]+)\$[0-9]+"))),_xlfn.REGEXEXTRACT(CELL("address",E232), "\$([A-Z]+)\$[0-9]+"))</f>
        <v/>
      </c>
      <c r="F232" s="7" t="str" cm="1">
        <f t="array" aca="1" ref="F232" ca="1">IFERROR(IF(OR('Raw Data'!F232="",LEN(TRIM('Raw Data'!F232))=0),"",IF(AND(ISNUMBER('Raw Data'!F232), IFERROR('Raw Data'!F232 = ROUND('Raw Data'!F232, 4),FALSE)),"",_xlfn.REGEXEXTRACT(CELL("address",F232), "\$([A-Z]+)\$[0-9]+"))),_xlfn.REGEXEXTRACT(CELL("address",F232), "\$([A-Z]+)\$[0-9]+"))</f>
        <v/>
      </c>
      <c r="G232" s="7" t="str" cm="1">
        <f t="array" aca="1" ref="G232" ca="1">IFERROR(IF(OR('Raw Data'!G232="",LEN(TRIM('Raw Data'!G232))=0),"",IF(AND(ISNUMBER('Raw Data'!G232), IFERROR('Raw Data'!G232 = ROUND('Raw Data'!G232, 4),FALSE)),"",_xlfn.REGEXEXTRACT(CELL("address",G232), "\$([A-Z]+)\$[0-9]+"))),_xlfn.REGEXEXTRACT(CELL("address",G232), "\$([A-Z]+)\$[0-9]+"))</f>
        <v/>
      </c>
      <c r="H232" s="7" t="str" cm="1">
        <f t="array" aca="1" ref="H232" ca="1">IFERROR(IF(OR('Raw Data'!H232="",LEN(TRIM('Raw Data'!H232))=0),"",IF(AND(ISNUMBER('Raw Data'!H232), IFERROR('Raw Data'!H232 = ROUND('Raw Data'!H232, 4),FALSE)),"",_xlfn.REGEXEXTRACT(CELL("address",H232), "\$([A-Z]+)\$[0-9]+"))),_xlfn.REGEXEXTRACT(CELL("address",H232), "\$([A-Z]+)\$[0-9]+"))</f>
        <v/>
      </c>
      <c r="I232" s="7" t="str" cm="1">
        <f t="array" aca="1" ref="I232" ca="1">IFERROR(IF(OR('Raw Data'!I232="",LEN(TRIM('Raw Data'!I232))=0),"",IF(AND(ISNUMBER('Raw Data'!I232), IFERROR('Raw Data'!I232 = ROUND('Raw Data'!I232, 4),FALSE)),"",_xlfn.REGEXEXTRACT(CELL("address",I232), "\$([A-Z]+)\$[0-9]+"))),_xlfn.REGEXEXTRACT(CELL("address",I232), "\$([A-Z]+)\$[0-9]+"))</f>
        <v/>
      </c>
      <c r="J232" s="7" t="str" cm="1">
        <f t="array" aca="1" ref="J232" ca="1">IFERROR(IF(OR('Raw Data'!J232="",LEN(TRIM('Raw Data'!J232))=0),"",IF(AND(ISNUMBER('Raw Data'!J232), IFERROR('Raw Data'!J232 = ROUND('Raw Data'!J232, 4),FALSE)),"",_xlfn.REGEXEXTRACT(CELL("address",J232), "\$([A-Z]+)\$[0-9]+"))),_xlfn.REGEXEXTRACT(CELL("address",J232), "\$([A-Z]+)\$[0-9]+"))</f>
        <v/>
      </c>
      <c r="K232" s="7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7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</row>
    <row r="233" spans="2:22" x14ac:dyDescent="0.25">
      <c r="B233" s="7" t="str" cm="1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20,LEN('Raw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Data'!D233))=0),"",IF(AND(ISNUMBER('Raw Data'!D233),'Raw Data'!D233&gt;=Configuration!$D$2),"",_xlfn.REGEXEXTRACT(CELL("address",'Raw Data'!D233),"\$([A-Z]+)\$[0-9]+"))),_xlfn.REGEXEXTRACT(CELL("address",D233), "\$([A-Z]+)\$[0-9]+"))</f>
        <v/>
      </c>
      <c r="E233" s="7" t="str" cm="1">
        <f t="array" aca="1" ref="E233" ca="1">IFERROR(IF(OR('Raw Data'!E233="",LEN(TRIM('Raw Data'!E233))=0),"",IF(AND(ISNUMBER('Raw Data'!E233), IFERROR('Raw Data'!E233 = ROUND('Raw Data'!E233, 4),FALSE)),"",_xlfn.REGEXEXTRACT(CELL("address",E233), "\$([A-Z]+)\$[0-9]+"))),_xlfn.REGEXEXTRACT(CELL("address",E233), "\$([A-Z]+)\$[0-9]+"))</f>
        <v/>
      </c>
      <c r="F233" s="7" t="str" cm="1">
        <f t="array" aca="1" ref="F233" ca="1">IFERROR(IF(OR('Raw Data'!F233="",LEN(TRIM('Raw Data'!F233))=0),"",IF(AND(ISNUMBER('Raw Data'!F233), IFERROR('Raw Data'!F233 = ROUND('Raw Data'!F233, 4),FALSE)),"",_xlfn.REGEXEXTRACT(CELL("address",F233), "\$([A-Z]+)\$[0-9]+"))),_xlfn.REGEXEXTRACT(CELL("address",F233), "\$([A-Z]+)\$[0-9]+"))</f>
        <v/>
      </c>
      <c r="G233" s="7" t="str" cm="1">
        <f t="array" aca="1" ref="G233" ca="1">IFERROR(IF(OR('Raw Data'!G233="",LEN(TRIM('Raw Data'!G233))=0),"",IF(AND(ISNUMBER('Raw Data'!G233), IFERROR('Raw Data'!G233 = ROUND('Raw Data'!G233, 4),FALSE)),"",_xlfn.REGEXEXTRACT(CELL("address",G233), "\$([A-Z]+)\$[0-9]+"))),_xlfn.REGEXEXTRACT(CELL("address",G233), "\$([A-Z]+)\$[0-9]+"))</f>
        <v/>
      </c>
      <c r="H233" s="7" t="str" cm="1">
        <f t="array" aca="1" ref="H233" ca="1">IFERROR(IF(OR('Raw Data'!H233="",LEN(TRIM('Raw Data'!H233))=0),"",IF(AND(ISNUMBER('Raw Data'!H233), IFERROR('Raw Data'!H233 = ROUND('Raw Data'!H233, 4),FALSE)),"",_xlfn.REGEXEXTRACT(CELL("address",H233), "\$([A-Z]+)\$[0-9]+"))),_xlfn.REGEXEXTRACT(CELL("address",H233), "\$([A-Z]+)\$[0-9]+"))</f>
        <v/>
      </c>
      <c r="I233" s="7" t="str" cm="1">
        <f t="array" aca="1" ref="I233" ca="1">IFERROR(IF(OR('Raw Data'!I233="",LEN(TRIM('Raw Data'!I233))=0),"",IF(AND(ISNUMBER('Raw Data'!I233), IFERROR('Raw Data'!I233 = ROUND('Raw Data'!I233, 4),FALSE)),"",_xlfn.REGEXEXTRACT(CELL("address",I233), "\$([A-Z]+)\$[0-9]+"))),_xlfn.REGEXEXTRACT(CELL("address",I233), "\$([A-Z]+)\$[0-9]+"))</f>
        <v/>
      </c>
      <c r="J233" s="7" t="str" cm="1">
        <f t="array" aca="1" ref="J233" ca="1">IFERROR(IF(OR('Raw Data'!J233="",LEN(TRIM('Raw Data'!J233))=0),"",IF(AND(ISNUMBER('Raw Data'!J233), IFERROR('Raw Data'!J233 = ROUND('Raw Data'!J233, 4),FALSE)),"",_xlfn.REGEXEXTRACT(CELL("address",J233), "\$([A-Z]+)\$[0-9]+"))),_xlfn.REGEXEXTRACT(CELL("address",J233), "\$([A-Z]+)\$[0-9]+"))</f>
        <v/>
      </c>
      <c r="K233" s="7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7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</row>
    <row r="234" spans="2:22" x14ac:dyDescent="0.25">
      <c r="B234" s="7" t="str" cm="1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20,LEN('Raw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Data'!D234))=0),"",IF(AND(ISNUMBER('Raw Data'!D234),'Raw Data'!D234&gt;=Configuration!$D$2),"",_xlfn.REGEXEXTRACT(CELL("address",'Raw Data'!D234),"\$([A-Z]+)\$[0-9]+"))),_xlfn.REGEXEXTRACT(CELL("address",D234), "\$([A-Z]+)\$[0-9]+"))</f>
        <v/>
      </c>
      <c r="E234" s="7" t="str" cm="1">
        <f t="array" aca="1" ref="E234" ca="1">IFERROR(IF(OR('Raw Data'!E234="",LEN(TRIM('Raw Data'!E234))=0),"",IF(AND(ISNUMBER('Raw Data'!E234), IFERROR('Raw Data'!E234 = ROUND('Raw Data'!E234, 4),FALSE)),"",_xlfn.REGEXEXTRACT(CELL("address",E234), "\$([A-Z]+)\$[0-9]+"))),_xlfn.REGEXEXTRACT(CELL("address",E234), "\$([A-Z]+)\$[0-9]+"))</f>
        <v/>
      </c>
      <c r="F234" s="7" t="str" cm="1">
        <f t="array" aca="1" ref="F234" ca="1">IFERROR(IF(OR('Raw Data'!F234="",LEN(TRIM('Raw Data'!F234))=0),"",IF(AND(ISNUMBER('Raw Data'!F234), IFERROR('Raw Data'!F234 = ROUND('Raw Data'!F234, 4),FALSE)),"",_xlfn.REGEXEXTRACT(CELL("address",F234), "\$([A-Z]+)\$[0-9]+"))),_xlfn.REGEXEXTRACT(CELL("address",F234), "\$([A-Z]+)\$[0-9]+"))</f>
        <v/>
      </c>
      <c r="G234" s="7" t="str" cm="1">
        <f t="array" aca="1" ref="G234" ca="1">IFERROR(IF(OR('Raw Data'!G234="",LEN(TRIM('Raw Data'!G234))=0),"",IF(AND(ISNUMBER('Raw Data'!G234), IFERROR('Raw Data'!G234 = ROUND('Raw Data'!G234, 4),FALSE)),"",_xlfn.REGEXEXTRACT(CELL("address",G234), "\$([A-Z]+)\$[0-9]+"))),_xlfn.REGEXEXTRACT(CELL("address",G234), "\$([A-Z]+)\$[0-9]+"))</f>
        <v/>
      </c>
      <c r="H234" s="7" t="str" cm="1">
        <f t="array" aca="1" ref="H234" ca="1">IFERROR(IF(OR('Raw Data'!H234="",LEN(TRIM('Raw Data'!H234))=0),"",IF(AND(ISNUMBER('Raw Data'!H234), IFERROR('Raw Data'!H234 = ROUND('Raw Data'!H234, 4),FALSE)),"",_xlfn.REGEXEXTRACT(CELL("address",H234), "\$([A-Z]+)\$[0-9]+"))),_xlfn.REGEXEXTRACT(CELL("address",H234), "\$([A-Z]+)\$[0-9]+"))</f>
        <v/>
      </c>
      <c r="I234" s="7" t="str" cm="1">
        <f t="array" aca="1" ref="I234" ca="1">IFERROR(IF(OR('Raw Data'!I234="",LEN(TRIM('Raw Data'!I234))=0),"",IF(AND(ISNUMBER('Raw Data'!I234), IFERROR('Raw Data'!I234 = ROUND('Raw Data'!I234, 4),FALSE)),"",_xlfn.REGEXEXTRACT(CELL("address",I234), "\$([A-Z]+)\$[0-9]+"))),_xlfn.REGEXEXTRACT(CELL("address",I234), "\$([A-Z]+)\$[0-9]+"))</f>
        <v/>
      </c>
      <c r="J234" s="7" t="str" cm="1">
        <f t="array" aca="1" ref="J234" ca="1">IFERROR(IF(OR('Raw Data'!J234="",LEN(TRIM('Raw Data'!J234))=0),"",IF(AND(ISNUMBER('Raw Data'!J234), IFERROR('Raw Data'!J234 = ROUND('Raw Data'!J234, 4),FALSE)),"",_xlfn.REGEXEXTRACT(CELL("address",J234), "\$([A-Z]+)\$[0-9]+"))),_xlfn.REGEXEXTRACT(CELL("address",J234), "\$([A-Z]+)\$[0-9]+"))</f>
        <v/>
      </c>
      <c r="K234" s="7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7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</row>
    <row r="235" spans="2:22" x14ac:dyDescent="0.25">
      <c r="B235" s="7" t="str" cm="1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20,LEN('Raw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Data'!D235))=0),"",IF(AND(ISNUMBER('Raw Data'!D235),'Raw Data'!D235&gt;=Configuration!$D$2),"",_xlfn.REGEXEXTRACT(CELL("address",'Raw Data'!D235),"\$([A-Z]+)\$[0-9]+"))),_xlfn.REGEXEXTRACT(CELL("address",D235), "\$([A-Z]+)\$[0-9]+"))</f>
        <v/>
      </c>
      <c r="E235" s="7" t="str" cm="1">
        <f t="array" aca="1" ref="E235" ca="1">IFERROR(IF(OR('Raw Data'!E235="",LEN(TRIM('Raw Data'!E235))=0),"",IF(AND(ISNUMBER('Raw Data'!E235), IFERROR('Raw Data'!E235 = ROUND('Raw Data'!E235, 4),FALSE)),"",_xlfn.REGEXEXTRACT(CELL("address",E235), "\$([A-Z]+)\$[0-9]+"))),_xlfn.REGEXEXTRACT(CELL("address",E235), "\$([A-Z]+)\$[0-9]+"))</f>
        <v/>
      </c>
      <c r="F235" s="7" t="str" cm="1">
        <f t="array" aca="1" ref="F235" ca="1">IFERROR(IF(OR('Raw Data'!F235="",LEN(TRIM('Raw Data'!F235))=0),"",IF(AND(ISNUMBER('Raw Data'!F235), IFERROR('Raw Data'!F235 = ROUND('Raw Data'!F235, 4),FALSE)),"",_xlfn.REGEXEXTRACT(CELL("address",F235), "\$([A-Z]+)\$[0-9]+"))),_xlfn.REGEXEXTRACT(CELL("address",F235), "\$([A-Z]+)\$[0-9]+"))</f>
        <v/>
      </c>
      <c r="G235" s="7" t="str" cm="1">
        <f t="array" aca="1" ref="G235" ca="1">IFERROR(IF(OR('Raw Data'!G235="",LEN(TRIM('Raw Data'!G235))=0),"",IF(AND(ISNUMBER('Raw Data'!G235), IFERROR('Raw Data'!G235 = ROUND('Raw Data'!G235, 4),FALSE)),"",_xlfn.REGEXEXTRACT(CELL("address",G235), "\$([A-Z]+)\$[0-9]+"))),_xlfn.REGEXEXTRACT(CELL("address",G235), "\$([A-Z]+)\$[0-9]+"))</f>
        <v/>
      </c>
      <c r="H235" s="7" t="str" cm="1">
        <f t="array" aca="1" ref="H235" ca="1">IFERROR(IF(OR('Raw Data'!H235="",LEN(TRIM('Raw Data'!H235))=0),"",IF(AND(ISNUMBER('Raw Data'!H235), IFERROR('Raw Data'!H235 = ROUND('Raw Data'!H235, 4),FALSE)),"",_xlfn.REGEXEXTRACT(CELL("address",H235), "\$([A-Z]+)\$[0-9]+"))),_xlfn.REGEXEXTRACT(CELL("address",H235), "\$([A-Z]+)\$[0-9]+"))</f>
        <v/>
      </c>
      <c r="I235" s="7" t="str" cm="1">
        <f t="array" aca="1" ref="I235" ca="1">IFERROR(IF(OR('Raw Data'!I235="",LEN(TRIM('Raw Data'!I235))=0),"",IF(AND(ISNUMBER('Raw Data'!I235), IFERROR('Raw Data'!I235 = ROUND('Raw Data'!I235, 4),FALSE)),"",_xlfn.REGEXEXTRACT(CELL("address",I235), "\$([A-Z]+)\$[0-9]+"))),_xlfn.REGEXEXTRACT(CELL("address",I235), "\$([A-Z]+)\$[0-9]+"))</f>
        <v/>
      </c>
      <c r="J235" s="7" t="str" cm="1">
        <f t="array" aca="1" ref="J235" ca="1">IFERROR(IF(OR('Raw Data'!J235="",LEN(TRIM('Raw Data'!J235))=0),"",IF(AND(ISNUMBER('Raw Data'!J235), IFERROR('Raw Data'!J235 = ROUND('Raw Data'!J235, 4),FALSE)),"",_xlfn.REGEXEXTRACT(CELL("address",J235), "\$([A-Z]+)\$[0-9]+"))),_xlfn.REGEXEXTRACT(CELL("address",J235), "\$([A-Z]+)\$[0-9]+"))</f>
        <v/>
      </c>
      <c r="K235" s="7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7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</row>
    <row r="236" spans="2:22" x14ac:dyDescent="0.25">
      <c r="B236" s="7" t="str" cm="1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20,LEN('Raw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Data'!D236))=0),"",IF(AND(ISNUMBER('Raw Data'!D236),'Raw Data'!D236&gt;=Configuration!$D$2),"",_xlfn.REGEXEXTRACT(CELL("address",'Raw Data'!D236),"\$([A-Z]+)\$[0-9]+"))),_xlfn.REGEXEXTRACT(CELL("address",D236), "\$([A-Z]+)\$[0-9]+"))</f>
        <v/>
      </c>
      <c r="E236" s="7" t="str" cm="1">
        <f t="array" aca="1" ref="E236" ca="1">IFERROR(IF(OR('Raw Data'!E236="",LEN(TRIM('Raw Data'!E236))=0),"",IF(AND(ISNUMBER('Raw Data'!E236), IFERROR('Raw Data'!E236 = ROUND('Raw Data'!E236, 4),FALSE)),"",_xlfn.REGEXEXTRACT(CELL("address",E236), "\$([A-Z]+)\$[0-9]+"))),_xlfn.REGEXEXTRACT(CELL("address",E236), "\$([A-Z]+)\$[0-9]+"))</f>
        <v/>
      </c>
      <c r="F236" s="7" t="str" cm="1">
        <f t="array" aca="1" ref="F236" ca="1">IFERROR(IF(OR('Raw Data'!F236="",LEN(TRIM('Raw Data'!F236))=0),"",IF(AND(ISNUMBER('Raw Data'!F236), IFERROR('Raw Data'!F236 = ROUND('Raw Data'!F236, 4),FALSE)),"",_xlfn.REGEXEXTRACT(CELL("address",F236), "\$([A-Z]+)\$[0-9]+"))),_xlfn.REGEXEXTRACT(CELL("address",F236), "\$([A-Z]+)\$[0-9]+"))</f>
        <v/>
      </c>
      <c r="G236" s="7" t="str" cm="1">
        <f t="array" aca="1" ref="G236" ca="1">IFERROR(IF(OR('Raw Data'!G236="",LEN(TRIM('Raw Data'!G236))=0),"",IF(AND(ISNUMBER('Raw Data'!G236), IFERROR('Raw Data'!G236 = ROUND('Raw Data'!G236, 4),FALSE)),"",_xlfn.REGEXEXTRACT(CELL("address",G236), "\$([A-Z]+)\$[0-9]+"))),_xlfn.REGEXEXTRACT(CELL("address",G236), "\$([A-Z]+)\$[0-9]+"))</f>
        <v/>
      </c>
      <c r="H236" s="7" t="str" cm="1">
        <f t="array" aca="1" ref="H236" ca="1">IFERROR(IF(OR('Raw Data'!H236="",LEN(TRIM('Raw Data'!H236))=0),"",IF(AND(ISNUMBER('Raw Data'!H236), IFERROR('Raw Data'!H236 = ROUND('Raw Data'!H236, 4),FALSE)),"",_xlfn.REGEXEXTRACT(CELL("address",H236), "\$([A-Z]+)\$[0-9]+"))),_xlfn.REGEXEXTRACT(CELL("address",H236), "\$([A-Z]+)\$[0-9]+"))</f>
        <v/>
      </c>
      <c r="I236" s="7" t="str" cm="1">
        <f t="array" aca="1" ref="I236" ca="1">IFERROR(IF(OR('Raw Data'!I236="",LEN(TRIM('Raw Data'!I236))=0),"",IF(AND(ISNUMBER('Raw Data'!I236), IFERROR('Raw Data'!I236 = ROUND('Raw Data'!I236, 4),FALSE)),"",_xlfn.REGEXEXTRACT(CELL("address",I236), "\$([A-Z]+)\$[0-9]+"))),_xlfn.REGEXEXTRACT(CELL("address",I236), "\$([A-Z]+)\$[0-9]+"))</f>
        <v/>
      </c>
      <c r="J236" s="7" t="str" cm="1">
        <f t="array" aca="1" ref="J236" ca="1">IFERROR(IF(OR('Raw Data'!J236="",LEN(TRIM('Raw Data'!J236))=0),"",IF(AND(ISNUMBER('Raw Data'!J236), IFERROR('Raw Data'!J236 = ROUND('Raw Data'!J236, 4),FALSE)),"",_xlfn.REGEXEXTRACT(CELL("address",J236), "\$([A-Z]+)\$[0-9]+"))),_xlfn.REGEXEXTRACT(CELL("address",J236), "\$([A-Z]+)\$[0-9]+"))</f>
        <v/>
      </c>
      <c r="K236" s="7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7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</row>
    <row r="237" spans="2:22" x14ac:dyDescent="0.25">
      <c r="B237" s="7" t="str" cm="1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20,LEN('Raw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Data'!D237))=0),"",IF(AND(ISNUMBER('Raw Data'!D237),'Raw Data'!D237&gt;=Configuration!$D$2),"",_xlfn.REGEXEXTRACT(CELL("address",'Raw Data'!D237),"\$([A-Z]+)\$[0-9]+"))),_xlfn.REGEXEXTRACT(CELL("address",D237), "\$([A-Z]+)\$[0-9]+"))</f>
        <v/>
      </c>
      <c r="E237" s="7" t="str" cm="1">
        <f t="array" aca="1" ref="E237" ca="1">IFERROR(IF(OR('Raw Data'!E237="",LEN(TRIM('Raw Data'!E237))=0),"",IF(AND(ISNUMBER('Raw Data'!E237), IFERROR('Raw Data'!E237 = ROUND('Raw Data'!E237, 4),FALSE)),"",_xlfn.REGEXEXTRACT(CELL("address",E237), "\$([A-Z]+)\$[0-9]+"))),_xlfn.REGEXEXTRACT(CELL("address",E237), "\$([A-Z]+)\$[0-9]+"))</f>
        <v/>
      </c>
      <c r="F237" s="7" t="str" cm="1">
        <f t="array" aca="1" ref="F237" ca="1">IFERROR(IF(OR('Raw Data'!F237="",LEN(TRIM('Raw Data'!F237))=0),"",IF(AND(ISNUMBER('Raw Data'!F237), IFERROR('Raw Data'!F237 = ROUND('Raw Data'!F237, 4),FALSE)),"",_xlfn.REGEXEXTRACT(CELL("address",F237), "\$([A-Z]+)\$[0-9]+"))),_xlfn.REGEXEXTRACT(CELL("address",F237), "\$([A-Z]+)\$[0-9]+"))</f>
        <v/>
      </c>
      <c r="G237" s="7" t="str" cm="1">
        <f t="array" aca="1" ref="G237" ca="1">IFERROR(IF(OR('Raw Data'!G237="",LEN(TRIM('Raw Data'!G237))=0),"",IF(AND(ISNUMBER('Raw Data'!G237), IFERROR('Raw Data'!G237 = ROUND('Raw Data'!G237, 4),FALSE)),"",_xlfn.REGEXEXTRACT(CELL("address",G237), "\$([A-Z]+)\$[0-9]+"))),_xlfn.REGEXEXTRACT(CELL("address",G237), "\$([A-Z]+)\$[0-9]+"))</f>
        <v/>
      </c>
      <c r="H237" s="7" t="str" cm="1">
        <f t="array" aca="1" ref="H237" ca="1">IFERROR(IF(OR('Raw Data'!H237="",LEN(TRIM('Raw Data'!H237))=0),"",IF(AND(ISNUMBER('Raw Data'!H237), IFERROR('Raw Data'!H237 = ROUND('Raw Data'!H237, 4),FALSE)),"",_xlfn.REGEXEXTRACT(CELL("address",H237), "\$([A-Z]+)\$[0-9]+"))),_xlfn.REGEXEXTRACT(CELL("address",H237), "\$([A-Z]+)\$[0-9]+"))</f>
        <v/>
      </c>
      <c r="I237" s="7" t="str" cm="1">
        <f t="array" aca="1" ref="I237" ca="1">IFERROR(IF(OR('Raw Data'!I237="",LEN(TRIM('Raw Data'!I237))=0),"",IF(AND(ISNUMBER('Raw Data'!I237), IFERROR('Raw Data'!I237 = ROUND('Raw Data'!I237, 4),FALSE)),"",_xlfn.REGEXEXTRACT(CELL("address",I237), "\$([A-Z]+)\$[0-9]+"))),_xlfn.REGEXEXTRACT(CELL("address",I237), "\$([A-Z]+)\$[0-9]+"))</f>
        <v/>
      </c>
      <c r="J237" s="7" t="str" cm="1">
        <f t="array" aca="1" ref="J237" ca="1">IFERROR(IF(OR('Raw Data'!J237="",LEN(TRIM('Raw Data'!J237))=0),"",IF(AND(ISNUMBER('Raw Data'!J237), IFERROR('Raw Data'!J237 = ROUND('Raw Data'!J237, 4),FALSE)),"",_xlfn.REGEXEXTRACT(CELL("address",J237), "\$([A-Z]+)\$[0-9]+"))),_xlfn.REGEXEXTRACT(CELL("address",J237), "\$([A-Z]+)\$[0-9]+"))</f>
        <v/>
      </c>
      <c r="K237" s="7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7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</row>
    <row r="238" spans="2:22" x14ac:dyDescent="0.25">
      <c r="B238" s="7" t="str" cm="1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20,LEN('Raw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Data'!D238))=0),"",IF(AND(ISNUMBER('Raw Data'!D238),'Raw Data'!D238&gt;=Configuration!$D$2),"",_xlfn.REGEXEXTRACT(CELL("address",'Raw Data'!D238),"\$([A-Z]+)\$[0-9]+"))),_xlfn.REGEXEXTRACT(CELL("address",D238), "\$([A-Z]+)\$[0-9]+"))</f>
        <v/>
      </c>
      <c r="E238" s="7" t="str" cm="1">
        <f t="array" aca="1" ref="E238" ca="1">IFERROR(IF(OR('Raw Data'!E238="",LEN(TRIM('Raw Data'!E238))=0),"",IF(AND(ISNUMBER('Raw Data'!E238), IFERROR('Raw Data'!E238 = ROUND('Raw Data'!E238, 4),FALSE)),"",_xlfn.REGEXEXTRACT(CELL("address",E238), "\$([A-Z]+)\$[0-9]+"))),_xlfn.REGEXEXTRACT(CELL("address",E238), "\$([A-Z]+)\$[0-9]+"))</f>
        <v/>
      </c>
      <c r="F238" s="7" t="str" cm="1">
        <f t="array" aca="1" ref="F238" ca="1">IFERROR(IF(OR('Raw Data'!F238="",LEN(TRIM('Raw Data'!F238))=0),"",IF(AND(ISNUMBER('Raw Data'!F238), IFERROR('Raw Data'!F238 = ROUND('Raw Data'!F238, 4),FALSE)),"",_xlfn.REGEXEXTRACT(CELL("address",F238), "\$([A-Z]+)\$[0-9]+"))),_xlfn.REGEXEXTRACT(CELL("address",F238), "\$([A-Z]+)\$[0-9]+"))</f>
        <v/>
      </c>
      <c r="G238" s="7" t="str" cm="1">
        <f t="array" aca="1" ref="G238" ca="1">IFERROR(IF(OR('Raw Data'!G238="",LEN(TRIM('Raw Data'!G238))=0),"",IF(AND(ISNUMBER('Raw Data'!G238), IFERROR('Raw Data'!G238 = ROUND('Raw Data'!G238, 4),FALSE)),"",_xlfn.REGEXEXTRACT(CELL("address",G238), "\$([A-Z]+)\$[0-9]+"))),_xlfn.REGEXEXTRACT(CELL("address",G238), "\$([A-Z]+)\$[0-9]+"))</f>
        <v/>
      </c>
      <c r="H238" s="7" t="str" cm="1">
        <f t="array" aca="1" ref="H238" ca="1">IFERROR(IF(OR('Raw Data'!H238="",LEN(TRIM('Raw Data'!H238))=0),"",IF(AND(ISNUMBER('Raw Data'!H238), IFERROR('Raw Data'!H238 = ROUND('Raw Data'!H238, 4),FALSE)),"",_xlfn.REGEXEXTRACT(CELL("address",H238), "\$([A-Z]+)\$[0-9]+"))),_xlfn.REGEXEXTRACT(CELL("address",H238), "\$([A-Z]+)\$[0-9]+"))</f>
        <v/>
      </c>
      <c r="I238" s="7" t="str" cm="1">
        <f t="array" aca="1" ref="I238" ca="1">IFERROR(IF(OR('Raw Data'!I238="",LEN(TRIM('Raw Data'!I238))=0),"",IF(AND(ISNUMBER('Raw Data'!I238), IFERROR('Raw Data'!I238 = ROUND('Raw Data'!I238, 4),FALSE)),"",_xlfn.REGEXEXTRACT(CELL("address",I238), "\$([A-Z]+)\$[0-9]+"))),_xlfn.REGEXEXTRACT(CELL("address",I238), "\$([A-Z]+)\$[0-9]+"))</f>
        <v/>
      </c>
      <c r="J238" s="7" t="str" cm="1">
        <f t="array" aca="1" ref="J238" ca="1">IFERROR(IF(OR('Raw Data'!J238="",LEN(TRIM('Raw Data'!J238))=0),"",IF(AND(ISNUMBER('Raw Data'!J238), IFERROR('Raw Data'!J238 = ROUND('Raw Data'!J238, 4),FALSE)),"",_xlfn.REGEXEXTRACT(CELL("address",J238), "\$([A-Z]+)\$[0-9]+"))),_xlfn.REGEXEXTRACT(CELL("address",J238), "\$([A-Z]+)\$[0-9]+"))</f>
        <v/>
      </c>
      <c r="K238" s="7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7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</row>
    <row r="239" spans="2:22" x14ac:dyDescent="0.25">
      <c r="B239" s="7" t="str" cm="1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20,LEN('Raw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Data'!D239))=0),"",IF(AND(ISNUMBER('Raw Data'!D239),'Raw Data'!D239&gt;=Configuration!$D$2),"",_xlfn.REGEXEXTRACT(CELL("address",'Raw Data'!D239),"\$([A-Z]+)\$[0-9]+"))),_xlfn.REGEXEXTRACT(CELL("address",D239), "\$([A-Z]+)\$[0-9]+"))</f>
        <v/>
      </c>
      <c r="E239" s="7" t="str" cm="1">
        <f t="array" aca="1" ref="E239" ca="1">IFERROR(IF(OR('Raw Data'!E239="",LEN(TRIM('Raw Data'!E239))=0),"",IF(AND(ISNUMBER('Raw Data'!E239), IFERROR('Raw Data'!E239 = ROUND('Raw Data'!E239, 4),FALSE)),"",_xlfn.REGEXEXTRACT(CELL("address",E239), "\$([A-Z]+)\$[0-9]+"))),_xlfn.REGEXEXTRACT(CELL("address",E239), "\$([A-Z]+)\$[0-9]+"))</f>
        <v/>
      </c>
      <c r="F239" s="7" t="str" cm="1">
        <f t="array" aca="1" ref="F239" ca="1">IFERROR(IF(OR('Raw Data'!F239="",LEN(TRIM('Raw Data'!F239))=0),"",IF(AND(ISNUMBER('Raw Data'!F239), IFERROR('Raw Data'!F239 = ROUND('Raw Data'!F239, 4),FALSE)),"",_xlfn.REGEXEXTRACT(CELL("address",F239), "\$([A-Z]+)\$[0-9]+"))),_xlfn.REGEXEXTRACT(CELL("address",F239), "\$([A-Z]+)\$[0-9]+"))</f>
        <v/>
      </c>
      <c r="G239" s="7" t="str" cm="1">
        <f t="array" aca="1" ref="G239" ca="1">IFERROR(IF(OR('Raw Data'!G239="",LEN(TRIM('Raw Data'!G239))=0),"",IF(AND(ISNUMBER('Raw Data'!G239), IFERROR('Raw Data'!G239 = ROUND('Raw Data'!G239, 4),FALSE)),"",_xlfn.REGEXEXTRACT(CELL("address",G239), "\$([A-Z]+)\$[0-9]+"))),_xlfn.REGEXEXTRACT(CELL("address",G239), "\$([A-Z]+)\$[0-9]+"))</f>
        <v/>
      </c>
      <c r="H239" s="7" t="str" cm="1">
        <f t="array" aca="1" ref="H239" ca="1">IFERROR(IF(OR('Raw Data'!H239="",LEN(TRIM('Raw Data'!H239))=0),"",IF(AND(ISNUMBER('Raw Data'!H239), IFERROR('Raw Data'!H239 = ROUND('Raw Data'!H239, 4),FALSE)),"",_xlfn.REGEXEXTRACT(CELL("address",H239), "\$([A-Z]+)\$[0-9]+"))),_xlfn.REGEXEXTRACT(CELL("address",H239), "\$([A-Z]+)\$[0-9]+"))</f>
        <v/>
      </c>
      <c r="I239" s="7" t="str" cm="1">
        <f t="array" aca="1" ref="I239" ca="1">IFERROR(IF(OR('Raw Data'!I239="",LEN(TRIM('Raw Data'!I239))=0),"",IF(AND(ISNUMBER('Raw Data'!I239), IFERROR('Raw Data'!I239 = ROUND('Raw Data'!I239, 4),FALSE)),"",_xlfn.REGEXEXTRACT(CELL("address",I239), "\$([A-Z]+)\$[0-9]+"))),_xlfn.REGEXEXTRACT(CELL("address",I239), "\$([A-Z]+)\$[0-9]+"))</f>
        <v/>
      </c>
      <c r="J239" s="7" t="str" cm="1">
        <f t="array" aca="1" ref="J239" ca="1">IFERROR(IF(OR('Raw Data'!J239="",LEN(TRIM('Raw Data'!J239))=0),"",IF(AND(ISNUMBER('Raw Data'!J239), IFERROR('Raw Data'!J239 = ROUND('Raw Data'!J239, 4),FALSE)),"",_xlfn.REGEXEXTRACT(CELL("address",J239), "\$([A-Z]+)\$[0-9]+"))),_xlfn.REGEXEXTRACT(CELL("address",J239), "\$([A-Z]+)\$[0-9]+"))</f>
        <v/>
      </c>
      <c r="K239" s="7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7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</row>
    <row r="240" spans="2:22" x14ac:dyDescent="0.25">
      <c r="B240" s="7" t="str" cm="1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20,LEN('Raw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Data'!D240))=0),"",IF(AND(ISNUMBER('Raw Data'!D240),'Raw Data'!D240&gt;=Configuration!$D$2),"",_xlfn.REGEXEXTRACT(CELL("address",'Raw Data'!D240),"\$([A-Z]+)\$[0-9]+"))),_xlfn.REGEXEXTRACT(CELL("address",D240), "\$([A-Z]+)\$[0-9]+"))</f>
        <v/>
      </c>
      <c r="E240" s="7" t="str" cm="1">
        <f t="array" aca="1" ref="E240" ca="1">IFERROR(IF(OR('Raw Data'!E240="",LEN(TRIM('Raw Data'!E240))=0),"",IF(AND(ISNUMBER('Raw Data'!E240), IFERROR('Raw Data'!E240 = ROUND('Raw Data'!E240, 4),FALSE)),"",_xlfn.REGEXEXTRACT(CELL("address",E240), "\$([A-Z]+)\$[0-9]+"))),_xlfn.REGEXEXTRACT(CELL("address",E240), "\$([A-Z]+)\$[0-9]+"))</f>
        <v/>
      </c>
      <c r="F240" s="7" t="str" cm="1">
        <f t="array" aca="1" ref="F240" ca="1">IFERROR(IF(OR('Raw Data'!F240="",LEN(TRIM('Raw Data'!F240))=0),"",IF(AND(ISNUMBER('Raw Data'!F240), IFERROR('Raw Data'!F240 = ROUND('Raw Data'!F240, 4),FALSE)),"",_xlfn.REGEXEXTRACT(CELL("address",F240), "\$([A-Z]+)\$[0-9]+"))),_xlfn.REGEXEXTRACT(CELL("address",F240), "\$([A-Z]+)\$[0-9]+"))</f>
        <v/>
      </c>
      <c r="G240" s="7" t="str" cm="1">
        <f t="array" aca="1" ref="G240" ca="1">IFERROR(IF(OR('Raw Data'!G240="",LEN(TRIM('Raw Data'!G240))=0),"",IF(AND(ISNUMBER('Raw Data'!G240), IFERROR('Raw Data'!G240 = ROUND('Raw Data'!G240, 4),FALSE)),"",_xlfn.REGEXEXTRACT(CELL("address",G240), "\$([A-Z]+)\$[0-9]+"))),_xlfn.REGEXEXTRACT(CELL("address",G240), "\$([A-Z]+)\$[0-9]+"))</f>
        <v/>
      </c>
      <c r="H240" s="7" t="str" cm="1">
        <f t="array" aca="1" ref="H240" ca="1">IFERROR(IF(OR('Raw Data'!H240="",LEN(TRIM('Raw Data'!H240))=0),"",IF(AND(ISNUMBER('Raw Data'!H240), IFERROR('Raw Data'!H240 = ROUND('Raw Data'!H240, 4),FALSE)),"",_xlfn.REGEXEXTRACT(CELL("address",H240), "\$([A-Z]+)\$[0-9]+"))),_xlfn.REGEXEXTRACT(CELL("address",H240), "\$([A-Z]+)\$[0-9]+"))</f>
        <v/>
      </c>
      <c r="I240" s="7" t="str" cm="1">
        <f t="array" aca="1" ref="I240" ca="1">IFERROR(IF(OR('Raw Data'!I240="",LEN(TRIM('Raw Data'!I240))=0),"",IF(AND(ISNUMBER('Raw Data'!I240), IFERROR('Raw Data'!I240 = ROUND('Raw Data'!I240, 4),FALSE)),"",_xlfn.REGEXEXTRACT(CELL("address",I240), "\$([A-Z]+)\$[0-9]+"))),_xlfn.REGEXEXTRACT(CELL("address",I240), "\$([A-Z]+)\$[0-9]+"))</f>
        <v/>
      </c>
      <c r="J240" s="7" t="str" cm="1">
        <f t="array" aca="1" ref="J240" ca="1">IFERROR(IF(OR('Raw Data'!J240="",LEN(TRIM('Raw Data'!J240))=0),"",IF(AND(ISNUMBER('Raw Data'!J240), IFERROR('Raw Data'!J240 = ROUND('Raw Data'!J240, 4),FALSE)),"",_xlfn.REGEXEXTRACT(CELL("address",J240), "\$([A-Z]+)\$[0-9]+"))),_xlfn.REGEXEXTRACT(CELL("address",J240), "\$([A-Z]+)\$[0-9]+"))</f>
        <v/>
      </c>
      <c r="K240" s="7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7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</row>
    <row r="241" spans="2:22" x14ac:dyDescent="0.25">
      <c r="B241" s="7" t="str" cm="1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20,LEN('Raw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Data'!D241))=0),"",IF(AND(ISNUMBER('Raw Data'!D241),'Raw Data'!D241&gt;=Configuration!$D$2),"",_xlfn.REGEXEXTRACT(CELL("address",'Raw Data'!D241),"\$([A-Z]+)\$[0-9]+"))),_xlfn.REGEXEXTRACT(CELL("address",D241), "\$([A-Z]+)\$[0-9]+"))</f>
        <v/>
      </c>
      <c r="E241" s="7" t="str" cm="1">
        <f t="array" aca="1" ref="E241" ca="1">IFERROR(IF(OR('Raw Data'!E241="",LEN(TRIM('Raw Data'!E241))=0),"",IF(AND(ISNUMBER('Raw Data'!E241), IFERROR('Raw Data'!E241 = ROUND('Raw Data'!E241, 4),FALSE)),"",_xlfn.REGEXEXTRACT(CELL("address",E241), "\$([A-Z]+)\$[0-9]+"))),_xlfn.REGEXEXTRACT(CELL("address",E241), "\$([A-Z]+)\$[0-9]+"))</f>
        <v/>
      </c>
      <c r="F241" s="7" t="str" cm="1">
        <f t="array" aca="1" ref="F241" ca="1">IFERROR(IF(OR('Raw Data'!F241="",LEN(TRIM('Raw Data'!F241))=0),"",IF(AND(ISNUMBER('Raw Data'!F241), IFERROR('Raw Data'!F241 = ROUND('Raw Data'!F241, 4),FALSE)),"",_xlfn.REGEXEXTRACT(CELL("address",F241), "\$([A-Z]+)\$[0-9]+"))),_xlfn.REGEXEXTRACT(CELL("address",F241), "\$([A-Z]+)\$[0-9]+"))</f>
        <v/>
      </c>
      <c r="G241" s="7" t="str" cm="1">
        <f t="array" aca="1" ref="G241" ca="1">IFERROR(IF(OR('Raw Data'!G241="",LEN(TRIM('Raw Data'!G241))=0),"",IF(AND(ISNUMBER('Raw Data'!G241), IFERROR('Raw Data'!G241 = ROUND('Raw Data'!G241, 4),FALSE)),"",_xlfn.REGEXEXTRACT(CELL("address",G241), "\$([A-Z]+)\$[0-9]+"))),_xlfn.REGEXEXTRACT(CELL("address",G241), "\$([A-Z]+)\$[0-9]+"))</f>
        <v/>
      </c>
      <c r="H241" s="7" t="str" cm="1">
        <f t="array" aca="1" ref="H241" ca="1">IFERROR(IF(OR('Raw Data'!H241="",LEN(TRIM('Raw Data'!H241))=0),"",IF(AND(ISNUMBER('Raw Data'!H241), IFERROR('Raw Data'!H241 = ROUND('Raw Data'!H241, 4),FALSE)),"",_xlfn.REGEXEXTRACT(CELL("address",H241), "\$([A-Z]+)\$[0-9]+"))),_xlfn.REGEXEXTRACT(CELL("address",H241), "\$([A-Z]+)\$[0-9]+"))</f>
        <v/>
      </c>
      <c r="I241" s="7" t="str" cm="1">
        <f t="array" aca="1" ref="I241" ca="1">IFERROR(IF(OR('Raw Data'!I241="",LEN(TRIM('Raw Data'!I241))=0),"",IF(AND(ISNUMBER('Raw Data'!I241), IFERROR('Raw Data'!I241 = ROUND('Raw Data'!I241, 4),FALSE)),"",_xlfn.REGEXEXTRACT(CELL("address",I241), "\$([A-Z]+)\$[0-9]+"))),_xlfn.REGEXEXTRACT(CELL("address",I241), "\$([A-Z]+)\$[0-9]+"))</f>
        <v/>
      </c>
      <c r="J241" s="7" t="str" cm="1">
        <f t="array" aca="1" ref="J241" ca="1">IFERROR(IF(OR('Raw Data'!J241="",LEN(TRIM('Raw Data'!J241))=0),"",IF(AND(ISNUMBER('Raw Data'!J241), IFERROR('Raw Data'!J241 = ROUND('Raw Data'!J241, 4),FALSE)),"",_xlfn.REGEXEXTRACT(CELL("address",J241), "\$([A-Z]+)\$[0-9]+"))),_xlfn.REGEXEXTRACT(CELL("address",J241), "\$([A-Z]+)\$[0-9]+"))</f>
        <v/>
      </c>
      <c r="K241" s="7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7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</row>
    <row r="242" spans="2:22" x14ac:dyDescent="0.25">
      <c r="B242" s="7" t="str" cm="1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20,LEN('Raw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Data'!D242))=0),"",IF(AND(ISNUMBER('Raw Data'!D242),'Raw Data'!D242&gt;=Configuration!$D$2),"",_xlfn.REGEXEXTRACT(CELL("address",'Raw Data'!D242),"\$([A-Z]+)\$[0-9]+"))),_xlfn.REGEXEXTRACT(CELL("address",D242), "\$([A-Z]+)\$[0-9]+"))</f>
        <v/>
      </c>
      <c r="E242" s="7" t="str" cm="1">
        <f t="array" aca="1" ref="E242" ca="1">IFERROR(IF(OR('Raw Data'!E242="",LEN(TRIM('Raw Data'!E242))=0),"",IF(AND(ISNUMBER('Raw Data'!E242), IFERROR('Raw Data'!E242 = ROUND('Raw Data'!E242, 4),FALSE)),"",_xlfn.REGEXEXTRACT(CELL("address",E242), "\$([A-Z]+)\$[0-9]+"))),_xlfn.REGEXEXTRACT(CELL("address",E242), "\$([A-Z]+)\$[0-9]+"))</f>
        <v/>
      </c>
      <c r="F242" s="7" t="str" cm="1">
        <f t="array" aca="1" ref="F242" ca="1">IFERROR(IF(OR('Raw Data'!F242="",LEN(TRIM('Raw Data'!F242))=0),"",IF(AND(ISNUMBER('Raw Data'!F242), IFERROR('Raw Data'!F242 = ROUND('Raw Data'!F242, 4),FALSE)),"",_xlfn.REGEXEXTRACT(CELL("address",F242), "\$([A-Z]+)\$[0-9]+"))),_xlfn.REGEXEXTRACT(CELL("address",F242), "\$([A-Z]+)\$[0-9]+"))</f>
        <v/>
      </c>
      <c r="G242" s="7" t="str" cm="1">
        <f t="array" aca="1" ref="G242" ca="1">IFERROR(IF(OR('Raw Data'!G242="",LEN(TRIM('Raw Data'!G242))=0),"",IF(AND(ISNUMBER('Raw Data'!G242), IFERROR('Raw Data'!G242 = ROUND('Raw Data'!G242, 4),FALSE)),"",_xlfn.REGEXEXTRACT(CELL("address",G242), "\$([A-Z]+)\$[0-9]+"))),_xlfn.REGEXEXTRACT(CELL("address",G242), "\$([A-Z]+)\$[0-9]+"))</f>
        <v/>
      </c>
      <c r="H242" s="7" t="str" cm="1">
        <f t="array" aca="1" ref="H242" ca="1">IFERROR(IF(OR('Raw Data'!H242="",LEN(TRIM('Raw Data'!H242))=0),"",IF(AND(ISNUMBER('Raw Data'!H242), IFERROR('Raw Data'!H242 = ROUND('Raw Data'!H242, 4),FALSE)),"",_xlfn.REGEXEXTRACT(CELL("address",H242), "\$([A-Z]+)\$[0-9]+"))),_xlfn.REGEXEXTRACT(CELL("address",H242), "\$([A-Z]+)\$[0-9]+"))</f>
        <v/>
      </c>
      <c r="I242" s="7" t="str" cm="1">
        <f t="array" aca="1" ref="I242" ca="1">IFERROR(IF(OR('Raw Data'!I242="",LEN(TRIM('Raw Data'!I242))=0),"",IF(AND(ISNUMBER('Raw Data'!I242), IFERROR('Raw Data'!I242 = ROUND('Raw Data'!I242, 4),FALSE)),"",_xlfn.REGEXEXTRACT(CELL("address",I242), "\$([A-Z]+)\$[0-9]+"))),_xlfn.REGEXEXTRACT(CELL("address",I242), "\$([A-Z]+)\$[0-9]+"))</f>
        <v/>
      </c>
      <c r="J242" s="7" t="str" cm="1">
        <f t="array" aca="1" ref="J242" ca="1">IFERROR(IF(OR('Raw Data'!J242="",LEN(TRIM('Raw Data'!J242))=0),"",IF(AND(ISNUMBER('Raw Data'!J242), IFERROR('Raw Data'!J242 = ROUND('Raw Data'!J242, 4),FALSE)),"",_xlfn.REGEXEXTRACT(CELL("address",J242), "\$([A-Z]+)\$[0-9]+"))),_xlfn.REGEXEXTRACT(CELL("address",J242), "\$([A-Z]+)\$[0-9]+"))</f>
        <v/>
      </c>
      <c r="K242" s="7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7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</row>
    <row r="243" spans="2:22" x14ac:dyDescent="0.25">
      <c r="B243" s="7" t="str" cm="1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20,LEN('Raw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Data'!D243))=0),"",IF(AND(ISNUMBER('Raw Data'!D243),'Raw Data'!D243&gt;=Configuration!$D$2),"",_xlfn.REGEXEXTRACT(CELL("address",'Raw Data'!D243),"\$([A-Z]+)\$[0-9]+"))),_xlfn.REGEXEXTRACT(CELL("address",D243), "\$([A-Z]+)\$[0-9]+"))</f>
        <v/>
      </c>
      <c r="E243" s="7" t="str" cm="1">
        <f t="array" aca="1" ref="E243" ca="1">IFERROR(IF(OR('Raw Data'!E243="",LEN(TRIM('Raw Data'!E243))=0),"",IF(AND(ISNUMBER('Raw Data'!E243), IFERROR('Raw Data'!E243 = ROUND('Raw Data'!E243, 4),FALSE)),"",_xlfn.REGEXEXTRACT(CELL("address",E243), "\$([A-Z]+)\$[0-9]+"))),_xlfn.REGEXEXTRACT(CELL("address",E243), "\$([A-Z]+)\$[0-9]+"))</f>
        <v/>
      </c>
      <c r="F243" s="7" t="str" cm="1">
        <f t="array" aca="1" ref="F243" ca="1">IFERROR(IF(OR('Raw Data'!F243="",LEN(TRIM('Raw Data'!F243))=0),"",IF(AND(ISNUMBER('Raw Data'!F243), IFERROR('Raw Data'!F243 = ROUND('Raw Data'!F243, 4),FALSE)),"",_xlfn.REGEXEXTRACT(CELL("address",F243), "\$([A-Z]+)\$[0-9]+"))),_xlfn.REGEXEXTRACT(CELL("address",F243), "\$([A-Z]+)\$[0-9]+"))</f>
        <v/>
      </c>
      <c r="G243" s="7" t="str" cm="1">
        <f t="array" aca="1" ref="G243" ca="1">IFERROR(IF(OR('Raw Data'!G243="",LEN(TRIM('Raw Data'!G243))=0),"",IF(AND(ISNUMBER('Raw Data'!G243), IFERROR('Raw Data'!G243 = ROUND('Raw Data'!G243, 4),FALSE)),"",_xlfn.REGEXEXTRACT(CELL("address",G243), "\$([A-Z]+)\$[0-9]+"))),_xlfn.REGEXEXTRACT(CELL("address",G243), "\$([A-Z]+)\$[0-9]+"))</f>
        <v/>
      </c>
      <c r="H243" s="7" t="str" cm="1">
        <f t="array" aca="1" ref="H243" ca="1">IFERROR(IF(OR('Raw Data'!H243="",LEN(TRIM('Raw Data'!H243))=0),"",IF(AND(ISNUMBER('Raw Data'!H243), IFERROR('Raw Data'!H243 = ROUND('Raw Data'!H243, 4),FALSE)),"",_xlfn.REGEXEXTRACT(CELL("address",H243), "\$([A-Z]+)\$[0-9]+"))),_xlfn.REGEXEXTRACT(CELL("address",H243), "\$([A-Z]+)\$[0-9]+"))</f>
        <v/>
      </c>
      <c r="I243" s="7" t="str" cm="1">
        <f t="array" aca="1" ref="I243" ca="1">IFERROR(IF(OR('Raw Data'!I243="",LEN(TRIM('Raw Data'!I243))=0),"",IF(AND(ISNUMBER('Raw Data'!I243), IFERROR('Raw Data'!I243 = ROUND('Raw Data'!I243, 4),FALSE)),"",_xlfn.REGEXEXTRACT(CELL("address",I243), "\$([A-Z]+)\$[0-9]+"))),_xlfn.REGEXEXTRACT(CELL("address",I243), "\$([A-Z]+)\$[0-9]+"))</f>
        <v/>
      </c>
      <c r="J243" s="7" t="str" cm="1">
        <f t="array" aca="1" ref="J243" ca="1">IFERROR(IF(OR('Raw Data'!J243="",LEN(TRIM('Raw Data'!J243))=0),"",IF(AND(ISNUMBER('Raw Data'!J243), IFERROR('Raw Data'!J243 = ROUND('Raw Data'!J243, 4),FALSE)),"",_xlfn.REGEXEXTRACT(CELL("address",J243), "\$([A-Z]+)\$[0-9]+"))),_xlfn.REGEXEXTRACT(CELL("address",J243), "\$([A-Z]+)\$[0-9]+"))</f>
        <v/>
      </c>
      <c r="K243" s="7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7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</row>
    <row r="244" spans="2:22" x14ac:dyDescent="0.25">
      <c r="B244" s="7" t="str" cm="1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20,LEN('Raw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Data'!D244))=0),"",IF(AND(ISNUMBER('Raw Data'!D244),'Raw Data'!D244&gt;=Configuration!$D$2),"",_xlfn.REGEXEXTRACT(CELL("address",'Raw Data'!D244),"\$([A-Z]+)\$[0-9]+"))),_xlfn.REGEXEXTRACT(CELL("address",D244), "\$([A-Z]+)\$[0-9]+"))</f>
        <v/>
      </c>
      <c r="E244" s="7" t="str" cm="1">
        <f t="array" aca="1" ref="E244" ca="1">IFERROR(IF(OR('Raw Data'!E244="",LEN(TRIM('Raw Data'!E244))=0),"",IF(AND(ISNUMBER('Raw Data'!E244), IFERROR('Raw Data'!E244 = ROUND('Raw Data'!E244, 4),FALSE)),"",_xlfn.REGEXEXTRACT(CELL("address",E244), "\$([A-Z]+)\$[0-9]+"))),_xlfn.REGEXEXTRACT(CELL("address",E244), "\$([A-Z]+)\$[0-9]+"))</f>
        <v/>
      </c>
      <c r="F244" s="7" t="str" cm="1">
        <f t="array" aca="1" ref="F244" ca="1">IFERROR(IF(OR('Raw Data'!F244="",LEN(TRIM('Raw Data'!F244))=0),"",IF(AND(ISNUMBER('Raw Data'!F244), IFERROR('Raw Data'!F244 = ROUND('Raw Data'!F244, 4),FALSE)),"",_xlfn.REGEXEXTRACT(CELL("address",F244), "\$([A-Z]+)\$[0-9]+"))),_xlfn.REGEXEXTRACT(CELL("address",F244), "\$([A-Z]+)\$[0-9]+"))</f>
        <v/>
      </c>
      <c r="G244" s="7" t="str" cm="1">
        <f t="array" aca="1" ref="G244" ca="1">IFERROR(IF(OR('Raw Data'!G244="",LEN(TRIM('Raw Data'!G244))=0),"",IF(AND(ISNUMBER('Raw Data'!G244), IFERROR('Raw Data'!G244 = ROUND('Raw Data'!G244, 4),FALSE)),"",_xlfn.REGEXEXTRACT(CELL("address",G244), "\$([A-Z]+)\$[0-9]+"))),_xlfn.REGEXEXTRACT(CELL("address",G244), "\$([A-Z]+)\$[0-9]+"))</f>
        <v/>
      </c>
      <c r="H244" s="7" t="str" cm="1">
        <f t="array" aca="1" ref="H244" ca="1">IFERROR(IF(OR('Raw Data'!H244="",LEN(TRIM('Raw Data'!H244))=0),"",IF(AND(ISNUMBER('Raw Data'!H244), IFERROR('Raw Data'!H244 = ROUND('Raw Data'!H244, 4),FALSE)),"",_xlfn.REGEXEXTRACT(CELL("address",H244), "\$([A-Z]+)\$[0-9]+"))),_xlfn.REGEXEXTRACT(CELL("address",H244), "\$([A-Z]+)\$[0-9]+"))</f>
        <v/>
      </c>
      <c r="I244" s="7" t="str" cm="1">
        <f t="array" aca="1" ref="I244" ca="1">IFERROR(IF(OR('Raw Data'!I244="",LEN(TRIM('Raw Data'!I244))=0),"",IF(AND(ISNUMBER('Raw Data'!I244), IFERROR('Raw Data'!I244 = ROUND('Raw Data'!I244, 4),FALSE)),"",_xlfn.REGEXEXTRACT(CELL("address",I244), "\$([A-Z]+)\$[0-9]+"))),_xlfn.REGEXEXTRACT(CELL("address",I244), "\$([A-Z]+)\$[0-9]+"))</f>
        <v/>
      </c>
      <c r="J244" s="7" t="str" cm="1">
        <f t="array" aca="1" ref="J244" ca="1">IFERROR(IF(OR('Raw Data'!J244="",LEN(TRIM('Raw Data'!J244))=0),"",IF(AND(ISNUMBER('Raw Data'!J244), IFERROR('Raw Data'!J244 = ROUND('Raw Data'!J244, 4),FALSE)),"",_xlfn.REGEXEXTRACT(CELL("address",J244), "\$([A-Z]+)\$[0-9]+"))),_xlfn.REGEXEXTRACT(CELL("address",J244), "\$([A-Z]+)\$[0-9]+"))</f>
        <v/>
      </c>
      <c r="K244" s="7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7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</row>
    <row r="245" spans="2:22" x14ac:dyDescent="0.25">
      <c r="B245" s="7" t="str" cm="1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20,LEN('Raw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Data'!D245))=0),"",IF(AND(ISNUMBER('Raw Data'!D245),'Raw Data'!D245&gt;=Configuration!$D$2),"",_xlfn.REGEXEXTRACT(CELL("address",'Raw Data'!D245),"\$([A-Z]+)\$[0-9]+"))),_xlfn.REGEXEXTRACT(CELL("address",D245), "\$([A-Z]+)\$[0-9]+"))</f>
        <v/>
      </c>
      <c r="E245" s="7" t="str" cm="1">
        <f t="array" aca="1" ref="E245" ca="1">IFERROR(IF(OR('Raw Data'!E245="",LEN(TRIM('Raw Data'!E245))=0),"",IF(AND(ISNUMBER('Raw Data'!E245), IFERROR('Raw Data'!E245 = ROUND('Raw Data'!E245, 4),FALSE)),"",_xlfn.REGEXEXTRACT(CELL("address",E245), "\$([A-Z]+)\$[0-9]+"))),_xlfn.REGEXEXTRACT(CELL("address",E245), "\$([A-Z]+)\$[0-9]+"))</f>
        <v/>
      </c>
      <c r="F245" s="7" t="str" cm="1">
        <f t="array" aca="1" ref="F245" ca="1">IFERROR(IF(OR('Raw Data'!F245="",LEN(TRIM('Raw Data'!F245))=0),"",IF(AND(ISNUMBER('Raw Data'!F245), IFERROR('Raw Data'!F245 = ROUND('Raw Data'!F245, 4),FALSE)),"",_xlfn.REGEXEXTRACT(CELL("address",F245), "\$([A-Z]+)\$[0-9]+"))),_xlfn.REGEXEXTRACT(CELL("address",F245), "\$([A-Z]+)\$[0-9]+"))</f>
        <v/>
      </c>
      <c r="G245" s="7" t="str" cm="1">
        <f t="array" aca="1" ref="G245" ca="1">IFERROR(IF(OR('Raw Data'!G245="",LEN(TRIM('Raw Data'!G245))=0),"",IF(AND(ISNUMBER('Raw Data'!G245), IFERROR('Raw Data'!G245 = ROUND('Raw Data'!G245, 4),FALSE)),"",_xlfn.REGEXEXTRACT(CELL("address",G245), "\$([A-Z]+)\$[0-9]+"))),_xlfn.REGEXEXTRACT(CELL("address",G245), "\$([A-Z]+)\$[0-9]+"))</f>
        <v/>
      </c>
      <c r="H245" s="7" t="str" cm="1">
        <f t="array" aca="1" ref="H245" ca="1">IFERROR(IF(OR('Raw Data'!H245="",LEN(TRIM('Raw Data'!H245))=0),"",IF(AND(ISNUMBER('Raw Data'!H245), IFERROR('Raw Data'!H245 = ROUND('Raw Data'!H245, 4),FALSE)),"",_xlfn.REGEXEXTRACT(CELL("address",H245), "\$([A-Z]+)\$[0-9]+"))),_xlfn.REGEXEXTRACT(CELL("address",H245), "\$([A-Z]+)\$[0-9]+"))</f>
        <v/>
      </c>
      <c r="I245" s="7" t="str" cm="1">
        <f t="array" aca="1" ref="I245" ca="1">IFERROR(IF(OR('Raw Data'!I245="",LEN(TRIM('Raw Data'!I245))=0),"",IF(AND(ISNUMBER('Raw Data'!I245), IFERROR('Raw Data'!I245 = ROUND('Raw Data'!I245, 4),FALSE)),"",_xlfn.REGEXEXTRACT(CELL("address",I245), "\$([A-Z]+)\$[0-9]+"))),_xlfn.REGEXEXTRACT(CELL("address",I245), "\$([A-Z]+)\$[0-9]+"))</f>
        <v/>
      </c>
      <c r="J245" s="7" t="str" cm="1">
        <f t="array" aca="1" ref="J245" ca="1">IFERROR(IF(OR('Raw Data'!J245="",LEN(TRIM('Raw Data'!J245))=0),"",IF(AND(ISNUMBER('Raw Data'!J245), IFERROR('Raw Data'!J245 = ROUND('Raw Data'!J245, 4),FALSE)),"",_xlfn.REGEXEXTRACT(CELL("address",J245), "\$([A-Z]+)\$[0-9]+"))),_xlfn.REGEXEXTRACT(CELL("address",J245), "\$([A-Z]+)\$[0-9]+"))</f>
        <v/>
      </c>
      <c r="K245" s="7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7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</row>
    <row r="246" spans="2:22" x14ac:dyDescent="0.25">
      <c r="B246" s="7" t="str" cm="1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20,LEN('Raw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Data'!D246))=0),"",IF(AND(ISNUMBER('Raw Data'!D246),'Raw Data'!D246&gt;=Configuration!$D$2),"",_xlfn.REGEXEXTRACT(CELL("address",'Raw Data'!D246),"\$([A-Z]+)\$[0-9]+"))),_xlfn.REGEXEXTRACT(CELL("address",D246), "\$([A-Z]+)\$[0-9]+"))</f>
        <v/>
      </c>
      <c r="E246" s="7" t="str" cm="1">
        <f t="array" aca="1" ref="E246" ca="1">IFERROR(IF(OR('Raw Data'!E246="",LEN(TRIM('Raw Data'!E246))=0),"",IF(AND(ISNUMBER('Raw Data'!E246), IFERROR('Raw Data'!E246 = ROUND('Raw Data'!E246, 4),FALSE)),"",_xlfn.REGEXEXTRACT(CELL("address",E246), "\$([A-Z]+)\$[0-9]+"))),_xlfn.REGEXEXTRACT(CELL("address",E246), "\$([A-Z]+)\$[0-9]+"))</f>
        <v/>
      </c>
      <c r="F246" s="7" t="str" cm="1">
        <f t="array" aca="1" ref="F246" ca="1">IFERROR(IF(OR('Raw Data'!F246="",LEN(TRIM('Raw Data'!F246))=0),"",IF(AND(ISNUMBER('Raw Data'!F246), IFERROR('Raw Data'!F246 = ROUND('Raw Data'!F246, 4),FALSE)),"",_xlfn.REGEXEXTRACT(CELL("address",F246), "\$([A-Z]+)\$[0-9]+"))),_xlfn.REGEXEXTRACT(CELL("address",F246), "\$([A-Z]+)\$[0-9]+"))</f>
        <v/>
      </c>
      <c r="G246" s="7" t="str" cm="1">
        <f t="array" aca="1" ref="G246" ca="1">IFERROR(IF(OR('Raw Data'!G246="",LEN(TRIM('Raw Data'!G246))=0),"",IF(AND(ISNUMBER('Raw Data'!G246), IFERROR('Raw Data'!G246 = ROUND('Raw Data'!G246, 4),FALSE)),"",_xlfn.REGEXEXTRACT(CELL("address",G246), "\$([A-Z]+)\$[0-9]+"))),_xlfn.REGEXEXTRACT(CELL("address",G246), "\$([A-Z]+)\$[0-9]+"))</f>
        <v/>
      </c>
      <c r="H246" s="7" t="str" cm="1">
        <f t="array" aca="1" ref="H246" ca="1">IFERROR(IF(OR('Raw Data'!H246="",LEN(TRIM('Raw Data'!H246))=0),"",IF(AND(ISNUMBER('Raw Data'!H246), IFERROR('Raw Data'!H246 = ROUND('Raw Data'!H246, 4),FALSE)),"",_xlfn.REGEXEXTRACT(CELL("address",H246), "\$([A-Z]+)\$[0-9]+"))),_xlfn.REGEXEXTRACT(CELL("address",H246), "\$([A-Z]+)\$[0-9]+"))</f>
        <v/>
      </c>
      <c r="I246" s="7" t="str" cm="1">
        <f t="array" aca="1" ref="I246" ca="1">IFERROR(IF(OR('Raw Data'!I246="",LEN(TRIM('Raw Data'!I246))=0),"",IF(AND(ISNUMBER('Raw Data'!I246), IFERROR('Raw Data'!I246 = ROUND('Raw Data'!I246, 4),FALSE)),"",_xlfn.REGEXEXTRACT(CELL("address",I246), "\$([A-Z]+)\$[0-9]+"))),_xlfn.REGEXEXTRACT(CELL("address",I246), "\$([A-Z]+)\$[0-9]+"))</f>
        <v/>
      </c>
      <c r="J246" s="7" t="str" cm="1">
        <f t="array" aca="1" ref="J246" ca="1">IFERROR(IF(OR('Raw Data'!J246="",LEN(TRIM('Raw Data'!J246))=0),"",IF(AND(ISNUMBER('Raw Data'!J246), IFERROR('Raw Data'!J246 = ROUND('Raw Data'!J246, 4),FALSE)),"",_xlfn.REGEXEXTRACT(CELL("address",J246), "\$([A-Z]+)\$[0-9]+"))),_xlfn.REGEXEXTRACT(CELL("address",J246), "\$([A-Z]+)\$[0-9]+"))</f>
        <v/>
      </c>
      <c r="K246" s="7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7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</row>
    <row r="247" spans="2:22" x14ac:dyDescent="0.25">
      <c r="B247" s="7" t="str" cm="1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20,LEN('Raw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Data'!D247))=0),"",IF(AND(ISNUMBER('Raw Data'!D247),'Raw Data'!D247&gt;=Configuration!$D$2),"",_xlfn.REGEXEXTRACT(CELL("address",'Raw Data'!D247),"\$([A-Z]+)\$[0-9]+"))),_xlfn.REGEXEXTRACT(CELL("address",D247), "\$([A-Z]+)\$[0-9]+"))</f>
        <v/>
      </c>
      <c r="E247" s="7" t="str" cm="1">
        <f t="array" aca="1" ref="E247" ca="1">IFERROR(IF(OR('Raw Data'!E247="",LEN(TRIM('Raw Data'!E247))=0),"",IF(AND(ISNUMBER('Raw Data'!E247), IFERROR('Raw Data'!E247 = ROUND('Raw Data'!E247, 4),FALSE)),"",_xlfn.REGEXEXTRACT(CELL("address",E247), "\$([A-Z]+)\$[0-9]+"))),_xlfn.REGEXEXTRACT(CELL("address",E247), "\$([A-Z]+)\$[0-9]+"))</f>
        <v/>
      </c>
      <c r="F247" s="7" t="str" cm="1">
        <f t="array" aca="1" ref="F247" ca="1">IFERROR(IF(OR('Raw Data'!F247="",LEN(TRIM('Raw Data'!F247))=0),"",IF(AND(ISNUMBER('Raw Data'!F247), IFERROR('Raw Data'!F247 = ROUND('Raw Data'!F247, 4),FALSE)),"",_xlfn.REGEXEXTRACT(CELL("address",F247), "\$([A-Z]+)\$[0-9]+"))),_xlfn.REGEXEXTRACT(CELL("address",F247), "\$([A-Z]+)\$[0-9]+"))</f>
        <v/>
      </c>
      <c r="G247" s="7" t="str" cm="1">
        <f t="array" aca="1" ref="G247" ca="1">IFERROR(IF(OR('Raw Data'!G247="",LEN(TRIM('Raw Data'!G247))=0),"",IF(AND(ISNUMBER('Raw Data'!G247), IFERROR('Raw Data'!G247 = ROUND('Raw Data'!G247, 4),FALSE)),"",_xlfn.REGEXEXTRACT(CELL("address",G247), "\$([A-Z]+)\$[0-9]+"))),_xlfn.REGEXEXTRACT(CELL("address",G247), "\$([A-Z]+)\$[0-9]+"))</f>
        <v/>
      </c>
      <c r="H247" s="7" t="str" cm="1">
        <f t="array" aca="1" ref="H247" ca="1">IFERROR(IF(OR('Raw Data'!H247="",LEN(TRIM('Raw Data'!H247))=0),"",IF(AND(ISNUMBER('Raw Data'!H247), IFERROR('Raw Data'!H247 = ROUND('Raw Data'!H247, 4),FALSE)),"",_xlfn.REGEXEXTRACT(CELL("address",H247), "\$([A-Z]+)\$[0-9]+"))),_xlfn.REGEXEXTRACT(CELL("address",H247), "\$([A-Z]+)\$[0-9]+"))</f>
        <v/>
      </c>
      <c r="I247" s="7" t="str" cm="1">
        <f t="array" aca="1" ref="I247" ca="1">IFERROR(IF(OR('Raw Data'!I247="",LEN(TRIM('Raw Data'!I247))=0),"",IF(AND(ISNUMBER('Raw Data'!I247), IFERROR('Raw Data'!I247 = ROUND('Raw Data'!I247, 4),FALSE)),"",_xlfn.REGEXEXTRACT(CELL("address",I247), "\$([A-Z]+)\$[0-9]+"))),_xlfn.REGEXEXTRACT(CELL("address",I247), "\$([A-Z]+)\$[0-9]+"))</f>
        <v/>
      </c>
      <c r="J247" s="7" t="str" cm="1">
        <f t="array" aca="1" ref="J247" ca="1">IFERROR(IF(OR('Raw Data'!J247="",LEN(TRIM('Raw Data'!J247))=0),"",IF(AND(ISNUMBER('Raw Data'!J247), IFERROR('Raw Data'!J247 = ROUND('Raw Data'!J247, 4),FALSE)),"",_xlfn.REGEXEXTRACT(CELL("address",J247), "\$([A-Z]+)\$[0-9]+"))),_xlfn.REGEXEXTRACT(CELL("address",J247), "\$([A-Z]+)\$[0-9]+"))</f>
        <v/>
      </c>
      <c r="K247" s="7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7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</row>
    <row r="248" spans="2:22" x14ac:dyDescent="0.25">
      <c r="B248" s="7" t="str" cm="1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20,LEN('Raw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Data'!D248))=0),"",IF(AND(ISNUMBER('Raw Data'!D248),'Raw Data'!D248&gt;=Configuration!$D$2),"",_xlfn.REGEXEXTRACT(CELL("address",'Raw Data'!D248),"\$([A-Z]+)\$[0-9]+"))),_xlfn.REGEXEXTRACT(CELL("address",D248), "\$([A-Z]+)\$[0-9]+"))</f>
        <v/>
      </c>
      <c r="E248" s="7" t="str" cm="1">
        <f t="array" aca="1" ref="E248" ca="1">IFERROR(IF(OR('Raw Data'!E248="",LEN(TRIM('Raw Data'!E248))=0),"",IF(AND(ISNUMBER('Raw Data'!E248), IFERROR('Raw Data'!E248 = ROUND('Raw Data'!E248, 4),FALSE)),"",_xlfn.REGEXEXTRACT(CELL("address",E248), "\$([A-Z]+)\$[0-9]+"))),_xlfn.REGEXEXTRACT(CELL("address",E248), "\$([A-Z]+)\$[0-9]+"))</f>
        <v/>
      </c>
      <c r="F248" s="7" t="str" cm="1">
        <f t="array" aca="1" ref="F248" ca="1">IFERROR(IF(OR('Raw Data'!F248="",LEN(TRIM('Raw Data'!F248))=0),"",IF(AND(ISNUMBER('Raw Data'!F248), IFERROR('Raw Data'!F248 = ROUND('Raw Data'!F248, 4),FALSE)),"",_xlfn.REGEXEXTRACT(CELL("address",F248), "\$([A-Z]+)\$[0-9]+"))),_xlfn.REGEXEXTRACT(CELL("address",F248), "\$([A-Z]+)\$[0-9]+"))</f>
        <v/>
      </c>
      <c r="G248" s="7" t="str" cm="1">
        <f t="array" aca="1" ref="G248" ca="1">IFERROR(IF(OR('Raw Data'!G248="",LEN(TRIM('Raw Data'!G248))=0),"",IF(AND(ISNUMBER('Raw Data'!G248), IFERROR('Raw Data'!G248 = ROUND('Raw Data'!G248, 4),FALSE)),"",_xlfn.REGEXEXTRACT(CELL("address",G248), "\$([A-Z]+)\$[0-9]+"))),_xlfn.REGEXEXTRACT(CELL("address",G248), "\$([A-Z]+)\$[0-9]+"))</f>
        <v/>
      </c>
      <c r="H248" s="7" t="str" cm="1">
        <f t="array" aca="1" ref="H248" ca="1">IFERROR(IF(OR('Raw Data'!H248="",LEN(TRIM('Raw Data'!H248))=0),"",IF(AND(ISNUMBER('Raw Data'!H248), IFERROR('Raw Data'!H248 = ROUND('Raw Data'!H248, 4),FALSE)),"",_xlfn.REGEXEXTRACT(CELL("address",H248), "\$([A-Z]+)\$[0-9]+"))),_xlfn.REGEXEXTRACT(CELL("address",H248), "\$([A-Z]+)\$[0-9]+"))</f>
        <v/>
      </c>
      <c r="I248" s="7" t="str" cm="1">
        <f t="array" aca="1" ref="I248" ca="1">IFERROR(IF(OR('Raw Data'!I248="",LEN(TRIM('Raw Data'!I248))=0),"",IF(AND(ISNUMBER('Raw Data'!I248), IFERROR('Raw Data'!I248 = ROUND('Raw Data'!I248, 4),FALSE)),"",_xlfn.REGEXEXTRACT(CELL("address",I248), "\$([A-Z]+)\$[0-9]+"))),_xlfn.REGEXEXTRACT(CELL("address",I248), "\$([A-Z]+)\$[0-9]+"))</f>
        <v/>
      </c>
      <c r="J248" s="7" t="str" cm="1">
        <f t="array" aca="1" ref="J248" ca="1">IFERROR(IF(OR('Raw Data'!J248="",LEN(TRIM('Raw Data'!J248))=0),"",IF(AND(ISNUMBER('Raw Data'!J248), IFERROR('Raw Data'!J248 = ROUND('Raw Data'!J248, 4),FALSE)),"",_xlfn.REGEXEXTRACT(CELL("address",J248), "\$([A-Z]+)\$[0-9]+"))),_xlfn.REGEXEXTRACT(CELL("address",J248), "\$([A-Z]+)\$[0-9]+"))</f>
        <v/>
      </c>
      <c r="K248" s="7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7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</row>
    <row r="249" spans="2:22" x14ac:dyDescent="0.25">
      <c r="B249" s="7" t="str" cm="1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20,LEN('Raw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Data'!D249))=0),"",IF(AND(ISNUMBER('Raw Data'!D249),'Raw Data'!D249&gt;=Configuration!$D$2),"",_xlfn.REGEXEXTRACT(CELL("address",'Raw Data'!D249),"\$([A-Z]+)\$[0-9]+"))),_xlfn.REGEXEXTRACT(CELL("address",D249), "\$([A-Z]+)\$[0-9]+"))</f>
        <v/>
      </c>
      <c r="E249" s="7" t="str" cm="1">
        <f t="array" aca="1" ref="E249" ca="1">IFERROR(IF(OR('Raw Data'!E249="",LEN(TRIM('Raw Data'!E249))=0),"",IF(AND(ISNUMBER('Raw Data'!E249), IFERROR('Raw Data'!E249 = ROUND('Raw Data'!E249, 4),FALSE)),"",_xlfn.REGEXEXTRACT(CELL("address",E249), "\$([A-Z]+)\$[0-9]+"))),_xlfn.REGEXEXTRACT(CELL("address",E249), "\$([A-Z]+)\$[0-9]+"))</f>
        <v/>
      </c>
      <c r="F249" s="7" t="str" cm="1">
        <f t="array" aca="1" ref="F249" ca="1">IFERROR(IF(OR('Raw Data'!F249="",LEN(TRIM('Raw Data'!F249))=0),"",IF(AND(ISNUMBER('Raw Data'!F249), IFERROR('Raw Data'!F249 = ROUND('Raw Data'!F249, 4),FALSE)),"",_xlfn.REGEXEXTRACT(CELL("address",F249), "\$([A-Z]+)\$[0-9]+"))),_xlfn.REGEXEXTRACT(CELL("address",F249), "\$([A-Z]+)\$[0-9]+"))</f>
        <v/>
      </c>
      <c r="G249" s="7" t="str" cm="1">
        <f t="array" aca="1" ref="G249" ca="1">IFERROR(IF(OR('Raw Data'!G249="",LEN(TRIM('Raw Data'!G249))=0),"",IF(AND(ISNUMBER('Raw Data'!G249), IFERROR('Raw Data'!G249 = ROUND('Raw Data'!G249, 4),FALSE)),"",_xlfn.REGEXEXTRACT(CELL("address",G249), "\$([A-Z]+)\$[0-9]+"))),_xlfn.REGEXEXTRACT(CELL("address",G249), "\$([A-Z]+)\$[0-9]+"))</f>
        <v/>
      </c>
      <c r="H249" s="7" t="str" cm="1">
        <f t="array" aca="1" ref="H249" ca="1">IFERROR(IF(OR('Raw Data'!H249="",LEN(TRIM('Raw Data'!H249))=0),"",IF(AND(ISNUMBER('Raw Data'!H249), IFERROR('Raw Data'!H249 = ROUND('Raw Data'!H249, 4),FALSE)),"",_xlfn.REGEXEXTRACT(CELL("address",H249), "\$([A-Z]+)\$[0-9]+"))),_xlfn.REGEXEXTRACT(CELL("address",H249), "\$([A-Z]+)\$[0-9]+"))</f>
        <v/>
      </c>
      <c r="I249" s="7" t="str" cm="1">
        <f t="array" aca="1" ref="I249" ca="1">IFERROR(IF(OR('Raw Data'!I249="",LEN(TRIM('Raw Data'!I249))=0),"",IF(AND(ISNUMBER('Raw Data'!I249), IFERROR('Raw Data'!I249 = ROUND('Raw Data'!I249, 4),FALSE)),"",_xlfn.REGEXEXTRACT(CELL("address",I249), "\$([A-Z]+)\$[0-9]+"))),_xlfn.REGEXEXTRACT(CELL("address",I249), "\$([A-Z]+)\$[0-9]+"))</f>
        <v/>
      </c>
      <c r="J249" s="7" t="str" cm="1">
        <f t="array" aca="1" ref="J249" ca="1">IFERROR(IF(OR('Raw Data'!J249="",LEN(TRIM('Raw Data'!J249))=0),"",IF(AND(ISNUMBER('Raw Data'!J249), IFERROR('Raw Data'!J249 = ROUND('Raw Data'!J249, 4),FALSE)),"",_xlfn.REGEXEXTRACT(CELL("address",J249), "\$([A-Z]+)\$[0-9]+"))),_xlfn.REGEXEXTRACT(CELL("address",J249), "\$([A-Z]+)\$[0-9]+"))</f>
        <v/>
      </c>
      <c r="K249" s="7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7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7C52-B8CA-4AE3-8C47-1BB2AC53973F}">
  <dimension ref="B8:V249"/>
  <sheetViews>
    <sheetView zoomScale="70" zoomScaleNormal="70" workbookViewId="0">
      <selection activeCell="B10" sqref="B10"/>
    </sheetView>
  </sheetViews>
  <sheetFormatPr defaultRowHeight="15" x14ac:dyDescent="0.25"/>
  <sheetData>
    <row r="8" spans="2:22" x14ac:dyDescent="0.25">
      <c r="B8" s="8" t="s">
        <v>26</v>
      </c>
      <c r="C8" s="8" t="s">
        <v>26</v>
      </c>
      <c r="D8" s="8" t="s">
        <v>26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2:22" x14ac:dyDescent="0.25">
      <c r="B9" s="1" t="s">
        <v>0</v>
      </c>
      <c r="C9" s="1" t="s">
        <v>1</v>
      </c>
      <c r="D9" s="12" t="s">
        <v>2</v>
      </c>
      <c r="E9" s="1" t="s">
        <v>3</v>
      </c>
      <c r="F9" s="1" t="s">
        <v>4</v>
      </c>
      <c r="G9" s="1" t="s">
        <v>5</v>
      </c>
      <c r="H9" s="12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2" t="s">
        <v>11</v>
      </c>
      <c r="N9" s="1" t="s">
        <v>12</v>
      </c>
      <c r="O9" s="1" t="s">
        <v>13</v>
      </c>
      <c r="P9" s="12" t="s">
        <v>14</v>
      </c>
      <c r="Q9" s="1" t="s">
        <v>15</v>
      </c>
      <c r="R9" s="1" t="s">
        <v>16</v>
      </c>
      <c r="S9" s="12" t="s">
        <v>17</v>
      </c>
      <c r="T9" s="1" t="s">
        <v>18</v>
      </c>
      <c r="U9" s="1" t="s">
        <v>19</v>
      </c>
      <c r="V9" s="12" t="s">
        <v>20</v>
      </c>
    </row>
    <row r="10" spans="2:22" x14ac:dyDescent="0.25">
      <c r="B10" s="7" t="str" cm="1">
        <f t="array" aca="1" ref="B10" ca="1">IF(OR('Raw Data'!B10="",LEN(TRIM('Raw Data'!B10))=0,Validate_Empty!B10&lt;&gt;"",Validate_Value!B10&lt;&gt;""),"",IF('Raw Data'!B10 = Condition!B10,"",_xlfn.REGEXEXTRACT(CELL("address",'Raw Data'!B10),"\$([A-Z]+)\$[0-9]+")))</f>
        <v/>
      </c>
      <c r="C10" s="7" t="str" cm="1">
        <f t="array" aca="1" ref="C10" ca="1">IF(OR('Raw Data'!C10="",LEN(TRIM('Raw Data'!C10))=0,Validate_Empty!C10&lt;&gt;"",Validate_Value!C10&lt;&gt;""),"",IF('Raw Data'!C10 = Condition!C10,"",_xlfn.REGEXEXTRACT(CELL("address",'Raw Data'!C10),"\$([A-Z]+)\$[0-9]+")))</f>
        <v/>
      </c>
      <c r="D10" s="7" t="str" cm="1">
        <f t="array" aca="1" ref="D10" ca="1">IF(OR('Raw Data'!D10="",LEN(TRIM('Raw Data'!D10))=0,Validate_Empty!D10&lt;&gt;"",Validate_Value!D10&lt;&gt;""),"",IF('Raw Data'!D10 = Condition!D10,"",_xlfn.REGEXEXTRACT(CELL("address",'Raw Data'!D10),"\$([A-Z]+)\$[0-9]+")))</f>
        <v/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2:22" x14ac:dyDescent="0.25">
      <c r="B11" s="7" t="str" cm="1">
        <f t="array" aca="1" ref="B11" ca="1">IF(OR('Raw Data'!B11="",LEN(TRIM('Raw Data'!B11))=0,Validate_Empty!B11&lt;&gt;"",Validate_Value!B11&lt;&gt;""),"",IF('Raw Data'!B11 = Condition!B11,"",_xlfn.REGEXEXTRACT(CELL("address",'Raw Data'!B11),"\$([A-Z]+)\$[0-9]+")))</f>
        <v/>
      </c>
      <c r="C11" s="7" t="str" cm="1">
        <f t="array" aca="1" ref="C11" ca="1">IF(OR('Raw Data'!C11="",LEN(TRIM('Raw Data'!C11))=0,Validate_Empty!C11&lt;&gt;"",Validate_Value!C11&lt;&gt;""),"",IF('Raw Data'!C11 = Condition!C11,"",_xlfn.REGEXEXTRACT(CELL("address",'Raw Data'!C11),"\$([A-Z]+)\$[0-9]+")))</f>
        <v/>
      </c>
      <c r="D11" s="7" t="str" cm="1">
        <f t="array" aca="1" ref="D11" ca="1">IF(OR('Raw Data'!D11="",LEN(TRIM('Raw Data'!D11))=0,Validate_Empty!D11&lt;&gt;"",Validate_Value!D11&lt;&gt;""),"",IF('Raw Data'!D11 = Condition!D11,"",_xlfn.REGEXEXTRACT(CELL("address",'Raw Data'!D11),"\$([A-Z]+)\$[0-9]+")))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2:22" x14ac:dyDescent="0.25">
      <c r="B12" s="7" t="str" cm="1">
        <f t="array" aca="1" ref="B12" ca="1">IF(OR('Raw Data'!B12="",LEN(TRIM('Raw Data'!B12))=0,Validate_Empty!B12&lt;&gt;"",Validate_Value!B12&lt;&gt;""),"",IF('Raw Data'!B12 = Condition!B12,"",_xlfn.REGEXEXTRACT(CELL("address",'Raw Data'!B12),"\$([A-Z]+)\$[0-9]+")))</f>
        <v/>
      </c>
      <c r="C12" s="7" t="str" cm="1">
        <f t="array" aca="1" ref="C12" ca="1">IF(OR('Raw Data'!C12="",LEN(TRIM('Raw Data'!C12))=0,Validate_Empty!C12&lt;&gt;"",Validate_Value!C12&lt;&gt;""),"",IF('Raw Data'!C12 = Condition!C12,"",_xlfn.REGEXEXTRACT(CELL("address",'Raw Data'!C12),"\$([A-Z]+)\$[0-9]+")))</f>
        <v/>
      </c>
      <c r="D12" s="7" t="str" cm="1">
        <f t="array" aca="1" ref="D12" ca="1">IF(OR('Raw Data'!D12="",LEN(TRIM('Raw Data'!D12))=0,Validate_Empty!D12&lt;&gt;"",Validate_Value!D12&lt;&gt;""),"",IF('Raw Data'!D12 = Condition!D12,"",_xlfn.REGEXEXTRACT(CELL("address",'Raw Data'!D12),"\$([A-Z]+)\$[0-9]+")))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2:22" x14ac:dyDescent="0.25">
      <c r="B13" s="7" t="str" cm="1">
        <f t="array" aca="1" ref="B13" ca="1">IF(OR('Raw Data'!B13="",LEN(TRIM('Raw Data'!B13))=0,Validate_Empty!B13&lt;&gt;"",Validate_Value!B13&lt;&gt;""),"",IF('Raw Data'!B13 = Condition!B13,"",_xlfn.REGEXEXTRACT(CELL("address",'Raw Data'!B13),"\$([A-Z]+)\$[0-9]+")))</f>
        <v/>
      </c>
      <c r="C13" s="7" t="str" cm="1">
        <f t="array" aca="1" ref="C13" ca="1">IF(OR('Raw Data'!C13="",LEN(TRIM('Raw Data'!C13))=0,Validate_Empty!C13&lt;&gt;"",Validate_Value!C13&lt;&gt;""),"",IF('Raw Data'!C13 = Condition!C13,"",_xlfn.REGEXEXTRACT(CELL("address",'Raw Data'!C13),"\$([A-Z]+)\$[0-9]+")))</f>
        <v/>
      </c>
      <c r="D13" s="7" t="str" cm="1">
        <f t="array" aca="1" ref="D13" ca="1">IF(OR('Raw Data'!D13="",LEN(TRIM('Raw Data'!D13))=0,Validate_Empty!D13&lt;&gt;"",Validate_Value!D13&lt;&gt;""),"",IF('Raw Data'!D13 = Condition!D13,"",_xlfn.REGEXEXTRACT(CELL("address",'Raw Data'!D13),"\$([A-Z]+)\$[0-9]+")))</f>
        <v/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2:22" x14ac:dyDescent="0.25">
      <c r="B14" s="7" t="str" cm="1">
        <f t="array" aca="1" ref="B14" ca="1">IF(OR('Raw Data'!B14="",LEN(TRIM('Raw Data'!B14))=0,Validate_Empty!B14&lt;&gt;"",Validate_Value!B14&lt;&gt;""),"",IF('Raw Data'!B14 = Condition!B14,"",_xlfn.REGEXEXTRACT(CELL("address",'Raw Data'!B14),"\$([A-Z]+)\$[0-9]+")))</f>
        <v/>
      </c>
      <c r="C14" s="7" t="str" cm="1">
        <f t="array" aca="1" ref="C14" ca="1">IF(OR('Raw Data'!C14="",LEN(TRIM('Raw Data'!C14))=0,Validate_Empty!C14&lt;&gt;"",Validate_Value!C14&lt;&gt;""),"",IF('Raw Data'!C14 = Condition!C14,"",_xlfn.REGEXEXTRACT(CELL("address",'Raw Data'!C14),"\$([A-Z]+)\$[0-9]+")))</f>
        <v/>
      </c>
      <c r="D14" s="7" t="str" cm="1">
        <f t="array" aca="1" ref="D14" ca="1">IF(OR('Raw Data'!D14="",LEN(TRIM('Raw Data'!D14))=0,Validate_Empty!D14&lt;&gt;"",Validate_Value!D14&lt;&gt;""),"",IF('Raw Data'!D14 = Condition!D14,"",_xlfn.REGEXEXTRACT(CELL("address",'Raw Data'!D14),"\$([A-Z]+)\$[0-9]+")))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2:22" x14ac:dyDescent="0.25">
      <c r="B15" s="7" t="str" cm="1">
        <f t="array" aca="1" ref="B15" ca="1">IF(OR('Raw Data'!B15="",LEN(TRIM('Raw Data'!B15))=0,Validate_Empty!B15&lt;&gt;"",Validate_Value!B15&lt;&gt;""),"",IF('Raw Data'!B15 = Condition!B15,"",_xlfn.REGEXEXTRACT(CELL("address",'Raw Data'!B15),"\$([A-Z]+)\$[0-9]+")))</f>
        <v/>
      </c>
      <c r="C15" s="7" t="str" cm="1">
        <f t="array" aca="1" ref="C15" ca="1">IF(OR('Raw Data'!C15="",LEN(TRIM('Raw Data'!C15))=0,Validate_Empty!C15&lt;&gt;"",Validate_Value!C15&lt;&gt;""),"",IF('Raw Data'!C15 = Condition!C15,"",_xlfn.REGEXEXTRACT(CELL("address",'Raw Data'!C15),"\$([A-Z]+)\$[0-9]+")))</f>
        <v/>
      </c>
      <c r="D15" s="7" t="str" cm="1">
        <f t="array" aca="1" ref="D15" ca="1">IF(OR('Raw Data'!D15="",LEN(TRIM('Raw Data'!D15))=0,Validate_Empty!D15&lt;&gt;"",Validate_Value!D15&lt;&gt;""),"",IF('Raw Data'!D15 = Condition!D15,"",_xlfn.REGEXEXTRACT(CELL("address",'Raw Data'!D15),"\$([A-Z]+)\$[0-9]+")))</f>
        <v/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2:22" x14ac:dyDescent="0.25">
      <c r="B16" s="7" t="str" cm="1">
        <f t="array" aca="1" ref="B16" ca="1">IF(OR('Raw Data'!B16="",LEN(TRIM('Raw Data'!B16))=0,Validate_Empty!B16&lt;&gt;"",Validate_Value!B16&lt;&gt;""),"",IF('Raw Data'!B16 = Condition!B16,"",_xlfn.REGEXEXTRACT(CELL("address",'Raw Data'!B16),"\$([A-Z]+)\$[0-9]+")))</f>
        <v/>
      </c>
      <c r="C16" s="7" t="str" cm="1">
        <f t="array" aca="1" ref="C16" ca="1">IF(OR('Raw Data'!C16="",LEN(TRIM('Raw Data'!C16))=0,Validate_Empty!C16&lt;&gt;"",Validate_Value!C16&lt;&gt;""),"",IF('Raw Data'!C16 = Condition!C16,"",_xlfn.REGEXEXTRACT(CELL("address",'Raw Data'!C16),"\$([A-Z]+)\$[0-9]+")))</f>
        <v/>
      </c>
      <c r="D16" s="7" t="str" cm="1">
        <f t="array" aca="1" ref="D16" ca="1">IF(OR('Raw Data'!D16="",LEN(TRIM('Raw Data'!D16))=0,Validate_Empty!D16&lt;&gt;"",Validate_Value!D16&lt;&gt;""),"",IF('Raw Data'!D16 = Condition!D16,"",_xlfn.REGEXEXTRACT(CELL("address",'Raw Data'!D16),"\$([A-Z]+)\$[0-9]+")))</f>
        <v/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2:22" x14ac:dyDescent="0.25">
      <c r="B17" s="7" t="str" cm="1">
        <f t="array" aca="1" ref="B17" ca="1">IF(OR('Raw Data'!B17="",LEN(TRIM('Raw Data'!B17))=0,Validate_Empty!B17&lt;&gt;"",Validate_Value!B17&lt;&gt;""),"",IF('Raw Data'!B17 = Condition!B17,"",_xlfn.REGEXEXTRACT(CELL("address",'Raw Data'!B17),"\$([A-Z]+)\$[0-9]+")))</f>
        <v/>
      </c>
      <c r="C17" s="7" t="str" cm="1">
        <f t="array" aca="1" ref="C17" ca="1">IF(OR('Raw Data'!C17="",LEN(TRIM('Raw Data'!C17))=0,Validate_Empty!C17&lt;&gt;"",Validate_Value!C17&lt;&gt;""),"",IF('Raw Data'!C17 = Condition!C17,"",_xlfn.REGEXEXTRACT(CELL("address",'Raw Data'!C17),"\$([A-Z]+)\$[0-9]+")))</f>
        <v/>
      </c>
      <c r="D17" s="7" t="str" cm="1">
        <f t="array" aca="1" ref="D17" ca="1">IF(OR('Raw Data'!D17="",LEN(TRIM('Raw Data'!D17))=0,Validate_Empty!D17&lt;&gt;"",Validate_Value!D17&lt;&gt;""),"",IF('Raw Data'!D17 = Condition!D17,"",_xlfn.REGEXEXTRACT(CELL("address",'Raw Data'!D17),"\$([A-Z]+)\$[0-9]+")))</f>
        <v/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 x14ac:dyDescent="0.25">
      <c r="B18" s="7" t="str" cm="1">
        <f t="array" aca="1" ref="B18" ca="1">IF(OR('Raw Data'!B18="",LEN(TRIM('Raw Data'!B18))=0,Validate_Empty!B18&lt;&gt;"",Validate_Value!B18&lt;&gt;""),"",IF('Raw Data'!B18 = Condition!B18,"",_xlfn.REGEXEXTRACT(CELL("address",'Raw Data'!B18),"\$([A-Z]+)\$[0-9]+")))</f>
        <v/>
      </c>
      <c r="C18" s="7" t="str" cm="1">
        <f t="array" aca="1" ref="C18" ca="1">IF(OR('Raw Data'!C18="",LEN(TRIM('Raw Data'!C18))=0,Validate_Empty!C18&lt;&gt;"",Validate_Value!C18&lt;&gt;""),"",IF('Raw Data'!C18 = Condition!C18,"",_xlfn.REGEXEXTRACT(CELL("address",'Raw Data'!C18),"\$([A-Z]+)\$[0-9]+")))</f>
        <v/>
      </c>
      <c r="D18" s="7" t="str" cm="1">
        <f t="array" aca="1" ref="D18" ca="1">IF(OR('Raw Data'!D18="",LEN(TRIM('Raw Data'!D18))=0,Validate_Empty!D18&lt;&gt;"",Validate_Value!D18&lt;&gt;""),"",IF('Raw Data'!D18 = Condition!D18,"",_xlfn.REGEXEXTRACT(CELL("address",'Raw Data'!D18),"\$([A-Z]+)\$[0-9]+")))</f>
        <v/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2:22" x14ac:dyDescent="0.25">
      <c r="B19" s="7" t="str" cm="1">
        <f t="array" aca="1" ref="B19" ca="1">IF(OR('Raw Data'!B19="",LEN(TRIM('Raw Data'!B19))=0,Validate_Empty!B19&lt;&gt;"",Validate_Value!B19&lt;&gt;""),"",IF('Raw Data'!B19 = Condition!B19,"",_xlfn.REGEXEXTRACT(CELL("address",'Raw Data'!B19),"\$([A-Z]+)\$[0-9]+")))</f>
        <v/>
      </c>
      <c r="C19" s="7" t="str" cm="1">
        <f t="array" aca="1" ref="C19" ca="1">IF(OR('Raw Data'!C19="",LEN(TRIM('Raw Data'!C19))=0,Validate_Empty!C19&lt;&gt;"",Validate_Value!C19&lt;&gt;""),"",IF('Raw Data'!C19 = Condition!C19,"",_xlfn.REGEXEXTRACT(CELL("address",'Raw Data'!C19),"\$([A-Z]+)\$[0-9]+")))</f>
        <v/>
      </c>
      <c r="D19" s="7" t="str" cm="1">
        <f t="array" aca="1" ref="D19" ca="1">IF(OR('Raw Data'!D19="",LEN(TRIM('Raw Data'!D19))=0,Validate_Empty!D19&lt;&gt;"",Validate_Value!D19&lt;&gt;""),"",IF('Raw Data'!D19 = Condition!D19,"",_xlfn.REGEXEXTRACT(CELL("address",'Raw Data'!D19),"\$([A-Z]+)\$[0-9]+")))</f>
        <v/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2" x14ac:dyDescent="0.25">
      <c r="B20" s="7" t="str" cm="1">
        <f t="array" aca="1" ref="B20" ca="1">IF(OR('Raw Data'!B20="",LEN(TRIM('Raw Data'!B20))=0,Validate_Empty!B20&lt;&gt;"",Validate_Value!B20&lt;&gt;""),"",IF('Raw Data'!B20 = Condition!B20,"",_xlfn.REGEXEXTRACT(CELL("address",'Raw Data'!B20),"\$([A-Z]+)\$[0-9]+")))</f>
        <v/>
      </c>
      <c r="C20" s="7" t="str" cm="1">
        <f t="array" aca="1" ref="C20" ca="1">IF(OR('Raw Data'!C20="",LEN(TRIM('Raw Data'!C20))=0,Validate_Empty!C20&lt;&gt;"",Validate_Value!C20&lt;&gt;""),"",IF('Raw Data'!C20 = Condition!C20,"",_xlfn.REGEXEXTRACT(CELL("address",'Raw Data'!C20),"\$([A-Z]+)\$[0-9]+")))</f>
        <v/>
      </c>
      <c r="D20" s="7" t="str" cm="1">
        <f t="array" aca="1" ref="D20" ca="1">IF(OR('Raw Data'!D20="",LEN(TRIM('Raw Data'!D20))=0,Validate_Empty!D20&lt;&gt;"",Validate_Value!D20&lt;&gt;""),"",IF('Raw Data'!D20 = Condition!D20,"",_xlfn.REGEXEXTRACT(CELL("address",'Raw Data'!D20),"\$([A-Z]+)\$[0-9]+")))</f>
        <v/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22" x14ac:dyDescent="0.25">
      <c r="B21" s="7" t="str" cm="1">
        <f t="array" aca="1" ref="B21" ca="1">IF(OR('Raw Data'!B21="",LEN(TRIM('Raw Data'!B21))=0,Validate_Empty!B21&lt;&gt;"",Validate_Value!B21&lt;&gt;""),"",IF('Raw Data'!B21 = Condition!B21,"",_xlfn.REGEXEXTRACT(CELL("address",'Raw Data'!B21),"\$([A-Z]+)\$[0-9]+")))</f>
        <v/>
      </c>
      <c r="C21" s="7" t="str" cm="1">
        <f t="array" aca="1" ref="C21" ca="1">IF(OR('Raw Data'!C21="",LEN(TRIM('Raw Data'!C21))=0,Validate_Empty!C21&lt;&gt;"",Validate_Value!C21&lt;&gt;""),"",IF('Raw Data'!C21 = Condition!C21,"",_xlfn.REGEXEXTRACT(CELL("address",'Raw Data'!C21),"\$([A-Z]+)\$[0-9]+")))</f>
        <v/>
      </c>
      <c r="D21" s="7" t="str" cm="1">
        <f t="array" aca="1" ref="D21" ca="1">IF(OR('Raw Data'!D21="",LEN(TRIM('Raw Data'!D21))=0,Validate_Empty!D21&lt;&gt;"",Validate_Value!D21&lt;&gt;""),"",IF('Raw Data'!D21 = Condition!D21,"",_xlfn.REGEXEXTRACT(CELL("address",'Raw Data'!D21),"\$([A-Z]+)\$[0-9]+")))</f>
        <v/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2:22" x14ac:dyDescent="0.25">
      <c r="B22" s="7" t="str" cm="1">
        <f t="array" aca="1" ref="B22" ca="1">IF(OR('Raw Data'!B22="",LEN(TRIM('Raw Data'!B22))=0,Validate_Empty!B22&lt;&gt;"",Validate_Value!B22&lt;&gt;""),"",IF('Raw Data'!B22 = Condition!B22,"",_xlfn.REGEXEXTRACT(CELL("address",'Raw Data'!B22),"\$([A-Z]+)\$[0-9]+")))</f>
        <v/>
      </c>
      <c r="C22" s="7" t="str" cm="1">
        <f t="array" aca="1" ref="C22" ca="1">IF(OR('Raw Data'!C22="",LEN(TRIM('Raw Data'!C22))=0,Validate_Empty!C22&lt;&gt;"",Validate_Value!C22&lt;&gt;""),"",IF('Raw Data'!C22 = Condition!C22,"",_xlfn.REGEXEXTRACT(CELL("address",'Raw Data'!C22),"\$([A-Z]+)\$[0-9]+")))</f>
        <v/>
      </c>
      <c r="D22" s="7" t="str" cm="1">
        <f t="array" aca="1" ref="D22" ca="1">IF(OR('Raw Data'!D22="",LEN(TRIM('Raw Data'!D22))=0,Validate_Empty!D22&lt;&gt;"",Validate_Value!D22&lt;&gt;""),"",IF('Raw Data'!D22 = Condition!D22,"",_xlfn.REGEXEXTRACT(CELL("address",'Raw Data'!D22),"\$([A-Z]+)\$[0-9]+")))</f>
        <v/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2:22" x14ac:dyDescent="0.25">
      <c r="B23" s="7" t="str" cm="1">
        <f t="array" aca="1" ref="B23" ca="1">IF(OR('Raw Data'!B23="",LEN(TRIM('Raw Data'!B23))=0,Validate_Empty!B23&lt;&gt;"",Validate_Value!B23&lt;&gt;""),"",IF('Raw Data'!B23 = Condition!B23,"",_xlfn.REGEXEXTRACT(CELL("address",'Raw Data'!B23),"\$([A-Z]+)\$[0-9]+")))</f>
        <v/>
      </c>
      <c r="C23" s="7" t="str" cm="1">
        <f t="array" aca="1" ref="C23" ca="1">IF(OR('Raw Data'!C23="",LEN(TRIM('Raw Data'!C23))=0,Validate_Empty!C23&lt;&gt;"",Validate_Value!C23&lt;&gt;""),"",IF('Raw Data'!C23 = Condition!C23,"",_xlfn.REGEXEXTRACT(CELL("address",'Raw Data'!C23),"\$([A-Z]+)\$[0-9]+")))</f>
        <v/>
      </c>
      <c r="D23" s="7" t="str" cm="1">
        <f t="array" aca="1" ref="D23" ca="1">IF(OR('Raw Data'!D23="",LEN(TRIM('Raw Data'!D23))=0,Validate_Empty!D23&lt;&gt;"",Validate_Value!D23&lt;&gt;""),"",IF('Raw Data'!D23 = Condition!D23,"",_xlfn.REGEXEXTRACT(CELL("address",'Raw Data'!D23),"\$([A-Z]+)\$[0-9]+")))</f>
        <v/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22" x14ac:dyDescent="0.25">
      <c r="B24" s="7" t="str" cm="1">
        <f t="array" aca="1" ref="B24" ca="1">IF(OR('Raw Data'!B24="",LEN(TRIM('Raw Data'!B24))=0,Validate_Empty!B24&lt;&gt;"",Validate_Value!B24&lt;&gt;""),"",IF('Raw Data'!B24 = Condition!B24,"",_xlfn.REGEXEXTRACT(CELL("address",'Raw Data'!B24),"\$([A-Z]+)\$[0-9]+")))</f>
        <v/>
      </c>
      <c r="C24" s="7" t="str" cm="1">
        <f t="array" aca="1" ref="C24" ca="1">IF(OR('Raw Data'!C24="",LEN(TRIM('Raw Data'!C24))=0,Validate_Empty!C24&lt;&gt;"",Validate_Value!C24&lt;&gt;""),"",IF('Raw Data'!C24 = Condition!C24,"",_xlfn.REGEXEXTRACT(CELL("address",'Raw Data'!C24),"\$([A-Z]+)\$[0-9]+")))</f>
        <v/>
      </c>
      <c r="D24" s="7" t="str" cm="1">
        <f t="array" aca="1" ref="D24" ca="1">IF(OR('Raw Data'!D24="",LEN(TRIM('Raw Data'!D24))=0,Validate_Empty!D24&lt;&gt;"",Validate_Value!D24&lt;&gt;""),"",IF('Raw Data'!D24 = Condition!D24,"",_xlfn.REGEXEXTRACT(CELL("address",'Raw Data'!D24),"\$([A-Z]+)\$[0-9]+")))</f>
        <v/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2:22" x14ac:dyDescent="0.25">
      <c r="B25" s="7" t="str" cm="1">
        <f t="array" aca="1" ref="B25" ca="1">IF(OR('Raw Data'!B25="",LEN(TRIM('Raw Data'!B25))=0,Validate_Empty!B25&lt;&gt;"",Validate_Value!B25&lt;&gt;""),"",IF('Raw Data'!B25 = Condition!B25,"",_xlfn.REGEXEXTRACT(CELL("address",'Raw Data'!B25),"\$([A-Z]+)\$[0-9]+")))</f>
        <v/>
      </c>
      <c r="C25" s="7" t="str" cm="1">
        <f t="array" aca="1" ref="C25" ca="1">IF(OR('Raw Data'!C25="",LEN(TRIM('Raw Data'!C25))=0,Validate_Empty!C25&lt;&gt;"",Validate_Value!C25&lt;&gt;""),"",IF('Raw Data'!C25 = Condition!C25,"",_xlfn.REGEXEXTRACT(CELL("address",'Raw Data'!C25),"\$([A-Z]+)\$[0-9]+")))</f>
        <v/>
      </c>
      <c r="D25" s="7" t="str" cm="1">
        <f t="array" aca="1" ref="D25" ca="1">IF(OR('Raw Data'!D25="",LEN(TRIM('Raw Data'!D25))=0,Validate_Empty!D25&lt;&gt;"",Validate_Value!D25&lt;&gt;""),"",IF('Raw Data'!D25 = Condition!D25,"",_xlfn.REGEXEXTRACT(CELL("address",'Raw Data'!D25),"\$([A-Z]+)\$[0-9]+")))</f>
        <v/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 x14ac:dyDescent="0.25">
      <c r="B26" s="7" t="str" cm="1">
        <f t="array" aca="1" ref="B26" ca="1">IF(OR('Raw Data'!B26="",LEN(TRIM('Raw Data'!B26))=0,Validate_Empty!B26&lt;&gt;"",Validate_Value!B26&lt;&gt;""),"",IF('Raw Data'!B26 = Condition!B26,"",_xlfn.REGEXEXTRACT(CELL("address",'Raw Data'!B26),"\$([A-Z]+)\$[0-9]+")))</f>
        <v/>
      </c>
      <c r="C26" s="7" t="str" cm="1">
        <f t="array" aca="1" ref="C26" ca="1">IF(OR('Raw Data'!C26="",LEN(TRIM('Raw Data'!C26))=0,Validate_Empty!C26&lt;&gt;"",Validate_Value!C26&lt;&gt;""),"",IF('Raw Data'!C26 = Condition!C26,"",_xlfn.REGEXEXTRACT(CELL("address",'Raw Data'!C26),"\$([A-Z]+)\$[0-9]+")))</f>
        <v/>
      </c>
      <c r="D26" s="7" t="str" cm="1">
        <f t="array" aca="1" ref="D26" ca="1">IF(OR('Raw Data'!D26="",LEN(TRIM('Raw Data'!D26))=0,Validate_Empty!D26&lt;&gt;"",Validate_Value!D26&lt;&gt;""),"",IF('Raw Data'!D26 = Condition!D26,"",_xlfn.REGEXEXTRACT(CELL("address",'Raw Data'!D26),"\$([A-Z]+)\$[0-9]+")))</f>
        <v/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2:22" x14ac:dyDescent="0.25">
      <c r="B27" s="7" t="str" cm="1">
        <f t="array" aca="1" ref="B27" ca="1">IF(OR('Raw Data'!B27="",LEN(TRIM('Raw Data'!B27))=0,Validate_Empty!B27&lt;&gt;"",Validate_Value!B27&lt;&gt;""),"",IF('Raw Data'!B27 = Condition!B27,"",_xlfn.REGEXEXTRACT(CELL("address",'Raw Data'!B27),"\$([A-Z]+)\$[0-9]+")))</f>
        <v/>
      </c>
      <c r="C27" s="7" t="str" cm="1">
        <f t="array" aca="1" ref="C27" ca="1">IF(OR('Raw Data'!C27="",LEN(TRIM('Raw Data'!C27))=0,Validate_Empty!C27&lt;&gt;"",Validate_Value!C27&lt;&gt;""),"",IF('Raw Data'!C27 = Condition!C27,"",_xlfn.REGEXEXTRACT(CELL("address",'Raw Data'!C27),"\$([A-Z]+)\$[0-9]+")))</f>
        <v/>
      </c>
      <c r="D27" s="7" t="str" cm="1">
        <f t="array" aca="1" ref="D27" ca="1">IF(OR('Raw Data'!D27="",LEN(TRIM('Raw Data'!D27))=0,Validate_Empty!D27&lt;&gt;"",Validate_Value!D27&lt;&gt;""),"",IF('Raw Data'!D27 = Condition!D27,"",_xlfn.REGEXEXTRACT(CELL("address",'Raw Data'!D27),"\$([A-Z]+)\$[0-9]+")))</f>
        <v/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2:22" x14ac:dyDescent="0.25">
      <c r="B28" s="7" t="str" cm="1">
        <f t="array" aca="1" ref="B28" ca="1">IF(OR('Raw Data'!B28="",LEN(TRIM('Raw Data'!B28))=0,Validate_Empty!B28&lt;&gt;"",Validate_Value!B28&lt;&gt;""),"",IF('Raw Data'!B28 = Condition!B28,"",_xlfn.REGEXEXTRACT(CELL("address",'Raw Data'!B28),"\$([A-Z]+)\$[0-9]+")))</f>
        <v/>
      </c>
      <c r="C28" s="7" t="str" cm="1">
        <f t="array" aca="1" ref="C28" ca="1">IF(OR('Raw Data'!C28="",LEN(TRIM('Raw Data'!C28))=0,Validate_Empty!C28&lt;&gt;"",Validate_Value!C28&lt;&gt;""),"",IF('Raw Data'!C28 = Condition!C28,"",_xlfn.REGEXEXTRACT(CELL("address",'Raw Data'!C28),"\$([A-Z]+)\$[0-9]+")))</f>
        <v/>
      </c>
      <c r="D28" s="7" t="str" cm="1">
        <f t="array" aca="1" ref="D28" ca="1">IF(OR('Raw Data'!D28="",LEN(TRIM('Raw Data'!D28))=0,Validate_Empty!D28&lt;&gt;"",Validate_Value!D28&lt;&gt;""),"",IF('Raw Data'!D28 = Condition!D28,"",_xlfn.REGEXEXTRACT(CELL("address",'Raw Data'!D28),"\$([A-Z]+)\$[0-9]+")))</f>
        <v/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2:22" x14ac:dyDescent="0.25">
      <c r="B29" s="7" t="str" cm="1">
        <f t="array" aca="1" ref="B29" ca="1">IF(OR('Raw Data'!B29="",LEN(TRIM('Raw Data'!B29))=0,Validate_Empty!B29&lt;&gt;"",Validate_Value!B29&lt;&gt;""),"",IF('Raw Data'!B29 = Condition!B29,"",_xlfn.REGEXEXTRACT(CELL("address",'Raw Data'!B29),"\$([A-Z]+)\$[0-9]+")))</f>
        <v/>
      </c>
      <c r="C29" s="7" t="str" cm="1">
        <f t="array" aca="1" ref="C29" ca="1">IF(OR('Raw Data'!C29="",LEN(TRIM('Raw Data'!C29))=0,Validate_Empty!C29&lt;&gt;"",Validate_Value!C29&lt;&gt;""),"",IF('Raw Data'!C29 = Condition!C29,"",_xlfn.REGEXEXTRACT(CELL("address",'Raw Data'!C29),"\$([A-Z]+)\$[0-9]+")))</f>
        <v/>
      </c>
      <c r="D29" s="7" t="str" cm="1">
        <f t="array" aca="1" ref="D29" ca="1">IF(OR('Raw Data'!D29="",LEN(TRIM('Raw Data'!D29))=0,Validate_Empty!D29&lt;&gt;"",Validate_Value!D29&lt;&gt;""),"",IF('Raw Data'!D29 = Condition!D29,"",_xlfn.REGEXEXTRACT(CELL("address",'Raw Data'!D29),"\$([A-Z]+)\$[0-9]+")))</f>
        <v/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2:22" x14ac:dyDescent="0.25">
      <c r="B30" s="7" t="str" cm="1">
        <f t="array" aca="1" ref="B30" ca="1">IF(OR('Raw Data'!B30="",LEN(TRIM('Raw Data'!B30))=0,Validate_Empty!B30&lt;&gt;"",Validate_Value!B30&lt;&gt;""),"",IF('Raw Data'!B30 = Condition!B30,"",_xlfn.REGEXEXTRACT(CELL("address",'Raw Data'!B30),"\$([A-Z]+)\$[0-9]+")))</f>
        <v/>
      </c>
      <c r="C30" s="7" t="str" cm="1">
        <f t="array" aca="1" ref="C30" ca="1">IF(OR('Raw Data'!C30="",LEN(TRIM('Raw Data'!C30))=0,Validate_Empty!C30&lt;&gt;"",Validate_Value!C30&lt;&gt;""),"",IF('Raw Data'!C30 = Condition!C30,"",_xlfn.REGEXEXTRACT(CELL("address",'Raw Data'!C30),"\$([A-Z]+)\$[0-9]+")))</f>
        <v/>
      </c>
      <c r="D30" s="7" t="str" cm="1">
        <f t="array" aca="1" ref="D30" ca="1">IF(OR('Raw Data'!D30="",LEN(TRIM('Raw Data'!D30))=0,Validate_Empty!D30&lt;&gt;"",Validate_Value!D30&lt;&gt;""),"",IF('Raw Data'!D30 = Condition!D30,"",_xlfn.REGEXEXTRACT(CELL("address",'Raw Data'!D30),"\$([A-Z]+)\$[0-9]+")))</f>
        <v/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2:22" x14ac:dyDescent="0.25">
      <c r="B31" s="7" t="str" cm="1">
        <f t="array" aca="1" ref="B31" ca="1">IF(OR('Raw Data'!B31="",LEN(TRIM('Raw Data'!B31))=0,Validate_Empty!B31&lt;&gt;"",Validate_Value!B31&lt;&gt;""),"",IF('Raw Data'!B31 = Condition!B31,"",_xlfn.REGEXEXTRACT(CELL("address",'Raw Data'!B31),"\$([A-Z]+)\$[0-9]+")))</f>
        <v/>
      </c>
      <c r="C31" s="7" t="str" cm="1">
        <f t="array" aca="1" ref="C31" ca="1">IF(OR('Raw Data'!C31="",LEN(TRIM('Raw Data'!C31))=0,Validate_Empty!C31&lt;&gt;"",Validate_Value!C31&lt;&gt;""),"",IF('Raw Data'!C31 = Condition!C31,"",_xlfn.REGEXEXTRACT(CELL("address",'Raw Data'!C31),"\$([A-Z]+)\$[0-9]+")))</f>
        <v/>
      </c>
      <c r="D31" s="7" t="str" cm="1">
        <f t="array" aca="1" ref="D31" ca="1">IF(OR('Raw Data'!D31="",LEN(TRIM('Raw Data'!D31))=0,Validate_Empty!D31&lt;&gt;"",Validate_Value!D31&lt;&gt;""),"",IF('Raw Data'!D31 = Condition!D31,"",_xlfn.REGEXEXTRACT(CELL("address",'Raw Data'!D31),"\$([A-Z]+)\$[0-9]+")))</f>
        <v/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2:22" x14ac:dyDescent="0.25">
      <c r="B32" s="7" t="str" cm="1">
        <f t="array" aca="1" ref="B32" ca="1">IF(OR('Raw Data'!B32="",LEN(TRIM('Raw Data'!B32))=0,Validate_Empty!B32&lt;&gt;"",Validate_Value!B32&lt;&gt;""),"",IF('Raw Data'!B32 = Condition!B32,"",_xlfn.REGEXEXTRACT(CELL("address",'Raw Data'!B32),"\$([A-Z]+)\$[0-9]+")))</f>
        <v/>
      </c>
      <c r="C32" s="7" t="str" cm="1">
        <f t="array" aca="1" ref="C32" ca="1">IF(OR('Raw Data'!C32="",LEN(TRIM('Raw Data'!C32))=0,Validate_Empty!C32&lt;&gt;"",Validate_Value!C32&lt;&gt;""),"",IF('Raw Data'!C32 = Condition!C32,"",_xlfn.REGEXEXTRACT(CELL("address",'Raw Data'!C32),"\$([A-Z]+)\$[0-9]+")))</f>
        <v/>
      </c>
      <c r="D32" s="7" t="str" cm="1">
        <f t="array" aca="1" ref="D32" ca="1">IF(OR('Raw Data'!D32="",LEN(TRIM('Raw Data'!D32))=0,Validate_Empty!D32&lt;&gt;"",Validate_Value!D32&lt;&gt;""),"",IF('Raw Data'!D32 = Condition!D32,"",_xlfn.REGEXEXTRACT(CELL("address",'Raw Data'!D32),"\$([A-Z]+)\$[0-9]+")))</f>
        <v/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2:22" x14ac:dyDescent="0.25">
      <c r="B33" s="7" t="str" cm="1">
        <f t="array" aca="1" ref="B33" ca="1">IF(OR('Raw Data'!B33="",LEN(TRIM('Raw Data'!B33))=0,Validate_Empty!B33&lt;&gt;"",Validate_Value!B33&lt;&gt;""),"",IF('Raw Data'!B33 = Condition!B33,"",_xlfn.REGEXEXTRACT(CELL("address",'Raw Data'!B33),"\$([A-Z]+)\$[0-9]+")))</f>
        <v/>
      </c>
      <c r="C33" s="7" t="str" cm="1">
        <f t="array" aca="1" ref="C33" ca="1">IF(OR('Raw Data'!C33="",LEN(TRIM('Raw Data'!C33))=0,Validate_Empty!C33&lt;&gt;"",Validate_Value!C33&lt;&gt;""),"",IF('Raw Data'!C33 = Condition!C33,"",_xlfn.REGEXEXTRACT(CELL("address",'Raw Data'!C33),"\$([A-Z]+)\$[0-9]+")))</f>
        <v/>
      </c>
      <c r="D33" s="7" t="str" cm="1">
        <f t="array" aca="1" ref="D33" ca="1">IF(OR('Raw Data'!D33="",LEN(TRIM('Raw Data'!D33))=0,Validate_Empty!D33&lt;&gt;"",Validate_Value!D33&lt;&gt;""),"",IF('Raw Data'!D33 = Condition!D33,"",_xlfn.REGEXEXTRACT(CELL("address",'Raw Data'!D33),"\$([A-Z]+)\$[0-9]+")))</f>
        <v/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2:22" x14ac:dyDescent="0.25">
      <c r="B34" s="7" t="str" cm="1">
        <f t="array" aca="1" ref="B34" ca="1">IF(OR('Raw Data'!B34="",LEN(TRIM('Raw Data'!B34))=0,Validate_Empty!B34&lt;&gt;"",Validate_Value!B34&lt;&gt;""),"",IF('Raw Data'!B34 = Condition!B34,"",_xlfn.REGEXEXTRACT(CELL("address",'Raw Data'!B34),"\$([A-Z]+)\$[0-9]+")))</f>
        <v/>
      </c>
      <c r="C34" s="7" t="str" cm="1">
        <f t="array" aca="1" ref="C34" ca="1">IF(OR('Raw Data'!C34="",LEN(TRIM('Raw Data'!C34))=0,Validate_Empty!C34&lt;&gt;"",Validate_Value!C34&lt;&gt;""),"",IF('Raw Data'!C34 = Condition!C34,"",_xlfn.REGEXEXTRACT(CELL("address",'Raw Data'!C34),"\$([A-Z]+)\$[0-9]+")))</f>
        <v/>
      </c>
      <c r="D34" s="7" t="str" cm="1">
        <f t="array" aca="1" ref="D34" ca="1">IF(OR('Raw Data'!D34="",LEN(TRIM('Raw Data'!D34))=0,Validate_Empty!D34&lt;&gt;"",Validate_Value!D34&lt;&gt;""),"",IF('Raw Data'!D34 = Condition!D34,"",_xlfn.REGEXEXTRACT(CELL("address",'Raw Data'!D34),"\$([A-Z]+)\$[0-9]+")))</f>
        <v/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2:22" x14ac:dyDescent="0.25">
      <c r="B35" s="7" t="str" cm="1">
        <f t="array" aca="1" ref="B35" ca="1">IF(OR('Raw Data'!B35="",LEN(TRIM('Raw Data'!B35))=0,Validate_Empty!B35&lt;&gt;"",Validate_Value!B35&lt;&gt;""),"",IF('Raw Data'!B35 = Condition!B35,"",_xlfn.REGEXEXTRACT(CELL("address",'Raw Data'!B35),"\$([A-Z]+)\$[0-9]+")))</f>
        <v/>
      </c>
      <c r="C35" s="7" t="str" cm="1">
        <f t="array" aca="1" ref="C35" ca="1">IF(OR('Raw Data'!C35="",LEN(TRIM('Raw Data'!C35))=0,Validate_Empty!C35&lt;&gt;"",Validate_Value!C35&lt;&gt;""),"",IF('Raw Data'!C35 = Condition!C35,"",_xlfn.REGEXEXTRACT(CELL("address",'Raw Data'!C35),"\$([A-Z]+)\$[0-9]+")))</f>
        <v/>
      </c>
      <c r="D35" s="7" t="str" cm="1">
        <f t="array" aca="1" ref="D35" ca="1">IF(OR('Raw Data'!D35="",LEN(TRIM('Raw Data'!D35))=0,Validate_Empty!D35&lt;&gt;"",Validate_Value!D35&lt;&gt;""),"",IF('Raw Data'!D35 = Condition!D35,"",_xlfn.REGEXEXTRACT(CELL("address",'Raw Data'!D35),"\$([A-Z]+)\$[0-9]+")))</f>
        <v/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2:22" x14ac:dyDescent="0.25">
      <c r="B36" s="7" t="str" cm="1">
        <f t="array" aca="1" ref="B36" ca="1">IF(OR('Raw Data'!B36="",LEN(TRIM('Raw Data'!B36))=0,Validate_Empty!B36&lt;&gt;"",Validate_Value!B36&lt;&gt;""),"",IF('Raw Data'!B36 = Condition!B36,"",_xlfn.REGEXEXTRACT(CELL("address",'Raw Data'!B36),"\$([A-Z]+)\$[0-9]+")))</f>
        <v/>
      </c>
      <c r="C36" s="7" t="str" cm="1">
        <f t="array" aca="1" ref="C36" ca="1">IF(OR('Raw Data'!C36="",LEN(TRIM('Raw Data'!C36))=0,Validate_Empty!C36&lt;&gt;"",Validate_Value!C36&lt;&gt;""),"",IF('Raw Data'!C36 = Condition!C36,"",_xlfn.REGEXEXTRACT(CELL("address",'Raw Data'!C36),"\$([A-Z]+)\$[0-9]+")))</f>
        <v/>
      </c>
      <c r="D36" s="7" t="str" cm="1">
        <f t="array" aca="1" ref="D36" ca="1">IF(OR('Raw Data'!D36="",LEN(TRIM('Raw Data'!D36))=0,Validate_Empty!D36&lt;&gt;"",Validate_Value!D36&lt;&gt;""),"",IF('Raw Data'!D36 = Condition!D36,"",_xlfn.REGEXEXTRACT(CELL("address",'Raw Data'!D36),"\$([A-Z]+)\$[0-9]+")))</f>
        <v/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2:22" x14ac:dyDescent="0.25">
      <c r="B37" s="7" t="str" cm="1">
        <f t="array" aca="1" ref="B37" ca="1">IF(OR('Raw Data'!B37="",LEN(TRIM('Raw Data'!B37))=0,Validate_Empty!B37&lt;&gt;"",Validate_Value!B37&lt;&gt;""),"",IF('Raw Data'!B37 = Condition!B37,"",_xlfn.REGEXEXTRACT(CELL("address",'Raw Data'!B37),"\$([A-Z]+)\$[0-9]+")))</f>
        <v/>
      </c>
      <c r="C37" s="7" t="str" cm="1">
        <f t="array" aca="1" ref="C37" ca="1">IF(OR('Raw Data'!C37="",LEN(TRIM('Raw Data'!C37))=0,Validate_Empty!C37&lt;&gt;"",Validate_Value!C37&lt;&gt;""),"",IF('Raw Data'!C37 = Condition!C37,"",_xlfn.REGEXEXTRACT(CELL("address",'Raw Data'!C37),"\$([A-Z]+)\$[0-9]+")))</f>
        <v/>
      </c>
      <c r="D37" s="7" t="str" cm="1">
        <f t="array" aca="1" ref="D37" ca="1">IF(OR('Raw Data'!D37="",LEN(TRIM('Raw Data'!D37))=0,Validate_Empty!D37&lt;&gt;"",Validate_Value!D37&lt;&gt;""),"",IF('Raw Data'!D37 = Condition!D37,"",_xlfn.REGEXEXTRACT(CELL("address",'Raw Data'!D37),"\$([A-Z]+)\$[0-9]+")))</f>
        <v/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2:22" x14ac:dyDescent="0.25">
      <c r="B38" s="7" t="str" cm="1">
        <f t="array" aca="1" ref="B38" ca="1">IF(OR('Raw Data'!B38="",LEN(TRIM('Raw Data'!B38))=0,Validate_Empty!B38&lt;&gt;"",Validate_Value!B38&lt;&gt;""),"",IF('Raw Data'!B38 = Condition!B38,"",_xlfn.REGEXEXTRACT(CELL("address",'Raw Data'!B38),"\$([A-Z]+)\$[0-9]+")))</f>
        <v/>
      </c>
      <c r="C38" s="7" t="str" cm="1">
        <f t="array" aca="1" ref="C38" ca="1">IF(OR('Raw Data'!C38="",LEN(TRIM('Raw Data'!C38))=0,Validate_Empty!C38&lt;&gt;"",Validate_Value!C38&lt;&gt;""),"",IF('Raw Data'!C38 = Condition!C38,"",_xlfn.REGEXEXTRACT(CELL("address",'Raw Data'!C38),"\$([A-Z]+)\$[0-9]+")))</f>
        <v/>
      </c>
      <c r="D38" s="7" t="str" cm="1">
        <f t="array" aca="1" ref="D38" ca="1">IF(OR('Raw Data'!D38="",LEN(TRIM('Raw Data'!D38))=0,Validate_Empty!D38&lt;&gt;"",Validate_Value!D38&lt;&gt;""),"",IF('Raw Data'!D38 = Condition!D38,"",_xlfn.REGEXEXTRACT(CELL("address",'Raw Data'!D38),"\$([A-Z]+)\$[0-9]+")))</f>
        <v/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22" x14ac:dyDescent="0.25">
      <c r="B39" s="7" t="str" cm="1">
        <f t="array" aca="1" ref="B39" ca="1">IF(OR('Raw Data'!B39="",LEN(TRIM('Raw Data'!B39))=0,Validate_Empty!B39&lt;&gt;"",Validate_Value!B39&lt;&gt;""),"",IF('Raw Data'!B39 = Condition!B39,"",_xlfn.REGEXEXTRACT(CELL("address",'Raw Data'!B39),"\$([A-Z]+)\$[0-9]+")))</f>
        <v/>
      </c>
      <c r="C39" s="7" t="str" cm="1">
        <f t="array" aca="1" ref="C39" ca="1">IF(OR('Raw Data'!C39="",LEN(TRIM('Raw Data'!C39))=0,Validate_Empty!C39&lt;&gt;"",Validate_Value!C39&lt;&gt;""),"",IF('Raw Data'!C39 = Condition!C39,"",_xlfn.REGEXEXTRACT(CELL("address",'Raw Data'!C39),"\$([A-Z]+)\$[0-9]+")))</f>
        <v/>
      </c>
      <c r="D39" s="7" t="str" cm="1">
        <f t="array" aca="1" ref="D39" ca="1">IF(OR('Raw Data'!D39="",LEN(TRIM('Raw Data'!D39))=0,Validate_Empty!D39&lt;&gt;"",Validate_Value!D39&lt;&gt;""),"",IF('Raw Data'!D39 = Condition!D39,"",_xlfn.REGEXEXTRACT(CELL("address",'Raw Data'!D39),"\$([A-Z]+)\$[0-9]+")))</f>
        <v/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2:22" x14ac:dyDescent="0.25">
      <c r="B40" s="7" t="str" cm="1">
        <f t="array" aca="1" ref="B40" ca="1">IF(OR('Raw Data'!B40="",LEN(TRIM('Raw Data'!B40))=0,Validate_Empty!B40&lt;&gt;"",Validate_Value!B40&lt;&gt;""),"",IF('Raw Data'!B40 = Condition!B40,"",_xlfn.REGEXEXTRACT(CELL("address",'Raw Data'!B40),"\$([A-Z]+)\$[0-9]+")))</f>
        <v/>
      </c>
      <c r="C40" s="7" t="str" cm="1">
        <f t="array" aca="1" ref="C40" ca="1">IF(OR('Raw Data'!C40="",LEN(TRIM('Raw Data'!C40))=0,Validate_Empty!C40&lt;&gt;"",Validate_Value!C40&lt;&gt;""),"",IF('Raw Data'!C40 = Condition!C40,"",_xlfn.REGEXEXTRACT(CELL("address",'Raw Data'!C40),"\$([A-Z]+)\$[0-9]+")))</f>
        <v/>
      </c>
      <c r="D40" s="7" t="str" cm="1">
        <f t="array" aca="1" ref="D40" ca="1">IF(OR('Raw Data'!D40="",LEN(TRIM('Raw Data'!D40))=0,Validate_Empty!D40&lt;&gt;"",Validate_Value!D40&lt;&gt;""),"",IF('Raw Data'!D40 = Condition!D40,"",_xlfn.REGEXEXTRACT(CELL("address",'Raw Data'!D40),"\$([A-Z]+)\$[0-9]+")))</f>
        <v/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2:22" x14ac:dyDescent="0.25">
      <c r="B41" s="7" t="str" cm="1">
        <f t="array" aca="1" ref="B41" ca="1">IF(OR('Raw Data'!B41="",LEN(TRIM('Raw Data'!B41))=0,Validate_Empty!B41&lt;&gt;"",Validate_Value!B41&lt;&gt;""),"",IF('Raw Data'!B41 = Condition!B41,"",_xlfn.REGEXEXTRACT(CELL("address",'Raw Data'!B41),"\$([A-Z]+)\$[0-9]+")))</f>
        <v/>
      </c>
      <c r="C41" s="7" t="str" cm="1">
        <f t="array" aca="1" ref="C41" ca="1">IF(OR('Raw Data'!C41="",LEN(TRIM('Raw Data'!C41))=0,Validate_Empty!C41&lt;&gt;"",Validate_Value!C41&lt;&gt;""),"",IF('Raw Data'!C41 = Condition!C41,"",_xlfn.REGEXEXTRACT(CELL("address",'Raw Data'!C41),"\$([A-Z]+)\$[0-9]+")))</f>
        <v/>
      </c>
      <c r="D41" s="7" t="str" cm="1">
        <f t="array" aca="1" ref="D41" ca="1">IF(OR('Raw Data'!D41="",LEN(TRIM('Raw Data'!D41))=0,Validate_Empty!D41&lt;&gt;"",Validate_Value!D41&lt;&gt;""),"",IF('Raw Data'!D41 = Condition!D41,"",_xlfn.REGEXEXTRACT(CELL("address",'Raw Data'!D41),"\$([A-Z]+)\$[0-9]+")))</f>
        <v/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2:22" x14ac:dyDescent="0.25">
      <c r="B42" s="7" t="str" cm="1">
        <f t="array" aca="1" ref="B42" ca="1">IF(OR('Raw Data'!B42="",LEN(TRIM('Raw Data'!B42))=0,Validate_Empty!B42&lt;&gt;"",Validate_Value!B42&lt;&gt;""),"",IF('Raw Data'!B42 = Condition!B42,"",_xlfn.REGEXEXTRACT(CELL("address",'Raw Data'!B42),"\$([A-Z]+)\$[0-9]+")))</f>
        <v/>
      </c>
      <c r="C42" s="7" t="str" cm="1">
        <f t="array" aca="1" ref="C42" ca="1">IF(OR('Raw Data'!C42="",LEN(TRIM('Raw Data'!C42))=0,Validate_Empty!C42&lt;&gt;"",Validate_Value!C42&lt;&gt;""),"",IF('Raw Data'!C42 = Condition!C42,"",_xlfn.REGEXEXTRACT(CELL("address",'Raw Data'!C42),"\$([A-Z]+)\$[0-9]+")))</f>
        <v/>
      </c>
      <c r="D42" s="7" t="str" cm="1">
        <f t="array" aca="1" ref="D42" ca="1">IF(OR('Raw Data'!D42="",LEN(TRIM('Raw Data'!D42))=0,Validate_Empty!D42&lt;&gt;"",Validate_Value!D42&lt;&gt;""),"",IF('Raw Data'!D42 = Condition!D42,"",_xlfn.REGEXEXTRACT(CELL("address",'Raw Data'!D42),"\$([A-Z]+)\$[0-9]+")))</f>
        <v/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2:22" x14ac:dyDescent="0.25">
      <c r="B43" s="7" t="str" cm="1">
        <f t="array" aca="1" ref="B43" ca="1">IF(OR('Raw Data'!B43="",LEN(TRIM('Raw Data'!B43))=0,Validate_Empty!B43&lt;&gt;"",Validate_Value!B43&lt;&gt;""),"",IF('Raw Data'!B43 = Condition!B43,"",_xlfn.REGEXEXTRACT(CELL("address",'Raw Data'!B43),"\$([A-Z]+)\$[0-9]+")))</f>
        <v/>
      </c>
      <c r="C43" s="7" t="str" cm="1">
        <f t="array" aca="1" ref="C43" ca="1">IF(OR('Raw Data'!C43="",LEN(TRIM('Raw Data'!C43))=0,Validate_Empty!C43&lt;&gt;"",Validate_Value!C43&lt;&gt;""),"",IF('Raw Data'!C43 = Condition!C43,"",_xlfn.REGEXEXTRACT(CELL("address",'Raw Data'!C43),"\$([A-Z]+)\$[0-9]+")))</f>
        <v/>
      </c>
      <c r="D43" s="7" t="str" cm="1">
        <f t="array" aca="1" ref="D43" ca="1">IF(OR('Raw Data'!D43="",LEN(TRIM('Raw Data'!D43))=0,Validate_Empty!D43&lt;&gt;"",Validate_Value!D43&lt;&gt;""),"",IF('Raw Data'!D43 = Condition!D43,"",_xlfn.REGEXEXTRACT(CELL("address",'Raw Data'!D43),"\$([A-Z]+)\$[0-9]+")))</f>
        <v/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2:22" x14ac:dyDescent="0.25">
      <c r="B44" s="7" t="str" cm="1">
        <f t="array" aca="1" ref="B44" ca="1">IF(OR('Raw Data'!B44="",LEN(TRIM('Raw Data'!B44))=0,Validate_Empty!B44&lt;&gt;"",Validate_Value!B44&lt;&gt;""),"",IF('Raw Data'!B44 = Condition!B44,"",_xlfn.REGEXEXTRACT(CELL("address",'Raw Data'!B44),"\$([A-Z]+)\$[0-9]+")))</f>
        <v/>
      </c>
      <c r="C44" s="7" t="str" cm="1">
        <f t="array" aca="1" ref="C44" ca="1">IF(OR('Raw Data'!C44="",LEN(TRIM('Raw Data'!C44))=0,Validate_Empty!C44&lt;&gt;"",Validate_Value!C44&lt;&gt;""),"",IF('Raw Data'!C44 = Condition!C44,"",_xlfn.REGEXEXTRACT(CELL("address",'Raw Data'!C44),"\$([A-Z]+)\$[0-9]+")))</f>
        <v/>
      </c>
      <c r="D44" s="7" t="str" cm="1">
        <f t="array" aca="1" ref="D44" ca="1">IF(OR('Raw Data'!D44="",LEN(TRIM('Raw Data'!D44))=0,Validate_Empty!D44&lt;&gt;"",Validate_Value!D44&lt;&gt;""),"",IF('Raw Data'!D44 = Condition!D44,"",_xlfn.REGEXEXTRACT(CELL("address",'Raw Data'!D44),"\$([A-Z]+)\$[0-9]+")))</f>
        <v/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2:22" x14ac:dyDescent="0.25">
      <c r="B45" s="7" t="str" cm="1">
        <f t="array" aca="1" ref="B45" ca="1">IF(OR('Raw Data'!B45="",LEN(TRIM('Raw Data'!B45))=0,Validate_Empty!B45&lt;&gt;"",Validate_Value!B45&lt;&gt;""),"",IF('Raw Data'!B45 = Condition!B45,"",_xlfn.REGEXEXTRACT(CELL("address",'Raw Data'!B45),"\$([A-Z]+)\$[0-9]+")))</f>
        <v/>
      </c>
      <c r="C45" s="7" t="str" cm="1">
        <f t="array" aca="1" ref="C45" ca="1">IF(OR('Raw Data'!C45="",LEN(TRIM('Raw Data'!C45))=0,Validate_Empty!C45&lt;&gt;"",Validate_Value!C45&lt;&gt;""),"",IF('Raw Data'!C45 = Condition!C45,"",_xlfn.REGEXEXTRACT(CELL("address",'Raw Data'!C45),"\$([A-Z]+)\$[0-9]+")))</f>
        <v/>
      </c>
      <c r="D45" s="7" t="str" cm="1">
        <f t="array" aca="1" ref="D45" ca="1">IF(OR('Raw Data'!D45="",LEN(TRIM('Raw Data'!D45))=0,Validate_Empty!D45&lt;&gt;"",Validate_Value!D45&lt;&gt;""),"",IF('Raw Data'!D45 = Condition!D45,"",_xlfn.REGEXEXTRACT(CELL("address",'Raw Data'!D45),"\$([A-Z]+)\$[0-9]+")))</f>
        <v/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2:22" x14ac:dyDescent="0.25">
      <c r="B46" s="7" t="str" cm="1">
        <f t="array" aca="1" ref="B46" ca="1">IF(OR('Raw Data'!B46="",LEN(TRIM('Raw Data'!B46))=0,Validate_Empty!B46&lt;&gt;"",Validate_Value!B46&lt;&gt;""),"",IF('Raw Data'!B46 = Condition!B46,"",_xlfn.REGEXEXTRACT(CELL("address",'Raw Data'!B46),"\$([A-Z]+)\$[0-9]+")))</f>
        <v/>
      </c>
      <c r="C46" s="7" t="str" cm="1">
        <f t="array" aca="1" ref="C46" ca="1">IF(OR('Raw Data'!C46="",LEN(TRIM('Raw Data'!C46))=0,Validate_Empty!C46&lt;&gt;"",Validate_Value!C46&lt;&gt;""),"",IF('Raw Data'!C46 = Condition!C46,"",_xlfn.REGEXEXTRACT(CELL("address",'Raw Data'!C46),"\$([A-Z]+)\$[0-9]+")))</f>
        <v/>
      </c>
      <c r="D46" s="7" t="str" cm="1">
        <f t="array" aca="1" ref="D46" ca="1">IF(OR('Raw Data'!D46="",LEN(TRIM('Raw Data'!D46))=0,Validate_Empty!D46&lt;&gt;"",Validate_Value!D46&lt;&gt;""),"",IF('Raw Data'!D46 = Condition!D46,"",_xlfn.REGEXEXTRACT(CELL("address",'Raw Data'!D46),"\$([A-Z]+)\$[0-9]+")))</f>
        <v/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2:22" x14ac:dyDescent="0.25">
      <c r="B47" s="7" t="str" cm="1">
        <f t="array" aca="1" ref="B47" ca="1">IF(OR('Raw Data'!B47="",LEN(TRIM('Raw Data'!B47))=0,Validate_Empty!B47&lt;&gt;"",Validate_Value!B47&lt;&gt;""),"",IF('Raw Data'!B47 = Condition!B47,"",_xlfn.REGEXEXTRACT(CELL("address",'Raw Data'!B47),"\$([A-Z]+)\$[0-9]+")))</f>
        <v/>
      </c>
      <c r="C47" s="7" t="str" cm="1">
        <f t="array" aca="1" ref="C47" ca="1">IF(OR('Raw Data'!C47="",LEN(TRIM('Raw Data'!C47))=0,Validate_Empty!C47&lt;&gt;"",Validate_Value!C47&lt;&gt;""),"",IF('Raw Data'!C47 = Condition!C47,"",_xlfn.REGEXEXTRACT(CELL("address",'Raw Data'!C47),"\$([A-Z]+)\$[0-9]+")))</f>
        <v/>
      </c>
      <c r="D47" s="7" t="str" cm="1">
        <f t="array" aca="1" ref="D47" ca="1">IF(OR('Raw Data'!D47="",LEN(TRIM('Raw Data'!D47))=0,Validate_Empty!D47&lt;&gt;"",Validate_Value!D47&lt;&gt;""),"",IF('Raw Data'!D47 = Condition!D47,"",_xlfn.REGEXEXTRACT(CELL("address",'Raw Data'!D47),"\$([A-Z]+)\$[0-9]+")))</f>
        <v/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2:22" x14ac:dyDescent="0.25">
      <c r="B48" s="7" t="str" cm="1">
        <f t="array" aca="1" ref="B48" ca="1">IF(OR('Raw Data'!B48="",LEN(TRIM('Raw Data'!B48))=0,Validate_Empty!B48&lt;&gt;"",Validate_Value!B48&lt;&gt;""),"",IF('Raw Data'!B48 = Condition!B48,"",_xlfn.REGEXEXTRACT(CELL("address",'Raw Data'!B48),"\$([A-Z]+)\$[0-9]+")))</f>
        <v/>
      </c>
      <c r="C48" s="7" t="str" cm="1">
        <f t="array" aca="1" ref="C48" ca="1">IF(OR('Raw Data'!C48="",LEN(TRIM('Raw Data'!C48))=0,Validate_Empty!C48&lt;&gt;"",Validate_Value!C48&lt;&gt;""),"",IF('Raw Data'!C48 = Condition!C48,"",_xlfn.REGEXEXTRACT(CELL("address",'Raw Data'!C48),"\$([A-Z]+)\$[0-9]+")))</f>
        <v/>
      </c>
      <c r="D48" s="7" t="str" cm="1">
        <f t="array" aca="1" ref="D48" ca="1">IF(OR('Raw Data'!D48="",LEN(TRIM('Raw Data'!D48))=0,Validate_Empty!D48&lt;&gt;"",Validate_Value!D48&lt;&gt;""),"",IF('Raw Data'!D48 = Condition!D48,"",_xlfn.REGEXEXTRACT(CELL("address",'Raw Data'!D48),"\$([A-Z]+)\$[0-9]+")))</f>
        <v/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2:22" x14ac:dyDescent="0.25">
      <c r="B49" s="7" t="str" cm="1">
        <f t="array" aca="1" ref="B49" ca="1">IF(OR('Raw Data'!B49="",LEN(TRIM('Raw Data'!B49))=0,Validate_Empty!B49&lt;&gt;"",Validate_Value!B49&lt;&gt;""),"",IF('Raw Data'!B49 = Condition!B49,"",_xlfn.REGEXEXTRACT(CELL("address",'Raw Data'!B49),"\$([A-Z]+)\$[0-9]+")))</f>
        <v/>
      </c>
      <c r="C49" s="7" t="str" cm="1">
        <f t="array" aca="1" ref="C49" ca="1">IF(OR('Raw Data'!C49="",LEN(TRIM('Raw Data'!C49))=0,Validate_Empty!C49&lt;&gt;"",Validate_Value!C49&lt;&gt;""),"",IF('Raw Data'!C49 = Condition!C49,"",_xlfn.REGEXEXTRACT(CELL("address",'Raw Data'!C49),"\$([A-Z]+)\$[0-9]+")))</f>
        <v/>
      </c>
      <c r="D49" s="7" t="str" cm="1">
        <f t="array" aca="1" ref="D49" ca="1">IF(OR('Raw Data'!D49="",LEN(TRIM('Raw Data'!D49))=0,Validate_Empty!D49&lt;&gt;"",Validate_Value!D49&lt;&gt;""),"",IF('Raw Data'!D49 = Condition!D49,"",_xlfn.REGEXEXTRACT(CELL("address",'Raw Data'!D49),"\$([A-Z]+)\$[0-9]+")))</f>
        <v/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2:22" x14ac:dyDescent="0.25">
      <c r="B50" s="7" t="str" cm="1">
        <f t="array" aca="1" ref="B50" ca="1">IF(OR('Raw Data'!B50="",LEN(TRIM('Raw Data'!B50))=0,Validate_Empty!B50&lt;&gt;"",Validate_Value!B50&lt;&gt;""),"",IF('Raw Data'!B50 = Condition!B50,"",_xlfn.REGEXEXTRACT(CELL("address",'Raw Data'!B50),"\$([A-Z]+)\$[0-9]+")))</f>
        <v/>
      </c>
      <c r="C50" s="7" t="str" cm="1">
        <f t="array" aca="1" ref="C50" ca="1">IF(OR('Raw Data'!C50="",LEN(TRIM('Raw Data'!C50))=0,Validate_Empty!C50&lt;&gt;"",Validate_Value!C50&lt;&gt;""),"",IF('Raw Data'!C50 = Condition!C50,"",_xlfn.REGEXEXTRACT(CELL("address",'Raw Data'!C50),"\$([A-Z]+)\$[0-9]+")))</f>
        <v/>
      </c>
      <c r="D50" s="7" t="str" cm="1">
        <f t="array" aca="1" ref="D50" ca="1">IF(OR('Raw Data'!D50="",LEN(TRIM('Raw Data'!D50))=0,Validate_Empty!D50&lt;&gt;"",Validate_Value!D50&lt;&gt;""),"",IF('Raw Data'!D50 = Condition!D50,"",_xlfn.REGEXEXTRACT(CELL("address",'Raw Data'!D50),"\$([A-Z]+)\$[0-9]+")))</f>
        <v/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2:22" x14ac:dyDescent="0.25">
      <c r="B51" s="7" t="str" cm="1">
        <f t="array" aca="1" ref="B51" ca="1">IF(OR('Raw Data'!B51="",LEN(TRIM('Raw Data'!B51))=0,Validate_Empty!B51&lt;&gt;"",Validate_Value!B51&lt;&gt;""),"",IF('Raw Data'!B51 = Condition!B51,"",_xlfn.REGEXEXTRACT(CELL("address",'Raw Data'!B51),"\$([A-Z]+)\$[0-9]+")))</f>
        <v/>
      </c>
      <c r="C51" s="7" t="str" cm="1">
        <f t="array" aca="1" ref="C51" ca="1">IF(OR('Raw Data'!C51="",LEN(TRIM('Raw Data'!C51))=0,Validate_Empty!C51&lt;&gt;"",Validate_Value!C51&lt;&gt;""),"",IF('Raw Data'!C51 = Condition!C51,"",_xlfn.REGEXEXTRACT(CELL("address",'Raw Data'!C51),"\$([A-Z]+)\$[0-9]+")))</f>
        <v/>
      </c>
      <c r="D51" s="7" t="str" cm="1">
        <f t="array" aca="1" ref="D51" ca="1">IF(OR('Raw Data'!D51="",LEN(TRIM('Raw Data'!D51))=0,Validate_Empty!D51&lt;&gt;"",Validate_Value!D51&lt;&gt;""),"",IF('Raw Data'!D51 = Condition!D51,"",_xlfn.REGEXEXTRACT(CELL("address",'Raw Data'!D51),"\$([A-Z]+)\$[0-9]+")))</f>
        <v/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2:22" x14ac:dyDescent="0.25">
      <c r="B52" s="7" t="str" cm="1">
        <f t="array" aca="1" ref="B52" ca="1">IF(OR('Raw Data'!B52="",LEN(TRIM('Raw Data'!B52))=0,Validate_Empty!B52&lt;&gt;"",Validate_Value!B52&lt;&gt;""),"",IF('Raw Data'!B52 = Condition!B52,"",_xlfn.REGEXEXTRACT(CELL("address",'Raw Data'!B52),"\$([A-Z]+)\$[0-9]+")))</f>
        <v/>
      </c>
      <c r="C52" s="7" t="str" cm="1">
        <f t="array" aca="1" ref="C52" ca="1">IF(OR('Raw Data'!C52="",LEN(TRIM('Raw Data'!C52))=0,Validate_Empty!C52&lt;&gt;"",Validate_Value!C52&lt;&gt;""),"",IF('Raw Data'!C52 = Condition!C52,"",_xlfn.REGEXEXTRACT(CELL("address",'Raw Data'!C52),"\$([A-Z]+)\$[0-9]+")))</f>
        <v/>
      </c>
      <c r="D52" s="7" t="str" cm="1">
        <f t="array" aca="1" ref="D52" ca="1">IF(OR('Raw Data'!D52="",LEN(TRIM('Raw Data'!D52))=0,Validate_Empty!D52&lt;&gt;"",Validate_Value!D52&lt;&gt;""),"",IF('Raw Data'!D52 = Condition!D52,"",_xlfn.REGEXEXTRACT(CELL("address",'Raw Data'!D52),"\$([A-Z]+)\$[0-9]+")))</f>
        <v/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2:22" x14ac:dyDescent="0.25">
      <c r="B53" s="7" t="str" cm="1">
        <f t="array" aca="1" ref="B53" ca="1">IF(OR('Raw Data'!B53="",LEN(TRIM('Raw Data'!B53))=0,Validate_Empty!B53&lt;&gt;"",Validate_Value!B53&lt;&gt;""),"",IF('Raw Data'!B53 = Condition!B53,"",_xlfn.REGEXEXTRACT(CELL("address",'Raw Data'!B53),"\$([A-Z]+)\$[0-9]+")))</f>
        <v/>
      </c>
      <c r="C53" s="7" t="str" cm="1">
        <f t="array" aca="1" ref="C53" ca="1">IF(OR('Raw Data'!C53="",LEN(TRIM('Raw Data'!C53))=0,Validate_Empty!C53&lt;&gt;"",Validate_Value!C53&lt;&gt;""),"",IF('Raw Data'!C53 = Condition!C53,"",_xlfn.REGEXEXTRACT(CELL("address",'Raw Data'!C53),"\$([A-Z]+)\$[0-9]+")))</f>
        <v/>
      </c>
      <c r="D53" s="7" t="str" cm="1">
        <f t="array" aca="1" ref="D53" ca="1">IF(OR('Raw Data'!D53="",LEN(TRIM('Raw Data'!D53))=0,Validate_Empty!D53&lt;&gt;"",Validate_Value!D53&lt;&gt;""),"",IF('Raw Data'!D53 = Condition!D53,"",_xlfn.REGEXEXTRACT(CELL("address",'Raw Data'!D53),"\$([A-Z]+)\$[0-9]+")))</f>
        <v/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2:22" x14ac:dyDescent="0.25">
      <c r="B54" s="7" t="str" cm="1">
        <f t="array" aca="1" ref="B54" ca="1">IF(OR('Raw Data'!B54="",LEN(TRIM('Raw Data'!B54))=0,Validate_Empty!B54&lt;&gt;"",Validate_Value!B54&lt;&gt;""),"",IF('Raw Data'!B54 = Condition!B54,"",_xlfn.REGEXEXTRACT(CELL("address",'Raw Data'!B54),"\$([A-Z]+)\$[0-9]+")))</f>
        <v/>
      </c>
      <c r="C54" s="7" t="str" cm="1">
        <f t="array" aca="1" ref="C54" ca="1">IF(OR('Raw Data'!C54="",LEN(TRIM('Raw Data'!C54))=0,Validate_Empty!C54&lt;&gt;"",Validate_Value!C54&lt;&gt;""),"",IF('Raw Data'!C54 = Condition!C54,"",_xlfn.REGEXEXTRACT(CELL("address",'Raw Data'!C54),"\$([A-Z]+)\$[0-9]+")))</f>
        <v/>
      </c>
      <c r="D54" s="7" t="str" cm="1">
        <f t="array" aca="1" ref="D54" ca="1">IF(OR('Raw Data'!D54="",LEN(TRIM('Raw Data'!D54))=0,Validate_Empty!D54&lt;&gt;"",Validate_Value!D54&lt;&gt;""),"",IF('Raw Data'!D54 = Condition!D54,"",_xlfn.REGEXEXTRACT(CELL("address",'Raw Data'!D54),"\$([A-Z]+)\$[0-9]+")))</f>
        <v/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2:22" x14ac:dyDescent="0.25">
      <c r="B55" s="7" t="str" cm="1">
        <f t="array" aca="1" ref="B55" ca="1">IF(OR('Raw Data'!B55="",LEN(TRIM('Raw Data'!B55))=0,Validate_Empty!B55&lt;&gt;"",Validate_Value!B55&lt;&gt;""),"",IF('Raw Data'!B55 = Condition!B55,"",_xlfn.REGEXEXTRACT(CELL("address",'Raw Data'!B55),"\$([A-Z]+)\$[0-9]+")))</f>
        <v/>
      </c>
      <c r="C55" s="7" t="str" cm="1">
        <f t="array" aca="1" ref="C55" ca="1">IF(OR('Raw Data'!C55="",LEN(TRIM('Raw Data'!C55))=0,Validate_Empty!C55&lt;&gt;"",Validate_Value!C55&lt;&gt;""),"",IF('Raw Data'!C55 = Condition!C55,"",_xlfn.REGEXEXTRACT(CELL("address",'Raw Data'!C55),"\$([A-Z]+)\$[0-9]+")))</f>
        <v/>
      </c>
      <c r="D55" s="7" t="str" cm="1">
        <f t="array" aca="1" ref="D55" ca="1">IF(OR('Raw Data'!D55="",LEN(TRIM('Raw Data'!D55))=0,Validate_Empty!D55&lt;&gt;"",Validate_Value!D55&lt;&gt;""),"",IF('Raw Data'!D55 = Condition!D55,"",_xlfn.REGEXEXTRACT(CELL("address",'Raw Data'!D55),"\$([A-Z]+)\$[0-9]+")))</f>
        <v/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2:22" x14ac:dyDescent="0.25">
      <c r="B56" s="7" t="str" cm="1">
        <f t="array" aca="1" ref="B56" ca="1">IF(OR('Raw Data'!B56="",LEN(TRIM('Raw Data'!B56))=0,Validate_Empty!B56&lt;&gt;"",Validate_Value!B56&lt;&gt;""),"",IF('Raw Data'!B56 = Condition!B56,"",_xlfn.REGEXEXTRACT(CELL("address",'Raw Data'!B56),"\$([A-Z]+)\$[0-9]+")))</f>
        <v/>
      </c>
      <c r="C56" s="7" t="str" cm="1">
        <f t="array" aca="1" ref="C56" ca="1">IF(OR('Raw Data'!C56="",LEN(TRIM('Raw Data'!C56))=0,Validate_Empty!C56&lt;&gt;"",Validate_Value!C56&lt;&gt;""),"",IF('Raw Data'!C56 = Condition!C56,"",_xlfn.REGEXEXTRACT(CELL("address",'Raw Data'!C56),"\$([A-Z]+)\$[0-9]+")))</f>
        <v/>
      </c>
      <c r="D56" s="7" t="str" cm="1">
        <f t="array" aca="1" ref="D56" ca="1">IF(OR('Raw Data'!D56="",LEN(TRIM('Raw Data'!D56))=0,Validate_Empty!D56&lt;&gt;"",Validate_Value!D56&lt;&gt;""),"",IF('Raw Data'!D56 = Condition!D56,"",_xlfn.REGEXEXTRACT(CELL("address",'Raw Data'!D56),"\$([A-Z]+)\$[0-9]+")))</f>
        <v/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2:22" x14ac:dyDescent="0.25">
      <c r="B57" s="7" t="str" cm="1">
        <f t="array" aca="1" ref="B57" ca="1">IF(OR('Raw Data'!B57="",LEN(TRIM('Raw Data'!B57))=0,Validate_Empty!B57&lt;&gt;"",Validate_Value!B57&lt;&gt;""),"",IF('Raw Data'!B57 = Condition!B57,"",_xlfn.REGEXEXTRACT(CELL("address",'Raw Data'!B57),"\$([A-Z]+)\$[0-9]+")))</f>
        <v/>
      </c>
      <c r="C57" s="7" t="str" cm="1">
        <f t="array" aca="1" ref="C57" ca="1">IF(OR('Raw Data'!C57="",LEN(TRIM('Raw Data'!C57))=0,Validate_Empty!C57&lt;&gt;"",Validate_Value!C57&lt;&gt;""),"",IF('Raw Data'!C57 = Condition!C57,"",_xlfn.REGEXEXTRACT(CELL("address",'Raw Data'!C57),"\$([A-Z]+)\$[0-9]+")))</f>
        <v/>
      </c>
      <c r="D57" s="7" t="str" cm="1">
        <f t="array" aca="1" ref="D57" ca="1">IF(OR('Raw Data'!D57="",LEN(TRIM('Raw Data'!D57))=0,Validate_Empty!D57&lt;&gt;"",Validate_Value!D57&lt;&gt;""),"",IF('Raw Data'!D57 = Condition!D57,"",_xlfn.REGEXEXTRACT(CELL("address",'Raw Data'!D57),"\$([A-Z]+)\$[0-9]+")))</f>
        <v/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2:22" x14ac:dyDescent="0.25">
      <c r="B58" s="7" t="str" cm="1">
        <f t="array" aca="1" ref="B58" ca="1">IF(OR('Raw Data'!B58="",LEN(TRIM('Raw Data'!B58))=0,Validate_Empty!B58&lt;&gt;"",Validate_Value!B58&lt;&gt;""),"",IF('Raw Data'!B58 = Condition!B58,"",_xlfn.REGEXEXTRACT(CELL("address",'Raw Data'!B58),"\$([A-Z]+)\$[0-9]+")))</f>
        <v/>
      </c>
      <c r="C58" s="7" t="str" cm="1">
        <f t="array" aca="1" ref="C58" ca="1">IF(OR('Raw Data'!C58="",LEN(TRIM('Raw Data'!C58))=0,Validate_Empty!C58&lt;&gt;"",Validate_Value!C58&lt;&gt;""),"",IF('Raw Data'!C58 = Condition!C58,"",_xlfn.REGEXEXTRACT(CELL("address",'Raw Data'!C58),"\$([A-Z]+)\$[0-9]+")))</f>
        <v/>
      </c>
      <c r="D58" s="7" t="str" cm="1">
        <f t="array" aca="1" ref="D58" ca="1">IF(OR('Raw Data'!D58="",LEN(TRIM('Raw Data'!D58))=0,Validate_Empty!D58&lt;&gt;"",Validate_Value!D58&lt;&gt;""),"",IF('Raw Data'!D58 = Condition!D58,"",_xlfn.REGEXEXTRACT(CELL("address",'Raw Data'!D58),"\$([A-Z]+)\$[0-9]+")))</f>
        <v/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22" x14ac:dyDescent="0.25">
      <c r="B59" s="7" t="str" cm="1">
        <f t="array" aca="1" ref="B59" ca="1">IF(OR('Raw Data'!B59="",LEN(TRIM('Raw Data'!B59))=0,Validate_Empty!B59&lt;&gt;"",Validate_Value!B59&lt;&gt;""),"",IF('Raw Data'!B59 = Condition!B59,"",_xlfn.REGEXEXTRACT(CELL("address",'Raw Data'!B59),"\$([A-Z]+)\$[0-9]+")))</f>
        <v/>
      </c>
      <c r="C59" s="7" t="str" cm="1">
        <f t="array" aca="1" ref="C59" ca="1">IF(OR('Raw Data'!C59="",LEN(TRIM('Raw Data'!C59))=0,Validate_Empty!C59&lt;&gt;"",Validate_Value!C59&lt;&gt;""),"",IF('Raw Data'!C59 = Condition!C59,"",_xlfn.REGEXEXTRACT(CELL("address",'Raw Data'!C59),"\$([A-Z]+)\$[0-9]+")))</f>
        <v/>
      </c>
      <c r="D59" s="7" t="str" cm="1">
        <f t="array" aca="1" ref="D59" ca="1">IF(OR('Raw Data'!D59="",LEN(TRIM('Raw Data'!D59))=0,Validate_Empty!D59&lt;&gt;"",Validate_Value!D59&lt;&gt;""),"",IF('Raw Data'!D59 = Condition!D59,"",_xlfn.REGEXEXTRACT(CELL("address",'Raw Data'!D59),"\$([A-Z]+)\$[0-9]+")))</f>
        <v/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2" x14ac:dyDescent="0.25">
      <c r="B60" s="7" t="str" cm="1">
        <f t="array" aca="1" ref="B60" ca="1">IF(OR('Raw Data'!B60="",LEN(TRIM('Raw Data'!B60))=0,Validate_Empty!B60&lt;&gt;"",Validate_Value!B60&lt;&gt;""),"",IF('Raw Data'!B60 = Condition!B60,"",_xlfn.REGEXEXTRACT(CELL("address",'Raw Data'!B60),"\$([A-Z]+)\$[0-9]+")))</f>
        <v/>
      </c>
      <c r="C60" s="7" t="str" cm="1">
        <f t="array" aca="1" ref="C60" ca="1">IF(OR('Raw Data'!C60="",LEN(TRIM('Raw Data'!C60))=0,Validate_Empty!C60&lt;&gt;"",Validate_Value!C60&lt;&gt;""),"",IF('Raw Data'!C60 = Condition!C60,"",_xlfn.REGEXEXTRACT(CELL("address",'Raw Data'!C60),"\$([A-Z]+)\$[0-9]+")))</f>
        <v/>
      </c>
      <c r="D60" s="7" t="str" cm="1">
        <f t="array" aca="1" ref="D60" ca="1">IF(OR('Raw Data'!D60="",LEN(TRIM('Raw Data'!D60))=0,Validate_Empty!D60&lt;&gt;"",Validate_Value!D60&lt;&gt;""),"",IF('Raw Data'!D60 = Condition!D60,"",_xlfn.REGEXEXTRACT(CELL("address",'Raw Data'!D60),"\$([A-Z]+)\$[0-9]+")))</f>
        <v/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22" x14ac:dyDescent="0.25">
      <c r="B61" s="7" t="str" cm="1">
        <f t="array" aca="1" ref="B61" ca="1">IF(OR('Raw Data'!B61="",LEN(TRIM('Raw Data'!B61))=0,Validate_Empty!B61&lt;&gt;"",Validate_Value!B61&lt;&gt;""),"",IF('Raw Data'!B61 = Condition!B61,"",_xlfn.REGEXEXTRACT(CELL("address",'Raw Data'!B61),"\$([A-Z]+)\$[0-9]+")))</f>
        <v/>
      </c>
      <c r="C61" s="7" t="str" cm="1">
        <f t="array" aca="1" ref="C61" ca="1">IF(OR('Raw Data'!C61="",LEN(TRIM('Raw Data'!C61))=0,Validate_Empty!C61&lt;&gt;"",Validate_Value!C61&lt;&gt;""),"",IF('Raw Data'!C61 = Condition!C61,"",_xlfn.REGEXEXTRACT(CELL("address",'Raw Data'!C61),"\$([A-Z]+)\$[0-9]+")))</f>
        <v/>
      </c>
      <c r="D61" s="7" t="str" cm="1">
        <f t="array" aca="1" ref="D61" ca="1">IF(OR('Raw Data'!D61="",LEN(TRIM('Raw Data'!D61))=0,Validate_Empty!D61&lt;&gt;"",Validate_Value!D61&lt;&gt;""),"",IF('Raw Data'!D61 = Condition!D61,"",_xlfn.REGEXEXTRACT(CELL("address",'Raw Data'!D61),"\$([A-Z]+)\$[0-9]+")))</f>
        <v/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22" x14ac:dyDescent="0.25">
      <c r="B62" s="7" t="str" cm="1">
        <f t="array" aca="1" ref="B62" ca="1">IF(OR('Raw Data'!B62="",LEN(TRIM('Raw Data'!B62))=0,Validate_Empty!B62&lt;&gt;"",Validate_Value!B62&lt;&gt;""),"",IF('Raw Data'!B62 = Condition!B62,"",_xlfn.REGEXEXTRACT(CELL("address",'Raw Data'!B62),"\$([A-Z]+)\$[0-9]+")))</f>
        <v/>
      </c>
      <c r="C62" s="7" t="str" cm="1">
        <f t="array" aca="1" ref="C62" ca="1">IF(OR('Raw Data'!C62="",LEN(TRIM('Raw Data'!C62))=0,Validate_Empty!C62&lt;&gt;"",Validate_Value!C62&lt;&gt;""),"",IF('Raw Data'!C62 = Condition!C62,"",_xlfn.REGEXEXTRACT(CELL("address",'Raw Data'!C62),"\$([A-Z]+)\$[0-9]+")))</f>
        <v/>
      </c>
      <c r="D62" s="7" t="str" cm="1">
        <f t="array" aca="1" ref="D62" ca="1">IF(OR('Raw Data'!D62="",LEN(TRIM('Raw Data'!D62))=0,Validate_Empty!D62&lt;&gt;"",Validate_Value!D62&lt;&gt;""),"",IF('Raw Data'!D62 = Condition!D62,"",_xlfn.REGEXEXTRACT(CELL("address",'Raw Data'!D62),"\$([A-Z]+)\$[0-9]+")))</f>
        <v/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22" x14ac:dyDescent="0.25">
      <c r="B63" s="7" t="str" cm="1">
        <f t="array" aca="1" ref="B63" ca="1">IF(OR('Raw Data'!B63="",LEN(TRIM('Raw Data'!B63))=0,Validate_Empty!B63&lt;&gt;"",Validate_Value!B63&lt;&gt;""),"",IF('Raw Data'!B63 = Condition!B63,"",_xlfn.REGEXEXTRACT(CELL("address",'Raw Data'!B63),"\$([A-Z]+)\$[0-9]+")))</f>
        <v/>
      </c>
      <c r="C63" s="7" t="str" cm="1">
        <f t="array" aca="1" ref="C63" ca="1">IF(OR('Raw Data'!C63="",LEN(TRIM('Raw Data'!C63))=0,Validate_Empty!C63&lt;&gt;"",Validate_Value!C63&lt;&gt;""),"",IF('Raw Data'!C63 = Condition!C63,"",_xlfn.REGEXEXTRACT(CELL("address",'Raw Data'!C63),"\$([A-Z]+)\$[0-9]+")))</f>
        <v/>
      </c>
      <c r="D63" s="7" t="str" cm="1">
        <f t="array" aca="1" ref="D63" ca="1">IF(OR('Raw Data'!D63="",LEN(TRIM('Raw Data'!D63))=0,Validate_Empty!D63&lt;&gt;"",Validate_Value!D63&lt;&gt;""),"",IF('Raw Data'!D63 = Condition!D63,"",_xlfn.REGEXEXTRACT(CELL("address",'Raw Data'!D63),"\$([A-Z]+)\$[0-9]+")))</f>
        <v/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22" x14ac:dyDescent="0.25">
      <c r="B64" s="7" t="str" cm="1">
        <f t="array" aca="1" ref="B64" ca="1">IF(OR('Raw Data'!B64="",LEN(TRIM('Raw Data'!B64))=0,Validate_Empty!B64&lt;&gt;"",Validate_Value!B64&lt;&gt;""),"",IF('Raw Data'!B64 = Condition!B64,"",_xlfn.REGEXEXTRACT(CELL("address",'Raw Data'!B64),"\$([A-Z]+)\$[0-9]+")))</f>
        <v/>
      </c>
      <c r="C64" s="7" t="str" cm="1">
        <f t="array" aca="1" ref="C64" ca="1">IF(OR('Raw Data'!C64="",LEN(TRIM('Raw Data'!C64))=0,Validate_Empty!C64&lt;&gt;"",Validate_Value!C64&lt;&gt;""),"",IF('Raw Data'!C64 = Condition!C64,"",_xlfn.REGEXEXTRACT(CELL("address",'Raw Data'!C64),"\$([A-Z]+)\$[0-9]+")))</f>
        <v/>
      </c>
      <c r="D64" s="7" t="str" cm="1">
        <f t="array" aca="1" ref="D64" ca="1">IF(OR('Raw Data'!D64="",LEN(TRIM('Raw Data'!D64))=0,Validate_Empty!D64&lt;&gt;"",Validate_Value!D64&lt;&gt;""),"",IF('Raw Data'!D64 = Condition!D64,"",_xlfn.REGEXEXTRACT(CELL("address",'Raw Data'!D64),"\$([A-Z]+)\$[0-9]+")))</f>
        <v/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 x14ac:dyDescent="0.25">
      <c r="B65" s="7" t="str" cm="1">
        <f t="array" aca="1" ref="B65" ca="1">IF(OR('Raw Data'!B65="",LEN(TRIM('Raw Data'!B65))=0,Validate_Empty!B65&lt;&gt;"",Validate_Value!B65&lt;&gt;""),"",IF('Raw Data'!B65 = Condition!B65,"",_xlfn.REGEXEXTRACT(CELL("address",'Raw Data'!B65),"\$([A-Z]+)\$[0-9]+")))</f>
        <v/>
      </c>
      <c r="C65" s="7" t="str" cm="1">
        <f t="array" aca="1" ref="C65" ca="1">IF(OR('Raw Data'!C65="",LEN(TRIM('Raw Data'!C65))=0,Validate_Empty!C65&lt;&gt;"",Validate_Value!C65&lt;&gt;""),"",IF('Raw Data'!C65 = Condition!C65,"",_xlfn.REGEXEXTRACT(CELL("address",'Raw Data'!C65),"\$([A-Z]+)\$[0-9]+")))</f>
        <v/>
      </c>
      <c r="D65" s="7" t="str" cm="1">
        <f t="array" aca="1" ref="D65" ca="1">IF(OR('Raw Data'!D65="",LEN(TRIM('Raw Data'!D65))=0,Validate_Empty!D65&lt;&gt;"",Validate_Value!D65&lt;&gt;""),"",IF('Raw Data'!D65 = Condition!D65,"",_xlfn.REGEXEXTRACT(CELL("address",'Raw Data'!D65),"\$([A-Z]+)\$[0-9]+")))</f>
        <v/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 x14ac:dyDescent="0.25">
      <c r="B66" s="7" t="str" cm="1">
        <f t="array" aca="1" ref="B66" ca="1">IF(OR('Raw Data'!B66="",LEN(TRIM('Raw Data'!B66))=0,Validate_Empty!B66&lt;&gt;"",Validate_Value!B66&lt;&gt;""),"",IF('Raw Data'!B66 = Condition!B66,"",_xlfn.REGEXEXTRACT(CELL("address",'Raw Data'!B66),"\$([A-Z]+)\$[0-9]+")))</f>
        <v/>
      </c>
      <c r="C66" s="7" t="str" cm="1">
        <f t="array" aca="1" ref="C66" ca="1">IF(OR('Raw Data'!C66="",LEN(TRIM('Raw Data'!C66))=0,Validate_Empty!C66&lt;&gt;"",Validate_Value!C66&lt;&gt;""),"",IF('Raw Data'!C66 = Condition!C66,"",_xlfn.REGEXEXTRACT(CELL("address",'Raw Data'!C66),"\$([A-Z]+)\$[0-9]+")))</f>
        <v/>
      </c>
      <c r="D66" s="7" t="str" cm="1">
        <f t="array" aca="1" ref="D66" ca="1">IF(OR('Raw Data'!D66="",LEN(TRIM('Raw Data'!D66))=0,Validate_Empty!D66&lt;&gt;"",Validate_Value!D66&lt;&gt;""),"",IF('Raw Data'!D66 = Condition!D66,"",_xlfn.REGEXEXTRACT(CELL("address",'Raw Data'!D66),"\$([A-Z]+)\$[0-9]+")))</f>
        <v/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 x14ac:dyDescent="0.25">
      <c r="B67" s="7" t="str" cm="1">
        <f t="array" aca="1" ref="B67" ca="1">IF(OR('Raw Data'!B67="",LEN(TRIM('Raw Data'!B67))=0,Validate_Empty!B67&lt;&gt;"",Validate_Value!B67&lt;&gt;""),"",IF('Raw Data'!B67 = Condition!B67,"",_xlfn.REGEXEXTRACT(CELL("address",'Raw Data'!B67),"\$([A-Z]+)\$[0-9]+")))</f>
        <v/>
      </c>
      <c r="C67" s="7" t="str" cm="1">
        <f t="array" aca="1" ref="C67" ca="1">IF(OR('Raw Data'!C67="",LEN(TRIM('Raw Data'!C67))=0,Validate_Empty!C67&lt;&gt;"",Validate_Value!C67&lt;&gt;""),"",IF('Raw Data'!C67 = Condition!C67,"",_xlfn.REGEXEXTRACT(CELL("address",'Raw Data'!C67),"\$([A-Z]+)\$[0-9]+")))</f>
        <v/>
      </c>
      <c r="D67" s="7" t="str" cm="1">
        <f t="array" aca="1" ref="D67" ca="1">IF(OR('Raw Data'!D67="",LEN(TRIM('Raw Data'!D67))=0,Validate_Empty!D67&lt;&gt;"",Validate_Value!D67&lt;&gt;""),"",IF('Raw Data'!D67 = Condition!D67,"",_xlfn.REGEXEXTRACT(CELL("address",'Raw Data'!D67),"\$([A-Z]+)\$[0-9]+")))</f>
        <v/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 x14ac:dyDescent="0.25">
      <c r="B68" s="7" t="str" cm="1">
        <f t="array" aca="1" ref="B68" ca="1">IF(OR('Raw Data'!B68="",LEN(TRIM('Raw Data'!B68))=0,Validate_Empty!B68&lt;&gt;"",Validate_Value!B68&lt;&gt;""),"",IF('Raw Data'!B68 = Condition!B68,"",_xlfn.REGEXEXTRACT(CELL("address",'Raw Data'!B68),"\$([A-Z]+)\$[0-9]+")))</f>
        <v/>
      </c>
      <c r="C68" s="7" t="str" cm="1">
        <f t="array" aca="1" ref="C68" ca="1">IF(OR('Raw Data'!C68="",LEN(TRIM('Raw Data'!C68))=0,Validate_Empty!C68&lt;&gt;"",Validate_Value!C68&lt;&gt;""),"",IF('Raw Data'!C68 = Condition!C68,"",_xlfn.REGEXEXTRACT(CELL("address",'Raw Data'!C68),"\$([A-Z]+)\$[0-9]+")))</f>
        <v/>
      </c>
      <c r="D68" s="7" t="str" cm="1">
        <f t="array" aca="1" ref="D68" ca="1">IF(OR('Raw Data'!D68="",LEN(TRIM('Raw Data'!D68))=0,Validate_Empty!D68&lt;&gt;"",Validate_Value!D68&lt;&gt;""),"",IF('Raw Data'!D68 = Condition!D68,"",_xlfn.REGEXEXTRACT(CELL("address",'Raw Data'!D68),"\$([A-Z]+)\$[0-9]+")))</f>
        <v/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 x14ac:dyDescent="0.25">
      <c r="B69" s="7" t="str" cm="1">
        <f t="array" aca="1" ref="B69" ca="1">IF(OR('Raw Data'!B69="",LEN(TRIM('Raw Data'!B69))=0,Validate_Empty!B69&lt;&gt;"",Validate_Value!B69&lt;&gt;""),"",IF('Raw Data'!B69 = Condition!B69,"",_xlfn.REGEXEXTRACT(CELL("address",'Raw Data'!B69),"\$([A-Z]+)\$[0-9]+")))</f>
        <v/>
      </c>
      <c r="C69" s="7" t="str" cm="1">
        <f t="array" aca="1" ref="C69" ca="1">IF(OR('Raw Data'!C69="",LEN(TRIM('Raw Data'!C69))=0,Validate_Empty!C69&lt;&gt;"",Validate_Value!C69&lt;&gt;""),"",IF('Raw Data'!C69 = Condition!C69,"",_xlfn.REGEXEXTRACT(CELL("address",'Raw Data'!C69),"\$([A-Z]+)\$[0-9]+")))</f>
        <v/>
      </c>
      <c r="D69" s="7" t="str" cm="1">
        <f t="array" aca="1" ref="D69" ca="1">IF(OR('Raw Data'!D69="",LEN(TRIM('Raw Data'!D69))=0,Validate_Empty!D69&lt;&gt;"",Validate_Value!D69&lt;&gt;""),"",IF('Raw Data'!D69 = Condition!D69,"",_xlfn.REGEXEXTRACT(CELL("address",'Raw Data'!D69),"\$([A-Z]+)\$[0-9]+")))</f>
        <v/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 x14ac:dyDescent="0.25">
      <c r="B70" s="7" t="str" cm="1">
        <f t="array" aca="1" ref="B70" ca="1">IF(OR('Raw Data'!B70="",LEN(TRIM('Raw Data'!B70))=0,Validate_Empty!B70&lt;&gt;"",Validate_Value!B70&lt;&gt;""),"",IF('Raw Data'!B70 = Condition!B70,"",_xlfn.REGEXEXTRACT(CELL("address",'Raw Data'!B70),"\$([A-Z]+)\$[0-9]+")))</f>
        <v/>
      </c>
      <c r="C70" s="7" t="str" cm="1">
        <f t="array" aca="1" ref="C70" ca="1">IF(OR('Raw Data'!C70="",LEN(TRIM('Raw Data'!C70))=0,Validate_Empty!C70&lt;&gt;"",Validate_Value!C70&lt;&gt;""),"",IF('Raw Data'!C70 = Condition!C70,"",_xlfn.REGEXEXTRACT(CELL("address",'Raw Data'!C70),"\$([A-Z]+)\$[0-9]+")))</f>
        <v/>
      </c>
      <c r="D70" s="7" t="str" cm="1">
        <f t="array" aca="1" ref="D70" ca="1">IF(OR('Raw Data'!D70="",LEN(TRIM('Raw Data'!D70))=0,Validate_Empty!D70&lt;&gt;"",Validate_Value!D70&lt;&gt;""),"",IF('Raw Data'!D70 = Condition!D70,"",_xlfn.REGEXEXTRACT(CELL("address",'Raw Data'!D70),"\$([A-Z]+)\$[0-9]+")))</f>
        <v/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 x14ac:dyDescent="0.25">
      <c r="B71" s="7" t="str" cm="1">
        <f t="array" aca="1" ref="B71" ca="1">IF(OR('Raw Data'!B71="",LEN(TRIM('Raw Data'!B71))=0,Validate_Empty!B71&lt;&gt;"",Validate_Value!B71&lt;&gt;""),"",IF('Raw Data'!B71 = Condition!B71,"",_xlfn.REGEXEXTRACT(CELL("address",'Raw Data'!B71),"\$([A-Z]+)\$[0-9]+")))</f>
        <v/>
      </c>
      <c r="C71" s="7" t="str" cm="1">
        <f t="array" aca="1" ref="C71" ca="1">IF(OR('Raw Data'!C71="",LEN(TRIM('Raw Data'!C71))=0,Validate_Empty!C71&lt;&gt;"",Validate_Value!C71&lt;&gt;""),"",IF('Raw Data'!C71 = Condition!C71,"",_xlfn.REGEXEXTRACT(CELL("address",'Raw Data'!C71),"\$([A-Z]+)\$[0-9]+")))</f>
        <v/>
      </c>
      <c r="D71" s="7" t="str" cm="1">
        <f t="array" aca="1" ref="D71" ca="1">IF(OR('Raw Data'!D71="",LEN(TRIM('Raw Data'!D71))=0,Validate_Empty!D71&lt;&gt;"",Validate_Value!D71&lt;&gt;""),"",IF('Raw Data'!D71 = Condition!D71,"",_xlfn.REGEXEXTRACT(CELL("address",'Raw Data'!D71),"\$([A-Z]+)\$[0-9]+")))</f>
        <v/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 x14ac:dyDescent="0.25">
      <c r="B72" s="7" t="str" cm="1">
        <f t="array" aca="1" ref="B72" ca="1">IF(OR('Raw Data'!B72="",LEN(TRIM('Raw Data'!B72))=0,Validate_Empty!B72&lt;&gt;"",Validate_Value!B72&lt;&gt;""),"",IF('Raw Data'!B72 = Condition!B72,"",_xlfn.REGEXEXTRACT(CELL("address",'Raw Data'!B72),"\$([A-Z]+)\$[0-9]+")))</f>
        <v/>
      </c>
      <c r="C72" s="7" t="str" cm="1">
        <f t="array" aca="1" ref="C72" ca="1">IF(OR('Raw Data'!C72="",LEN(TRIM('Raw Data'!C72))=0,Validate_Empty!C72&lt;&gt;"",Validate_Value!C72&lt;&gt;""),"",IF('Raw Data'!C72 = Condition!C72,"",_xlfn.REGEXEXTRACT(CELL("address",'Raw Data'!C72),"\$([A-Z]+)\$[0-9]+")))</f>
        <v/>
      </c>
      <c r="D72" s="7" t="str" cm="1">
        <f t="array" aca="1" ref="D72" ca="1">IF(OR('Raw Data'!D72="",LEN(TRIM('Raw Data'!D72))=0,Validate_Empty!D72&lt;&gt;"",Validate_Value!D72&lt;&gt;""),"",IF('Raw Data'!D72 = Condition!D72,"",_xlfn.REGEXEXTRACT(CELL("address",'Raw Data'!D72),"\$([A-Z]+)\$[0-9]+")))</f>
        <v/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 x14ac:dyDescent="0.25">
      <c r="B73" s="7" t="str" cm="1">
        <f t="array" aca="1" ref="B73" ca="1">IF(OR('Raw Data'!B73="",LEN(TRIM('Raw Data'!B73))=0,Validate_Empty!B73&lt;&gt;"",Validate_Value!B73&lt;&gt;""),"",IF('Raw Data'!B73 = Condition!B73,"",_xlfn.REGEXEXTRACT(CELL("address",'Raw Data'!B73),"\$([A-Z]+)\$[0-9]+")))</f>
        <v/>
      </c>
      <c r="C73" s="7" t="str" cm="1">
        <f t="array" aca="1" ref="C73" ca="1">IF(OR('Raw Data'!C73="",LEN(TRIM('Raw Data'!C73))=0,Validate_Empty!C73&lt;&gt;"",Validate_Value!C73&lt;&gt;""),"",IF('Raw Data'!C73 = Condition!C73,"",_xlfn.REGEXEXTRACT(CELL("address",'Raw Data'!C73),"\$([A-Z]+)\$[0-9]+")))</f>
        <v/>
      </c>
      <c r="D73" s="7" t="str" cm="1">
        <f t="array" aca="1" ref="D73" ca="1">IF(OR('Raw Data'!D73="",LEN(TRIM('Raw Data'!D73))=0,Validate_Empty!D73&lt;&gt;"",Validate_Value!D73&lt;&gt;""),"",IF('Raw Data'!D73 = Condition!D73,"",_xlfn.REGEXEXTRACT(CELL("address",'Raw Data'!D73),"\$([A-Z]+)\$[0-9]+")))</f>
        <v/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2:22" x14ac:dyDescent="0.25">
      <c r="B74" s="7" t="str" cm="1">
        <f t="array" aca="1" ref="B74" ca="1">IF(OR('Raw Data'!B74="",LEN(TRIM('Raw Data'!B74))=0,Validate_Empty!B74&lt;&gt;"",Validate_Value!B74&lt;&gt;""),"",IF('Raw Data'!B74 = Condition!B74,"",_xlfn.REGEXEXTRACT(CELL("address",'Raw Data'!B74),"\$([A-Z]+)\$[0-9]+")))</f>
        <v/>
      </c>
      <c r="C74" s="7" t="str" cm="1">
        <f t="array" aca="1" ref="C74" ca="1">IF(OR('Raw Data'!C74="",LEN(TRIM('Raw Data'!C74))=0,Validate_Empty!C74&lt;&gt;"",Validate_Value!C74&lt;&gt;""),"",IF('Raw Data'!C74 = Condition!C74,"",_xlfn.REGEXEXTRACT(CELL("address",'Raw Data'!C74),"\$([A-Z]+)\$[0-9]+")))</f>
        <v/>
      </c>
      <c r="D74" s="7" t="str" cm="1">
        <f t="array" aca="1" ref="D74" ca="1">IF(OR('Raw Data'!D74="",LEN(TRIM('Raw Data'!D74))=0,Validate_Empty!D74&lt;&gt;"",Validate_Value!D74&lt;&gt;""),"",IF('Raw Data'!D74 = Condition!D74,"",_xlfn.REGEXEXTRACT(CELL("address",'Raw Data'!D74),"\$([A-Z]+)\$[0-9]+")))</f>
        <v/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2:22" x14ac:dyDescent="0.25">
      <c r="B75" s="7" t="str" cm="1">
        <f t="array" aca="1" ref="B75" ca="1">IF(OR('Raw Data'!B75="",LEN(TRIM('Raw Data'!B75))=0,Validate_Empty!B75&lt;&gt;"",Validate_Value!B75&lt;&gt;""),"",IF('Raw Data'!B75 = Condition!B75,"",_xlfn.REGEXEXTRACT(CELL("address",'Raw Data'!B75),"\$([A-Z]+)\$[0-9]+")))</f>
        <v/>
      </c>
      <c r="C75" s="7" t="str" cm="1">
        <f t="array" aca="1" ref="C75" ca="1">IF(OR('Raw Data'!C75="",LEN(TRIM('Raw Data'!C75))=0,Validate_Empty!C75&lt;&gt;"",Validate_Value!C75&lt;&gt;""),"",IF('Raw Data'!C75 = Condition!C75,"",_xlfn.REGEXEXTRACT(CELL("address",'Raw Data'!C75),"\$([A-Z]+)\$[0-9]+")))</f>
        <v/>
      </c>
      <c r="D75" s="7" t="str" cm="1">
        <f t="array" aca="1" ref="D75" ca="1">IF(OR('Raw Data'!D75="",LEN(TRIM('Raw Data'!D75))=0,Validate_Empty!D75&lt;&gt;"",Validate_Value!D75&lt;&gt;""),"",IF('Raw Data'!D75 = Condition!D75,"",_xlfn.REGEXEXTRACT(CELL("address",'Raw Data'!D75),"\$([A-Z]+)\$[0-9]+")))</f>
        <v/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2:22" x14ac:dyDescent="0.25">
      <c r="B76" s="7" t="str" cm="1">
        <f t="array" aca="1" ref="B76" ca="1">IF(OR('Raw Data'!B76="",LEN(TRIM('Raw Data'!B76))=0,Validate_Empty!B76&lt;&gt;"",Validate_Value!B76&lt;&gt;""),"",IF('Raw Data'!B76 = Condition!B76,"",_xlfn.REGEXEXTRACT(CELL("address",'Raw Data'!B76),"\$([A-Z]+)\$[0-9]+")))</f>
        <v/>
      </c>
      <c r="C76" s="7" t="str" cm="1">
        <f t="array" aca="1" ref="C76" ca="1">IF(OR('Raw Data'!C76="",LEN(TRIM('Raw Data'!C76))=0,Validate_Empty!C76&lt;&gt;"",Validate_Value!C76&lt;&gt;""),"",IF('Raw Data'!C76 = Condition!C76,"",_xlfn.REGEXEXTRACT(CELL("address",'Raw Data'!C76),"\$([A-Z]+)\$[0-9]+")))</f>
        <v/>
      </c>
      <c r="D76" s="7" t="str" cm="1">
        <f t="array" aca="1" ref="D76" ca="1">IF(OR('Raw Data'!D76="",LEN(TRIM('Raw Data'!D76))=0,Validate_Empty!D76&lt;&gt;"",Validate_Value!D76&lt;&gt;""),"",IF('Raw Data'!D76 = Condition!D76,"",_xlfn.REGEXEXTRACT(CELL("address",'Raw Data'!D76),"\$([A-Z]+)\$[0-9]+")))</f>
        <v/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2:22" x14ac:dyDescent="0.25">
      <c r="B77" s="7" t="str" cm="1">
        <f t="array" aca="1" ref="B77" ca="1">IF(OR('Raw Data'!B77="",LEN(TRIM('Raw Data'!B77))=0,Validate_Empty!B77&lt;&gt;"",Validate_Value!B77&lt;&gt;""),"",IF('Raw Data'!B77 = Condition!B77,"",_xlfn.REGEXEXTRACT(CELL("address",'Raw Data'!B77),"\$([A-Z]+)\$[0-9]+")))</f>
        <v/>
      </c>
      <c r="C77" s="7" t="str" cm="1">
        <f t="array" aca="1" ref="C77" ca="1">IF(OR('Raw Data'!C77="",LEN(TRIM('Raw Data'!C77))=0,Validate_Empty!C77&lt;&gt;"",Validate_Value!C77&lt;&gt;""),"",IF('Raw Data'!C77 = Condition!C77,"",_xlfn.REGEXEXTRACT(CELL("address",'Raw Data'!C77),"\$([A-Z]+)\$[0-9]+")))</f>
        <v/>
      </c>
      <c r="D77" s="7" t="str" cm="1">
        <f t="array" aca="1" ref="D77" ca="1">IF(OR('Raw Data'!D77="",LEN(TRIM('Raw Data'!D77))=0,Validate_Empty!D77&lt;&gt;"",Validate_Value!D77&lt;&gt;""),"",IF('Raw Data'!D77 = Condition!D77,"",_xlfn.REGEXEXTRACT(CELL("address",'Raw Data'!D77),"\$([A-Z]+)\$[0-9]+")))</f>
        <v/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2:22" x14ac:dyDescent="0.25">
      <c r="B78" s="7" t="str" cm="1">
        <f t="array" aca="1" ref="B78" ca="1">IF(OR('Raw Data'!B78="",LEN(TRIM('Raw Data'!B78))=0,Validate_Empty!B78&lt;&gt;"",Validate_Value!B78&lt;&gt;""),"",IF('Raw Data'!B78 = Condition!B78,"",_xlfn.REGEXEXTRACT(CELL("address",'Raw Data'!B78),"\$([A-Z]+)\$[0-9]+")))</f>
        <v/>
      </c>
      <c r="C78" s="7" t="str" cm="1">
        <f t="array" aca="1" ref="C78" ca="1">IF(OR('Raw Data'!C78="",LEN(TRIM('Raw Data'!C78))=0,Validate_Empty!C78&lt;&gt;"",Validate_Value!C78&lt;&gt;""),"",IF('Raw Data'!C78 = Condition!C78,"",_xlfn.REGEXEXTRACT(CELL("address",'Raw Data'!C78),"\$([A-Z]+)\$[0-9]+")))</f>
        <v/>
      </c>
      <c r="D78" s="7" t="str" cm="1">
        <f t="array" aca="1" ref="D78" ca="1">IF(OR('Raw Data'!D78="",LEN(TRIM('Raw Data'!D78))=0,Validate_Empty!D78&lt;&gt;"",Validate_Value!D78&lt;&gt;""),"",IF('Raw Data'!D78 = Condition!D78,"",_xlfn.REGEXEXTRACT(CELL("address",'Raw Data'!D78),"\$([A-Z]+)\$[0-9]+")))</f>
        <v/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2:22" x14ac:dyDescent="0.25">
      <c r="B79" s="7" t="str" cm="1">
        <f t="array" aca="1" ref="B79" ca="1">IF(OR('Raw Data'!B79="",LEN(TRIM('Raw Data'!B79))=0,Validate_Empty!B79&lt;&gt;"",Validate_Value!B79&lt;&gt;""),"",IF('Raw Data'!B79 = Condition!B79,"",_xlfn.REGEXEXTRACT(CELL("address",'Raw Data'!B79),"\$([A-Z]+)\$[0-9]+")))</f>
        <v/>
      </c>
      <c r="C79" s="7" t="str" cm="1">
        <f t="array" aca="1" ref="C79" ca="1">IF(OR('Raw Data'!C79="",LEN(TRIM('Raw Data'!C79))=0,Validate_Empty!C79&lt;&gt;"",Validate_Value!C79&lt;&gt;""),"",IF('Raw Data'!C79 = Condition!C79,"",_xlfn.REGEXEXTRACT(CELL("address",'Raw Data'!C79),"\$([A-Z]+)\$[0-9]+")))</f>
        <v/>
      </c>
      <c r="D79" s="7" t="str" cm="1">
        <f t="array" aca="1" ref="D79" ca="1">IF(OR('Raw Data'!D79="",LEN(TRIM('Raw Data'!D79))=0,Validate_Empty!D79&lt;&gt;"",Validate_Value!D79&lt;&gt;""),"",IF('Raw Data'!D79 = Condition!D79,"",_xlfn.REGEXEXTRACT(CELL("address",'Raw Data'!D79),"\$([A-Z]+)\$[0-9]+")))</f>
        <v/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2:22" x14ac:dyDescent="0.25">
      <c r="B80" s="7" t="str" cm="1">
        <f t="array" aca="1" ref="B80" ca="1">IF(OR('Raw Data'!B80="",LEN(TRIM('Raw Data'!B80))=0,Validate_Empty!B80&lt;&gt;"",Validate_Value!B80&lt;&gt;""),"",IF('Raw Data'!B80 = Condition!B80,"",_xlfn.REGEXEXTRACT(CELL("address",'Raw Data'!B80),"\$([A-Z]+)\$[0-9]+")))</f>
        <v/>
      </c>
      <c r="C80" s="7" t="str" cm="1">
        <f t="array" aca="1" ref="C80" ca="1">IF(OR('Raw Data'!C80="",LEN(TRIM('Raw Data'!C80))=0,Validate_Empty!C80&lt;&gt;"",Validate_Value!C80&lt;&gt;""),"",IF('Raw Data'!C80 = Condition!C80,"",_xlfn.REGEXEXTRACT(CELL("address",'Raw Data'!C80),"\$([A-Z]+)\$[0-9]+")))</f>
        <v/>
      </c>
      <c r="D80" s="7" t="str" cm="1">
        <f t="array" aca="1" ref="D80" ca="1">IF(OR('Raw Data'!D80="",LEN(TRIM('Raw Data'!D80))=0,Validate_Empty!D80&lt;&gt;"",Validate_Value!D80&lt;&gt;""),"",IF('Raw Data'!D80 = Condition!D80,"",_xlfn.REGEXEXTRACT(CELL("address",'Raw Data'!D80),"\$([A-Z]+)\$[0-9]+")))</f>
        <v/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2:22" x14ac:dyDescent="0.25">
      <c r="B81" s="7" t="str" cm="1">
        <f t="array" aca="1" ref="B81" ca="1">IF(OR('Raw Data'!B81="",LEN(TRIM('Raw Data'!B81))=0,Validate_Empty!B81&lt;&gt;"",Validate_Value!B81&lt;&gt;""),"",IF('Raw Data'!B81 = Condition!B81,"",_xlfn.REGEXEXTRACT(CELL("address",'Raw Data'!B81),"\$([A-Z]+)\$[0-9]+")))</f>
        <v/>
      </c>
      <c r="C81" s="7" t="str" cm="1">
        <f t="array" aca="1" ref="C81" ca="1">IF(OR('Raw Data'!C81="",LEN(TRIM('Raw Data'!C81))=0,Validate_Empty!C81&lt;&gt;"",Validate_Value!C81&lt;&gt;""),"",IF('Raw Data'!C81 = Condition!C81,"",_xlfn.REGEXEXTRACT(CELL("address",'Raw Data'!C81),"\$([A-Z]+)\$[0-9]+")))</f>
        <v/>
      </c>
      <c r="D81" s="7" t="str" cm="1">
        <f t="array" aca="1" ref="D81" ca="1">IF(OR('Raw Data'!D81="",LEN(TRIM('Raw Data'!D81))=0,Validate_Empty!D81&lt;&gt;"",Validate_Value!D81&lt;&gt;""),"",IF('Raw Data'!D81 = Condition!D81,"",_xlfn.REGEXEXTRACT(CELL("address",'Raw Data'!D81),"\$([A-Z]+)\$[0-9]+")))</f>
        <v/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2:22" x14ac:dyDescent="0.25">
      <c r="B82" s="7" t="str" cm="1">
        <f t="array" aca="1" ref="B82" ca="1">IF(OR('Raw Data'!B82="",LEN(TRIM('Raw Data'!B82))=0,Validate_Empty!B82&lt;&gt;"",Validate_Value!B82&lt;&gt;""),"",IF('Raw Data'!B82 = Condition!B82,"",_xlfn.REGEXEXTRACT(CELL("address",'Raw Data'!B82),"\$([A-Z]+)\$[0-9]+")))</f>
        <v/>
      </c>
      <c r="C82" s="7" t="str" cm="1">
        <f t="array" aca="1" ref="C82" ca="1">IF(OR('Raw Data'!C82="",LEN(TRIM('Raw Data'!C82))=0,Validate_Empty!C82&lt;&gt;"",Validate_Value!C82&lt;&gt;""),"",IF('Raw Data'!C82 = Condition!C82,"",_xlfn.REGEXEXTRACT(CELL("address",'Raw Data'!C82),"\$([A-Z]+)\$[0-9]+")))</f>
        <v/>
      </c>
      <c r="D82" s="7" t="str" cm="1">
        <f t="array" aca="1" ref="D82" ca="1">IF(OR('Raw Data'!D82="",LEN(TRIM('Raw Data'!D82))=0,Validate_Empty!D82&lt;&gt;"",Validate_Value!D82&lt;&gt;""),"",IF('Raw Data'!D82 = Condition!D82,"",_xlfn.REGEXEXTRACT(CELL("address",'Raw Data'!D82),"\$([A-Z]+)\$[0-9]+")))</f>
        <v/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2:22" x14ac:dyDescent="0.25">
      <c r="B83" s="7" t="str" cm="1">
        <f t="array" aca="1" ref="B83" ca="1">IF(OR('Raw Data'!B83="",LEN(TRIM('Raw Data'!B83))=0,Validate_Empty!B83&lt;&gt;"",Validate_Value!B83&lt;&gt;""),"",IF('Raw Data'!B83 = Condition!B83,"",_xlfn.REGEXEXTRACT(CELL("address",'Raw Data'!B83),"\$([A-Z]+)\$[0-9]+")))</f>
        <v/>
      </c>
      <c r="C83" s="7" t="str" cm="1">
        <f t="array" aca="1" ref="C83" ca="1">IF(OR('Raw Data'!C83="",LEN(TRIM('Raw Data'!C83))=0,Validate_Empty!C83&lt;&gt;"",Validate_Value!C83&lt;&gt;""),"",IF('Raw Data'!C83 = Condition!C83,"",_xlfn.REGEXEXTRACT(CELL("address",'Raw Data'!C83),"\$([A-Z]+)\$[0-9]+")))</f>
        <v/>
      </c>
      <c r="D83" s="7" t="str" cm="1">
        <f t="array" aca="1" ref="D83" ca="1">IF(OR('Raw Data'!D83="",LEN(TRIM('Raw Data'!D83))=0,Validate_Empty!D83&lt;&gt;"",Validate_Value!D83&lt;&gt;""),"",IF('Raw Data'!D83 = Condition!D83,"",_xlfn.REGEXEXTRACT(CELL("address",'Raw Data'!D83),"\$([A-Z]+)\$[0-9]+")))</f>
        <v/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2:22" x14ac:dyDescent="0.25">
      <c r="B84" s="7" t="str" cm="1">
        <f t="array" aca="1" ref="B84" ca="1">IF(OR('Raw Data'!B84="",LEN(TRIM('Raw Data'!B84))=0,Validate_Empty!B84&lt;&gt;"",Validate_Value!B84&lt;&gt;""),"",IF('Raw Data'!B84 = Condition!B84,"",_xlfn.REGEXEXTRACT(CELL("address",'Raw Data'!B84),"\$([A-Z]+)\$[0-9]+")))</f>
        <v/>
      </c>
      <c r="C84" s="7" t="str" cm="1">
        <f t="array" aca="1" ref="C84" ca="1">IF(OR('Raw Data'!C84="",LEN(TRIM('Raw Data'!C84))=0,Validate_Empty!C84&lt;&gt;"",Validate_Value!C84&lt;&gt;""),"",IF('Raw Data'!C84 = Condition!C84,"",_xlfn.REGEXEXTRACT(CELL("address",'Raw Data'!C84),"\$([A-Z]+)\$[0-9]+")))</f>
        <v/>
      </c>
      <c r="D84" s="7" t="str" cm="1">
        <f t="array" aca="1" ref="D84" ca="1">IF(OR('Raw Data'!D84="",LEN(TRIM('Raw Data'!D84))=0,Validate_Empty!D84&lt;&gt;"",Validate_Value!D84&lt;&gt;""),"",IF('Raw Data'!D84 = Condition!D84,"",_xlfn.REGEXEXTRACT(CELL("address",'Raw Data'!D84),"\$([A-Z]+)\$[0-9]+")))</f>
        <v/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2:22" x14ac:dyDescent="0.25">
      <c r="B85" s="7" t="str" cm="1">
        <f t="array" aca="1" ref="B85" ca="1">IF(OR('Raw Data'!B85="",LEN(TRIM('Raw Data'!B85))=0,Validate_Empty!B85&lt;&gt;"",Validate_Value!B85&lt;&gt;""),"",IF('Raw Data'!B85 = Condition!B85,"",_xlfn.REGEXEXTRACT(CELL("address",'Raw Data'!B85),"\$([A-Z]+)\$[0-9]+")))</f>
        <v/>
      </c>
      <c r="C85" s="7" t="str" cm="1">
        <f t="array" aca="1" ref="C85" ca="1">IF(OR('Raw Data'!C85="",LEN(TRIM('Raw Data'!C85))=0,Validate_Empty!C85&lt;&gt;"",Validate_Value!C85&lt;&gt;""),"",IF('Raw Data'!C85 = Condition!C85,"",_xlfn.REGEXEXTRACT(CELL("address",'Raw Data'!C85),"\$([A-Z]+)\$[0-9]+")))</f>
        <v/>
      </c>
      <c r="D85" s="7" t="str" cm="1">
        <f t="array" aca="1" ref="D85" ca="1">IF(OR('Raw Data'!D85="",LEN(TRIM('Raw Data'!D85))=0,Validate_Empty!D85&lt;&gt;"",Validate_Value!D85&lt;&gt;""),"",IF('Raw Data'!D85 = Condition!D85,"",_xlfn.REGEXEXTRACT(CELL("address",'Raw Data'!D85),"\$([A-Z]+)\$[0-9]+")))</f>
        <v/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2:22" x14ac:dyDescent="0.25">
      <c r="B86" s="7" t="str" cm="1">
        <f t="array" aca="1" ref="B86" ca="1">IF(OR('Raw Data'!B86="",LEN(TRIM('Raw Data'!B86))=0,Validate_Empty!B86&lt;&gt;"",Validate_Value!B86&lt;&gt;""),"",IF('Raw Data'!B86 = Condition!B86,"",_xlfn.REGEXEXTRACT(CELL("address",'Raw Data'!B86),"\$([A-Z]+)\$[0-9]+")))</f>
        <v/>
      </c>
      <c r="C86" s="7" t="str" cm="1">
        <f t="array" aca="1" ref="C86" ca="1">IF(OR('Raw Data'!C86="",LEN(TRIM('Raw Data'!C86))=0,Validate_Empty!C86&lt;&gt;"",Validate_Value!C86&lt;&gt;""),"",IF('Raw Data'!C86 = Condition!C86,"",_xlfn.REGEXEXTRACT(CELL("address",'Raw Data'!C86),"\$([A-Z]+)\$[0-9]+")))</f>
        <v/>
      </c>
      <c r="D86" s="7" t="str" cm="1">
        <f t="array" aca="1" ref="D86" ca="1">IF(OR('Raw Data'!D86="",LEN(TRIM('Raw Data'!D86))=0,Validate_Empty!D86&lt;&gt;"",Validate_Value!D86&lt;&gt;""),"",IF('Raw Data'!D86 = Condition!D86,"",_xlfn.REGEXEXTRACT(CELL("address",'Raw Data'!D86),"\$([A-Z]+)\$[0-9]+")))</f>
        <v/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 x14ac:dyDescent="0.25">
      <c r="B87" s="7" t="str" cm="1">
        <f t="array" aca="1" ref="B87" ca="1">IF(OR('Raw Data'!B87="",LEN(TRIM('Raw Data'!B87))=0,Validate_Empty!B87&lt;&gt;"",Validate_Value!B87&lt;&gt;""),"",IF('Raw Data'!B87 = Condition!B87,"",_xlfn.REGEXEXTRACT(CELL("address",'Raw Data'!B87),"\$([A-Z]+)\$[0-9]+")))</f>
        <v/>
      </c>
      <c r="C87" s="7" t="str" cm="1">
        <f t="array" aca="1" ref="C87" ca="1">IF(OR('Raw Data'!C87="",LEN(TRIM('Raw Data'!C87))=0,Validate_Empty!C87&lt;&gt;"",Validate_Value!C87&lt;&gt;""),"",IF('Raw Data'!C87 = Condition!C87,"",_xlfn.REGEXEXTRACT(CELL("address",'Raw Data'!C87),"\$([A-Z]+)\$[0-9]+")))</f>
        <v/>
      </c>
      <c r="D87" s="7" t="str" cm="1">
        <f t="array" aca="1" ref="D87" ca="1">IF(OR('Raw Data'!D87="",LEN(TRIM('Raw Data'!D87))=0,Validate_Empty!D87&lt;&gt;"",Validate_Value!D87&lt;&gt;""),"",IF('Raw Data'!D87 = Condition!D87,"",_xlfn.REGEXEXTRACT(CELL("address",'Raw Data'!D87),"\$([A-Z]+)\$[0-9]+")))</f>
        <v/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2:22" x14ac:dyDescent="0.25">
      <c r="B88" s="7" t="str" cm="1">
        <f t="array" aca="1" ref="B88" ca="1">IF(OR('Raw Data'!B88="",LEN(TRIM('Raw Data'!B88))=0,Validate_Empty!B88&lt;&gt;"",Validate_Value!B88&lt;&gt;""),"",IF('Raw Data'!B88 = Condition!B88,"",_xlfn.REGEXEXTRACT(CELL("address",'Raw Data'!B88),"\$([A-Z]+)\$[0-9]+")))</f>
        <v/>
      </c>
      <c r="C88" s="7" t="str" cm="1">
        <f t="array" aca="1" ref="C88" ca="1">IF(OR('Raw Data'!C88="",LEN(TRIM('Raw Data'!C88))=0,Validate_Empty!C88&lt;&gt;"",Validate_Value!C88&lt;&gt;""),"",IF('Raw Data'!C88 = Condition!C88,"",_xlfn.REGEXEXTRACT(CELL("address",'Raw Data'!C88),"\$([A-Z]+)\$[0-9]+")))</f>
        <v/>
      </c>
      <c r="D88" s="7" t="str" cm="1">
        <f t="array" aca="1" ref="D88" ca="1">IF(OR('Raw Data'!D88="",LEN(TRIM('Raw Data'!D88))=0,Validate_Empty!D88&lt;&gt;"",Validate_Value!D88&lt;&gt;""),"",IF('Raw Data'!D88 = Condition!D88,"",_xlfn.REGEXEXTRACT(CELL("address",'Raw Data'!D88),"\$([A-Z]+)\$[0-9]+")))</f>
        <v/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2:22" x14ac:dyDescent="0.25">
      <c r="B89" s="7" t="str" cm="1">
        <f t="array" aca="1" ref="B89" ca="1">IF(OR('Raw Data'!B89="",LEN(TRIM('Raw Data'!B89))=0,Validate_Empty!B89&lt;&gt;"",Validate_Value!B89&lt;&gt;""),"",IF('Raw Data'!B89 = Condition!B89,"",_xlfn.REGEXEXTRACT(CELL("address",'Raw Data'!B89),"\$([A-Z]+)\$[0-9]+")))</f>
        <v/>
      </c>
      <c r="C89" s="7" t="str" cm="1">
        <f t="array" aca="1" ref="C89" ca="1">IF(OR('Raw Data'!C89="",LEN(TRIM('Raw Data'!C89))=0,Validate_Empty!C89&lt;&gt;"",Validate_Value!C89&lt;&gt;""),"",IF('Raw Data'!C89 = Condition!C89,"",_xlfn.REGEXEXTRACT(CELL("address",'Raw Data'!C89),"\$([A-Z]+)\$[0-9]+")))</f>
        <v/>
      </c>
      <c r="D89" s="7" t="str" cm="1">
        <f t="array" aca="1" ref="D89" ca="1">IF(OR('Raw Data'!D89="",LEN(TRIM('Raw Data'!D89))=0,Validate_Empty!D89&lt;&gt;"",Validate_Value!D89&lt;&gt;""),"",IF('Raw Data'!D89 = Condition!D89,"",_xlfn.REGEXEXTRACT(CELL("address",'Raw Data'!D89),"\$([A-Z]+)\$[0-9]+")))</f>
        <v/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2:22" x14ac:dyDescent="0.25">
      <c r="B90" s="7" t="str" cm="1">
        <f t="array" aca="1" ref="B90" ca="1">IF(OR('Raw Data'!B90="",LEN(TRIM('Raw Data'!B90))=0,Validate_Empty!B90&lt;&gt;"",Validate_Value!B90&lt;&gt;""),"",IF('Raw Data'!B90 = Condition!B90,"",_xlfn.REGEXEXTRACT(CELL("address",'Raw Data'!B90),"\$([A-Z]+)\$[0-9]+")))</f>
        <v/>
      </c>
      <c r="C90" s="7" t="str" cm="1">
        <f t="array" aca="1" ref="C90" ca="1">IF(OR('Raw Data'!C90="",LEN(TRIM('Raw Data'!C90))=0,Validate_Empty!C90&lt;&gt;"",Validate_Value!C90&lt;&gt;""),"",IF('Raw Data'!C90 = Condition!C90,"",_xlfn.REGEXEXTRACT(CELL("address",'Raw Data'!C90),"\$([A-Z]+)\$[0-9]+")))</f>
        <v/>
      </c>
      <c r="D90" s="7" t="str" cm="1">
        <f t="array" aca="1" ref="D90" ca="1">IF(OR('Raw Data'!D90="",LEN(TRIM('Raw Data'!D90))=0,Validate_Empty!D90&lt;&gt;"",Validate_Value!D90&lt;&gt;""),"",IF('Raw Data'!D90 = Condition!D90,"",_xlfn.REGEXEXTRACT(CELL("address",'Raw Data'!D90),"\$([A-Z]+)\$[0-9]+")))</f>
        <v/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2:22" x14ac:dyDescent="0.25">
      <c r="B91" s="7" t="str" cm="1">
        <f t="array" aca="1" ref="B91" ca="1">IF(OR('Raw Data'!B91="",LEN(TRIM('Raw Data'!B91))=0,Validate_Empty!B91&lt;&gt;"",Validate_Value!B91&lt;&gt;""),"",IF('Raw Data'!B91 = Condition!B91,"",_xlfn.REGEXEXTRACT(CELL("address",'Raw Data'!B91),"\$([A-Z]+)\$[0-9]+")))</f>
        <v/>
      </c>
      <c r="C91" s="7" t="str" cm="1">
        <f t="array" aca="1" ref="C91" ca="1">IF(OR('Raw Data'!C91="",LEN(TRIM('Raw Data'!C91))=0,Validate_Empty!C91&lt;&gt;"",Validate_Value!C91&lt;&gt;""),"",IF('Raw Data'!C91 = Condition!C91,"",_xlfn.REGEXEXTRACT(CELL("address",'Raw Data'!C91),"\$([A-Z]+)\$[0-9]+")))</f>
        <v/>
      </c>
      <c r="D91" s="7" t="str" cm="1">
        <f t="array" aca="1" ref="D91" ca="1">IF(OR('Raw Data'!D91="",LEN(TRIM('Raw Data'!D91))=0,Validate_Empty!D91&lt;&gt;"",Validate_Value!D91&lt;&gt;""),"",IF('Raw Data'!D91 = Condition!D91,"",_xlfn.REGEXEXTRACT(CELL("address",'Raw Data'!D91),"\$([A-Z]+)\$[0-9]+")))</f>
        <v/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2:22" x14ac:dyDescent="0.25">
      <c r="B92" s="7" t="str" cm="1">
        <f t="array" aca="1" ref="B92" ca="1">IF(OR('Raw Data'!B92="",LEN(TRIM('Raw Data'!B92))=0,Validate_Empty!B92&lt;&gt;"",Validate_Value!B92&lt;&gt;""),"",IF('Raw Data'!B92 = Condition!B92,"",_xlfn.REGEXEXTRACT(CELL("address",'Raw Data'!B92),"\$([A-Z]+)\$[0-9]+")))</f>
        <v/>
      </c>
      <c r="C92" s="7" t="str" cm="1">
        <f t="array" aca="1" ref="C92" ca="1">IF(OR('Raw Data'!C92="",LEN(TRIM('Raw Data'!C92))=0,Validate_Empty!C92&lt;&gt;"",Validate_Value!C92&lt;&gt;""),"",IF('Raw Data'!C92 = Condition!C92,"",_xlfn.REGEXEXTRACT(CELL("address",'Raw Data'!C92),"\$([A-Z]+)\$[0-9]+")))</f>
        <v/>
      </c>
      <c r="D92" s="7" t="str" cm="1">
        <f t="array" aca="1" ref="D92" ca="1">IF(OR('Raw Data'!D92="",LEN(TRIM('Raw Data'!D92))=0,Validate_Empty!D92&lt;&gt;"",Validate_Value!D92&lt;&gt;""),"",IF('Raw Data'!D92 = Condition!D92,"",_xlfn.REGEXEXTRACT(CELL("address",'Raw Data'!D92),"\$([A-Z]+)\$[0-9]+")))</f>
        <v/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2:22" x14ac:dyDescent="0.25">
      <c r="B93" s="7" t="str" cm="1">
        <f t="array" aca="1" ref="B93" ca="1">IF(OR('Raw Data'!B93="",LEN(TRIM('Raw Data'!B93))=0,Validate_Empty!B93&lt;&gt;"",Validate_Value!B93&lt;&gt;""),"",IF('Raw Data'!B93 = Condition!B93,"",_xlfn.REGEXEXTRACT(CELL("address",'Raw Data'!B93),"\$([A-Z]+)\$[0-9]+")))</f>
        <v/>
      </c>
      <c r="C93" s="7" t="str" cm="1">
        <f t="array" aca="1" ref="C93" ca="1">IF(OR('Raw Data'!C93="",LEN(TRIM('Raw Data'!C93))=0,Validate_Empty!C93&lt;&gt;"",Validate_Value!C93&lt;&gt;""),"",IF('Raw Data'!C93 = Condition!C93,"",_xlfn.REGEXEXTRACT(CELL("address",'Raw Data'!C93),"\$([A-Z]+)\$[0-9]+")))</f>
        <v/>
      </c>
      <c r="D93" s="7" t="str" cm="1">
        <f t="array" aca="1" ref="D93" ca="1">IF(OR('Raw Data'!D93="",LEN(TRIM('Raw Data'!D93))=0,Validate_Empty!D93&lt;&gt;"",Validate_Value!D93&lt;&gt;""),"",IF('Raw Data'!D93 = Condition!D93,"",_xlfn.REGEXEXTRACT(CELL("address",'Raw Data'!D93),"\$([A-Z]+)\$[0-9]+")))</f>
        <v/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2:22" x14ac:dyDescent="0.25">
      <c r="B94" s="7" t="str" cm="1">
        <f t="array" aca="1" ref="B94" ca="1">IF(OR('Raw Data'!B94="",LEN(TRIM('Raw Data'!B94))=0,Validate_Empty!B94&lt;&gt;"",Validate_Value!B94&lt;&gt;""),"",IF('Raw Data'!B94 = Condition!B94,"",_xlfn.REGEXEXTRACT(CELL("address",'Raw Data'!B94),"\$([A-Z]+)\$[0-9]+")))</f>
        <v/>
      </c>
      <c r="C94" s="7" t="str" cm="1">
        <f t="array" aca="1" ref="C94" ca="1">IF(OR('Raw Data'!C94="",LEN(TRIM('Raw Data'!C94))=0,Validate_Empty!C94&lt;&gt;"",Validate_Value!C94&lt;&gt;""),"",IF('Raw Data'!C94 = Condition!C94,"",_xlfn.REGEXEXTRACT(CELL("address",'Raw Data'!C94),"\$([A-Z]+)\$[0-9]+")))</f>
        <v/>
      </c>
      <c r="D94" s="7" t="str" cm="1">
        <f t="array" aca="1" ref="D94" ca="1">IF(OR('Raw Data'!D94="",LEN(TRIM('Raw Data'!D94))=0,Validate_Empty!D94&lt;&gt;"",Validate_Value!D94&lt;&gt;""),"",IF('Raw Data'!D94 = Condition!D94,"",_xlfn.REGEXEXTRACT(CELL("address",'Raw Data'!D94),"\$([A-Z]+)\$[0-9]+")))</f>
        <v/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2:22" x14ac:dyDescent="0.25">
      <c r="B95" s="7" t="str" cm="1">
        <f t="array" aca="1" ref="B95" ca="1">IF(OR('Raw Data'!B95="",LEN(TRIM('Raw Data'!B95))=0,Validate_Empty!B95&lt;&gt;"",Validate_Value!B95&lt;&gt;""),"",IF('Raw Data'!B95 = Condition!B95,"",_xlfn.REGEXEXTRACT(CELL("address",'Raw Data'!B95),"\$([A-Z]+)\$[0-9]+")))</f>
        <v/>
      </c>
      <c r="C95" s="7" t="str" cm="1">
        <f t="array" aca="1" ref="C95" ca="1">IF(OR('Raw Data'!C95="",LEN(TRIM('Raw Data'!C95))=0,Validate_Empty!C95&lt;&gt;"",Validate_Value!C95&lt;&gt;""),"",IF('Raw Data'!C95 = Condition!C95,"",_xlfn.REGEXEXTRACT(CELL("address",'Raw Data'!C95),"\$([A-Z]+)\$[0-9]+")))</f>
        <v/>
      </c>
      <c r="D95" s="7" t="str" cm="1">
        <f t="array" aca="1" ref="D95" ca="1">IF(OR('Raw Data'!D95="",LEN(TRIM('Raw Data'!D95))=0,Validate_Empty!D95&lt;&gt;"",Validate_Value!D95&lt;&gt;""),"",IF('Raw Data'!D95 = Condition!D95,"",_xlfn.REGEXEXTRACT(CELL("address",'Raw Data'!D95),"\$([A-Z]+)\$[0-9]+")))</f>
        <v/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2:22" x14ac:dyDescent="0.25">
      <c r="B96" s="7" t="str" cm="1">
        <f t="array" aca="1" ref="B96" ca="1">IF(OR('Raw Data'!B96="",LEN(TRIM('Raw Data'!B96))=0,Validate_Empty!B96&lt;&gt;"",Validate_Value!B96&lt;&gt;""),"",IF('Raw Data'!B96 = Condition!B96,"",_xlfn.REGEXEXTRACT(CELL("address",'Raw Data'!B96),"\$([A-Z]+)\$[0-9]+")))</f>
        <v/>
      </c>
      <c r="C96" s="7" t="str" cm="1">
        <f t="array" aca="1" ref="C96" ca="1">IF(OR('Raw Data'!C96="",LEN(TRIM('Raw Data'!C96))=0,Validate_Empty!C96&lt;&gt;"",Validate_Value!C96&lt;&gt;""),"",IF('Raw Data'!C96 = Condition!C96,"",_xlfn.REGEXEXTRACT(CELL("address",'Raw Data'!C96),"\$([A-Z]+)\$[0-9]+")))</f>
        <v/>
      </c>
      <c r="D96" s="7" t="str" cm="1">
        <f t="array" aca="1" ref="D96" ca="1">IF(OR('Raw Data'!D96="",LEN(TRIM('Raw Data'!D96))=0,Validate_Empty!D96&lt;&gt;"",Validate_Value!D96&lt;&gt;""),"",IF('Raw Data'!D96 = Condition!D96,"",_xlfn.REGEXEXTRACT(CELL("address",'Raw Data'!D96),"\$([A-Z]+)\$[0-9]+")))</f>
        <v/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2:22" x14ac:dyDescent="0.25">
      <c r="B97" s="7" t="str" cm="1">
        <f t="array" aca="1" ref="B97" ca="1">IF(OR('Raw Data'!B97="",LEN(TRIM('Raw Data'!B97))=0,Validate_Empty!B97&lt;&gt;"",Validate_Value!B97&lt;&gt;""),"",IF('Raw Data'!B97 = Condition!B97,"",_xlfn.REGEXEXTRACT(CELL("address",'Raw Data'!B97),"\$([A-Z]+)\$[0-9]+")))</f>
        <v/>
      </c>
      <c r="C97" s="7" t="str" cm="1">
        <f t="array" aca="1" ref="C97" ca="1">IF(OR('Raw Data'!C97="",LEN(TRIM('Raw Data'!C97))=0,Validate_Empty!C97&lt;&gt;"",Validate_Value!C97&lt;&gt;""),"",IF('Raw Data'!C97 = Condition!C97,"",_xlfn.REGEXEXTRACT(CELL("address",'Raw Data'!C97),"\$([A-Z]+)\$[0-9]+")))</f>
        <v/>
      </c>
      <c r="D97" s="7" t="str" cm="1">
        <f t="array" aca="1" ref="D97" ca="1">IF(OR('Raw Data'!D97="",LEN(TRIM('Raw Data'!D97))=0,Validate_Empty!D97&lt;&gt;"",Validate_Value!D97&lt;&gt;""),"",IF('Raw Data'!D97 = Condition!D97,"",_xlfn.REGEXEXTRACT(CELL("address",'Raw Data'!D97),"\$([A-Z]+)\$[0-9]+")))</f>
        <v/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2:22" x14ac:dyDescent="0.25">
      <c r="B98" s="7" t="str" cm="1">
        <f t="array" aca="1" ref="B98" ca="1">IF(OR('Raw Data'!B98="",LEN(TRIM('Raw Data'!B98))=0,Validate_Empty!B98&lt;&gt;"",Validate_Value!B98&lt;&gt;""),"",IF('Raw Data'!B98 = Condition!B98,"",_xlfn.REGEXEXTRACT(CELL("address",'Raw Data'!B98),"\$([A-Z]+)\$[0-9]+")))</f>
        <v/>
      </c>
      <c r="C98" s="7" t="str" cm="1">
        <f t="array" aca="1" ref="C98" ca="1">IF(OR('Raw Data'!C98="",LEN(TRIM('Raw Data'!C98))=0,Validate_Empty!C98&lt;&gt;"",Validate_Value!C98&lt;&gt;""),"",IF('Raw Data'!C98 = Condition!C98,"",_xlfn.REGEXEXTRACT(CELL("address",'Raw Data'!C98),"\$([A-Z]+)\$[0-9]+")))</f>
        <v/>
      </c>
      <c r="D98" s="7" t="str" cm="1">
        <f t="array" aca="1" ref="D98" ca="1">IF(OR('Raw Data'!D98="",LEN(TRIM('Raw Data'!D98))=0,Validate_Empty!D98&lt;&gt;"",Validate_Value!D98&lt;&gt;""),"",IF('Raw Data'!D98 = Condition!D98,"",_xlfn.REGEXEXTRACT(CELL("address",'Raw Data'!D98),"\$([A-Z]+)\$[0-9]+")))</f>
        <v/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2:22" x14ac:dyDescent="0.25">
      <c r="B99" s="7" t="str" cm="1">
        <f t="array" aca="1" ref="B99" ca="1">IF(OR('Raw Data'!B99="",LEN(TRIM('Raw Data'!B99))=0,Validate_Empty!B99&lt;&gt;"",Validate_Value!B99&lt;&gt;""),"",IF('Raw Data'!B99 = Condition!B99,"",_xlfn.REGEXEXTRACT(CELL("address",'Raw Data'!B99),"\$([A-Z]+)\$[0-9]+")))</f>
        <v/>
      </c>
      <c r="C99" s="7" t="str" cm="1">
        <f t="array" aca="1" ref="C99" ca="1">IF(OR('Raw Data'!C99="",LEN(TRIM('Raw Data'!C99))=0,Validate_Empty!C99&lt;&gt;"",Validate_Value!C99&lt;&gt;""),"",IF('Raw Data'!C99 = Condition!C99,"",_xlfn.REGEXEXTRACT(CELL("address",'Raw Data'!C99),"\$([A-Z]+)\$[0-9]+")))</f>
        <v/>
      </c>
      <c r="D99" s="7" t="str" cm="1">
        <f t="array" aca="1" ref="D99" ca="1">IF(OR('Raw Data'!D99="",LEN(TRIM('Raw Data'!D99))=0,Validate_Empty!D99&lt;&gt;"",Validate_Value!D99&lt;&gt;""),"",IF('Raw Data'!D99 = Condition!D99,"",_xlfn.REGEXEXTRACT(CELL("address",'Raw Data'!D99),"\$([A-Z]+)\$[0-9]+")))</f>
        <v/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2:22" x14ac:dyDescent="0.25">
      <c r="B100" s="7" t="str" cm="1">
        <f t="array" aca="1" ref="B100" ca="1">IF(OR('Raw Data'!B100="",LEN(TRIM('Raw Data'!B100))=0,Validate_Empty!B100&lt;&gt;"",Validate_Value!B100&lt;&gt;""),"",IF('Raw Data'!B100 = Condition!B100,"",_xlfn.REGEXEXTRACT(CELL("address",'Raw Data'!B100),"\$([A-Z]+)\$[0-9]+")))</f>
        <v/>
      </c>
      <c r="C100" s="7" t="str" cm="1">
        <f t="array" aca="1" ref="C100" ca="1">IF(OR('Raw Data'!C100="",LEN(TRIM('Raw Data'!C100))=0,Validate_Empty!C100&lt;&gt;"",Validate_Value!C100&lt;&gt;""),"",IF('Raw Data'!C100 = Condition!C100,"",_xlfn.REGEXEXTRACT(CELL("address",'Raw Data'!C100),"\$([A-Z]+)\$[0-9]+")))</f>
        <v/>
      </c>
      <c r="D100" s="7" t="str" cm="1">
        <f t="array" aca="1" ref="D100" ca="1">IF(OR('Raw Data'!D100="",LEN(TRIM('Raw Data'!D100))=0,Validate_Empty!D100&lt;&gt;"",Validate_Value!D100&lt;&gt;""),"",IF('Raw Data'!D100 = Condition!D100,"",_xlfn.REGEXEXTRACT(CELL("address",'Raw Data'!D100),"\$([A-Z]+)\$[0-9]+")))</f>
        <v/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2:22" x14ac:dyDescent="0.25">
      <c r="B101" s="7" t="str" cm="1">
        <f t="array" aca="1" ref="B101" ca="1">IF(OR('Raw Data'!B101="",LEN(TRIM('Raw Data'!B101))=0,Validate_Empty!B101&lt;&gt;"",Validate_Value!B101&lt;&gt;""),"",IF('Raw Data'!B101 = Condition!B101,"",_xlfn.REGEXEXTRACT(CELL("address",'Raw Data'!B101),"\$([A-Z]+)\$[0-9]+")))</f>
        <v/>
      </c>
      <c r="C101" s="7" t="str" cm="1">
        <f t="array" aca="1" ref="C101" ca="1">IF(OR('Raw Data'!C101="",LEN(TRIM('Raw Data'!C101))=0,Validate_Empty!C101&lt;&gt;"",Validate_Value!C101&lt;&gt;""),"",IF('Raw Data'!C101 = Condition!C101,"",_xlfn.REGEXEXTRACT(CELL("address",'Raw Data'!C101),"\$([A-Z]+)\$[0-9]+")))</f>
        <v/>
      </c>
      <c r="D101" s="7" t="str" cm="1">
        <f t="array" aca="1" ref="D101" ca="1">IF(OR('Raw Data'!D101="",LEN(TRIM('Raw Data'!D101))=0,Validate_Empty!D101&lt;&gt;"",Validate_Value!D101&lt;&gt;""),"",IF('Raw Data'!D101 = Condition!D101,"",_xlfn.REGEXEXTRACT(CELL("address",'Raw Data'!D101),"\$([A-Z]+)\$[0-9]+")))</f>
        <v/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2:22" x14ac:dyDescent="0.25">
      <c r="B102" s="7" t="str" cm="1">
        <f t="array" aca="1" ref="B102" ca="1">IF(OR('Raw Data'!B102="",LEN(TRIM('Raw Data'!B102))=0,Validate_Empty!B102&lt;&gt;"",Validate_Value!B102&lt;&gt;""),"",IF('Raw Data'!B102 = Condition!B102,"",_xlfn.REGEXEXTRACT(CELL("address",'Raw Data'!B102),"\$([A-Z]+)\$[0-9]+")))</f>
        <v/>
      </c>
      <c r="C102" s="7" t="str" cm="1">
        <f t="array" aca="1" ref="C102" ca="1">IF(OR('Raw Data'!C102="",LEN(TRIM('Raw Data'!C102))=0,Validate_Empty!C102&lt;&gt;"",Validate_Value!C102&lt;&gt;""),"",IF('Raw Data'!C102 = Condition!C102,"",_xlfn.REGEXEXTRACT(CELL("address",'Raw Data'!C102),"\$([A-Z]+)\$[0-9]+")))</f>
        <v/>
      </c>
      <c r="D102" s="7" t="str" cm="1">
        <f t="array" aca="1" ref="D102" ca="1">IF(OR('Raw Data'!D102="",LEN(TRIM('Raw Data'!D102))=0,Validate_Empty!D102&lt;&gt;"",Validate_Value!D102&lt;&gt;""),"",IF('Raw Data'!D102 = Condition!D102,"",_xlfn.REGEXEXTRACT(CELL("address",'Raw Data'!D102),"\$([A-Z]+)\$[0-9]+")))</f>
        <v/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2:22" x14ac:dyDescent="0.25">
      <c r="B103" s="7" t="str" cm="1">
        <f t="array" aca="1" ref="B103" ca="1">IF(OR('Raw Data'!B103="",LEN(TRIM('Raw Data'!B103))=0,Validate_Empty!B103&lt;&gt;"",Validate_Value!B103&lt;&gt;""),"",IF('Raw Data'!B103 = Condition!B103,"",_xlfn.REGEXEXTRACT(CELL("address",'Raw Data'!B103),"\$([A-Z]+)\$[0-9]+")))</f>
        <v/>
      </c>
      <c r="C103" s="7" t="str" cm="1">
        <f t="array" aca="1" ref="C103" ca="1">IF(OR('Raw Data'!C103="",LEN(TRIM('Raw Data'!C103))=0,Validate_Empty!C103&lt;&gt;"",Validate_Value!C103&lt;&gt;""),"",IF('Raw Data'!C103 = Condition!C103,"",_xlfn.REGEXEXTRACT(CELL("address",'Raw Data'!C103),"\$([A-Z]+)\$[0-9]+")))</f>
        <v/>
      </c>
      <c r="D103" s="7" t="str" cm="1">
        <f t="array" aca="1" ref="D103" ca="1">IF(OR('Raw Data'!D103="",LEN(TRIM('Raw Data'!D103))=0,Validate_Empty!D103&lt;&gt;"",Validate_Value!D103&lt;&gt;""),"",IF('Raw Data'!D103 = Condition!D103,"",_xlfn.REGEXEXTRACT(CELL("address",'Raw Data'!D103),"\$([A-Z]+)\$[0-9]+")))</f>
        <v/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2:22" x14ac:dyDescent="0.25">
      <c r="B104" s="7" t="str" cm="1">
        <f t="array" aca="1" ref="B104" ca="1">IF(OR('Raw Data'!B104="",LEN(TRIM('Raw Data'!B104))=0,Validate_Empty!B104&lt;&gt;"",Validate_Value!B104&lt;&gt;""),"",IF('Raw Data'!B104 = Condition!B104,"",_xlfn.REGEXEXTRACT(CELL("address",'Raw Data'!B104),"\$([A-Z]+)\$[0-9]+")))</f>
        <v/>
      </c>
      <c r="C104" s="7" t="str" cm="1">
        <f t="array" aca="1" ref="C104" ca="1">IF(OR('Raw Data'!C104="",LEN(TRIM('Raw Data'!C104))=0,Validate_Empty!C104&lt;&gt;"",Validate_Value!C104&lt;&gt;""),"",IF('Raw Data'!C104 = Condition!C104,"",_xlfn.REGEXEXTRACT(CELL("address",'Raw Data'!C104),"\$([A-Z]+)\$[0-9]+")))</f>
        <v/>
      </c>
      <c r="D104" s="7" t="str" cm="1">
        <f t="array" aca="1" ref="D104" ca="1">IF(OR('Raw Data'!D104="",LEN(TRIM('Raw Data'!D104))=0,Validate_Empty!D104&lt;&gt;"",Validate_Value!D104&lt;&gt;""),"",IF('Raw Data'!D104 = Condition!D104,"",_xlfn.REGEXEXTRACT(CELL("address",'Raw Data'!D104),"\$([A-Z]+)\$[0-9]+")))</f>
        <v/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2:22" x14ac:dyDescent="0.25">
      <c r="B105" s="7" t="str" cm="1">
        <f t="array" aca="1" ref="B105" ca="1">IF(OR('Raw Data'!B105="",LEN(TRIM('Raw Data'!B105))=0,Validate_Empty!B105&lt;&gt;"",Validate_Value!B105&lt;&gt;""),"",IF('Raw Data'!B105 = Condition!B105,"",_xlfn.REGEXEXTRACT(CELL("address",'Raw Data'!B105),"\$([A-Z]+)\$[0-9]+")))</f>
        <v/>
      </c>
      <c r="C105" s="7" t="str" cm="1">
        <f t="array" aca="1" ref="C105" ca="1">IF(OR('Raw Data'!C105="",LEN(TRIM('Raw Data'!C105))=0,Validate_Empty!C105&lt;&gt;"",Validate_Value!C105&lt;&gt;""),"",IF('Raw Data'!C105 = Condition!C105,"",_xlfn.REGEXEXTRACT(CELL("address",'Raw Data'!C105),"\$([A-Z]+)\$[0-9]+")))</f>
        <v/>
      </c>
      <c r="D105" s="7" t="str" cm="1">
        <f t="array" aca="1" ref="D105" ca="1">IF(OR('Raw Data'!D105="",LEN(TRIM('Raw Data'!D105))=0,Validate_Empty!D105&lt;&gt;"",Validate_Value!D105&lt;&gt;""),"",IF('Raw Data'!D105 = Condition!D105,"",_xlfn.REGEXEXTRACT(CELL("address",'Raw Data'!D105),"\$([A-Z]+)\$[0-9]+")))</f>
        <v/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2:22" x14ac:dyDescent="0.25">
      <c r="B106" s="7" t="str" cm="1">
        <f t="array" aca="1" ref="B106" ca="1">IF(OR('Raw Data'!B106="",LEN(TRIM('Raw Data'!B106))=0,Validate_Empty!B106&lt;&gt;"",Validate_Value!B106&lt;&gt;""),"",IF('Raw Data'!B106 = Condition!B106,"",_xlfn.REGEXEXTRACT(CELL("address",'Raw Data'!B106),"\$([A-Z]+)\$[0-9]+")))</f>
        <v/>
      </c>
      <c r="C106" s="7" t="str" cm="1">
        <f t="array" aca="1" ref="C106" ca="1">IF(OR('Raw Data'!C106="",LEN(TRIM('Raw Data'!C106))=0,Validate_Empty!C106&lt;&gt;"",Validate_Value!C106&lt;&gt;""),"",IF('Raw Data'!C106 = Condition!C106,"",_xlfn.REGEXEXTRACT(CELL("address",'Raw Data'!C106),"\$([A-Z]+)\$[0-9]+")))</f>
        <v/>
      </c>
      <c r="D106" s="7" t="str" cm="1">
        <f t="array" aca="1" ref="D106" ca="1">IF(OR('Raw Data'!D106="",LEN(TRIM('Raw Data'!D106))=0,Validate_Empty!D106&lt;&gt;"",Validate_Value!D106&lt;&gt;""),"",IF('Raw Data'!D106 = Condition!D106,"",_xlfn.REGEXEXTRACT(CELL("address",'Raw Data'!D106),"\$([A-Z]+)\$[0-9]+")))</f>
        <v/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2:22" x14ac:dyDescent="0.25">
      <c r="B107" s="7" t="str" cm="1">
        <f t="array" aca="1" ref="B107" ca="1">IF(OR('Raw Data'!B107="",LEN(TRIM('Raw Data'!B107))=0,Validate_Empty!B107&lt;&gt;"",Validate_Value!B107&lt;&gt;""),"",IF('Raw Data'!B107 = Condition!B107,"",_xlfn.REGEXEXTRACT(CELL("address",'Raw Data'!B107),"\$([A-Z]+)\$[0-9]+")))</f>
        <v/>
      </c>
      <c r="C107" s="7" t="str" cm="1">
        <f t="array" aca="1" ref="C107" ca="1">IF(OR('Raw Data'!C107="",LEN(TRIM('Raw Data'!C107))=0,Validate_Empty!C107&lt;&gt;"",Validate_Value!C107&lt;&gt;""),"",IF('Raw Data'!C107 = Condition!C107,"",_xlfn.REGEXEXTRACT(CELL("address",'Raw Data'!C107),"\$([A-Z]+)\$[0-9]+")))</f>
        <v/>
      </c>
      <c r="D107" s="7" t="str" cm="1">
        <f t="array" aca="1" ref="D107" ca="1">IF(OR('Raw Data'!D107="",LEN(TRIM('Raw Data'!D107))=0,Validate_Empty!D107&lt;&gt;"",Validate_Value!D107&lt;&gt;""),"",IF('Raw Data'!D107 = Condition!D107,"",_xlfn.REGEXEXTRACT(CELL("address",'Raw Data'!D107),"\$([A-Z]+)\$[0-9]+")))</f>
        <v/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2:22" x14ac:dyDescent="0.25">
      <c r="B108" s="7" t="str" cm="1">
        <f t="array" aca="1" ref="B108" ca="1">IF(OR('Raw Data'!B108="",LEN(TRIM('Raw Data'!B108))=0,Validate_Empty!B108&lt;&gt;"",Validate_Value!B108&lt;&gt;""),"",IF('Raw Data'!B108 = Condition!B108,"",_xlfn.REGEXEXTRACT(CELL("address",'Raw Data'!B108),"\$([A-Z]+)\$[0-9]+")))</f>
        <v/>
      </c>
      <c r="C108" s="7" t="str" cm="1">
        <f t="array" aca="1" ref="C108" ca="1">IF(OR('Raw Data'!C108="",LEN(TRIM('Raw Data'!C108))=0,Validate_Empty!C108&lt;&gt;"",Validate_Value!C108&lt;&gt;""),"",IF('Raw Data'!C108 = Condition!C108,"",_xlfn.REGEXEXTRACT(CELL("address",'Raw Data'!C108),"\$([A-Z]+)\$[0-9]+")))</f>
        <v/>
      </c>
      <c r="D108" s="7" t="str" cm="1">
        <f t="array" aca="1" ref="D108" ca="1">IF(OR('Raw Data'!D108="",LEN(TRIM('Raw Data'!D108))=0,Validate_Empty!D108&lt;&gt;"",Validate_Value!D108&lt;&gt;""),"",IF('Raw Data'!D108 = Condition!D108,"",_xlfn.REGEXEXTRACT(CELL("address",'Raw Data'!D108),"\$([A-Z]+)\$[0-9]+")))</f>
        <v/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2:22" x14ac:dyDescent="0.25">
      <c r="B109" s="7" t="str" cm="1">
        <f t="array" aca="1" ref="B109" ca="1">IF(OR('Raw Data'!B109="",LEN(TRIM('Raw Data'!B109))=0,Validate_Empty!B109&lt;&gt;"",Validate_Value!B109&lt;&gt;""),"",IF('Raw Data'!B109 = Condition!B109,"",_xlfn.REGEXEXTRACT(CELL("address",'Raw Data'!B109),"\$([A-Z]+)\$[0-9]+")))</f>
        <v/>
      </c>
      <c r="C109" s="7" t="str" cm="1">
        <f t="array" aca="1" ref="C109" ca="1">IF(OR('Raw Data'!C109="",LEN(TRIM('Raw Data'!C109))=0,Validate_Empty!C109&lt;&gt;"",Validate_Value!C109&lt;&gt;""),"",IF('Raw Data'!C109 = Condition!C109,"",_xlfn.REGEXEXTRACT(CELL("address",'Raw Data'!C109),"\$([A-Z]+)\$[0-9]+")))</f>
        <v/>
      </c>
      <c r="D109" s="7" t="str" cm="1">
        <f t="array" aca="1" ref="D109" ca="1">IF(OR('Raw Data'!D109="",LEN(TRIM('Raw Data'!D109))=0,Validate_Empty!D109&lt;&gt;"",Validate_Value!D109&lt;&gt;""),"",IF('Raw Data'!D109 = Condition!D109,"",_xlfn.REGEXEXTRACT(CELL("address",'Raw Data'!D109),"\$([A-Z]+)\$[0-9]+")))</f>
        <v/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2:22" x14ac:dyDescent="0.25">
      <c r="B110" s="7" t="str" cm="1">
        <f t="array" aca="1" ref="B110" ca="1">IF(OR('Raw Data'!B110="",LEN(TRIM('Raw Data'!B110))=0,Validate_Empty!B110&lt;&gt;"",Validate_Value!B110&lt;&gt;""),"",IF('Raw Data'!B110 = Condition!B110,"",_xlfn.REGEXEXTRACT(CELL("address",'Raw Data'!B110),"\$([A-Z]+)\$[0-9]+")))</f>
        <v/>
      </c>
      <c r="C110" s="7" t="str" cm="1">
        <f t="array" aca="1" ref="C110" ca="1">IF(OR('Raw Data'!C110="",LEN(TRIM('Raw Data'!C110))=0,Validate_Empty!C110&lt;&gt;"",Validate_Value!C110&lt;&gt;""),"",IF('Raw Data'!C110 = Condition!C110,"",_xlfn.REGEXEXTRACT(CELL("address",'Raw Data'!C110),"\$([A-Z]+)\$[0-9]+")))</f>
        <v/>
      </c>
      <c r="D110" s="7" t="str" cm="1">
        <f t="array" aca="1" ref="D110" ca="1">IF(OR('Raw Data'!D110="",LEN(TRIM('Raw Data'!D110))=0,Validate_Empty!D110&lt;&gt;"",Validate_Value!D110&lt;&gt;""),"",IF('Raw Data'!D110 = Condition!D110,"",_xlfn.REGEXEXTRACT(CELL("address",'Raw Data'!D110),"\$([A-Z]+)\$[0-9]+")))</f>
        <v/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2:22" x14ac:dyDescent="0.25">
      <c r="B111" s="7" t="str" cm="1">
        <f t="array" aca="1" ref="B111" ca="1">IF(OR('Raw Data'!B111="",LEN(TRIM('Raw Data'!B111))=0,Validate_Empty!B111&lt;&gt;"",Validate_Value!B111&lt;&gt;""),"",IF('Raw Data'!B111 = Condition!B111,"",_xlfn.REGEXEXTRACT(CELL("address",'Raw Data'!B111),"\$([A-Z]+)\$[0-9]+")))</f>
        <v/>
      </c>
      <c r="C111" s="7" t="str" cm="1">
        <f t="array" aca="1" ref="C111" ca="1">IF(OR('Raw Data'!C111="",LEN(TRIM('Raw Data'!C111))=0,Validate_Empty!C111&lt;&gt;"",Validate_Value!C111&lt;&gt;""),"",IF('Raw Data'!C111 = Condition!C111,"",_xlfn.REGEXEXTRACT(CELL("address",'Raw Data'!C111),"\$([A-Z]+)\$[0-9]+")))</f>
        <v/>
      </c>
      <c r="D111" s="7" t="str" cm="1">
        <f t="array" aca="1" ref="D111" ca="1">IF(OR('Raw Data'!D111="",LEN(TRIM('Raw Data'!D111))=0,Validate_Empty!D111&lt;&gt;"",Validate_Value!D111&lt;&gt;""),"",IF('Raw Data'!D111 = Condition!D111,"",_xlfn.REGEXEXTRACT(CELL("address",'Raw Data'!D111),"\$([A-Z]+)\$[0-9]+")))</f>
        <v/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2:22" x14ac:dyDescent="0.25">
      <c r="B112" s="7" t="str" cm="1">
        <f t="array" aca="1" ref="B112" ca="1">IF(OR('Raw Data'!B112="",LEN(TRIM('Raw Data'!B112))=0,Validate_Empty!B112&lt;&gt;"",Validate_Value!B112&lt;&gt;""),"",IF('Raw Data'!B112 = Condition!B112,"",_xlfn.REGEXEXTRACT(CELL("address",'Raw Data'!B112),"\$([A-Z]+)\$[0-9]+")))</f>
        <v/>
      </c>
      <c r="C112" s="7" t="str" cm="1">
        <f t="array" aca="1" ref="C112" ca="1">IF(OR('Raw Data'!C112="",LEN(TRIM('Raw Data'!C112))=0,Validate_Empty!C112&lt;&gt;"",Validate_Value!C112&lt;&gt;""),"",IF('Raw Data'!C112 = Condition!C112,"",_xlfn.REGEXEXTRACT(CELL("address",'Raw Data'!C112),"\$([A-Z]+)\$[0-9]+")))</f>
        <v/>
      </c>
      <c r="D112" s="7" t="str" cm="1">
        <f t="array" aca="1" ref="D112" ca="1">IF(OR('Raw Data'!D112="",LEN(TRIM('Raw Data'!D112))=0,Validate_Empty!D112&lt;&gt;"",Validate_Value!D112&lt;&gt;""),"",IF('Raw Data'!D112 = Condition!D112,"",_xlfn.REGEXEXTRACT(CELL("address",'Raw Data'!D112),"\$([A-Z]+)\$[0-9]+")))</f>
        <v/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2:22" x14ac:dyDescent="0.25">
      <c r="B113" s="7" t="str" cm="1">
        <f t="array" aca="1" ref="B113" ca="1">IF(OR('Raw Data'!B113="",LEN(TRIM('Raw Data'!B113))=0,Validate_Empty!B113&lt;&gt;"",Validate_Value!B113&lt;&gt;""),"",IF('Raw Data'!B113 = Condition!B113,"",_xlfn.REGEXEXTRACT(CELL("address",'Raw Data'!B113),"\$([A-Z]+)\$[0-9]+")))</f>
        <v/>
      </c>
      <c r="C113" s="7" t="str" cm="1">
        <f t="array" aca="1" ref="C113" ca="1">IF(OR('Raw Data'!C113="",LEN(TRIM('Raw Data'!C113))=0,Validate_Empty!C113&lt;&gt;"",Validate_Value!C113&lt;&gt;""),"",IF('Raw Data'!C113 = Condition!C113,"",_xlfn.REGEXEXTRACT(CELL("address",'Raw Data'!C113),"\$([A-Z]+)\$[0-9]+")))</f>
        <v/>
      </c>
      <c r="D113" s="7" t="str" cm="1">
        <f t="array" aca="1" ref="D113" ca="1">IF(OR('Raw Data'!D113="",LEN(TRIM('Raw Data'!D113))=0,Validate_Empty!D113&lt;&gt;"",Validate_Value!D113&lt;&gt;""),"",IF('Raw Data'!D113 = Condition!D113,"",_xlfn.REGEXEXTRACT(CELL("address",'Raw Data'!D113),"\$([A-Z]+)\$[0-9]+")))</f>
        <v/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2:22" x14ac:dyDescent="0.25">
      <c r="B114" s="7" t="str" cm="1">
        <f t="array" aca="1" ref="B114" ca="1">IF(OR('Raw Data'!B114="",LEN(TRIM('Raw Data'!B114))=0,Validate_Empty!B114&lt;&gt;"",Validate_Value!B114&lt;&gt;""),"",IF('Raw Data'!B114 = Condition!B114,"",_xlfn.REGEXEXTRACT(CELL("address",'Raw Data'!B114),"\$([A-Z]+)\$[0-9]+")))</f>
        <v/>
      </c>
      <c r="C114" s="7" t="str" cm="1">
        <f t="array" aca="1" ref="C114" ca="1">IF(OR('Raw Data'!C114="",LEN(TRIM('Raw Data'!C114))=0,Validate_Empty!C114&lt;&gt;"",Validate_Value!C114&lt;&gt;""),"",IF('Raw Data'!C114 = Condition!C114,"",_xlfn.REGEXEXTRACT(CELL("address",'Raw Data'!C114),"\$([A-Z]+)\$[0-9]+")))</f>
        <v/>
      </c>
      <c r="D114" s="7" t="str" cm="1">
        <f t="array" aca="1" ref="D114" ca="1">IF(OR('Raw Data'!D114="",LEN(TRIM('Raw Data'!D114))=0,Validate_Empty!D114&lt;&gt;"",Validate_Value!D114&lt;&gt;""),"",IF('Raw Data'!D114 = Condition!D114,"",_xlfn.REGEXEXTRACT(CELL("address",'Raw Data'!D114),"\$([A-Z]+)\$[0-9]+")))</f>
        <v/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2:22" x14ac:dyDescent="0.25">
      <c r="B115" s="7" t="str" cm="1">
        <f t="array" aca="1" ref="B115" ca="1">IF(OR('Raw Data'!B115="",LEN(TRIM('Raw Data'!B115))=0,Validate_Empty!B115&lt;&gt;"",Validate_Value!B115&lt;&gt;""),"",IF('Raw Data'!B115 = Condition!B115,"",_xlfn.REGEXEXTRACT(CELL("address",'Raw Data'!B115),"\$([A-Z]+)\$[0-9]+")))</f>
        <v/>
      </c>
      <c r="C115" s="7" t="str" cm="1">
        <f t="array" aca="1" ref="C115" ca="1">IF(OR('Raw Data'!C115="",LEN(TRIM('Raw Data'!C115))=0,Validate_Empty!C115&lt;&gt;"",Validate_Value!C115&lt;&gt;""),"",IF('Raw Data'!C115 = Condition!C115,"",_xlfn.REGEXEXTRACT(CELL("address",'Raw Data'!C115),"\$([A-Z]+)\$[0-9]+")))</f>
        <v/>
      </c>
      <c r="D115" s="7" t="str" cm="1">
        <f t="array" aca="1" ref="D115" ca="1">IF(OR('Raw Data'!D115="",LEN(TRIM('Raw Data'!D115))=0,Validate_Empty!D115&lt;&gt;"",Validate_Value!D115&lt;&gt;""),"",IF('Raw Data'!D115 = Condition!D115,"",_xlfn.REGEXEXTRACT(CELL("address",'Raw Data'!D115),"\$([A-Z]+)\$[0-9]+")))</f>
        <v/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2:22" x14ac:dyDescent="0.25">
      <c r="B116" s="7" t="str" cm="1">
        <f t="array" aca="1" ref="B116" ca="1">IF(OR('Raw Data'!B116="",LEN(TRIM('Raw Data'!B116))=0,Validate_Empty!B116&lt;&gt;"",Validate_Value!B116&lt;&gt;""),"",IF('Raw Data'!B116 = Condition!B116,"",_xlfn.REGEXEXTRACT(CELL("address",'Raw Data'!B116),"\$([A-Z]+)\$[0-9]+")))</f>
        <v/>
      </c>
      <c r="C116" s="7" t="str" cm="1">
        <f t="array" aca="1" ref="C116" ca="1">IF(OR('Raw Data'!C116="",LEN(TRIM('Raw Data'!C116))=0,Validate_Empty!C116&lt;&gt;"",Validate_Value!C116&lt;&gt;""),"",IF('Raw Data'!C116 = Condition!C116,"",_xlfn.REGEXEXTRACT(CELL("address",'Raw Data'!C116),"\$([A-Z]+)\$[0-9]+")))</f>
        <v/>
      </c>
      <c r="D116" s="7" t="str" cm="1">
        <f t="array" aca="1" ref="D116" ca="1">IF(OR('Raw Data'!D116="",LEN(TRIM('Raw Data'!D116))=0,Validate_Empty!D116&lt;&gt;"",Validate_Value!D116&lt;&gt;""),"",IF('Raw Data'!D116 = Condition!D116,"",_xlfn.REGEXEXTRACT(CELL("address",'Raw Data'!D116),"\$([A-Z]+)\$[0-9]+")))</f>
        <v/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2:22" x14ac:dyDescent="0.25">
      <c r="B117" s="7" t="str" cm="1">
        <f t="array" aca="1" ref="B117" ca="1">IF(OR('Raw Data'!B117="",LEN(TRIM('Raw Data'!B117))=0,Validate_Empty!B117&lt;&gt;"",Validate_Value!B117&lt;&gt;""),"",IF('Raw Data'!B117 = Condition!B117,"",_xlfn.REGEXEXTRACT(CELL("address",'Raw Data'!B117),"\$([A-Z]+)\$[0-9]+")))</f>
        <v/>
      </c>
      <c r="C117" s="7" t="str" cm="1">
        <f t="array" aca="1" ref="C117" ca="1">IF(OR('Raw Data'!C117="",LEN(TRIM('Raw Data'!C117))=0,Validate_Empty!C117&lt;&gt;"",Validate_Value!C117&lt;&gt;""),"",IF('Raw Data'!C117 = Condition!C117,"",_xlfn.REGEXEXTRACT(CELL("address",'Raw Data'!C117),"\$([A-Z]+)\$[0-9]+")))</f>
        <v/>
      </c>
      <c r="D117" s="7" t="str" cm="1">
        <f t="array" aca="1" ref="D117" ca="1">IF(OR('Raw Data'!D117="",LEN(TRIM('Raw Data'!D117))=0,Validate_Empty!D117&lt;&gt;"",Validate_Value!D117&lt;&gt;""),"",IF('Raw Data'!D117 = Condition!D117,"",_xlfn.REGEXEXTRACT(CELL("address",'Raw Data'!D117),"\$([A-Z]+)\$[0-9]+")))</f>
        <v/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2:22" x14ac:dyDescent="0.25">
      <c r="B118" s="7" t="str" cm="1">
        <f t="array" aca="1" ref="B118" ca="1">IF(OR('Raw Data'!B118="",LEN(TRIM('Raw Data'!B118))=0,Validate_Empty!B118&lt;&gt;"",Validate_Value!B118&lt;&gt;""),"",IF('Raw Data'!B118 = Condition!B118,"",_xlfn.REGEXEXTRACT(CELL("address",'Raw Data'!B118),"\$([A-Z]+)\$[0-9]+")))</f>
        <v/>
      </c>
      <c r="C118" s="7" t="str" cm="1">
        <f t="array" aca="1" ref="C118" ca="1">IF(OR('Raw Data'!C118="",LEN(TRIM('Raw Data'!C118))=0,Validate_Empty!C118&lt;&gt;"",Validate_Value!C118&lt;&gt;""),"",IF('Raw Data'!C118 = Condition!C118,"",_xlfn.REGEXEXTRACT(CELL("address",'Raw Data'!C118),"\$([A-Z]+)\$[0-9]+")))</f>
        <v/>
      </c>
      <c r="D118" s="7" t="str" cm="1">
        <f t="array" aca="1" ref="D118" ca="1">IF(OR('Raw Data'!D118="",LEN(TRIM('Raw Data'!D118))=0,Validate_Empty!D118&lt;&gt;"",Validate_Value!D118&lt;&gt;""),"",IF('Raw Data'!D118 = Condition!D118,"",_xlfn.REGEXEXTRACT(CELL("address",'Raw Data'!D118),"\$([A-Z]+)\$[0-9]+")))</f>
        <v/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2:22" x14ac:dyDescent="0.25">
      <c r="B119" s="7" t="str" cm="1">
        <f t="array" aca="1" ref="B119" ca="1">IF(OR('Raw Data'!B119="",LEN(TRIM('Raw Data'!B119))=0,Validate_Empty!B119&lt;&gt;"",Validate_Value!B119&lt;&gt;""),"",IF('Raw Data'!B119 = Condition!B119,"",_xlfn.REGEXEXTRACT(CELL("address",'Raw Data'!B119),"\$([A-Z]+)\$[0-9]+")))</f>
        <v/>
      </c>
      <c r="C119" s="7" t="str" cm="1">
        <f t="array" aca="1" ref="C119" ca="1">IF(OR('Raw Data'!C119="",LEN(TRIM('Raw Data'!C119))=0,Validate_Empty!C119&lt;&gt;"",Validate_Value!C119&lt;&gt;""),"",IF('Raw Data'!C119 = Condition!C119,"",_xlfn.REGEXEXTRACT(CELL("address",'Raw Data'!C119),"\$([A-Z]+)\$[0-9]+")))</f>
        <v/>
      </c>
      <c r="D119" s="7" t="str" cm="1">
        <f t="array" aca="1" ref="D119" ca="1">IF(OR('Raw Data'!D119="",LEN(TRIM('Raw Data'!D119))=0,Validate_Empty!D119&lt;&gt;"",Validate_Value!D119&lt;&gt;""),"",IF('Raw Data'!D119 = Condition!D119,"",_xlfn.REGEXEXTRACT(CELL("address",'Raw Data'!D119),"\$([A-Z]+)\$[0-9]+")))</f>
        <v/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2:22" x14ac:dyDescent="0.25">
      <c r="B120" s="7" t="str" cm="1">
        <f t="array" aca="1" ref="B120" ca="1">IF(OR('Raw Data'!B120="",LEN(TRIM('Raw Data'!B120))=0,Validate_Empty!B120&lt;&gt;"",Validate_Value!B120&lt;&gt;""),"",IF('Raw Data'!B120 = Condition!B120,"",_xlfn.REGEXEXTRACT(CELL("address",'Raw Data'!B120),"\$([A-Z]+)\$[0-9]+")))</f>
        <v/>
      </c>
      <c r="C120" s="7" t="str" cm="1">
        <f t="array" aca="1" ref="C120" ca="1">IF(OR('Raw Data'!C120="",LEN(TRIM('Raw Data'!C120))=0,Validate_Empty!C120&lt;&gt;"",Validate_Value!C120&lt;&gt;""),"",IF('Raw Data'!C120 = Condition!C120,"",_xlfn.REGEXEXTRACT(CELL("address",'Raw Data'!C120),"\$([A-Z]+)\$[0-9]+")))</f>
        <v/>
      </c>
      <c r="D120" s="7" t="str" cm="1">
        <f t="array" aca="1" ref="D120" ca="1">IF(OR('Raw Data'!D120="",LEN(TRIM('Raw Data'!D120))=0,Validate_Empty!D120&lt;&gt;"",Validate_Value!D120&lt;&gt;""),"",IF('Raw Data'!D120 = Condition!D120,"",_xlfn.REGEXEXTRACT(CELL("address",'Raw Data'!D120),"\$([A-Z]+)\$[0-9]+")))</f>
        <v/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2:22" x14ac:dyDescent="0.25">
      <c r="B121" s="7" t="str" cm="1">
        <f t="array" aca="1" ref="B121" ca="1">IF(OR('Raw Data'!B121="",LEN(TRIM('Raw Data'!B121))=0,Validate_Empty!B121&lt;&gt;"",Validate_Value!B121&lt;&gt;""),"",IF('Raw Data'!B121 = Condition!B121,"",_xlfn.REGEXEXTRACT(CELL("address",'Raw Data'!B121),"\$([A-Z]+)\$[0-9]+")))</f>
        <v/>
      </c>
      <c r="C121" s="7" t="str" cm="1">
        <f t="array" aca="1" ref="C121" ca="1">IF(OR('Raw Data'!C121="",LEN(TRIM('Raw Data'!C121))=0,Validate_Empty!C121&lt;&gt;"",Validate_Value!C121&lt;&gt;""),"",IF('Raw Data'!C121 = Condition!C121,"",_xlfn.REGEXEXTRACT(CELL("address",'Raw Data'!C121),"\$([A-Z]+)\$[0-9]+")))</f>
        <v/>
      </c>
      <c r="D121" s="7" t="str" cm="1">
        <f t="array" aca="1" ref="D121" ca="1">IF(OR('Raw Data'!D121="",LEN(TRIM('Raw Data'!D121))=0,Validate_Empty!D121&lt;&gt;"",Validate_Value!D121&lt;&gt;""),"",IF('Raw Data'!D121 = Condition!D121,"",_xlfn.REGEXEXTRACT(CELL("address",'Raw Data'!D121),"\$([A-Z]+)\$[0-9]+")))</f>
        <v/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2:22" x14ac:dyDescent="0.25">
      <c r="B122" s="7" t="str" cm="1">
        <f t="array" aca="1" ref="B122" ca="1">IF(OR('Raw Data'!B122="",LEN(TRIM('Raw Data'!B122))=0,Validate_Empty!B122&lt;&gt;"",Validate_Value!B122&lt;&gt;""),"",IF('Raw Data'!B122 = Condition!B122,"",_xlfn.REGEXEXTRACT(CELL("address",'Raw Data'!B122),"\$([A-Z]+)\$[0-9]+")))</f>
        <v/>
      </c>
      <c r="C122" s="7" t="str" cm="1">
        <f t="array" aca="1" ref="C122" ca="1">IF(OR('Raw Data'!C122="",LEN(TRIM('Raw Data'!C122))=0,Validate_Empty!C122&lt;&gt;"",Validate_Value!C122&lt;&gt;""),"",IF('Raw Data'!C122 = Condition!C122,"",_xlfn.REGEXEXTRACT(CELL("address",'Raw Data'!C122),"\$([A-Z]+)\$[0-9]+")))</f>
        <v/>
      </c>
      <c r="D122" s="7" t="str" cm="1">
        <f t="array" aca="1" ref="D122" ca="1">IF(OR('Raw Data'!D122="",LEN(TRIM('Raw Data'!D122))=0,Validate_Empty!D122&lt;&gt;"",Validate_Value!D122&lt;&gt;""),"",IF('Raw Data'!D122 = Condition!D122,"",_xlfn.REGEXEXTRACT(CELL("address",'Raw Data'!D122),"\$([A-Z]+)\$[0-9]+")))</f>
        <v/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2:22" x14ac:dyDescent="0.25">
      <c r="B123" s="7" t="str" cm="1">
        <f t="array" aca="1" ref="B123" ca="1">IF(OR('Raw Data'!B123="",LEN(TRIM('Raw Data'!B123))=0,Validate_Empty!B123&lt;&gt;"",Validate_Value!B123&lt;&gt;""),"",IF('Raw Data'!B123 = Condition!B123,"",_xlfn.REGEXEXTRACT(CELL("address",'Raw Data'!B123),"\$([A-Z]+)\$[0-9]+")))</f>
        <v/>
      </c>
      <c r="C123" s="7" t="str" cm="1">
        <f t="array" aca="1" ref="C123" ca="1">IF(OR('Raw Data'!C123="",LEN(TRIM('Raw Data'!C123))=0,Validate_Empty!C123&lt;&gt;"",Validate_Value!C123&lt;&gt;""),"",IF('Raw Data'!C123 = Condition!C123,"",_xlfn.REGEXEXTRACT(CELL("address",'Raw Data'!C123),"\$([A-Z]+)\$[0-9]+")))</f>
        <v/>
      </c>
      <c r="D123" s="7" t="str" cm="1">
        <f t="array" aca="1" ref="D123" ca="1">IF(OR('Raw Data'!D123="",LEN(TRIM('Raw Data'!D123))=0,Validate_Empty!D123&lt;&gt;"",Validate_Value!D123&lt;&gt;""),"",IF('Raw Data'!D123 = Condition!D123,"",_xlfn.REGEXEXTRACT(CELL("address",'Raw Data'!D123),"\$([A-Z]+)\$[0-9]+")))</f>
        <v/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2:22" x14ac:dyDescent="0.25">
      <c r="B124" s="7" t="str" cm="1">
        <f t="array" aca="1" ref="B124" ca="1">IF(OR('Raw Data'!B124="",LEN(TRIM('Raw Data'!B124))=0,Validate_Empty!B124&lt;&gt;"",Validate_Value!B124&lt;&gt;""),"",IF('Raw Data'!B124 = Condition!B124,"",_xlfn.REGEXEXTRACT(CELL("address",'Raw Data'!B124),"\$([A-Z]+)\$[0-9]+")))</f>
        <v/>
      </c>
      <c r="C124" s="7" t="str" cm="1">
        <f t="array" aca="1" ref="C124" ca="1">IF(OR('Raw Data'!C124="",LEN(TRIM('Raw Data'!C124))=0,Validate_Empty!C124&lt;&gt;"",Validate_Value!C124&lt;&gt;""),"",IF('Raw Data'!C124 = Condition!C124,"",_xlfn.REGEXEXTRACT(CELL("address",'Raw Data'!C124),"\$([A-Z]+)\$[0-9]+")))</f>
        <v/>
      </c>
      <c r="D124" s="7" t="str" cm="1">
        <f t="array" aca="1" ref="D124" ca="1">IF(OR('Raw Data'!D124="",LEN(TRIM('Raw Data'!D124))=0,Validate_Empty!D124&lt;&gt;"",Validate_Value!D124&lt;&gt;""),"",IF('Raw Data'!D124 = Condition!D124,"",_xlfn.REGEXEXTRACT(CELL("address",'Raw Data'!D124),"\$([A-Z]+)\$[0-9]+")))</f>
        <v/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2:22" x14ac:dyDescent="0.25">
      <c r="B125" s="7" t="str" cm="1">
        <f t="array" aca="1" ref="B125" ca="1">IF(OR('Raw Data'!B125="",LEN(TRIM('Raw Data'!B125))=0,Validate_Empty!B125&lt;&gt;"",Validate_Value!B125&lt;&gt;""),"",IF('Raw Data'!B125 = Condition!B125,"",_xlfn.REGEXEXTRACT(CELL("address",'Raw Data'!B125),"\$([A-Z]+)\$[0-9]+")))</f>
        <v/>
      </c>
      <c r="C125" s="7" t="str" cm="1">
        <f t="array" aca="1" ref="C125" ca="1">IF(OR('Raw Data'!C125="",LEN(TRIM('Raw Data'!C125))=0,Validate_Empty!C125&lt;&gt;"",Validate_Value!C125&lt;&gt;""),"",IF('Raw Data'!C125 = Condition!C125,"",_xlfn.REGEXEXTRACT(CELL("address",'Raw Data'!C125),"\$([A-Z]+)\$[0-9]+")))</f>
        <v/>
      </c>
      <c r="D125" s="7" t="str" cm="1">
        <f t="array" aca="1" ref="D125" ca="1">IF(OR('Raw Data'!D125="",LEN(TRIM('Raw Data'!D125))=0,Validate_Empty!D125&lt;&gt;"",Validate_Value!D125&lt;&gt;""),"",IF('Raw Data'!D125 = Condition!D125,"",_xlfn.REGEXEXTRACT(CELL("address",'Raw Data'!D125),"\$([A-Z]+)\$[0-9]+")))</f>
        <v/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2:22" x14ac:dyDescent="0.25">
      <c r="B126" s="7" t="str" cm="1">
        <f t="array" aca="1" ref="B126" ca="1">IF(OR('Raw Data'!B126="",LEN(TRIM('Raw Data'!B126))=0,Validate_Empty!B126&lt;&gt;"",Validate_Value!B126&lt;&gt;""),"",IF('Raw Data'!B126 = Condition!B126,"",_xlfn.REGEXEXTRACT(CELL("address",'Raw Data'!B126),"\$([A-Z]+)\$[0-9]+")))</f>
        <v/>
      </c>
      <c r="C126" s="7" t="str" cm="1">
        <f t="array" aca="1" ref="C126" ca="1">IF(OR('Raw Data'!C126="",LEN(TRIM('Raw Data'!C126))=0,Validate_Empty!C126&lt;&gt;"",Validate_Value!C126&lt;&gt;""),"",IF('Raw Data'!C126 = Condition!C126,"",_xlfn.REGEXEXTRACT(CELL("address",'Raw Data'!C126),"\$([A-Z]+)\$[0-9]+")))</f>
        <v/>
      </c>
      <c r="D126" s="7" t="str" cm="1">
        <f t="array" aca="1" ref="D126" ca="1">IF(OR('Raw Data'!D126="",LEN(TRIM('Raw Data'!D126))=0,Validate_Empty!D126&lt;&gt;"",Validate_Value!D126&lt;&gt;""),"",IF('Raw Data'!D126 = Condition!D126,"",_xlfn.REGEXEXTRACT(CELL("address",'Raw Data'!D126),"\$([A-Z]+)\$[0-9]+")))</f>
        <v/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2:22" x14ac:dyDescent="0.25">
      <c r="B127" s="7" t="str" cm="1">
        <f t="array" aca="1" ref="B127" ca="1">IF(OR('Raw Data'!B127="",LEN(TRIM('Raw Data'!B127))=0,Validate_Empty!B127&lt;&gt;"",Validate_Value!B127&lt;&gt;""),"",IF('Raw Data'!B127 = Condition!B127,"",_xlfn.REGEXEXTRACT(CELL("address",'Raw Data'!B127),"\$([A-Z]+)\$[0-9]+")))</f>
        <v/>
      </c>
      <c r="C127" s="7" t="str" cm="1">
        <f t="array" aca="1" ref="C127" ca="1">IF(OR('Raw Data'!C127="",LEN(TRIM('Raw Data'!C127))=0,Validate_Empty!C127&lt;&gt;"",Validate_Value!C127&lt;&gt;""),"",IF('Raw Data'!C127 = Condition!C127,"",_xlfn.REGEXEXTRACT(CELL("address",'Raw Data'!C127),"\$([A-Z]+)\$[0-9]+")))</f>
        <v/>
      </c>
      <c r="D127" s="7" t="str" cm="1">
        <f t="array" aca="1" ref="D127" ca="1">IF(OR('Raw Data'!D127="",LEN(TRIM('Raw Data'!D127))=0,Validate_Empty!D127&lt;&gt;"",Validate_Value!D127&lt;&gt;""),"",IF('Raw Data'!D127 = Condition!D127,"",_xlfn.REGEXEXTRACT(CELL("address",'Raw Data'!D127),"\$([A-Z]+)\$[0-9]+")))</f>
        <v/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2:22" x14ac:dyDescent="0.25">
      <c r="B128" s="7" t="str" cm="1">
        <f t="array" aca="1" ref="B128" ca="1">IF(OR('Raw Data'!B128="",LEN(TRIM('Raw Data'!B128))=0,Validate_Empty!B128&lt;&gt;"",Validate_Value!B128&lt;&gt;""),"",IF('Raw Data'!B128 = Condition!B128,"",_xlfn.REGEXEXTRACT(CELL("address",'Raw Data'!B128),"\$([A-Z]+)\$[0-9]+")))</f>
        <v/>
      </c>
      <c r="C128" s="7" t="str" cm="1">
        <f t="array" aca="1" ref="C128" ca="1">IF(OR('Raw Data'!C128="",LEN(TRIM('Raw Data'!C128))=0,Validate_Empty!C128&lt;&gt;"",Validate_Value!C128&lt;&gt;""),"",IF('Raw Data'!C128 = Condition!C128,"",_xlfn.REGEXEXTRACT(CELL("address",'Raw Data'!C128),"\$([A-Z]+)\$[0-9]+")))</f>
        <v/>
      </c>
      <c r="D128" s="7" t="str" cm="1">
        <f t="array" aca="1" ref="D128" ca="1">IF(OR('Raw Data'!D128="",LEN(TRIM('Raw Data'!D128))=0,Validate_Empty!D128&lt;&gt;"",Validate_Value!D128&lt;&gt;""),"",IF('Raw Data'!D128 = Condition!D128,"",_xlfn.REGEXEXTRACT(CELL("address",'Raw Data'!D128),"\$([A-Z]+)\$[0-9]+")))</f>
        <v/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2:22" x14ac:dyDescent="0.25">
      <c r="B129" s="7" t="str" cm="1">
        <f t="array" aca="1" ref="B129" ca="1">IF(OR('Raw Data'!B129="",LEN(TRIM('Raw Data'!B129))=0,Validate_Empty!B129&lt;&gt;"",Validate_Value!B129&lt;&gt;""),"",IF('Raw Data'!B129 = Condition!B129,"",_xlfn.REGEXEXTRACT(CELL("address",'Raw Data'!B129),"\$([A-Z]+)\$[0-9]+")))</f>
        <v/>
      </c>
      <c r="C129" s="7" t="str" cm="1">
        <f t="array" aca="1" ref="C129" ca="1">IF(OR('Raw Data'!C129="",LEN(TRIM('Raw Data'!C129))=0,Validate_Empty!C129&lt;&gt;"",Validate_Value!C129&lt;&gt;""),"",IF('Raw Data'!C129 = Condition!C129,"",_xlfn.REGEXEXTRACT(CELL("address",'Raw Data'!C129),"\$([A-Z]+)\$[0-9]+")))</f>
        <v/>
      </c>
      <c r="D129" s="7" t="str" cm="1">
        <f t="array" aca="1" ref="D129" ca="1">IF(OR('Raw Data'!D129="",LEN(TRIM('Raw Data'!D129))=0,Validate_Empty!D129&lt;&gt;"",Validate_Value!D129&lt;&gt;""),"",IF('Raw Data'!D129 = Condition!D129,"",_xlfn.REGEXEXTRACT(CELL("address",'Raw Data'!D129),"\$([A-Z]+)\$[0-9]+")))</f>
        <v/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2:22" x14ac:dyDescent="0.25">
      <c r="B130" s="7" t="str" cm="1">
        <f t="array" aca="1" ref="B130" ca="1">IF(OR('Raw Data'!B130="",LEN(TRIM('Raw Data'!B130))=0,Validate_Empty!B130&lt;&gt;"",Validate_Value!B130&lt;&gt;""),"",IF('Raw Data'!B130 = Condition!B130,"",_xlfn.REGEXEXTRACT(CELL("address",'Raw Data'!B130),"\$([A-Z]+)\$[0-9]+")))</f>
        <v/>
      </c>
      <c r="C130" s="7" t="str" cm="1">
        <f t="array" aca="1" ref="C130" ca="1">IF(OR('Raw Data'!C130="",LEN(TRIM('Raw Data'!C130))=0,Validate_Empty!C130&lt;&gt;"",Validate_Value!C130&lt;&gt;""),"",IF('Raw Data'!C130 = Condition!C130,"",_xlfn.REGEXEXTRACT(CELL("address",'Raw Data'!C130),"\$([A-Z]+)\$[0-9]+")))</f>
        <v/>
      </c>
      <c r="D130" s="7" t="str" cm="1">
        <f t="array" aca="1" ref="D130" ca="1">IF(OR('Raw Data'!D130="",LEN(TRIM('Raw Data'!D130))=0,Validate_Empty!D130&lt;&gt;"",Validate_Value!D130&lt;&gt;""),"",IF('Raw Data'!D130 = Condition!D130,"",_xlfn.REGEXEXTRACT(CELL("address",'Raw Data'!D130),"\$([A-Z]+)\$[0-9]+")))</f>
        <v/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2:22" x14ac:dyDescent="0.25">
      <c r="B131" s="7" t="str" cm="1">
        <f t="array" aca="1" ref="B131" ca="1">IF(OR('Raw Data'!B131="",LEN(TRIM('Raw Data'!B131))=0,Validate_Empty!B131&lt;&gt;"",Validate_Value!B131&lt;&gt;""),"",IF('Raw Data'!B131 = Condition!B131,"",_xlfn.REGEXEXTRACT(CELL("address",'Raw Data'!B131),"\$([A-Z]+)\$[0-9]+")))</f>
        <v/>
      </c>
      <c r="C131" s="7" t="str" cm="1">
        <f t="array" aca="1" ref="C131" ca="1">IF(OR('Raw Data'!C131="",LEN(TRIM('Raw Data'!C131))=0,Validate_Empty!C131&lt;&gt;"",Validate_Value!C131&lt;&gt;""),"",IF('Raw Data'!C131 = Condition!C131,"",_xlfn.REGEXEXTRACT(CELL("address",'Raw Data'!C131),"\$([A-Z]+)\$[0-9]+")))</f>
        <v/>
      </c>
      <c r="D131" s="7" t="str" cm="1">
        <f t="array" aca="1" ref="D131" ca="1">IF(OR('Raw Data'!D131="",LEN(TRIM('Raw Data'!D131))=0,Validate_Empty!D131&lt;&gt;"",Validate_Value!D131&lt;&gt;""),"",IF('Raw Data'!D131 = Condition!D131,"",_xlfn.REGEXEXTRACT(CELL("address",'Raw Data'!D131),"\$([A-Z]+)\$[0-9]+")))</f>
        <v/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2:22" x14ac:dyDescent="0.25">
      <c r="B132" s="7" t="str" cm="1">
        <f t="array" aca="1" ref="B132" ca="1">IF(OR('Raw Data'!B132="",LEN(TRIM('Raw Data'!B132))=0,Validate_Empty!B132&lt;&gt;"",Validate_Value!B132&lt;&gt;""),"",IF('Raw Data'!B132 = Condition!B132,"",_xlfn.REGEXEXTRACT(CELL("address",'Raw Data'!B132),"\$([A-Z]+)\$[0-9]+")))</f>
        <v/>
      </c>
      <c r="C132" s="7" t="str" cm="1">
        <f t="array" aca="1" ref="C132" ca="1">IF(OR('Raw Data'!C132="",LEN(TRIM('Raw Data'!C132))=0,Validate_Empty!C132&lt;&gt;"",Validate_Value!C132&lt;&gt;""),"",IF('Raw Data'!C132 = Condition!C132,"",_xlfn.REGEXEXTRACT(CELL("address",'Raw Data'!C132),"\$([A-Z]+)\$[0-9]+")))</f>
        <v/>
      </c>
      <c r="D132" s="7" t="str" cm="1">
        <f t="array" aca="1" ref="D132" ca="1">IF(OR('Raw Data'!D132="",LEN(TRIM('Raw Data'!D132))=0,Validate_Empty!D132&lt;&gt;"",Validate_Value!D132&lt;&gt;""),"",IF('Raw Data'!D132 = Condition!D132,"",_xlfn.REGEXEXTRACT(CELL("address",'Raw Data'!D132),"\$([A-Z]+)\$[0-9]+")))</f>
        <v/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2:22" x14ac:dyDescent="0.25">
      <c r="B133" s="7" t="str" cm="1">
        <f t="array" aca="1" ref="B133" ca="1">IF(OR('Raw Data'!B133="",LEN(TRIM('Raw Data'!B133))=0,Validate_Empty!B133&lt;&gt;"",Validate_Value!B133&lt;&gt;""),"",IF('Raw Data'!B133 = Condition!B133,"",_xlfn.REGEXEXTRACT(CELL("address",'Raw Data'!B133),"\$([A-Z]+)\$[0-9]+")))</f>
        <v/>
      </c>
      <c r="C133" s="7" t="str" cm="1">
        <f t="array" aca="1" ref="C133" ca="1">IF(OR('Raw Data'!C133="",LEN(TRIM('Raw Data'!C133))=0,Validate_Empty!C133&lt;&gt;"",Validate_Value!C133&lt;&gt;""),"",IF('Raw Data'!C133 = Condition!C133,"",_xlfn.REGEXEXTRACT(CELL("address",'Raw Data'!C133),"\$([A-Z]+)\$[0-9]+")))</f>
        <v/>
      </c>
      <c r="D133" s="7" t="str" cm="1">
        <f t="array" aca="1" ref="D133" ca="1">IF(OR('Raw Data'!D133="",LEN(TRIM('Raw Data'!D133))=0,Validate_Empty!D133&lt;&gt;"",Validate_Value!D133&lt;&gt;""),"",IF('Raw Data'!D133 = Condition!D133,"",_xlfn.REGEXEXTRACT(CELL("address",'Raw Data'!D133),"\$([A-Z]+)\$[0-9]+")))</f>
        <v/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2:22" x14ac:dyDescent="0.25">
      <c r="B134" s="7" t="str" cm="1">
        <f t="array" aca="1" ref="B134" ca="1">IF(OR('Raw Data'!B134="",LEN(TRIM('Raw Data'!B134))=0,Validate_Empty!B134&lt;&gt;"",Validate_Value!B134&lt;&gt;""),"",IF('Raw Data'!B134 = Condition!B134,"",_xlfn.REGEXEXTRACT(CELL("address",'Raw Data'!B134),"\$([A-Z]+)\$[0-9]+")))</f>
        <v/>
      </c>
      <c r="C134" s="7" t="str" cm="1">
        <f t="array" aca="1" ref="C134" ca="1">IF(OR('Raw Data'!C134="",LEN(TRIM('Raw Data'!C134))=0,Validate_Empty!C134&lt;&gt;"",Validate_Value!C134&lt;&gt;""),"",IF('Raw Data'!C134 = Condition!C134,"",_xlfn.REGEXEXTRACT(CELL("address",'Raw Data'!C134),"\$([A-Z]+)\$[0-9]+")))</f>
        <v/>
      </c>
      <c r="D134" s="7" t="str" cm="1">
        <f t="array" aca="1" ref="D134" ca="1">IF(OR('Raw Data'!D134="",LEN(TRIM('Raw Data'!D134))=0,Validate_Empty!D134&lt;&gt;"",Validate_Value!D134&lt;&gt;""),"",IF('Raw Data'!D134 = Condition!D134,"",_xlfn.REGEXEXTRACT(CELL("address",'Raw Data'!D134),"\$([A-Z]+)\$[0-9]+")))</f>
        <v/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2:22" x14ac:dyDescent="0.25">
      <c r="B135" s="7" t="str" cm="1">
        <f t="array" aca="1" ref="B135" ca="1">IF(OR('Raw Data'!B135="",LEN(TRIM('Raw Data'!B135))=0,Validate_Empty!B135&lt;&gt;"",Validate_Value!B135&lt;&gt;""),"",IF('Raw Data'!B135 = Condition!B135,"",_xlfn.REGEXEXTRACT(CELL("address",'Raw Data'!B135),"\$([A-Z]+)\$[0-9]+")))</f>
        <v/>
      </c>
      <c r="C135" s="7" t="str" cm="1">
        <f t="array" aca="1" ref="C135" ca="1">IF(OR('Raw Data'!C135="",LEN(TRIM('Raw Data'!C135))=0,Validate_Empty!C135&lt;&gt;"",Validate_Value!C135&lt;&gt;""),"",IF('Raw Data'!C135 = Condition!C135,"",_xlfn.REGEXEXTRACT(CELL("address",'Raw Data'!C135),"\$([A-Z]+)\$[0-9]+")))</f>
        <v/>
      </c>
      <c r="D135" s="7" t="str" cm="1">
        <f t="array" aca="1" ref="D135" ca="1">IF(OR('Raw Data'!D135="",LEN(TRIM('Raw Data'!D135))=0,Validate_Empty!D135&lt;&gt;"",Validate_Value!D135&lt;&gt;""),"",IF('Raw Data'!D135 = Condition!D135,"",_xlfn.REGEXEXTRACT(CELL("address",'Raw Data'!D135),"\$([A-Z]+)\$[0-9]+")))</f>
        <v/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2:22" x14ac:dyDescent="0.25">
      <c r="B136" s="7" t="str" cm="1">
        <f t="array" aca="1" ref="B136" ca="1">IF(OR('Raw Data'!B136="",LEN(TRIM('Raw Data'!B136))=0,Validate_Empty!B136&lt;&gt;"",Validate_Value!B136&lt;&gt;""),"",IF('Raw Data'!B136 = Condition!B136,"",_xlfn.REGEXEXTRACT(CELL("address",'Raw Data'!B136),"\$([A-Z]+)\$[0-9]+")))</f>
        <v/>
      </c>
      <c r="C136" s="7" t="str" cm="1">
        <f t="array" aca="1" ref="C136" ca="1">IF(OR('Raw Data'!C136="",LEN(TRIM('Raw Data'!C136))=0,Validate_Empty!C136&lt;&gt;"",Validate_Value!C136&lt;&gt;""),"",IF('Raw Data'!C136 = Condition!C136,"",_xlfn.REGEXEXTRACT(CELL("address",'Raw Data'!C136),"\$([A-Z]+)\$[0-9]+")))</f>
        <v/>
      </c>
      <c r="D136" s="7" t="str" cm="1">
        <f t="array" aca="1" ref="D136" ca="1">IF(OR('Raw Data'!D136="",LEN(TRIM('Raw Data'!D136))=0,Validate_Empty!D136&lt;&gt;"",Validate_Value!D136&lt;&gt;""),"",IF('Raw Data'!D136 = Condition!D136,"",_xlfn.REGEXEXTRACT(CELL("address",'Raw Data'!D136),"\$([A-Z]+)\$[0-9]+")))</f>
        <v/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2:22" x14ac:dyDescent="0.25">
      <c r="B137" s="7" t="str" cm="1">
        <f t="array" aca="1" ref="B137" ca="1">IF(OR('Raw Data'!B137="",LEN(TRIM('Raw Data'!B137))=0,Validate_Empty!B137&lt;&gt;"",Validate_Value!B137&lt;&gt;""),"",IF('Raw Data'!B137 = Condition!B137,"",_xlfn.REGEXEXTRACT(CELL("address",'Raw Data'!B137),"\$([A-Z]+)\$[0-9]+")))</f>
        <v/>
      </c>
      <c r="C137" s="7" t="str" cm="1">
        <f t="array" aca="1" ref="C137" ca="1">IF(OR('Raw Data'!C137="",LEN(TRIM('Raw Data'!C137))=0,Validate_Empty!C137&lt;&gt;"",Validate_Value!C137&lt;&gt;""),"",IF('Raw Data'!C137 = Condition!C137,"",_xlfn.REGEXEXTRACT(CELL("address",'Raw Data'!C137),"\$([A-Z]+)\$[0-9]+")))</f>
        <v/>
      </c>
      <c r="D137" s="7" t="str" cm="1">
        <f t="array" aca="1" ref="D137" ca="1">IF(OR('Raw Data'!D137="",LEN(TRIM('Raw Data'!D137))=0,Validate_Empty!D137&lt;&gt;"",Validate_Value!D137&lt;&gt;""),"",IF('Raw Data'!D137 = Condition!D137,"",_xlfn.REGEXEXTRACT(CELL("address",'Raw Data'!D137),"\$([A-Z]+)\$[0-9]+")))</f>
        <v/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2:22" x14ac:dyDescent="0.25">
      <c r="B138" s="7" t="str" cm="1">
        <f t="array" aca="1" ref="B138" ca="1">IF(OR('Raw Data'!B138="",LEN(TRIM('Raw Data'!B138))=0,Validate_Empty!B138&lt;&gt;"",Validate_Value!B138&lt;&gt;""),"",IF('Raw Data'!B138 = Condition!B138,"",_xlfn.REGEXEXTRACT(CELL("address",'Raw Data'!B138),"\$([A-Z]+)\$[0-9]+")))</f>
        <v/>
      </c>
      <c r="C138" s="7" t="str" cm="1">
        <f t="array" aca="1" ref="C138" ca="1">IF(OR('Raw Data'!C138="",LEN(TRIM('Raw Data'!C138))=0,Validate_Empty!C138&lt;&gt;"",Validate_Value!C138&lt;&gt;""),"",IF('Raw Data'!C138 = Condition!C138,"",_xlfn.REGEXEXTRACT(CELL("address",'Raw Data'!C138),"\$([A-Z]+)\$[0-9]+")))</f>
        <v/>
      </c>
      <c r="D138" s="7" t="str" cm="1">
        <f t="array" aca="1" ref="D138" ca="1">IF(OR('Raw Data'!D138="",LEN(TRIM('Raw Data'!D138))=0,Validate_Empty!D138&lt;&gt;"",Validate_Value!D138&lt;&gt;""),"",IF('Raw Data'!D138 = Condition!D138,"",_xlfn.REGEXEXTRACT(CELL("address",'Raw Data'!D138),"\$([A-Z]+)\$[0-9]+")))</f>
        <v/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2:22" x14ac:dyDescent="0.25">
      <c r="B139" s="7" t="str" cm="1">
        <f t="array" aca="1" ref="B139" ca="1">IF(OR('Raw Data'!B139="",LEN(TRIM('Raw Data'!B139))=0,Validate_Empty!B139&lt;&gt;"",Validate_Value!B139&lt;&gt;""),"",IF('Raw Data'!B139 = Condition!B139,"",_xlfn.REGEXEXTRACT(CELL("address",'Raw Data'!B139),"\$([A-Z]+)\$[0-9]+")))</f>
        <v/>
      </c>
      <c r="C139" s="7" t="str" cm="1">
        <f t="array" aca="1" ref="C139" ca="1">IF(OR('Raw Data'!C139="",LEN(TRIM('Raw Data'!C139))=0,Validate_Empty!C139&lt;&gt;"",Validate_Value!C139&lt;&gt;""),"",IF('Raw Data'!C139 = Condition!C139,"",_xlfn.REGEXEXTRACT(CELL("address",'Raw Data'!C139),"\$([A-Z]+)\$[0-9]+")))</f>
        <v/>
      </c>
      <c r="D139" s="7" t="str" cm="1">
        <f t="array" aca="1" ref="D139" ca="1">IF(OR('Raw Data'!D139="",LEN(TRIM('Raw Data'!D139))=0,Validate_Empty!D139&lt;&gt;"",Validate_Value!D139&lt;&gt;""),"",IF('Raw Data'!D139 = Condition!D139,"",_xlfn.REGEXEXTRACT(CELL("address",'Raw Data'!D139),"\$([A-Z]+)\$[0-9]+")))</f>
        <v/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2:22" x14ac:dyDescent="0.25">
      <c r="B140" s="7" t="str" cm="1">
        <f t="array" aca="1" ref="B140" ca="1">IF(OR('Raw Data'!B140="",LEN(TRIM('Raw Data'!B140))=0,Validate_Empty!B140&lt;&gt;"",Validate_Value!B140&lt;&gt;""),"",IF('Raw Data'!B140 = Condition!B140,"",_xlfn.REGEXEXTRACT(CELL("address",'Raw Data'!B140),"\$([A-Z]+)\$[0-9]+")))</f>
        <v/>
      </c>
      <c r="C140" s="7" t="str" cm="1">
        <f t="array" aca="1" ref="C140" ca="1">IF(OR('Raw Data'!C140="",LEN(TRIM('Raw Data'!C140))=0,Validate_Empty!C140&lt;&gt;"",Validate_Value!C140&lt;&gt;""),"",IF('Raw Data'!C140 = Condition!C140,"",_xlfn.REGEXEXTRACT(CELL("address",'Raw Data'!C140),"\$([A-Z]+)\$[0-9]+")))</f>
        <v/>
      </c>
      <c r="D140" s="7" t="str" cm="1">
        <f t="array" aca="1" ref="D140" ca="1">IF(OR('Raw Data'!D140="",LEN(TRIM('Raw Data'!D140))=0,Validate_Empty!D140&lt;&gt;"",Validate_Value!D140&lt;&gt;""),"",IF('Raw Data'!D140 = Condition!D140,"",_xlfn.REGEXEXTRACT(CELL("address",'Raw Data'!D140),"\$([A-Z]+)\$[0-9]+")))</f>
        <v/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2:22" x14ac:dyDescent="0.25">
      <c r="B141" s="7" t="str" cm="1">
        <f t="array" aca="1" ref="B141" ca="1">IF(OR('Raw Data'!B141="",LEN(TRIM('Raw Data'!B141))=0,Validate_Empty!B141&lt;&gt;"",Validate_Value!B141&lt;&gt;""),"",IF('Raw Data'!B141 = Condition!B141,"",_xlfn.REGEXEXTRACT(CELL("address",'Raw Data'!B141),"\$([A-Z]+)\$[0-9]+")))</f>
        <v/>
      </c>
      <c r="C141" s="7" t="str" cm="1">
        <f t="array" aca="1" ref="C141" ca="1">IF(OR('Raw Data'!C141="",LEN(TRIM('Raw Data'!C141))=0,Validate_Empty!C141&lt;&gt;"",Validate_Value!C141&lt;&gt;""),"",IF('Raw Data'!C141 = Condition!C141,"",_xlfn.REGEXEXTRACT(CELL("address",'Raw Data'!C141),"\$([A-Z]+)\$[0-9]+")))</f>
        <v/>
      </c>
      <c r="D141" s="7" t="str" cm="1">
        <f t="array" aca="1" ref="D141" ca="1">IF(OR('Raw Data'!D141="",LEN(TRIM('Raw Data'!D141))=0,Validate_Empty!D141&lt;&gt;"",Validate_Value!D141&lt;&gt;""),"",IF('Raw Data'!D141 = Condition!D141,"",_xlfn.REGEXEXTRACT(CELL("address",'Raw Data'!D141),"\$([A-Z]+)\$[0-9]+")))</f>
        <v/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2:22" x14ac:dyDescent="0.25">
      <c r="B142" s="7" t="str" cm="1">
        <f t="array" aca="1" ref="B142" ca="1">IF(OR('Raw Data'!B142="",LEN(TRIM('Raw Data'!B142))=0,Validate_Empty!B142&lt;&gt;"",Validate_Value!B142&lt;&gt;""),"",IF('Raw Data'!B142 = Condition!B142,"",_xlfn.REGEXEXTRACT(CELL("address",'Raw Data'!B142),"\$([A-Z]+)\$[0-9]+")))</f>
        <v/>
      </c>
      <c r="C142" s="7" t="str" cm="1">
        <f t="array" aca="1" ref="C142" ca="1">IF(OR('Raw Data'!C142="",LEN(TRIM('Raw Data'!C142))=0,Validate_Empty!C142&lt;&gt;"",Validate_Value!C142&lt;&gt;""),"",IF('Raw Data'!C142 = Condition!C142,"",_xlfn.REGEXEXTRACT(CELL("address",'Raw Data'!C142),"\$([A-Z]+)\$[0-9]+")))</f>
        <v/>
      </c>
      <c r="D142" s="7" t="str" cm="1">
        <f t="array" aca="1" ref="D142" ca="1">IF(OR('Raw Data'!D142="",LEN(TRIM('Raw Data'!D142))=0,Validate_Empty!D142&lt;&gt;"",Validate_Value!D142&lt;&gt;""),"",IF('Raw Data'!D142 = Condition!D142,"",_xlfn.REGEXEXTRACT(CELL("address",'Raw Data'!D142),"\$([A-Z]+)\$[0-9]+")))</f>
        <v/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2:22" x14ac:dyDescent="0.25">
      <c r="B143" s="7" t="str" cm="1">
        <f t="array" aca="1" ref="B143" ca="1">IF(OR('Raw Data'!B143="",LEN(TRIM('Raw Data'!B143))=0,Validate_Empty!B143&lt;&gt;"",Validate_Value!B143&lt;&gt;""),"",IF('Raw Data'!B143 = Condition!B143,"",_xlfn.REGEXEXTRACT(CELL("address",'Raw Data'!B143),"\$([A-Z]+)\$[0-9]+")))</f>
        <v/>
      </c>
      <c r="C143" s="7" t="str" cm="1">
        <f t="array" aca="1" ref="C143" ca="1">IF(OR('Raw Data'!C143="",LEN(TRIM('Raw Data'!C143))=0,Validate_Empty!C143&lt;&gt;"",Validate_Value!C143&lt;&gt;""),"",IF('Raw Data'!C143 = Condition!C143,"",_xlfn.REGEXEXTRACT(CELL("address",'Raw Data'!C143),"\$([A-Z]+)\$[0-9]+")))</f>
        <v/>
      </c>
      <c r="D143" s="7" t="str" cm="1">
        <f t="array" aca="1" ref="D143" ca="1">IF(OR('Raw Data'!D143="",LEN(TRIM('Raw Data'!D143))=0,Validate_Empty!D143&lt;&gt;"",Validate_Value!D143&lt;&gt;""),"",IF('Raw Data'!D143 = Condition!D143,"",_xlfn.REGEXEXTRACT(CELL("address",'Raw Data'!D143),"\$([A-Z]+)\$[0-9]+")))</f>
        <v/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2:22" x14ac:dyDescent="0.25">
      <c r="B144" s="7" t="str" cm="1">
        <f t="array" aca="1" ref="B144" ca="1">IF(OR('Raw Data'!B144="",LEN(TRIM('Raw Data'!B144))=0,Validate_Empty!B144&lt;&gt;"",Validate_Value!B144&lt;&gt;""),"",IF('Raw Data'!B144 = Condition!B144,"",_xlfn.REGEXEXTRACT(CELL("address",'Raw Data'!B144),"\$([A-Z]+)\$[0-9]+")))</f>
        <v/>
      </c>
      <c r="C144" s="7" t="str" cm="1">
        <f t="array" aca="1" ref="C144" ca="1">IF(OR('Raw Data'!C144="",LEN(TRIM('Raw Data'!C144))=0,Validate_Empty!C144&lt;&gt;"",Validate_Value!C144&lt;&gt;""),"",IF('Raw Data'!C144 = Condition!C144,"",_xlfn.REGEXEXTRACT(CELL("address",'Raw Data'!C144),"\$([A-Z]+)\$[0-9]+")))</f>
        <v/>
      </c>
      <c r="D144" s="7" t="str" cm="1">
        <f t="array" aca="1" ref="D144" ca="1">IF(OR('Raw Data'!D144="",LEN(TRIM('Raw Data'!D144))=0,Validate_Empty!D144&lt;&gt;"",Validate_Value!D144&lt;&gt;""),"",IF('Raw Data'!D144 = Condition!D144,"",_xlfn.REGEXEXTRACT(CELL("address",'Raw Data'!D144),"\$([A-Z]+)\$[0-9]+")))</f>
        <v/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2:22" x14ac:dyDescent="0.25">
      <c r="B145" s="7" t="str" cm="1">
        <f t="array" aca="1" ref="B145" ca="1">IF(OR('Raw Data'!B145="",LEN(TRIM('Raw Data'!B145))=0,Validate_Empty!B145&lt;&gt;"",Validate_Value!B145&lt;&gt;""),"",IF('Raw Data'!B145 = Condition!B145,"",_xlfn.REGEXEXTRACT(CELL("address",'Raw Data'!B145),"\$([A-Z]+)\$[0-9]+")))</f>
        <v/>
      </c>
      <c r="C145" s="7" t="str" cm="1">
        <f t="array" aca="1" ref="C145" ca="1">IF(OR('Raw Data'!C145="",LEN(TRIM('Raw Data'!C145))=0,Validate_Empty!C145&lt;&gt;"",Validate_Value!C145&lt;&gt;""),"",IF('Raw Data'!C145 = Condition!C145,"",_xlfn.REGEXEXTRACT(CELL("address",'Raw Data'!C145),"\$([A-Z]+)\$[0-9]+")))</f>
        <v/>
      </c>
      <c r="D145" s="7" t="str" cm="1">
        <f t="array" aca="1" ref="D145" ca="1">IF(OR('Raw Data'!D145="",LEN(TRIM('Raw Data'!D145))=0,Validate_Empty!D145&lt;&gt;"",Validate_Value!D145&lt;&gt;""),"",IF('Raw Data'!D145 = Condition!D145,"",_xlfn.REGEXEXTRACT(CELL("address",'Raw Data'!D145),"\$([A-Z]+)\$[0-9]+")))</f>
        <v/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2:22" x14ac:dyDescent="0.25">
      <c r="B146" s="7" t="str" cm="1">
        <f t="array" aca="1" ref="B146" ca="1">IF(OR('Raw Data'!B146="",LEN(TRIM('Raw Data'!B146))=0,Validate_Empty!B146&lt;&gt;"",Validate_Value!B146&lt;&gt;""),"",IF('Raw Data'!B146 = Condition!B146,"",_xlfn.REGEXEXTRACT(CELL("address",'Raw Data'!B146),"\$([A-Z]+)\$[0-9]+")))</f>
        <v/>
      </c>
      <c r="C146" s="7" t="str" cm="1">
        <f t="array" aca="1" ref="C146" ca="1">IF(OR('Raw Data'!C146="",LEN(TRIM('Raw Data'!C146))=0,Validate_Empty!C146&lt;&gt;"",Validate_Value!C146&lt;&gt;""),"",IF('Raw Data'!C146 = Condition!C146,"",_xlfn.REGEXEXTRACT(CELL("address",'Raw Data'!C146),"\$([A-Z]+)\$[0-9]+")))</f>
        <v/>
      </c>
      <c r="D146" s="7" t="str" cm="1">
        <f t="array" aca="1" ref="D146" ca="1">IF(OR('Raw Data'!D146="",LEN(TRIM('Raw Data'!D146))=0,Validate_Empty!D146&lt;&gt;"",Validate_Value!D146&lt;&gt;""),"",IF('Raw Data'!D146 = Condition!D146,"",_xlfn.REGEXEXTRACT(CELL("address",'Raw Data'!D146),"\$([A-Z]+)\$[0-9]+")))</f>
        <v/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2:22" x14ac:dyDescent="0.25">
      <c r="B147" s="7" t="str" cm="1">
        <f t="array" aca="1" ref="B147" ca="1">IF(OR('Raw Data'!B147="",LEN(TRIM('Raw Data'!B147))=0,Validate_Empty!B147&lt;&gt;"",Validate_Value!B147&lt;&gt;""),"",IF('Raw Data'!B147 = Condition!B147,"",_xlfn.REGEXEXTRACT(CELL("address",'Raw Data'!B147),"\$([A-Z]+)\$[0-9]+")))</f>
        <v/>
      </c>
      <c r="C147" s="7" t="str" cm="1">
        <f t="array" aca="1" ref="C147" ca="1">IF(OR('Raw Data'!C147="",LEN(TRIM('Raw Data'!C147))=0,Validate_Empty!C147&lt;&gt;"",Validate_Value!C147&lt;&gt;""),"",IF('Raw Data'!C147 = Condition!C147,"",_xlfn.REGEXEXTRACT(CELL("address",'Raw Data'!C147),"\$([A-Z]+)\$[0-9]+")))</f>
        <v/>
      </c>
      <c r="D147" s="7" t="str" cm="1">
        <f t="array" aca="1" ref="D147" ca="1">IF(OR('Raw Data'!D147="",LEN(TRIM('Raw Data'!D147))=0,Validate_Empty!D147&lt;&gt;"",Validate_Value!D147&lt;&gt;""),"",IF('Raw Data'!D147 = Condition!D147,"",_xlfn.REGEXEXTRACT(CELL("address",'Raw Data'!D147),"\$([A-Z]+)\$[0-9]+")))</f>
        <v/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2:22" x14ac:dyDescent="0.25">
      <c r="B148" s="7" t="str" cm="1">
        <f t="array" aca="1" ref="B148" ca="1">IF(OR('Raw Data'!B148="",LEN(TRIM('Raw Data'!B148))=0,Validate_Empty!B148&lt;&gt;"",Validate_Value!B148&lt;&gt;""),"",IF('Raw Data'!B148 = Condition!B148,"",_xlfn.REGEXEXTRACT(CELL("address",'Raw Data'!B148),"\$([A-Z]+)\$[0-9]+")))</f>
        <v/>
      </c>
      <c r="C148" s="7" t="str" cm="1">
        <f t="array" aca="1" ref="C148" ca="1">IF(OR('Raw Data'!C148="",LEN(TRIM('Raw Data'!C148))=0,Validate_Empty!C148&lt;&gt;"",Validate_Value!C148&lt;&gt;""),"",IF('Raw Data'!C148 = Condition!C148,"",_xlfn.REGEXEXTRACT(CELL("address",'Raw Data'!C148),"\$([A-Z]+)\$[0-9]+")))</f>
        <v/>
      </c>
      <c r="D148" s="7" t="str" cm="1">
        <f t="array" aca="1" ref="D148" ca="1">IF(OR('Raw Data'!D148="",LEN(TRIM('Raw Data'!D148))=0,Validate_Empty!D148&lt;&gt;"",Validate_Value!D148&lt;&gt;""),"",IF('Raw Data'!D148 = Condition!D148,"",_xlfn.REGEXEXTRACT(CELL("address",'Raw Data'!D148),"\$([A-Z]+)\$[0-9]+")))</f>
        <v/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2:22" x14ac:dyDescent="0.25">
      <c r="B149" s="7" t="str" cm="1">
        <f t="array" aca="1" ref="B149" ca="1">IF(OR('Raw Data'!B149="",LEN(TRIM('Raw Data'!B149))=0,Validate_Empty!B149&lt;&gt;"",Validate_Value!B149&lt;&gt;""),"",IF('Raw Data'!B149 = Condition!B149,"",_xlfn.REGEXEXTRACT(CELL("address",'Raw Data'!B149),"\$([A-Z]+)\$[0-9]+")))</f>
        <v/>
      </c>
      <c r="C149" s="7" t="str" cm="1">
        <f t="array" aca="1" ref="C149" ca="1">IF(OR('Raw Data'!C149="",LEN(TRIM('Raw Data'!C149))=0,Validate_Empty!C149&lt;&gt;"",Validate_Value!C149&lt;&gt;""),"",IF('Raw Data'!C149 = Condition!C149,"",_xlfn.REGEXEXTRACT(CELL("address",'Raw Data'!C149),"\$([A-Z]+)\$[0-9]+")))</f>
        <v/>
      </c>
      <c r="D149" s="7" t="str" cm="1">
        <f t="array" aca="1" ref="D149" ca="1">IF(OR('Raw Data'!D149="",LEN(TRIM('Raw Data'!D149))=0,Validate_Empty!D149&lt;&gt;"",Validate_Value!D149&lt;&gt;""),"",IF('Raw Data'!D149 = Condition!D149,"",_xlfn.REGEXEXTRACT(CELL("address",'Raw Data'!D149),"\$([A-Z]+)\$[0-9]+")))</f>
        <v/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2:22" x14ac:dyDescent="0.25">
      <c r="B150" s="7" t="str" cm="1">
        <f t="array" aca="1" ref="B150" ca="1">IF(OR('Raw Data'!B150="",LEN(TRIM('Raw Data'!B150))=0,Validate_Empty!B150&lt;&gt;"",Validate_Value!B150&lt;&gt;""),"",IF('Raw Data'!B150 = Condition!B150,"",_xlfn.REGEXEXTRACT(CELL("address",'Raw Data'!B150),"\$([A-Z]+)\$[0-9]+")))</f>
        <v/>
      </c>
      <c r="C150" s="7" t="str" cm="1">
        <f t="array" aca="1" ref="C150" ca="1">IF(OR('Raw Data'!C150="",LEN(TRIM('Raw Data'!C150))=0,Validate_Empty!C150&lt;&gt;"",Validate_Value!C150&lt;&gt;""),"",IF('Raw Data'!C150 = Condition!C150,"",_xlfn.REGEXEXTRACT(CELL("address",'Raw Data'!C150),"\$([A-Z]+)\$[0-9]+")))</f>
        <v/>
      </c>
      <c r="D150" s="7" t="str" cm="1">
        <f t="array" aca="1" ref="D150" ca="1">IF(OR('Raw Data'!D150="",LEN(TRIM('Raw Data'!D150))=0,Validate_Empty!D150&lt;&gt;"",Validate_Value!D150&lt;&gt;""),"",IF('Raw Data'!D150 = Condition!D150,"",_xlfn.REGEXEXTRACT(CELL("address",'Raw Data'!D150),"\$([A-Z]+)\$[0-9]+")))</f>
        <v/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2:22" x14ac:dyDescent="0.25">
      <c r="B151" s="7" t="str" cm="1">
        <f t="array" aca="1" ref="B151" ca="1">IF(OR('Raw Data'!B151="",LEN(TRIM('Raw Data'!B151))=0,Validate_Empty!B151&lt;&gt;"",Validate_Value!B151&lt;&gt;""),"",IF('Raw Data'!B151 = Condition!B151,"",_xlfn.REGEXEXTRACT(CELL("address",'Raw Data'!B151),"\$([A-Z]+)\$[0-9]+")))</f>
        <v/>
      </c>
      <c r="C151" s="7" t="str" cm="1">
        <f t="array" aca="1" ref="C151" ca="1">IF(OR('Raw Data'!C151="",LEN(TRIM('Raw Data'!C151))=0,Validate_Empty!C151&lt;&gt;"",Validate_Value!C151&lt;&gt;""),"",IF('Raw Data'!C151 = Condition!C151,"",_xlfn.REGEXEXTRACT(CELL("address",'Raw Data'!C151),"\$([A-Z]+)\$[0-9]+")))</f>
        <v/>
      </c>
      <c r="D151" s="7" t="str" cm="1">
        <f t="array" aca="1" ref="D151" ca="1">IF(OR('Raw Data'!D151="",LEN(TRIM('Raw Data'!D151))=0,Validate_Empty!D151&lt;&gt;"",Validate_Value!D151&lt;&gt;""),"",IF('Raw Data'!D151 = Condition!D151,"",_xlfn.REGEXEXTRACT(CELL("address",'Raw Data'!D151),"\$([A-Z]+)\$[0-9]+")))</f>
        <v/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2:22" x14ac:dyDescent="0.25">
      <c r="B152" s="7" t="str" cm="1">
        <f t="array" aca="1" ref="B152" ca="1">IF(OR('Raw Data'!B152="",LEN(TRIM('Raw Data'!B152))=0,Validate_Empty!B152&lt;&gt;"",Validate_Value!B152&lt;&gt;""),"",IF('Raw Data'!B152 = Condition!B152,"",_xlfn.REGEXEXTRACT(CELL("address",'Raw Data'!B152),"\$([A-Z]+)\$[0-9]+")))</f>
        <v/>
      </c>
      <c r="C152" s="7" t="str" cm="1">
        <f t="array" aca="1" ref="C152" ca="1">IF(OR('Raw Data'!C152="",LEN(TRIM('Raw Data'!C152))=0,Validate_Empty!C152&lt;&gt;"",Validate_Value!C152&lt;&gt;""),"",IF('Raw Data'!C152 = Condition!C152,"",_xlfn.REGEXEXTRACT(CELL("address",'Raw Data'!C152),"\$([A-Z]+)\$[0-9]+")))</f>
        <v/>
      </c>
      <c r="D152" s="7" t="str" cm="1">
        <f t="array" aca="1" ref="D152" ca="1">IF(OR('Raw Data'!D152="",LEN(TRIM('Raw Data'!D152))=0,Validate_Empty!D152&lt;&gt;"",Validate_Value!D152&lt;&gt;""),"",IF('Raw Data'!D152 = Condition!D152,"",_xlfn.REGEXEXTRACT(CELL("address",'Raw Data'!D152),"\$([A-Z]+)\$[0-9]+")))</f>
        <v/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2:22" x14ac:dyDescent="0.25">
      <c r="B153" s="7" t="str" cm="1">
        <f t="array" aca="1" ref="B153" ca="1">IF(OR('Raw Data'!B153="",LEN(TRIM('Raw Data'!B153))=0,Validate_Empty!B153&lt;&gt;"",Validate_Value!B153&lt;&gt;""),"",IF('Raw Data'!B153 = Condition!B153,"",_xlfn.REGEXEXTRACT(CELL("address",'Raw Data'!B153),"\$([A-Z]+)\$[0-9]+")))</f>
        <v/>
      </c>
      <c r="C153" s="7" t="str" cm="1">
        <f t="array" aca="1" ref="C153" ca="1">IF(OR('Raw Data'!C153="",LEN(TRIM('Raw Data'!C153))=0,Validate_Empty!C153&lt;&gt;"",Validate_Value!C153&lt;&gt;""),"",IF('Raw Data'!C153 = Condition!C153,"",_xlfn.REGEXEXTRACT(CELL("address",'Raw Data'!C153),"\$([A-Z]+)\$[0-9]+")))</f>
        <v/>
      </c>
      <c r="D153" s="7" t="str" cm="1">
        <f t="array" aca="1" ref="D153" ca="1">IF(OR('Raw Data'!D153="",LEN(TRIM('Raw Data'!D153))=0,Validate_Empty!D153&lt;&gt;"",Validate_Value!D153&lt;&gt;""),"",IF('Raw Data'!D153 = Condition!D153,"",_xlfn.REGEXEXTRACT(CELL("address",'Raw Data'!D153),"\$([A-Z]+)\$[0-9]+")))</f>
        <v/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2:22" x14ac:dyDescent="0.25">
      <c r="B154" s="7" t="str" cm="1">
        <f t="array" aca="1" ref="B154" ca="1">IF(OR('Raw Data'!B154="",LEN(TRIM('Raw Data'!B154))=0,Validate_Empty!B154&lt;&gt;"",Validate_Value!B154&lt;&gt;""),"",IF('Raw Data'!B154 = Condition!B154,"",_xlfn.REGEXEXTRACT(CELL("address",'Raw Data'!B154),"\$([A-Z]+)\$[0-9]+")))</f>
        <v/>
      </c>
      <c r="C154" s="7" t="str" cm="1">
        <f t="array" aca="1" ref="C154" ca="1">IF(OR('Raw Data'!C154="",LEN(TRIM('Raw Data'!C154))=0,Validate_Empty!C154&lt;&gt;"",Validate_Value!C154&lt;&gt;""),"",IF('Raw Data'!C154 = Condition!C154,"",_xlfn.REGEXEXTRACT(CELL("address",'Raw Data'!C154),"\$([A-Z]+)\$[0-9]+")))</f>
        <v/>
      </c>
      <c r="D154" s="7" t="str" cm="1">
        <f t="array" aca="1" ref="D154" ca="1">IF(OR('Raw Data'!D154="",LEN(TRIM('Raw Data'!D154))=0,Validate_Empty!D154&lt;&gt;"",Validate_Value!D154&lt;&gt;""),"",IF('Raw Data'!D154 = Condition!D154,"",_xlfn.REGEXEXTRACT(CELL("address",'Raw Data'!D154),"\$([A-Z]+)\$[0-9]+")))</f>
        <v/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2:22" x14ac:dyDescent="0.25">
      <c r="B155" s="7" t="str" cm="1">
        <f t="array" aca="1" ref="B155" ca="1">IF(OR('Raw Data'!B155="",LEN(TRIM('Raw Data'!B155))=0,Validate_Empty!B155&lt;&gt;"",Validate_Value!B155&lt;&gt;""),"",IF('Raw Data'!B155 = Condition!B155,"",_xlfn.REGEXEXTRACT(CELL("address",'Raw Data'!B155),"\$([A-Z]+)\$[0-9]+")))</f>
        <v/>
      </c>
      <c r="C155" s="7" t="str" cm="1">
        <f t="array" aca="1" ref="C155" ca="1">IF(OR('Raw Data'!C155="",LEN(TRIM('Raw Data'!C155))=0,Validate_Empty!C155&lt;&gt;"",Validate_Value!C155&lt;&gt;""),"",IF('Raw Data'!C155 = Condition!C155,"",_xlfn.REGEXEXTRACT(CELL("address",'Raw Data'!C155),"\$([A-Z]+)\$[0-9]+")))</f>
        <v/>
      </c>
      <c r="D155" s="7" t="str" cm="1">
        <f t="array" aca="1" ref="D155" ca="1">IF(OR('Raw Data'!D155="",LEN(TRIM('Raw Data'!D155))=0,Validate_Empty!D155&lt;&gt;"",Validate_Value!D155&lt;&gt;""),"",IF('Raw Data'!D155 = Condition!D155,"",_xlfn.REGEXEXTRACT(CELL("address",'Raw Data'!D155),"\$([A-Z]+)\$[0-9]+")))</f>
        <v/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2:22" x14ac:dyDescent="0.25">
      <c r="B156" s="7" t="str" cm="1">
        <f t="array" aca="1" ref="B156" ca="1">IF(OR('Raw Data'!B156="",LEN(TRIM('Raw Data'!B156))=0,Validate_Empty!B156&lt;&gt;"",Validate_Value!B156&lt;&gt;""),"",IF('Raw Data'!B156 = Condition!B156,"",_xlfn.REGEXEXTRACT(CELL("address",'Raw Data'!B156),"\$([A-Z]+)\$[0-9]+")))</f>
        <v/>
      </c>
      <c r="C156" s="7" t="str" cm="1">
        <f t="array" aca="1" ref="C156" ca="1">IF(OR('Raw Data'!C156="",LEN(TRIM('Raw Data'!C156))=0,Validate_Empty!C156&lt;&gt;"",Validate_Value!C156&lt;&gt;""),"",IF('Raw Data'!C156 = Condition!C156,"",_xlfn.REGEXEXTRACT(CELL("address",'Raw Data'!C156),"\$([A-Z]+)\$[0-9]+")))</f>
        <v/>
      </c>
      <c r="D156" s="7" t="str" cm="1">
        <f t="array" aca="1" ref="D156" ca="1">IF(OR('Raw Data'!D156="",LEN(TRIM('Raw Data'!D156))=0,Validate_Empty!D156&lt;&gt;"",Validate_Value!D156&lt;&gt;""),"",IF('Raw Data'!D156 = Condition!D156,"",_xlfn.REGEXEXTRACT(CELL("address",'Raw Data'!D156),"\$([A-Z]+)\$[0-9]+")))</f>
        <v/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2:22" x14ac:dyDescent="0.25">
      <c r="B157" s="7" t="str" cm="1">
        <f t="array" aca="1" ref="B157" ca="1">IF(OR('Raw Data'!B157="",LEN(TRIM('Raw Data'!B157))=0,Validate_Empty!B157&lt;&gt;"",Validate_Value!B157&lt;&gt;""),"",IF('Raw Data'!B157 = Condition!B157,"",_xlfn.REGEXEXTRACT(CELL("address",'Raw Data'!B157),"\$([A-Z]+)\$[0-9]+")))</f>
        <v/>
      </c>
      <c r="C157" s="7" t="str" cm="1">
        <f t="array" aca="1" ref="C157" ca="1">IF(OR('Raw Data'!C157="",LEN(TRIM('Raw Data'!C157))=0,Validate_Empty!C157&lt;&gt;"",Validate_Value!C157&lt;&gt;""),"",IF('Raw Data'!C157 = Condition!C157,"",_xlfn.REGEXEXTRACT(CELL("address",'Raw Data'!C157),"\$([A-Z]+)\$[0-9]+")))</f>
        <v/>
      </c>
      <c r="D157" s="7" t="str" cm="1">
        <f t="array" aca="1" ref="D157" ca="1">IF(OR('Raw Data'!D157="",LEN(TRIM('Raw Data'!D157))=0,Validate_Empty!D157&lt;&gt;"",Validate_Value!D157&lt;&gt;""),"",IF('Raw Data'!D157 = Condition!D157,"",_xlfn.REGEXEXTRACT(CELL("address",'Raw Data'!D157),"\$([A-Z]+)\$[0-9]+")))</f>
        <v/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2:22" x14ac:dyDescent="0.25">
      <c r="B158" s="7" t="str" cm="1">
        <f t="array" aca="1" ref="B158" ca="1">IF(OR('Raw Data'!B158="",LEN(TRIM('Raw Data'!B158))=0,Validate_Empty!B158&lt;&gt;"",Validate_Value!B158&lt;&gt;""),"",IF('Raw Data'!B158 = Condition!B158,"",_xlfn.REGEXEXTRACT(CELL("address",'Raw Data'!B158),"\$([A-Z]+)\$[0-9]+")))</f>
        <v/>
      </c>
      <c r="C158" s="7" t="str" cm="1">
        <f t="array" aca="1" ref="C158" ca="1">IF(OR('Raw Data'!C158="",LEN(TRIM('Raw Data'!C158))=0,Validate_Empty!C158&lt;&gt;"",Validate_Value!C158&lt;&gt;""),"",IF('Raw Data'!C158 = Condition!C158,"",_xlfn.REGEXEXTRACT(CELL("address",'Raw Data'!C158),"\$([A-Z]+)\$[0-9]+")))</f>
        <v/>
      </c>
      <c r="D158" s="7" t="str" cm="1">
        <f t="array" aca="1" ref="D158" ca="1">IF(OR('Raw Data'!D158="",LEN(TRIM('Raw Data'!D158))=0,Validate_Empty!D158&lt;&gt;"",Validate_Value!D158&lt;&gt;""),"",IF('Raw Data'!D158 = Condition!D158,"",_xlfn.REGEXEXTRACT(CELL("address",'Raw Data'!D158),"\$([A-Z]+)\$[0-9]+")))</f>
        <v/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2:22" x14ac:dyDescent="0.25">
      <c r="B159" s="7" t="str" cm="1">
        <f t="array" aca="1" ref="B159" ca="1">IF(OR('Raw Data'!B159="",LEN(TRIM('Raw Data'!B159))=0,Validate_Empty!B159&lt;&gt;"",Validate_Value!B159&lt;&gt;""),"",IF('Raw Data'!B159 = Condition!B159,"",_xlfn.REGEXEXTRACT(CELL("address",'Raw Data'!B159),"\$([A-Z]+)\$[0-9]+")))</f>
        <v/>
      </c>
      <c r="C159" s="7" t="str" cm="1">
        <f t="array" aca="1" ref="C159" ca="1">IF(OR('Raw Data'!C159="",LEN(TRIM('Raw Data'!C159))=0,Validate_Empty!C159&lt;&gt;"",Validate_Value!C159&lt;&gt;""),"",IF('Raw Data'!C159 = Condition!C159,"",_xlfn.REGEXEXTRACT(CELL("address",'Raw Data'!C159),"\$([A-Z]+)\$[0-9]+")))</f>
        <v/>
      </c>
      <c r="D159" s="7" t="str" cm="1">
        <f t="array" aca="1" ref="D159" ca="1">IF(OR('Raw Data'!D159="",LEN(TRIM('Raw Data'!D159))=0,Validate_Empty!D159&lt;&gt;"",Validate_Value!D159&lt;&gt;""),"",IF('Raw Data'!D159 = Condition!D159,"",_xlfn.REGEXEXTRACT(CELL("address",'Raw Data'!D159),"\$([A-Z]+)\$[0-9]+")))</f>
        <v/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2:22" x14ac:dyDescent="0.25">
      <c r="B160" s="7" t="str" cm="1">
        <f t="array" aca="1" ref="B160" ca="1">IF(OR('Raw Data'!B160="",LEN(TRIM('Raw Data'!B160))=0,Validate_Empty!B160&lt;&gt;"",Validate_Value!B160&lt;&gt;""),"",IF('Raw Data'!B160 = Condition!B160,"",_xlfn.REGEXEXTRACT(CELL("address",'Raw Data'!B160),"\$([A-Z]+)\$[0-9]+")))</f>
        <v/>
      </c>
      <c r="C160" s="7" t="str" cm="1">
        <f t="array" aca="1" ref="C160" ca="1">IF(OR('Raw Data'!C160="",LEN(TRIM('Raw Data'!C160))=0,Validate_Empty!C160&lt;&gt;"",Validate_Value!C160&lt;&gt;""),"",IF('Raw Data'!C160 = Condition!C160,"",_xlfn.REGEXEXTRACT(CELL("address",'Raw Data'!C160),"\$([A-Z]+)\$[0-9]+")))</f>
        <v/>
      </c>
      <c r="D160" s="7" t="str" cm="1">
        <f t="array" aca="1" ref="D160" ca="1">IF(OR('Raw Data'!D160="",LEN(TRIM('Raw Data'!D160))=0,Validate_Empty!D160&lt;&gt;"",Validate_Value!D160&lt;&gt;""),"",IF('Raw Data'!D160 = Condition!D160,"",_xlfn.REGEXEXTRACT(CELL("address",'Raw Data'!D160),"\$([A-Z]+)\$[0-9]+")))</f>
        <v/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2:22" x14ac:dyDescent="0.25">
      <c r="B161" s="7" t="str" cm="1">
        <f t="array" aca="1" ref="B161" ca="1">IF(OR('Raw Data'!B161="",LEN(TRIM('Raw Data'!B161))=0,Validate_Empty!B161&lt;&gt;"",Validate_Value!B161&lt;&gt;""),"",IF('Raw Data'!B161 = Condition!B161,"",_xlfn.REGEXEXTRACT(CELL("address",'Raw Data'!B161),"\$([A-Z]+)\$[0-9]+")))</f>
        <v/>
      </c>
      <c r="C161" s="7" t="str" cm="1">
        <f t="array" aca="1" ref="C161" ca="1">IF(OR('Raw Data'!C161="",LEN(TRIM('Raw Data'!C161))=0,Validate_Empty!C161&lt;&gt;"",Validate_Value!C161&lt;&gt;""),"",IF('Raw Data'!C161 = Condition!C161,"",_xlfn.REGEXEXTRACT(CELL("address",'Raw Data'!C161),"\$([A-Z]+)\$[0-9]+")))</f>
        <v/>
      </c>
      <c r="D161" s="7" t="str" cm="1">
        <f t="array" aca="1" ref="D161" ca="1">IF(OR('Raw Data'!D161="",LEN(TRIM('Raw Data'!D161))=0,Validate_Empty!D161&lt;&gt;"",Validate_Value!D161&lt;&gt;""),"",IF('Raw Data'!D161 = Condition!D161,"",_xlfn.REGEXEXTRACT(CELL("address",'Raw Data'!D161),"\$([A-Z]+)\$[0-9]+")))</f>
        <v/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2:22" x14ac:dyDescent="0.25">
      <c r="B162" s="7" t="str" cm="1">
        <f t="array" aca="1" ref="B162" ca="1">IF(OR('Raw Data'!B162="",LEN(TRIM('Raw Data'!B162))=0,Validate_Empty!B162&lt;&gt;"",Validate_Value!B162&lt;&gt;""),"",IF('Raw Data'!B162 = Condition!B162,"",_xlfn.REGEXEXTRACT(CELL("address",'Raw Data'!B162),"\$([A-Z]+)\$[0-9]+")))</f>
        <v/>
      </c>
      <c r="C162" s="7" t="str" cm="1">
        <f t="array" aca="1" ref="C162" ca="1">IF(OR('Raw Data'!C162="",LEN(TRIM('Raw Data'!C162))=0,Validate_Empty!C162&lt;&gt;"",Validate_Value!C162&lt;&gt;""),"",IF('Raw Data'!C162 = Condition!C162,"",_xlfn.REGEXEXTRACT(CELL("address",'Raw Data'!C162),"\$([A-Z]+)\$[0-9]+")))</f>
        <v/>
      </c>
      <c r="D162" s="7" t="str" cm="1">
        <f t="array" aca="1" ref="D162" ca="1">IF(OR('Raw Data'!D162="",LEN(TRIM('Raw Data'!D162))=0,Validate_Empty!D162&lt;&gt;"",Validate_Value!D162&lt;&gt;""),"",IF('Raw Data'!D162 = Condition!D162,"",_xlfn.REGEXEXTRACT(CELL("address",'Raw Data'!D162),"\$([A-Z]+)\$[0-9]+")))</f>
        <v/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2:22" x14ac:dyDescent="0.25">
      <c r="B163" s="7" t="str" cm="1">
        <f t="array" aca="1" ref="B163" ca="1">IF(OR('Raw Data'!B163="",LEN(TRIM('Raw Data'!B163))=0,Validate_Empty!B163&lt;&gt;"",Validate_Value!B163&lt;&gt;""),"",IF('Raw Data'!B163 = Condition!B163,"",_xlfn.REGEXEXTRACT(CELL("address",'Raw Data'!B163),"\$([A-Z]+)\$[0-9]+")))</f>
        <v/>
      </c>
      <c r="C163" s="7" t="str" cm="1">
        <f t="array" aca="1" ref="C163" ca="1">IF(OR('Raw Data'!C163="",LEN(TRIM('Raw Data'!C163))=0,Validate_Empty!C163&lt;&gt;"",Validate_Value!C163&lt;&gt;""),"",IF('Raw Data'!C163 = Condition!C163,"",_xlfn.REGEXEXTRACT(CELL("address",'Raw Data'!C163),"\$([A-Z]+)\$[0-9]+")))</f>
        <v/>
      </c>
      <c r="D163" s="7" t="str" cm="1">
        <f t="array" aca="1" ref="D163" ca="1">IF(OR('Raw Data'!D163="",LEN(TRIM('Raw Data'!D163))=0,Validate_Empty!D163&lt;&gt;"",Validate_Value!D163&lt;&gt;""),"",IF('Raw Data'!D163 = Condition!D163,"",_xlfn.REGEXEXTRACT(CELL("address",'Raw Data'!D163),"\$([A-Z]+)\$[0-9]+")))</f>
        <v/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2:22" x14ac:dyDescent="0.25">
      <c r="B164" s="7" t="str" cm="1">
        <f t="array" aca="1" ref="B164" ca="1">IF(OR('Raw Data'!B164="",LEN(TRIM('Raw Data'!B164))=0,Validate_Empty!B164&lt;&gt;"",Validate_Value!B164&lt;&gt;""),"",IF('Raw Data'!B164 = Condition!B164,"",_xlfn.REGEXEXTRACT(CELL("address",'Raw Data'!B164),"\$([A-Z]+)\$[0-9]+")))</f>
        <v/>
      </c>
      <c r="C164" s="7" t="str" cm="1">
        <f t="array" aca="1" ref="C164" ca="1">IF(OR('Raw Data'!C164="",LEN(TRIM('Raw Data'!C164))=0,Validate_Empty!C164&lt;&gt;"",Validate_Value!C164&lt;&gt;""),"",IF('Raw Data'!C164 = Condition!C164,"",_xlfn.REGEXEXTRACT(CELL("address",'Raw Data'!C164),"\$([A-Z]+)\$[0-9]+")))</f>
        <v/>
      </c>
      <c r="D164" s="7" t="str" cm="1">
        <f t="array" aca="1" ref="D164" ca="1">IF(OR('Raw Data'!D164="",LEN(TRIM('Raw Data'!D164))=0,Validate_Empty!D164&lt;&gt;"",Validate_Value!D164&lt;&gt;""),"",IF('Raw Data'!D164 = Condition!D164,"",_xlfn.REGEXEXTRACT(CELL("address",'Raw Data'!D164),"\$([A-Z]+)\$[0-9]+")))</f>
        <v/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2:22" x14ac:dyDescent="0.25">
      <c r="B165" s="7" t="str" cm="1">
        <f t="array" aca="1" ref="B165" ca="1">IF(OR('Raw Data'!B165="",LEN(TRIM('Raw Data'!B165))=0,Validate_Empty!B165&lt;&gt;"",Validate_Value!B165&lt;&gt;""),"",IF('Raw Data'!B165 = Condition!B165,"",_xlfn.REGEXEXTRACT(CELL("address",'Raw Data'!B165),"\$([A-Z]+)\$[0-9]+")))</f>
        <v/>
      </c>
      <c r="C165" s="7" t="str" cm="1">
        <f t="array" aca="1" ref="C165" ca="1">IF(OR('Raw Data'!C165="",LEN(TRIM('Raw Data'!C165))=0,Validate_Empty!C165&lt;&gt;"",Validate_Value!C165&lt;&gt;""),"",IF('Raw Data'!C165 = Condition!C165,"",_xlfn.REGEXEXTRACT(CELL("address",'Raw Data'!C165),"\$([A-Z]+)\$[0-9]+")))</f>
        <v/>
      </c>
      <c r="D165" s="7" t="str" cm="1">
        <f t="array" aca="1" ref="D165" ca="1">IF(OR('Raw Data'!D165="",LEN(TRIM('Raw Data'!D165))=0,Validate_Empty!D165&lt;&gt;"",Validate_Value!D165&lt;&gt;""),"",IF('Raw Data'!D165 = Condition!D165,"",_xlfn.REGEXEXTRACT(CELL("address",'Raw Data'!D165),"\$([A-Z]+)\$[0-9]+")))</f>
        <v/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2:22" x14ac:dyDescent="0.25">
      <c r="B166" s="7" t="str" cm="1">
        <f t="array" aca="1" ref="B166" ca="1">IF(OR('Raw Data'!B166="",LEN(TRIM('Raw Data'!B166))=0,Validate_Empty!B166&lt;&gt;"",Validate_Value!B166&lt;&gt;""),"",IF('Raw Data'!B166 = Condition!B166,"",_xlfn.REGEXEXTRACT(CELL("address",'Raw Data'!B166),"\$([A-Z]+)\$[0-9]+")))</f>
        <v/>
      </c>
      <c r="C166" s="7" t="str" cm="1">
        <f t="array" aca="1" ref="C166" ca="1">IF(OR('Raw Data'!C166="",LEN(TRIM('Raw Data'!C166))=0,Validate_Empty!C166&lt;&gt;"",Validate_Value!C166&lt;&gt;""),"",IF('Raw Data'!C166 = Condition!C166,"",_xlfn.REGEXEXTRACT(CELL("address",'Raw Data'!C166),"\$([A-Z]+)\$[0-9]+")))</f>
        <v/>
      </c>
      <c r="D166" s="7" t="str" cm="1">
        <f t="array" aca="1" ref="D166" ca="1">IF(OR('Raw Data'!D166="",LEN(TRIM('Raw Data'!D166))=0,Validate_Empty!D166&lt;&gt;"",Validate_Value!D166&lt;&gt;""),"",IF('Raw Data'!D166 = Condition!D166,"",_xlfn.REGEXEXTRACT(CELL("address",'Raw Data'!D166),"\$([A-Z]+)\$[0-9]+")))</f>
        <v/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2:22" x14ac:dyDescent="0.25">
      <c r="B167" s="7" t="str" cm="1">
        <f t="array" aca="1" ref="B167" ca="1">IF(OR('Raw Data'!B167="",LEN(TRIM('Raw Data'!B167))=0,Validate_Empty!B167&lt;&gt;"",Validate_Value!B167&lt;&gt;""),"",IF('Raw Data'!B167 = Condition!B167,"",_xlfn.REGEXEXTRACT(CELL("address",'Raw Data'!B167),"\$([A-Z]+)\$[0-9]+")))</f>
        <v/>
      </c>
      <c r="C167" s="7" t="str" cm="1">
        <f t="array" aca="1" ref="C167" ca="1">IF(OR('Raw Data'!C167="",LEN(TRIM('Raw Data'!C167))=0,Validate_Empty!C167&lt;&gt;"",Validate_Value!C167&lt;&gt;""),"",IF('Raw Data'!C167 = Condition!C167,"",_xlfn.REGEXEXTRACT(CELL("address",'Raw Data'!C167),"\$([A-Z]+)\$[0-9]+")))</f>
        <v/>
      </c>
      <c r="D167" s="7" t="str" cm="1">
        <f t="array" aca="1" ref="D167" ca="1">IF(OR('Raw Data'!D167="",LEN(TRIM('Raw Data'!D167))=0,Validate_Empty!D167&lt;&gt;"",Validate_Value!D167&lt;&gt;""),"",IF('Raw Data'!D167 = Condition!D167,"",_xlfn.REGEXEXTRACT(CELL("address",'Raw Data'!D167),"\$([A-Z]+)\$[0-9]+")))</f>
        <v/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2:22" x14ac:dyDescent="0.25">
      <c r="B168" s="7" t="str" cm="1">
        <f t="array" aca="1" ref="B168" ca="1">IF(OR('Raw Data'!B168="",LEN(TRIM('Raw Data'!B168))=0,Validate_Empty!B168&lt;&gt;"",Validate_Value!B168&lt;&gt;""),"",IF('Raw Data'!B168 = Condition!B168,"",_xlfn.REGEXEXTRACT(CELL("address",'Raw Data'!B168),"\$([A-Z]+)\$[0-9]+")))</f>
        <v/>
      </c>
      <c r="C168" s="7" t="str" cm="1">
        <f t="array" aca="1" ref="C168" ca="1">IF(OR('Raw Data'!C168="",LEN(TRIM('Raw Data'!C168))=0,Validate_Empty!C168&lt;&gt;"",Validate_Value!C168&lt;&gt;""),"",IF('Raw Data'!C168 = Condition!C168,"",_xlfn.REGEXEXTRACT(CELL("address",'Raw Data'!C168),"\$([A-Z]+)\$[0-9]+")))</f>
        <v/>
      </c>
      <c r="D168" s="7" t="str" cm="1">
        <f t="array" aca="1" ref="D168" ca="1">IF(OR('Raw Data'!D168="",LEN(TRIM('Raw Data'!D168))=0,Validate_Empty!D168&lt;&gt;"",Validate_Value!D168&lt;&gt;""),"",IF('Raw Data'!D168 = Condition!D168,"",_xlfn.REGEXEXTRACT(CELL("address",'Raw Data'!D168),"\$([A-Z]+)\$[0-9]+")))</f>
        <v/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2:22" x14ac:dyDescent="0.25">
      <c r="B169" s="7" t="str" cm="1">
        <f t="array" aca="1" ref="B169" ca="1">IF(OR('Raw Data'!B169="",LEN(TRIM('Raw Data'!B169))=0,Validate_Empty!B169&lt;&gt;"",Validate_Value!B169&lt;&gt;""),"",IF('Raw Data'!B169 = Condition!B169,"",_xlfn.REGEXEXTRACT(CELL("address",'Raw Data'!B169),"\$([A-Z]+)\$[0-9]+")))</f>
        <v/>
      </c>
      <c r="C169" s="7" t="str" cm="1">
        <f t="array" aca="1" ref="C169" ca="1">IF(OR('Raw Data'!C169="",LEN(TRIM('Raw Data'!C169))=0,Validate_Empty!C169&lt;&gt;"",Validate_Value!C169&lt;&gt;""),"",IF('Raw Data'!C169 = Condition!C169,"",_xlfn.REGEXEXTRACT(CELL("address",'Raw Data'!C169),"\$([A-Z]+)\$[0-9]+")))</f>
        <v/>
      </c>
      <c r="D169" s="7" t="str" cm="1">
        <f t="array" aca="1" ref="D169" ca="1">IF(OR('Raw Data'!D169="",LEN(TRIM('Raw Data'!D169))=0,Validate_Empty!D169&lt;&gt;"",Validate_Value!D169&lt;&gt;""),"",IF('Raw Data'!D169 = Condition!D169,"",_xlfn.REGEXEXTRACT(CELL("address",'Raw Data'!D169),"\$([A-Z]+)\$[0-9]+")))</f>
        <v/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2:22" x14ac:dyDescent="0.25">
      <c r="B170" s="7" t="str" cm="1">
        <f t="array" aca="1" ref="B170" ca="1">IF(OR('Raw Data'!B170="",LEN(TRIM('Raw Data'!B170))=0,Validate_Empty!B170&lt;&gt;"",Validate_Value!B170&lt;&gt;""),"",IF('Raw Data'!B170 = Condition!B170,"",_xlfn.REGEXEXTRACT(CELL("address",'Raw Data'!B170),"\$([A-Z]+)\$[0-9]+")))</f>
        <v/>
      </c>
      <c r="C170" s="7" t="str" cm="1">
        <f t="array" aca="1" ref="C170" ca="1">IF(OR('Raw Data'!C170="",LEN(TRIM('Raw Data'!C170))=0,Validate_Empty!C170&lt;&gt;"",Validate_Value!C170&lt;&gt;""),"",IF('Raw Data'!C170 = Condition!C170,"",_xlfn.REGEXEXTRACT(CELL("address",'Raw Data'!C170),"\$([A-Z]+)\$[0-9]+")))</f>
        <v/>
      </c>
      <c r="D170" s="7" t="str" cm="1">
        <f t="array" aca="1" ref="D170" ca="1">IF(OR('Raw Data'!D170="",LEN(TRIM('Raw Data'!D170))=0,Validate_Empty!D170&lt;&gt;"",Validate_Value!D170&lt;&gt;""),"",IF('Raw Data'!D170 = Condition!D170,"",_xlfn.REGEXEXTRACT(CELL("address",'Raw Data'!D170),"\$([A-Z]+)\$[0-9]+")))</f>
        <v/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2:22" x14ac:dyDescent="0.25">
      <c r="B171" s="7" t="str" cm="1">
        <f t="array" aca="1" ref="B171" ca="1">IF(OR('Raw Data'!B171="",LEN(TRIM('Raw Data'!B171))=0,Validate_Empty!B171&lt;&gt;"",Validate_Value!B171&lt;&gt;""),"",IF('Raw Data'!B171 = Condition!B171,"",_xlfn.REGEXEXTRACT(CELL("address",'Raw Data'!B171),"\$([A-Z]+)\$[0-9]+")))</f>
        <v/>
      </c>
      <c r="C171" s="7" t="str" cm="1">
        <f t="array" aca="1" ref="C171" ca="1">IF(OR('Raw Data'!C171="",LEN(TRIM('Raw Data'!C171))=0,Validate_Empty!C171&lt;&gt;"",Validate_Value!C171&lt;&gt;""),"",IF('Raw Data'!C171 = Condition!C171,"",_xlfn.REGEXEXTRACT(CELL("address",'Raw Data'!C171),"\$([A-Z]+)\$[0-9]+")))</f>
        <v/>
      </c>
      <c r="D171" s="7" t="str" cm="1">
        <f t="array" aca="1" ref="D171" ca="1">IF(OR('Raw Data'!D171="",LEN(TRIM('Raw Data'!D171))=0,Validate_Empty!D171&lt;&gt;"",Validate_Value!D171&lt;&gt;""),"",IF('Raw Data'!D171 = Condition!D171,"",_xlfn.REGEXEXTRACT(CELL("address",'Raw Data'!D171),"\$([A-Z]+)\$[0-9]+")))</f>
        <v/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2:22" x14ac:dyDescent="0.25">
      <c r="B172" s="7" t="str" cm="1">
        <f t="array" aca="1" ref="B172" ca="1">IF(OR('Raw Data'!B172="",LEN(TRIM('Raw Data'!B172))=0,Validate_Empty!B172&lt;&gt;"",Validate_Value!B172&lt;&gt;""),"",IF('Raw Data'!B172 = Condition!B172,"",_xlfn.REGEXEXTRACT(CELL("address",'Raw Data'!B172),"\$([A-Z]+)\$[0-9]+")))</f>
        <v/>
      </c>
      <c r="C172" s="7" t="str" cm="1">
        <f t="array" aca="1" ref="C172" ca="1">IF(OR('Raw Data'!C172="",LEN(TRIM('Raw Data'!C172))=0,Validate_Empty!C172&lt;&gt;"",Validate_Value!C172&lt;&gt;""),"",IF('Raw Data'!C172 = Condition!C172,"",_xlfn.REGEXEXTRACT(CELL("address",'Raw Data'!C172),"\$([A-Z]+)\$[0-9]+")))</f>
        <v/>
      </c>
      <c r="D172" s="7" t="str" cm="1">
        <f t="array" aca="1" ref="D172" ca="1">IF(OR('Raw Data'!D172="",LEN(TRIM('Raw Data'!D172))=0,Validate_Empty!D172&lt;&gt;"",Validate_Value!D172&lt;&gt;""),"",IF('Raw Data'!D172 = Condition!D172,"",_xlfn.REGEXEXTRACT(CELL("address",'Raw Data'!D172),"\$([A-Z]+)\$[0-9]+")))</f>
        <v/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2:22" x14ac:dyDescent="0.25">
      <c r="B173" s="7" t="str" cm="1">
        <f t="array" aca="1" ref="B173" ca="1">IF(OR('Raw Data'!B173="",LEN(TRIM('Raw Data'!B173))=0,Validate_Empty!B173&lt;&gt;"",Validate_Value!B173&lt;&gt;""),"",IF('Raw Data'!B173 = Condition!B173,"",_xlfn.REGEXEXTRACT(CELL("address",'Raw Data'!B173),"\$([A-Z]+)\$[0-9]+")))</f>
        <v/>
      </c>
      <c r="C173" s="7" t="str" cm="1">
        <f t="array" aca="1" ref="C173" ca="1">IF(OR('Raw Data'!C173="",LEN(TRIM('Raw Data'!C173))=0,Validate_Empty!C173&lt;&gt;"",Validate_Value!C173&lt;&gt;""),"",IF('Raw Data'!C173 = Condition!C173,"",_xlfn.REGEXEXTRACT(CELL("address",'Raw Data'!C173),"\$([A-Z]+)\$[0-9]+")))</f>
        <v/>
      </c>
      <c r="D173" s="7" t="str" cm="1">
        <f t="array" aca="1" ref="D173" ca="1">IF(OR('Raw Data'!D173="",LEN(TRIM('Raw Data'!D173))=0,Validate_Empty!D173&lt;&gt;"",Validate_Value!D173&lt;&gt;""),"",IF('Raw Data'!D173 = Condition!D173,"",_xlfn.REGEXEXTRACT(CELL("address",'Raw Data'!D173),"\$([A-Z]+)\$[0-9]+")))</f>
        <v/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2:22" x14ac:dyDescent="0.25">
      <c r="B174" s="7" t="str" cm="1">
        <f t="array" aca="1" ref="B174" ca="1">IF(OR('Raw Data'!B174="",LEN(TRIM('Raw Data'!B174))=0,Validate_Empty!B174&lt;&gt;"",Validate_Value!B174&lt;&gt;""),"",IF('Raw Data'!B174 = Condition!B174,"",_xlfn.REGEXEXTRACT(CELL("address",'Raw Data'!B174),"\$([A-Z]+)\$[0-9]+")))</f>
        <v/>
      </c>
      <c r="C174" s="7" t="str" cm="1">
        <f t="array" aca="1" ref="C174" ca="1">IF(OR('Raw Data'!C174="",LEN(TRIM('Raw Data'!C174))=0,Validate_Empty!C174&lt;&gt;"",Validate_Value!C174&lt;&gt;""),"",IF('Raw Data'!C174 = Condition!C174,"",_xlfn.REGEXEXTRACT(CELL("address",'Raw Data'!C174),"\$([A-Z]+)\$[0-9]+")))</f>
        <v/>
      </c>
      <c r="D174" s="7" t="str" cm="1">
        <f t="array" aca="1" ref="D174" ca="1">IF(OR('Raw Data'!D174="",LEN(TRIM('Raw Data'!D174))=0,Validate_Empty!D174&lt;&gt;"",Validate_Value!D174&lt;&gt;""),"",IF('Raw Data'!D174 = Condition!D174,"",_xlfn.REGEXEXTRACT(CELL("address",'Raw Data'!D174),"\$([A-Z]+)\$[0-9]+")))</f>
        <v/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2:22" x14ac:dyDescent="0.25">
      <c r="B175" s="7" t="str" cm="1">
        <f t="array" aca="1" ref="B175" ca="1">IF(OR('Raw Data'!B175="",LEN(TRIM('Raw Data'!B175))=0,Validate_Empty!B175&lt;&gt;"",Validate_Value!B175&lt;&gt;""),"",IF('Raw Data'!B175 = Condition!B175,"",_xlfn.REGEXEXTRACT(CELL("address",'Raw Data'!B175),"\$([A-Z]+)\$[0-9]+")))</f>
        <v/>
      </c>
      <c r="C175" s="7" t="str" cm="1">
        <f t="array" aca="1" ref="C175" ca="1">IF(OR('Raw Data'!C175="",LEN(TRIM('Raw Data'!C175))=0,Validate_Empty!C175&lt;&gt;"",Validate_Value!C175&lt;&gt;""),"",IF('Raw Data'!C175 = Condition!C175,"",_xlfn.REGEXEXTRACT(CELL("address",'Raw Data'!C175),"\$([A-Z]+)\$[0-9]+")))</f>
        <v/>
      </c>
      <c r="D175" s="7" t="str" cm="1">
        <f t="array" aca="1" ref="D175" ca="1">IF(OR('Raw Data'!D175="",LEN(TRIM('Raw Data'!D175))=0,Validate_Empty!D175&lt;&gt;"",Validate_Value!D175&lt;&gt;""),"",IF('Raw Data'!D175 = Condition!D175,"",_xlfn.REGEXEXTRACT(CELL("address",'Raw Data'!D175),"\$([A-Z]+)\$[0-9]+")))</f>
        <v/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2:22" x14ac:dyDescent="0.25">
      <c r="B176" s="7" t="str" cm="1">
        <f t="array" aca="1" ref="B176" ca="1">IF(OR('Raw Data'!B176="",LEN(TRIM('Raw Data'!B176))=0,Validate_Empty!B176&lt;&gt;"",Validate_Value!B176&lt;&gt;""),"",IF('Raw Data'!B176 = Condition!B176,"",_xlfn.REGEXEXTRACT(CELL("address",'Raw Data'!B176),"\$([A-Z]+)\$[0-9]+")))</f>
        <v/>
      </c>
      <c r="C176" s="7" t="str" cm="1">
        <f t="array" aca="1" ref="C176" ca="1">IF(OR('Raw Data'!C176="",LEN(TRIM('Raw Data'!C176))=0,Validate_Empty!C176&lt;&gt;"",Validate_Value!C176&lt;&gt;""),"",IF('Raw Data'!C176 = Condition!C176,"",_xlfn.REGEXEXTRACT(CELL("address",'Raw Data'!C176),"\$([A-Z]+)\$[0-9]+")))</f>
        <v/>
      </c>
      <c r="D176" s="7" t="str" cm="1">
        <f t="array" aca="1" ref="D176" ca="1">IF(OR('Raw Data'!D176="",LEN(TRIM('Raw Data'!D176))=0,Validate_Empty!D176&lt;&gt;"",Validate_Value!D176&lt;&gt;""),"",IF('Raw Data'!D176 = Condition!D176,"",_xlfn.REGEXEXTRACT(CELL("address",'Raw Data'!D176),"\$([A-Z]+)\$[0-9]+")))</f>
        <v/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2:22" x14ac:dyDescent="0.25">
      <c r="B177" s="7" t="str" cm="1">
        <f t="array" aca="1" ref="B177" ca="1">IF(OR('Raw Data'!B177="",LEN(TRIM('Raw Data'!B177))=0,Validate_Empty!B177&lt;&gt;"",Validate_Value!B177&lt;&gt;""),"",IF('Raw Data'!B177 = Condition!B177,"",_xlfn.REGEXEXTRACT(CELL("address",'Raw Data'!B177),"\$([A-Z]+)\$[0-9]+")))</f>
        <v/>
      </c>
      <c r="C177" s="7" t="str" cm="1">
        <f t="array" aca="1" ref="C177" ca="1">IF(OR('Raw Data'!C177="",LEN(TRIM('Raw Data'!C177))=0,Validate_Empty!C177&lt;&gt;"",Validate_Value!C177&lt;&gt;""),"",IF('Raw Data'!C177 = Condition!C177,"",_xlfn.REGEXEXTRACT(CELL("address",'Raw Data'!C177),"\$([A-Z]+)\$[0-9]+")))</f>
        <v/>
      </c>
      <c r="D177" s="7" t="str" cm="1">
        <f t="array" aca="1" ref="D177" ca="1">IF(OR('Raw Data'!D177="",LEN(TRIM('Raw Data'!D177))=0,Validate_Empty!D177&lt;&gt;"",Validate_Value!D177&lt;&gt;""),"",IF('Raw Data'!D177 = Condition!D177,"",_xlfn.REGEXEXTRACT(CELL("address",'Raw Data'!D177),"\$([A-Z]+)\$[0-9]+")))</f>
        <v/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2:22" x14ac:dyDescent="0.25">
      <c r="B178" s="7" t="str" cm="1">
        <f t="array" aca="1" ref="B178" ca="1">IF(OR('Raw Data'!B178="",LEN(TRIM('Raw Data'!B178))=0,Validate_Empty!B178&lt;&gt;"",Validate_Value!B178&lt;&gt;""),"",IF('Raw Data'!B178 = Condition!B178,"",_xlfn.REGEXEXTRACT(CELL("address",'Raw Data'!B178),"\$([A-Z]+)\$[0-9]+")))</f>
        <v/>
      </c>
      <c r="C178" s="7" t="str" cm="1">
        <f t="array" aca="1" ref="C178" ca="1">IF(OR('Raw Data'!C178="",LEN(TRIM('Raw Data'!C178))=0,Validate_Empty!C178&lt;&gt;"",Validate_Value!C178&lt;&gt;""),"",IF('Raw Data'!C178 = Condition!C178,"",_xlfn.REGEXEXTRACT(CELL("address",'Raw Data'!C178),"\$([A-Z]+)\$[0-9]+")))</f>
        <v/>
      </c>
      <c r="D178" s="7" t="str" cm="1">
        <f t="array" aca="1" ref="D178" ca="1">IF(OR('Raw Data'!D178="",LEN(TRIM('Raw Data'!D178))=0,Validate_Empty!D178&lt;&gt;"",Validate_Value!D178&lt;&gt;""),"",IF('Raw Data'!D178 = Condition!D178,"",_xlfn.REGEXEXTRACT(CELL("address",'Raw Data'!D178),"\$([A-Z]+)\$[0-9]+")))</f>
        <v/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2:22" x14ac:dyDescent="0.25">
      <c r="B179" s="7" t="str" cm="1">
        <f t="array" aca="1" ref="B179" ca="1">IF(OR('Raw Data'!B179="",LEN(TRIM('Raw Data'!B179))=0,Validate_Empty!B179&lt;&gt;"",Validate_Value!B179&lt;&gt;""),"",IF('Raw Data'!B179 = Condition!B179,"",_xlfn.REGEXEXTRACT(CELL("address",'Raw Data'!B179),"\$([A-Z]+)\$[0-9]+")))</f>
        <v/>
      </c>
      <c r="C179" s="7" t="str" cm="1">
        <f t="array" aca="1" ref="C179" ca="1">IF(OR('Raw Data'!C179="",LEN(TRIM('Raw Data'!C179))=0,Validate_Empty!C179&lt;&gt;"",Validate_Value!C179&lt;&gt;""),"",IF('Raw Data'!C179 = Condition!C179,"",_xlfn.REGEXEXTRACT(CELL("address",'Raw Data'!C179),"\$([A-Z]+)\$[0-9]+")))</f>
        <v/>
      </c>
      <c r="D179" s="7" t="str" cm="1">
        <f t="array" aca="1" ref="D179" ca="1">IF(OR('Raw Data'!D179="",LEN(TRIM('Raw Data'!D179))=0,Validate_Empty!D179&lt;&gt;"",Validate_Value!D179&lt;&gt;""),"",IF('Raw Data'!D179 = Condition!D179,"",_xlfn.REGEXEXTRACT(CELL("address",'Raw Data'!D179),"\$([A-Z]+)\$[0-9]+")))</f>
        <v/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2:22" x14ac:dyDescent="0.25">
      <c r="B180" s="7" t="str" cm="1">
        <f t="array" aca="1" ref="B180" ca="1">IF(OR('Raw Data'!B180="",LEN(TRIM('Raw Data'!B180))=0,Validate_Empty!B180&lt;&gt;"",Validate_Value!B180&lt;&gt;""),"",IF('Raw Data'!B180 = Condition!B180,"",_xlfn.REGEXEXTRACT(CELL("address",'Raw Data'!B180),"\$([A-Z]+)\$[0-9]+")))</f>
        <v/>
      </c>
      <c r="C180" s="7" t="str" cm="1">
        <f t="array" aca="1" ref="C180" ca="1">IF(OR('Raw Data'!C180="",LEN(TRIM('Raw Data'!C180))=0,Validate_Empty!C180&lt;&gt;"",Validate_Value!C180&lt;&gt;""),"",IF('Raw Data'!C180 = Condition!C180,"",_xlfn.REGEXEXTRACT(CELL("address",'Raw Data'!C180),"\$([A-Z]+)\$[0-9]+")))</f>
        <v/>
      </c>
      <c r="D180" s="7" t="str" cm="1">
        <f t="array" aca="1" ref="D180" ca="1">IF(OR('Raw Data'!D180="",LEN(TRIM('Raw Data'!D180))=0,Validate_Empty!D180&lt;&gt;"",Validate_Value!D180&lt;&gt;""),"",IF('Raw Data'!D180 = Condition!D180,"",_xlfn.REGEXEXTRACT(CELL("address",'Raw Data'!D180),"\$([A-Z]+)\$[0-9]+")))</f>
        <v/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2:22" x14ac:dyDescent="0.25">
      <c r="B181" s="7" t="str" cm="1">
        <f t="array" aca="1" ref="B181" ca="1">IF(OR('Raw Data'!B181="",LEN(TRIM('Raw Data'!B181))=0,Validate_Empty!B181&lt;&gt;"",Validate_Value!B181&lt;&gt;""),"",IF('Raw Data'!B181 = Condition!B181,"",_xlfn.REGEXEXTRACT(CELL("address",'Raw Data'!B181),"\$([A-Z]+)\$[0-9]+")))</f>
        <v/>
      </c>
      <c r="C181" s="7" t="str" cm="1">
        <f t="array" aca="1" ref="C181" ca="1">IF(OR('Raw Data'!C181="",LEN(TRIM('Raw Data'!C181))=0,Validate_Empty!C181&lt;&gt;"",Validate_Value!C181&lt;&gt;""),"",IF('Raw Data'!C181 = Condition!C181,"",_xlfn.REGEXEXTRACT(CELL("address",'Raw Data'!C181),"\$([A-Z]+)\$[0-9]+")))</f>
        <v/>
      </c>
      <c r="D181" s="7" t="str" cm="1">
        <f t="array" aca="1" ref="D181" ca="1">IF(OR('Raw Data'!D181="",LEN(TRIM('Raw Data'!D181))=0,Validate_Empty!D181&lt;&gt;"",Validate_Value!D181&lt;&gt;""),"",IF('Raw Data'!D181 = Condition!D181,"",_xlfn.REGEXEXTRACT(CELL("address",'Raw Data'!D181),"\$([A-Z]+)\$[0-9]+")))</f>
        <v/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2:22" x14ac:dyDescent="0.25">
      <c r="B182" s="7" t="str" cm="1">
        <f t="array" aca="1" ref="B182" ca="1">IF(OR('Raw Data'!B182="",LEN(TRIM('Raw Data'!B182))=0,Validate_Empty!B182&lt;&gt;"",Validate_Value!B182&lt;&gt;""),"",IF('Raw Data'!B182 = Condition!B182,"",_xlfn.REGEXEXTRACT(CELL("address",'Raw Data'!B182),"\$([A-Z]+)\$[0-9]+")))</f>
        <v/>
      </c>
      <c r="C182" s="7" t="str" cm="1">
        <f t="array" aca="1" ref="C182" ca="1">IF(OR('Raw Data'!C182="",LEN(TRIM('Raw Data'!C182))=0,Validate_Empty!C182&lt;&gt;"",Validate_Value!C182&lt;&gt;""),"",IF('Raw Data'!C182 = Condition!C182,"",_xlfn.REGEXEXTRACT(CELL("address",'Raw Data'!C182),"\$([A-Z]+)\$[0-9]+")))</f>
        <v/>
      </c>
      <c r="D182" s="7" t="str" cm="1">
        <f t="array" aca="1" ref="D182" ca="1">IF(OR('Raw Data'!D182="",LEN(TRIM('Raw Data'!D182))=0,Validate_Empty!D182&lt;&gt;"",Validate_Value!D182&lt;&gt;""),"",IF('Raw Data'!D182 = Condition!D182,"",_xlfn.REGEXEXTRACT(CELL("address",'Raw Data'!D182),"\$([A-Z]+)\$[0-9]+")))</f>
        <v/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2:22" x14ac:dyDescent="0.25">
      <c r="B183" s="7" t="str" cm="1">
        <f t="array" aca="1" ref="B183" ca="1">IF(OR('Raw Data'!B183="",LEN(TRIM('Raw Data'!B183))=0,Validate_Empty!B183&lt;&gt;"",Validate_Value!B183&lt;&gt;""),"",IF('Raw Data'!B183 = Condition!B183,"",_xlfn.REGEXEXTRACT(CELL("address",'Raw Data'!B183),"\$([A-Z]+)\$[0-9]+")))</f>
        <v/>
      </c>
      <c r="C183" s="7" t="str" cm="1">
        <f t="array" aca="1" ref="C183" ca="1">IF(OR('Raw Data'!C183="",LEN(TRIM('Raw Data'!C183))=0,Validate_Empty!C183&lt;&gt;"",Validate_Value!C183&lt;&gt;""),"",IF('Raw Data'!C183 = Condition!C183,"",_xlfn.REGEXEXTRACT(CELL("address",'Raw Data'!C183),"\$([A-Z]+)\$[0-9]+")))</f>
        <v/>
      </c>
      <c r="D183" s="7" t="str" cm="1">
        <f t="array" aca="1" ref="D183" ca="1">IF(OR('Raw Data'!D183="",LEN(TRIM('Raw Data'!D183))=0,Validate_Empty!D183&lt;&gt;"",Validate_Value!D183&lt;&gt;""),"",IF('Raw Data'!D183 = Condition!D183,"",_xlfn.REGEXEXTRACT(CELL("address",'Raw Data'!D183),"\$([A-Z]+)\$[0-9]+")))</f>
        <v/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2:22" x14ac:dyDescent="0.25">
      <c r="B184" s="7" t="str" cm="1">
        <f t="array" aca="1" ref="B184" ca="1">IF(OR('Raw Data'!B184="",LEN(TRIM('Raw Data'!B184))=0,Validate_Empty!B184&lt;&gt;"",Validate_Value!B184&lt;&gt;""),"",IF('Raw Data'!B184 = Condition!B184,"",_xlfn.REGEXEXTRACT(CELL("address",'Raw Data'!B184),"\$([A-Z]+)\$[0-9]+")))</f>
        <v/>
      </c>
      <c r="C184" s="7" t="str" cm="1">
        <f t="array" aca="1" ref="C184" ca="1">IF(OR('Raw Data'!C184="",LEN(TRIM('Raw Data'!C184))=0,Validate_Empty!C184&lt;&gt;"",Validate_Value!C184&lt;&gt;""),"",IF('Raw Data'!C184 = Condition!C184,"",_xlfn.REGEXEXTRACT(CELL("address",'Raw Data'!C184),"\$([A-Z]+)\$[0-9]+")))</f>
        <v/>
      </c>
      <c r="D184" s="7" t="str" cm="1">
        <f t="array" aca="1" ref="D184" ca="1">IF(OR('Raw Data'!D184="",LEN(TRIM('Raw Data'!D184))=0,Validate_Empty!D184&lt;&gt;"",Validate_Value!D184&lt;&gt;""),"",IF('Raw Data'!D184 = Condition!D184,"",_xlfn.REGEXEXTRACT(CELL("address",'Raw Data'!D184),"\$([A-Z]+)\$[0-9]+")))</f>
        <v/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2:22" x14ac:dyDescent="0.25">
      <c r="B185" s="7" t="str" cm="1">
        <f t="array" aca="1" ref="B185" ca="1">IF(OR('Raw Data'!B185="",LEN(TRIM('Raw Data'!B185))=0,Validate_Empty!B185&lt;&gt;"",Validate_Value!B185&lt;&gt;""),"",IF('Raw Data'!B185 = Condition!B185,"",_xlfn.REGEXEXTRACT(CELL("address",'Raw Data'!B185),"\$([A-Z]+)\$[0-9]+")))</f>
        <v/>
      </c>
      <c r="C185" s="7" t="str" cm="1">
        <f t="array" aca="1" ref="C185" ca="1">IF(OR('Raw Data'!C185="",LEN(TRIM('Raw Data'!C185))=0,Validate_Empty!C185&lt;&gt;"",Validate_Value!C185&lt;&gt;""),"",IF('Raw Data'!C185 = Condition!C185,"",_xlfn.REGEXEXTRACT(CELL("address",'Raw Data'!C185),"\$([A-Z]+)\$[0-9]+")))</f>
        <v/>
      </c>
      <c r="D185" s="7" t="str" cm="1">
        <f t="array" aca="1" ref="D185" ca="1">IF(OR('Raw Data'!D185="",LEN(TRIM('Raw Data'!D185))=0,Validate_Empty!D185&lt;&gt;"",Validate_Value!D185&lt;&gt;""),"",IF('Raw Data'!D185 = Condition!D185,"",_xlfn.REGEXEXTRACT(CELL("address",'Raw Data'!D185),"\$([A-Z]+)\$[0-9]+")))</f>
        <v/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2:22" x14ac:dyDescent="0.25">
      <c r="B186" s="7" t="str" cm="1">
        <f t="array" aca="1" ref="B186" ca="1">IF(OR('Raw Data'!B186="",LEN(TRIM('Raw Data'!B186))=0,Validate_Empty!B186&lt;&gt;"",Validate_Value!B186&lt;&gt;""),"",IF('Raw Data'!B186 = Condition!B186,"",_xlfn.REGEXEXTRACT(CELL("address",'Raw Data'!B186),"\$([A-Z]+)\$[0-9]+")))</f>
        <v/>
      </c>
      <c r="C186" s="7" t="str" cm="1">
        <f t="array" aca="1" ref="C186" ca="1">IF(OR('Raw Data'!C186="",LEN(TRIM('Raw Data'!C186))=0,Validate_Empty!C186&lt;&gt;"",Validate_Value!C186&lt;&gt;""),"",IF('Raw Data'!C186 = Condition!C186,"",_xlfn.REGEXEXTRACT(CELL("address",'Raw Data'!C186),"\$([A-Z]+)\$[0-9]+")))</f>
        <v/>
      </c>
      <c r="D186" s="7" t="str" cm="1">
        <f t="array" aca="1" ref="D186" ca="1">IF(OR('Raw Data'!D186="",LEN(TRIM('Raw Data'!D186))=0,Validate_Empty!D186&lt;&gt;"",Validate_Value!D186&lt;&gt;""),"",IF('Raw Data'!D186 = Condition!D186,"",_xlfn.REGEXEXTRACT(CELL("address",'Raw Data'!D186),"\$([A-Z]+)\$[0-9]+")))</f>
        <v/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2:22" x14ac:dyDescent="0.25">
      <c r="B187" s="7" t="str" cm="1">
        <f t="array" aca="1" ref="B187" ca="1">IF(OR('Raw Data'!B187="",LEN(TRIM('Raw Data'!B187))=0,Validate_Empty!B187&lt;&gt;"",Validate_Value!B187&lt;&gt;""),"",IF('Raw Data'!B187 = Condition!B187,"",_xlfn.REGEXEXTRACT(CELL("address",'Raw Data'!B187),"\$([A-Z]+)\$[0-9]+")))</f>
        <v/>
      </c>
      <c r="C187" s="7" t="str" cm="1">
        <f t="array" aca="1" ref="C187" ca="1">IF(OR('Raw Data'!C187="",LEN(TRIM('Raw Data'!C187))=0,Validate_Empty!C187&lt;&gt;"",Validate_Value!C187&lt;&gt;""),"",IF('Raw Data'!C187 = Condition!C187,"",_xlfn.REGEXEXTRACT(CELL("address",'Raw Data'!C187),"\$([A-Z]+)\$[0-9]+")))</f>
        <v/>
      </c>
      <c r="D187" s="7" t="str" cm="1">
        <f t="array" aca="1" ref="D187" ca="1">IF(OR('Raw Data'!D187="",LEN(TRIM('Raw Data'!D187))=0,Validate_Empty!D187&lt;&gt;"",Validate_Value!D187&lt;&gt;""),"",IF('Raw Data'!D187 = Condition!D187,"",_xlfn.REGEXEXTRACT(CELL("address",'Raw Data'!D187),"\$([A-Z]+)\$[0-9]+")))</f>
        <v/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2:22" x14ac:dyDescent="0.25">
      <c r="B188" s="7" t="str" cm="1">
        <f t="array" aca="1" ref="B188" ca="1">IF(OR('Raw Data'!B188="",LEN(TRIM('Raw Data'!B188))=0,Validate_Empty!B188&lt;&gt;"",Validate_Value!B188&lt;&gt;""),"",IF('Raw Data'!B188 = Condition!B188,"",_xlfn.REGEXEXTRACT(CELL("address",'Raw Data'!B188),"\$([A-Z]+)\$[0-9]+")))</f>
        <v/>
      </c>
      <c r="C188" s="7" t="str" cm="1">
        <f t="array" aca="1" ref="C188" ca="1">IF(OR('Raw Data'!C188="",LEN(TRIM('Raw Data'!C188))=0,Validate_Empty!C188&lt;&gt;"",Validate_Value!C188&lt;&gt;""),"",IF('Raw Data'!C188 = Condition!C188,"",_xlfn.REGEXEXTRACT(CELL("address",'Raw Data'!C188),"\$([A-Z]+)\$[0-9]+")))</f>
        <v/>
      </c>
      <c r="D188" s="7" t="str" cm="1">
        <f t="array" aca="1" ref="D188" ca="1">IF(OR('Raw Data'!D188="",LEN(TRIM('Raw Data'!D188))=0,Validate_Empty!D188&lt;&gt;"",Validate_Value!D188&lt;&gt;""),"",IF('Raw Data'!D188 = Condition!D188,"",_xlfn.REGEXEXTRACT(CELL("address",'Raw Data'!D188),"\$([A-Z]+)\$[0-9]+")))</f>
        <v/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2:22" x14ac:dyDescent="0.25">
      <c r="B189" s="7" t="str" cm="1">
        <f t="array" aca="1" ref="B189" ca="1">IF(OR('Raw Data'!B189="",LEN(TRIM('Raw Data'!B189))=0,Validate_Empty!B189&lt;&gt;"",Validate_Value!B189&lt;&gt;""),"",IF('Raw Data'!B189 = Condition!B189,"",_xlfn.REGEXEXTRACT(CELL("address",'Raw Data'!B189),"\$([A-Z]+)\$[0-9]+")))</f>
        <v/>
      </c>
      <c r="C189" s="7" t="str" cm="1">
        <f t="array" aca="1" ref="C189" ca="1">IF(OR('Raw Data'!C189="",LEN(TRIM('Raw Data'!C189))=0,Validate_Empty!C189&lt;&gt;"",Validate_Value!C189&lt;&gt;""),"",IF('Raw Data'!C189 = Condition!C189,"",_xlfn.REGEXEXTRACT(CELL("address",'Raw Data'!C189),"\$([A-Z]+)\$[0-9]+")))</f>
        <v/>
      </c>
      <c r="D189" s="7" t="str" cm="1">
        <f t="array" aca="1" ref="D189" ca="1">IF(OR('Raw Data'!D189="",LEN(TRIM('Raw Data'!D189))=0,Validate_Empty!D189&lt;&gt;"",Validate_Value!D189&lt;&gt;""),"",IF('Raw Data'!D189 = Condition!D189,"",_xlfn.REGEXEXTRACT(CELL("address",'Raw Data'!D189),"\$([A-Z]+)\$[0-9]+")))</f>
        <v/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2:22" x14ac:dyDescent="0.25">
      <c r="B190" s="7" t="str" cm="1">
        <f t="array" aca="1" ref="B190" ca="1">IF(OR('Raw Data'!B190="",LEN(TRIM('Raw Data'!B190))=0,Validate_Empty!B190&lt;&gt;"",Validate_Value!B190&lt;&gt;""),"",IF('Raw Data'!B190 = Condition!B190,"",_xlfn.REGEXEXTRACT(CELL("address",'Raw Data'!B190),"\$([A-Z]+)\$[0-9]+")))</f>
        <v/>
      </c>
      <c r="C190" s="7" t="str" cm="1">
        <f t="array" aca="1" ref="C190" ca="1">IF(OR('Raw Data'!C190="",LEN(TRIM('Raw Data'!C190))=0,Validate_Empty!C190&lt;&gt;"",Validate_Value!C190&lt;&gt;""),"",IF('Raw Data'!C190 = Condition!C190,"",_xlfn.REGEXEXTRACT(CELL("address",'Raw Data'!C190),"\$([A-Z]+)\$[0-9]+")))</f>
        <v/>
      </c>
      <c r="D190" s="7" t="str" cm="1">
        <f t="array" aca="1" ref="D190" ca="1">IF(OR('Raw Data'!D190="",LEN(TRIM('Raw Data'!D190))=0,Validate_Empty!D190&lt;&gt;"",Validate_Value!D190&lt;&gt;""),"",IF('Raw Data'!D190 = Condition!D190,"",_xlfn.REGEXEXTRACT(CELL("address",'Raw Data'!D190),"\$([A-Z]+)\$[0-9]+")))</f>
        <v/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2:22" x14ac:dyDescent="0.25">
      <c r="B191" s="7" t="str" cm="1">
        <f t="array" aca="1" ref="B191" ca="1">IF(OR('Raw Data'!B191="",LEN(TRIM('Raw Data'!B191))=0,Validate_Empty!B191&lt;&gt;"",Validate_Value!B191&lt;&gt;""),"",IF('Raw Data'!B191 = Condition!B191,"",_xlfn.REGEXEXTRACT(CELL("address",'Raw Data'!B191),"\$([A-Z]+)\$[0-9]+")))</f>
        <v/>
      </c>
      <c r="C191" s="7" t="str" cm="1">
        <f t="array" aca="1" ref="C191" ca="1">IF(OR('Raw Data'!C191="",LEN(TRIM('Raw Data'!C191))=0,Validate_Empty!C191&lt;&gt;"",Validate_Value!C191&lt;&gt;""),"",IF('Raw Data'!C191 = Condition!C191,"",_xlfn.REGEXEXTRACT(CELL("address",'Raw Data'!C191),"\$([A-Z]+)\$[0-9]+")))</f>
        <v/>
      </c>
      <c r="D191" s="7" t="str" cm="1">
        <f t="array" aca="1" ref="D191" ca="1">IF(OR('Raw Data'!D191="",LEN(TRIM('Raw Data'!D191))=0,Validate_Empty!D191&lt;&gt;"",Validate_Value!D191&lt;&gt;""),"",IF('Raw Data'!D191 = Condition!D191,"",_xlfn.REGEXEXTRACT(CELL("address",'Raw Data'!D191),"\$([A-Z]+)\$[0-9]+")))</f>
        <v/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2:22" x14ac:dyDescent="0.25">
      <c r="B192" s="7" t="str" cm="1">
        <f t="array" aca="1" ref="B192" ca="1">IF(OR('Raw Data'!B192="",LEN(TRIM('Raw Data'!B192))=0,Validate_Empty!B192&lt;&gt;"",Validate_Value!B192&lt;&gt;""),"",IF('Raw Data'!B192 = Condition!B192,"",_xlfn.REGEXEXTRACT(CELL("address",'Raw Data'!B192),"\$([A-Z]+)\$[0-9]+")))</f>
        <v/>
      </c>
      <c r="C192" s="7" t="str" cm="1">
        <f t="array" aca="1" ref="C192" ca="1">IF(OR('Raw Data'!C192="",LEN(TRIM('Raw Data'!C192))=0,Validate_Empty!C192&lt;&gt;"",Validate_Value!C192&lt;&gt;""),"",IF('Raw Data'!C192 = Condition!C192,"",_xlfn.REGEXEXTRACT(CELL("address",'Raw Data'!C192),"\$([A-Z]+)\$[0-9]+")))</f>
        <v/>
      </c>
      <c r="D192" s="7" t="str" cm="1">
        <f t="array" aca="1" ref="D192" ca="1">IF(OR('Raw Data'!D192="",LEN(TRIM('Raw Data'!D192))=0,Validate_Empty!D192&lt;&gt;"",Validate_Value!D192&lt;&gt;""),"",IF('Raw Data'!D192 = Condition!D192,"",_xlfn.REGEXEXTRACT(CELL("address",'Raw Data'!D192),"\$([A-Z]+)\$[0-9]+")))</f>
        <v/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2:22" x14ac:dyDescent="0.25">
      <c r="B193" s="7" t="str" cm="1">
        <f t="array" aca="1" ref="B193" ca="1">IF(OR('Raw Data'!B193="",LEN(TRIM('Raw Data'!B193))=0,Validate_Empty!B193&lt;&gt;"",Validate_Value!B193&lt;&gt;""),"",IF('Raw Data'!B193 = Condition!B193,"",_xlfn.REGEXEXTRACT(CELL("address",'Raw Data'!B193),"\$([A-Z]+)\$[0-9]+")))</f>
        <v/>
      </c>
      <c r="C193" s="7" t="str" cm="1">
        <f t="array" aca="1" ref="C193" ca="1">IF(OR('Raw Data'!C193="",LEN(TRIM('Raw Data'!C193))=0,Validate_Empty!C193&lt;&gt;"",Validate_Value!C193&lt;&gt;""),"",IF('Raw Data'!C193 = Condition!C193,"",_xlfn.REGEXEXTRACT(CELL("address",'Raw Data'!C193),"\$([A-Z]+)\$[0-9]+")))</f>
        <v/>
      </c>
      <c r="D193" s="7" t="str" cm="1">
        <f t="array" aca="1" ref="D193" ca="1">IF(OR('Raw Data'!D193="",LEN(TRIM('Raw Data'!D193))=0,Validate_Empty!D193&lt;&gt;"",Validate_Value!D193&lt;&gt;""),"",IF('Raw Data'!D193 = Condition!D193,"",_xlfn.REGEXEXTRACT(CELL("address",'Raw Data'!D193),"\$([A-Z]+)\$[0-9]+")))</f>
        <v/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2:22" x14ac:dyDescent="0.25">
      <c r="B194" s="7" t="str" cm="1">
        <f t="array" aca="1" ref="B194" ca="1">IF(OR('Raw Data'!B194="",LEN(TRIM('Raw Data'!B194))=0,Validate_Empty!B194&lt;&gt;"",Validate_Value!B194&lt;&gt;""),"",IF('Raw Data'!B194 = Condition!B194,"",_xlfn.REGEXEXTRACT(CELL("address",'Raw Data'!B194),"\$([A-Z]+)\$[0-9]+")))</f>
        <v/>
      </c>
      <c r="C194" s="7" t="str" cm="1">
        <f t="array" aca="1" ref="C194" ca="1">IF(OR('Raw Data'!C194="",LEN(TRIM('Raw Data'!C194))=0,Validate_Empty!C194&lt;&gt;"",Validate_Value!C194&lt;&gt;""),"",IF('Raw Data'!C194 = Condition!C194,"",_xlfn.REGEXEXTRACT(CELL("address",'Raw Data'!C194),"\$([A-Z]+)\$[0-9]+")))</f>
        <v/>
      </c>
      <c r="D194" s="7" t="str" cm="1">
        <f t="array" aca="1" ref="D194" ca="1">IF(OR('Raw Data'!D194="",LEN(TRIM('Raw Data'!D194))=0,Validate_Empty!D194&lt;&gt;"",Validate_Value!D194&lt;&gt;""),"",IF('Raw Data'!D194 = Condition!D194,"",_xlfn.REGEXEXTRACT(CELL("address",'Raw Data'!D194),"\$([A-Z]+)\$[0-9]+")))</f>
        <v/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2:22" x14ac:dyDescent="0.25">
      <c r="B195" s="7" t="str" cm="1">
        <f t="array" aca="1" ref="B195" ca="1">IF(OR('Raw Data'!B195="",LEN(TRIM('Raw Data'!B195))=0,Validate_Empty!B195&lt;&gt;"",Validate_Value!B195&lt;&gt;""),"",IF('Raw Data'!B195 = Condition!B195,"",_xlfn.REGEXEXTRACT(CELL("address",'Raw Data'!B195),"\$([A-Z]+)\$[0-9]+")))</f>
        <v/>
      </c>
      <c r="C195" s="7" t="str" cm="1">
        <f t="array" aca="1" ref="C195" ca="1">IF(OR('Raw Data'!C195="",LEN(TRIM('Raw Data'!C195))=0,Validate_Empty!C195&lt;&gt;"",Validate_Value!C195&lt;&gt;""),"",IF('Raw Data'!C195 = Condition!C195,"",_xlfn.REGEXEXTRACT(CELL("address",'Raw Data'!C195),"\$([A-Z]+)\$[0-9]+")))</f>
        <v/>
      </c>
      <c r="D195" s="7" t="str" cm="1">
        <f t="array" aca="1" ref="D195" ca="1">IF(OR('Raw Data'!D195="",LEN(TRIM('Raw Data'!D195))=0,Validate_Empty!D195&lt;&gt;"",Validate_Value!D195&lt;&gt;""),"",IF('Raw Data'!D195 = Condition!D195,"",_xlfn.REGEXEXTRACT(CELL("address",'Raw Data'!D195),"\$([A-Z]+)\$[0-9]+")))</f>
        <v/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2:22" x14ac:dyDescent="0.25">
      <c r="B196" s="7" t="str" cm="1">
        <f t="array" aca="1" ref="B196" ca="1">IF(OR('Raw Data'!B196="",LEN(TRIM('Raw Data'!B196))=0,Validate_Empty!B196&lt;&gt;"",Validate_Value!B196&lt;&gt;""),"",IF('Raw Data'!B196 = Condition!B196,"",_xlfn.REGEXEXTRACT(CELL("address",'Raw Data'!B196),"\$([A-Z]+)\$[0-9]+")))</f>
        <v/>
      </c>
      <c r="C196" s="7" t="str" cm="1">
        <f t="array" aca="1" ref="C196" ca="1">IF(OR('Raw Data'!C196="",LEN(TRIM('Raw Data'!C196))=0,Validate_Empty!C196&lt;&gt;"",Validate_Value!C196&lt;&gt;""),"",IF('Raw Data'!C196 = Condition!C196,"",_xlfn.REGEXEXTRACT(CELL("address",'Raw Data'!C196),"\$([A-Z]+)\$[0-9]+")))</f>
        <v/>
      </c>
      <c r="D196" s="7" t="str" cm="1">
        <f t="array" aca="1" ref="D196" ca="1">IF(OR('Raw Data'!D196="",LEN(TRIM('Raw Data'!D196))=0,Validate_Empty!D196&lt;&gt;"",Validate_Value!D196&lt;&gt;""),"",IF('Raw Data'!D196 = Condition!D196,"",_xlfn.REGEXEXTRACT(CELL("address",'Raw Data'!D196),"\$([A-Z]+)\$[0-9]+")))</f>
        <v/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2:22" x14ac:dyDescent="0.25">
      <c r="B197" s="7" t="str" cm="1">
        <f t="array" aca="1" ref="B197" ca="1">IF(OR('Raw Data'!B197="",LEN(TRIM('Raw Data'!B197))=0,Validate_Empty!B197&lt;&gt;"",Validate_Value!B197&lt;&gt;""),"",IF('Raw Data'!B197 = Condition!B197,"",_xlfn.REGEXEXTRACT(CELL("address",'Raw Data'!B197),"\$([A-Z]+)\$[0-9]+")))</f>
        <v/>
      </c>
      <c r="C197" s="7" t="str" cm="1">
        <f t="array" aca="1" ref="C197" ca="1">IF(OR('Raw Data'!C197="",LEN(TRIM('Raw Data'!C197))=0,Validate_Empty!C197&lt;&gt;"",Validate_Value!C197&lt;&gt;""),"",IF('Raw Data'!C197 = Condition!C197,"",_xlfn.REGEXEXTRACT(CELL("address",'Raw Data'!C197),"\$([A-Z]+)\$[0-9]+")))</f>
        <v/>
      </c>
      <c r="D197" s="7" t="str" cm="1">
        <f t="array" aca="1" ref="D197" ca="1">IF(OR('Raw Data'!D197="",LEN(TRIM('Raw Data'!D197))=0,Validate_Empty!D197&lt;&gt;"",Validate_Value!D197&lt;&gt;""),"",IF('Raw Data'!D197 = Condition!D197,"",_xlfn.REGEXEXTRACT(CELL("address",'Raw Data'!D197),"\$([A-Z]+)\$[0-9]+")))</f>
        <v/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2:22" x14ac:dyDescent="0.25">
      <c r="B198" s="7" t="str" cm="1">
        <f t="array" aca="1" ref="B198" ca="1">IF(OR('Raw Data'!B198="",LEN(TRIM('Raw Data'!B198))=0,Validate_Empty!B198&lt;&gt;"",Validate_Value!B198&lt;&gt;""),"",IF('Raw Data'!B198 = Condition!B198,"",_xlfn.REGEXEXTRACT(CELL("address",'Raw Data'!B198),"\$([A-Z]+)\$[0-9]+")))</f>
        <v/>
      </c>
      <c r="C198" s="7" t="str" cm="1">
        <f t="array" aca="1" ref="C198" ca="1">IF(OR('Raw Data'!C198="",LEN(TRIM('Raw Data'!C198))=0,Validate_Empty!C198&lt;&gt;"",Validate_Value!C198&lt;&gt;""),"",IF('Raw Data'!C198 = Condition!C198,"",_xlfn.REGEXEXTRACT(CELL("address",'Raw Data'!C198),"\$([A-Z]+)\$[0-9]+")))</f>
        <v/>
      </c>
      <c r="D198" s="7" t="str" cm="1">
        <f t="array" aca="1" ref="D198" ca="1">IF(OR('Raw Data'!D198="",LEN(TRIM('Raw Data'!D198))=0,Validate_Empty!D198&lt;&gt;"",Validate_Value!D198&lt;&gt;""),"",IF('Raw Data'!D198 = Condition!D198,"",_xlfn.REGEXEXTRACT(CELL("address",'Raw Data'!D198),"\$([A-Z]+)\$[0-9]+")))</f>
        <v/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2:22" x14ac:dyDescent="0.25">
      <c r="B199" s="7" t="str" cm="1">
        <f t="array" aca="1" ref="B199" ca="1">IF(OR('Raw Data'!B199="",LEN(TRIM('Raw Data'!B199))=0,Validate_Empty!B199&lt;&gt;"",Validate_Value!B199&lt;&gt;""),"",IF('Raw Data'!B199 = Condition!B199,"",_xlfn.REGEXEXTRACT(CELL("address",'Raw Data'!B199),"\$([A-Z]+)\$[0-9]+")))</f>
        <v/>
      </c>
      <c r="C199" s="7" t="str" cm="1">
        <f t="array" aca="1" ref="C199" ca="1">IF(OR('Raw Data'!C199="",LEN(TRIM('Raw Data'!C199))=0,Validate_Empty!C199&lt;&gt;"",Validate_Value!C199&lt;&gt;""),"",IF('Raw Data'!C199 = Condition!C199,"",_xlfn.REGEXEXTRACT(CELL("address",'Raw Data'!C199),"\$([A-Z]+)\$[0-9]+")))</f>
        <v/>
      </c>
      <c r="D199" s="7" t="str" cm="1">
        <f t="array" aca="1" ref="D199" ca="1">IF(OR('Raw Data'!D199="",LEN(TRIM('Raw Data'!D199))=0,Validate_Empty!D199&lt;&gt;"",Validate_Value!D199&lt;&gt;""),"",IF('Raw Data'!D199 = Condition!D199,"",_xlfn.REGEXEXTRACT(CELL("address",'Raw Data'!D199),"\$([A-Z]+)\$[0-9]+")))</f>
        <v/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2:22" x14ac:dyDescent="0.25">
      <c r="B200" s="7" t="str" cm="1">
        <f t="array" aca="1" ref="B200" ca="1">IF(OR('Raw Data'!B200="",LEN(TRIM('Raw Data'!B200))=0,Validate_Empty!B200&lt;&gt;"",Validate_Value!B200&lt;&gt;""),"",IF('Raw Data'!B200 = Condition!B200,"",_xlfn.REGEXEXTRACT(CELL("address",'Raw Data'!B200),"\$([A-Z]+)\$[0-9]+")))</f>
        <v/>
      </c>
      <c r="C200" s="7" t="str" cm="1">
        <f t="array" aca="1" ref="C200" ca="1">IF(OR('Raw Data'!C200="",LEN(TRIM('Raw Data'!C200))=0,Validate_Empty!C200&lt;&gt;"",Validate_Value!C200&lt;&gt;""),"",IF('Raw Data'!C200 = Condition!C200,"",_xlfn.REGEXEXTRACT(CELL("address",'Raw Data'!C200),"\$([A-Z]+)\$[0-9]+")))</f>
        <v/>
      </c>
      <c r="D200" s="7" t="str" cm="1">
        <f t="array" aca="1" ref="D200" ca="1">IF(OR('Raw Data'!D200="",LEN(TRIM('Raw Data'!D200))=0,Validate_Empty!D200&lt;&gt;"",Validate_Value!D200&lt;&gt;""),"",IF('Raw Data'!D200 = Condition!D200,"",_xlfn.REGEXEXTRACT(CELL("address",'Raw Data'!D200),"\$([A-Z]+)\$[0-9]+")))</f>
        <v/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2:22" x14ac:dyDescent="0.25">
      <c r="B201" s="7" t="str" cm="1">
        <f t="array" aca="1" ref="B201" ca="1">IF(OR('Raw Data'!B201="",LEN(TRIM('Raw Data'!B201))=0,Validate_Empty!B201&lt;&gt;"",Validate_Value!B201&lt;&gt;""),"",IF('Raw Data'!B201 = Condition!B201,"",_xlfn.REGEXEXTRACT(CELL("address",'Raw Data'!B201),"\$([A-Z]+)\$[0-9]+")))</f>
        <v/>
      </c>
      <c r="C201" s="7" t="str" cm="1">
        <f t="array" aca="1" ref="C201" ca="1">IF(OR('Raw Data'!C201="",LEN(TRIM('Raw Data'!C201))=0,Validate_Empty!C201&lt;&gt;"",Validate_Value!C201&lt;&gt;""),"",IF('Raw Data'!C201 = Condition!C201,"",_xlfn.REGEXEXTRACT(CELL("address",'Raw Data'!C201),"\$([A-Z]+)\$[0-9]+")))</f>
        <v/>
      </c>
      <c r="D201" s="7" t="str" cm="1">
        <f t="array" aca="1" ref="D201" ca="1">IF(OR('Raw Data'!D201="",LEN(TRIM('Raw Data'!D201))=0,Validate_Empty!D201&lt;&gt;"",Validate_Value!D201&lt;&gt;""),"",IF('Raw Data'!D201 = Condition!D201,"",_xlfn.REGEXEXTRACT(CELL("address",'Raw Data'!D201),"\$([A-Z]+)\$[0-9]+")))</f>
        <v/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2:22" x14ac:dyDescent="0.25">
      <c r="B202" s="7" t="str" cm="1">
        <f t="array" aca="1" ref="B202" ca="1">IF(OR('Raw Data'!B202="",LEN(TRIM('Raw Data'!B202))=0,Validate_Empty!B202&lt;&gt;"",Validate_Value!B202&lt;&gt;""),"",IF('Raw Data'!B202 = Condition!B202,"",_xlfn.REGEXEXTRACT(CELL("address",'Raw Data'!B202),"\$([A-Z]+)\$[0-9]+")))</f>
        <v/>
      </c>
      <c r="C202" s="7" t="str" cm="1">
        <f t="array" aca="1" ref="C202" ca="1">IF(OR('Raw Data'!C202="",LEN(TRIM('Raw Data'!C202))=0,Validate_Empty!C202&lt;&gt;"",Validate_Value!C202&lt;&gt;""),"",IF('Raw Data'!C202 = Condition!C202,"",_xlfn.REGEXEXTRACT(CELL("address",'Raw Data'!C202),"\$([A-Z]+)\$[0-9]+")))</f>
        <v/>
      </c>
      <c r="D202" s="7" t="str" cm="1">
        <f t="array" aca="1" ref="D202" ca="1">IF(OR('Raw Data'!D202="",LEN(TRIM('Raw Data'!D202))=0,Validate_Empty!D202&lt;&gt;"",Validate_Value!D202&lt;&gt;""),"",IF('Raw Data'!D202 = Condition!D202,"",_xlfn.REGEXEXTRACT(CELL("address",'Raw Data'!D202),"\$([A-Z]+)\$[0-9]+")))</f>
        <v/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2:22" x14ac:dyDescent="0.25">
      <c r="B203" s="7" t="str" cm="1">
        <f t="array" aca="1" ref="B203" ca="1">IF(OR('Raw Data'!B203="",LEN(TRIM('Raw Data'!B203))=0,Validate_Empty!B203&lt;&gt;"",Validate_Value!B203&lt;&gt;""),"",IF('Raw Data'!B203 = Condition!B203,"",_xlfn.REGEXEXTRACT(CELL("address",'Raw Data'!B203),"\$([A-Z]+)\$[0-9]+")))</f>
        <v/>
      </c>
      <c r="C203" s="7" t="str" cm="1">
        <f t="array" aca="1" ref="C203" ca="1">IF(OR('Raw Data'!C203="",LEN(TRIM('Raw Data'!C203))=0,Validate_Empty!C203&lt;&gt;"",Validate_Value!C203&lt;&gt;""),"",IF('Raw Data'!C203 = Condition!C203,"",_xlfn.REGEXEXTRACT(CELL("address",'Raw Data'!C203),"\$([A-Z]+)\$[0-9]+")))</f>
        <v/>
      </c>
      <c r="D203" s="7" t="str" cm="1">
        <f t="array" aca="1" ref="D203" ca="1">IF(OR('Raw Data'!D203="",LEN(TRIM('Raw Data'!D203))=0,Validate_Empty!D203&lt;&gt;"",Validate_Value!D203&lt;&gt;""),"",IF('Raw Data'!D203 = Condition!D203,"",_xlfn.REGEXEXTRACT(CELL("address",'Raw Data'!D203),"\$([A-Z]+)\$[0-9]+")))</f>
        <v/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2:22" x14ac:dyDescent="0.25">
      <c r="B204" s="7" t="str" cm="1">
        <f t="array" aca="1" ref="B204" ca="1">IF(OR('Raw Data'!B204="",LEN(TRIM('Raw Data'!B204))=0,Validate_Empty!B204&lt;&gt;"",Validate_Value!B204&lt;&gt;""),"",IF('Raw Data'!B204 = Condition!B204,"",_xlfn.REGEXEXTRACT(CELL("address",'Raw Data'!B204),"\$([A-Z]+)\$[0-9]+")))</f>
        <v/>
      </c>
      <c r="C204" s="7" t="str" cm="1">
        <f t="array" aca="1" ref="C204" ca="1">IF(OR('Raw Data'!C204="",LEN(TRIM('Raw Data'!C204))=0,Validate_Empty!C204&lt;&gt;"",Validate_Value!C204&lt;&gt;""),"",IF('Raw Data'!C204 = Condition!C204,"",_xlfn.REGEXEXTRACT(CELL("address",'Raw Data'!C204),"\$([A-Z]+)\$[0-9]+")))</f>
        <v/>
      </c>
      <c r="D204" s="7" t="str" cm="1">
        <f t="array" aca="1" ref="D204" ca="1">IF(OR('Raw Data'!D204="",LEN(TRIM('Raw Data'!D204))=0,Validate_Empty!D204&lt;&gt;"",Validate_Value!D204&lt;&gt;""),"",IF('Raw Data'!D204 = Condition!D204,"",_xlfn.REGEXEXTRACT(CELL("address",'Raw Data'!D204),"\$([A-Z]+)\$[0-9]+")))</f>
        <v/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2:22" x14ac:dyDescent="0.25">
      <c r="B205" s="7" t="str" cm="1">
        <f t="array" aca="1" ref="B205" ca="1">IF(OR('Raw Data'!B205="",LEN(TRIM('Raw Data'!B205))=0,Validate_Empty!B205&lt;&gt;"",Validate_Value!B205&lt;&gt;""),"",IF('Raw Data'!B205 = Condition!B205,"",_xlfn.REGEXEXTRACT(CELL("address",'Raw Data'!B205),"\$([A-Z]+)\$[0-9]+")))</f>
        <v/>
      </c>
      <c r="C205" s="7" t="str" cm="1">
        <f t="array" aca="1" ref="C205" ca="1">IF(OR('Raw Data'!C205="",LEN(TRIM('Raw Data'!C205))=0,Validate_Empty!C205&lt;&gt;"",Validate_Value!C205&lt;&gt;""),"",IF('Raw Data'!C205 = Condition!C205,"",_xlfn.REGEXEXTRACT(CELL("address",'Raw Data'!C205),"\$([A-Z]+)\$[0-9]+")))</f>
        <v/>
      </c>
      <c r="D205" s="7" t="str" cm="1">
        <f t="array" aca="1" ref="D205" ca="1">IF(OR('Raw Data'!D205="",LEN(TRIM('Raw Data'!D205))=0,Validate_Empty!D205&lt;&gt;"",Validate_Value!D205&lt;&gt;""),"",IF('Raw Data'!D205 = Condition!D205,"",_xlfn.REGEXEXTRACT(CELL("address",'Raw Data'!D205),"\$([A-Z]+)\$[0-9]+")))</f>
        <v/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2:22" x14ac:dyDescent="0.25">
      <c r="B206" s="7" t="str" cm="1">
        <f t="array" aca="1" ref="B206" ca="1">IF(OR('Raw Data'!B206="",LEN(TRIM('Raw Data'!B206))=0,Validate_Empty!B206&lt;&gt;"",Validate_Value!B206&lt;&gt;""),"",IF('Raw Data'!B206 = Condition!B206,"",_xlfn.REGEXEXTRACT(CELL("address",'Raw Data'!B206),"\$([A-Z]+)\$[0-9]+")))</f>
        <v/>
      </c>
      <c r="C206" s="7" t="str" cm="1">
        <f t="array" aca="1" ref="C206" ca="1">IF(OR('Raw Data'!C206="",LEN(TRIM('Raw Data'!C206))=0,Validate_Empty!C206&lt;&gt;"",Validate_Value!C206&lt;&gt;""),"",IF('Raw Data'!C206 = Condition!C206,"",_xlfn.REGEXEXTRACT(CELL("address",'Raw Data'!C206),"\$([A-Z]+)\$[0-9]+")))</f>
        <v/>
      </c>
      <c r="D206" s="7" t="str" cm="1">
        <f t="array" aca="1" ref="D206" ca="1">IF(OR('Raw Data'!D206="",LEN(TRIM('Raw Data'!D206))=0,Validate_Empty!D206&lt;&gt;"",Validate_Value!D206&lt;&gt;""),"",IF('Raw Data'!D206 = Condition!D206,"",_xlfn.REGEXEXTRACT(CELL("address",'Raw Data'!D206),"\$([A-Z]+)\$[0-9]+")))</f>
        <v/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2:22" x14ac:dyDescent="0.25">
      <c r="B207" s="7" t="str" cm="1">
        <f t="array" aca="1" ref="B207" ca="1">IF(OR('Raw Data'!B207="",LEN(TRIM('Raw Data'!B207))=0,Validate_Empty!B207&lt;&gt;"",Validate_Value!B207&lt;&gt;""),"",IF('Raw Data'!B207 = Condition!B207,"",_xlfn.REGEXEXTRACT(CELL("address",'Raw Data'!B207),"\$([A-Z]+)\$[0-9]+")))</f>
        <v/>
      </c>
      <c r="C207" s="7" t="str" cm="1">
        <f t="array" aca="1" ref="C207" ca="1">IF(OR('Raw Data'!C207="",LEN(TRIM('Raw Data'!C207))=0,Validate_Empty!C207&lt;&gt;"",Validate_Value!C207&lt;&gt;""),"",IF('Raw Data'!C207 = Condition!C207,"",_xlfn.REGEXEXTRACT(CELL("address",'Raw Data'!C207),"\$([A-Z]+)\$[0-9]+")))</f>
        <v/>
      </c>
      <c r="D207" s="7" t="str" cm="1">
        <f t="array" aca="1" ref="D207" ca="1">IF(OR('Raw Data'!D207="",LEN(TRIM('Raw Data'!D207))=0,Validate_Empty!D207&lt;&gt;"",Validate_Value!D207&lt;&gt;""),"",IF('Raw Data'!D207 = Condition!D207,"",_xlfn.REGEXEXTRACT(CELL("address",'Raw Data'!D207),"\$([A-Z]+)\$[0-9]+")))</f>
        <v/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2:22" x14ac:dyDescent="0.25">
      <c r="B208" s="7" t="str" cm="1">
        <f t="array" aca="1" ref="B208" ca="1">IF(OR('Raw Data'!B208="",LEN(TRIM('Raw Data'!B208))=0,Validate_Empty!B208&lt;&gt;"",Validate_Value!B208&lt;&gt;""),"",IF('Raw Data'!B208 = Condition!B208,"",_xlfn.REGEXEXTRACT(CELL("address",'Raw Data'!B208),"\$([A-Z]+)\$[0-9]+")))</f>
        <v/>
      </c>
      <c r="C208" s="7" t="str" cm="1">
        <f t="array" aca="1" ref="C208" ca="1">IF(OR('Raw Data'!C208="",LEN(TRIM('Raw Data'!C208))=0,Validate_Empty!C208&lt;&gt;"",Validate_Value!C208&lt;&gt;""),"",IF('Raw Data'!C208 = Condition!C208,"",_xlfn.REGEXEXTRACT(CELL("address",'Raw Data'!C208),"\$([A-Z]+)\$[0-9]+")))</f>
        <v/>
      </c>
      <c r="D208" s="7" t="str" cm="1">
        <f t="array" aca="1" ref="D208" ca="1">IF(OR('Raw Data'!D208="",LEN(TRIM('Raw Data'!D208))=0,Validate_Empty!D208&lt;&gt;"",Validate_Value!D208&lt;&gt;""),"",IF('Raw Data'!D208 = Condition!D208,"",_xlfn.REGEXEXTRACT(CELL("address",'Raw Data'!D208),"\$([A-Z]+)\$[0-9]+")))</f>
        <v/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2:22" x14ac:dyDescent="0.25">
      <c r="B209" s="7" t="str" cm="1">
        <f t="array" aca="1" ref="B209" ca="1">IF(OR('Raw Data'!B209="",LEN(TRIM('Raw Data'!B209))=0,Validate_Empty!B209&lt;&gt;"",Validate_Value!B209&lt;&gt;""),"",IF('Raw Data'!B209 = Condition!B209,"",_xlfn.REGEXEXTRACT(CELL("address",'Raw Data'!B209),"\$([A-Z]+)\$[0-9]+")))</f>
        <v/>
      </c>
      <c r="C209" s="7" t="str" cm="1">
        <f t="array" aca="1" ref="C209" ca="1">IF(OR('Raw Data'!C209="",LEN(TRIM('Raw Data'!C209))=0,Validate_Empty!C209&lt;&gt;"",Validate_Value!C209&lt;&gt;""),"",IF('Raw Data'!C209 = Condition!C209,"",_xlfn.REGEXEXTRACT(CELL("address",'Raw Data'!C209),"\$([A-Z]+)\$[0-9]+")))</f>
        <v/>
      </c>
      <c r="D209" s="7" t="str" cm="1">
        <f t="array" aca="1" ref="D209" ca="1">IF(OR('Raw Data'!D209="",LEN(TRIM('Raw Data'!D209))=0,Validate_Empty!D209&lt;&gt;"",Validate_Value!D209&lt;&gt;""),"",IF('Raw Data'!D209 = Condition!D209,"",_xlfn.REGEXEXTRACT(CELL("address",'Raw Data'!D209),"\$([A-Z]+)\$[0-9]+")))</f>
        <v/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2:22" x14ac:dyDescent="0.25">
      <c r="B210" s="7" t="str" cm="1">
        <f t="array" aca="1" ref="B210" ca="1">IF(OR('Raw Data'!B210="",LEN(TRIM('Raw Data'!B210))=0,Validate_Empty!B210&lt;&gt;"",Validate_Value!B210&lt;&gt;""),"",IF('Raw Data'!B210 = Condition!B210,"",_xlfn.REGEXEXTRACT(CELL("address",'Raw Data'!B210),"\$([A-Z]+)\$[0-9]+")))</f>
        <v/>
      </c>
      <c r="C210" s="7" t="str" cm="1">
        <f t="array" aca="1" ref="C210" ca="1">IF(OR('Raw Data'!C210="",LEN(TRIM('Raw Data'!C210))=0,Validate_Empty!C210&lt;&gt;"",Validate_Value!C210&lt;&gt;""),"",IF('Raw Data'!C210 = Condition!C210,"",_xlfn.REGEXEXTRACT(CELL("address",'Raw Data'!C210),"\$([A-Z]+)\$[0-9]+")))</f>
        <v/>
      </c>
      <c r="D210" s="7" t="str" cm="1">
        <f t="array" aca="1" ref="D210" ca="1">IF(OR('Raw Data'!D210="",LEN(TRIM('Raw Data'!D210))=0,Validate_Empty!D210&lt;&gt;"",Validate_Value!D210&lt;&gt;""),"",IF('Raw Data'!D210 = Condition!D210,"",_xlfn.REGEXEXTRACT(CELL("address",'Raw Data'!D210),"\$([A-Z]+)\$[0-9]+")))</f>
        <v/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2:22" x14ac:dyDescent="0.25">
      <c r="B211" s="7" t="str" cm="1">
        <f t="array" aca="1" ref="B211" ca="1">IF(OR('Raw Data'!B211="",LEN(TRIM('Raw Data'!B211))=0,Validate_Empty!B211&lt;&gt;"",Validate_Value!B211&lt;&gt;""),"",IF('Raw Data'!B211 = Condition!B211,"",_xlfn.REGEXEXTRACT(CELL("address",'Raw Data'!B211),"\$([A-Z]+)\$[0-9]+")))</f>
        <v/>
      </c>
      <c r="C211" s="7" t="str" cm="1">
        <f t="array" aca="1" ref="C211" ca="1">IF(OR('Raw Data'!C211="",LEN(TRIM('Raw Data'!C211))=0,Validate_Empty!C211&lt;&gt;"",Validate_Value!C211&lt;&gt;""),"",IF('Raw Data'!C211 = Condition!C211,"",_xlfn.REGEXEXTRACT(CELL("address",'Raw Data'!C211),"\$([A-Z]+)\$[0-9]+")))</f>
        <v/>
      </c>
      <c r="D211" s="7" t="str" cm="1">
        <f t="array" aca="1" ref="D211" ca="1">IF(OR('Raw Data'!D211="",LEN(TRIM('Raw Data'!D211))=0,Validate_Empty!D211&lt;&gt;"",Validate_Value!D211&lt;&gt;""),"",IF('Raw Data'!D211 = Condition!D211,"",_xlfn.REGEXEXTRACT(CELL("address",'Raw Data'!D211),"\$([A-Z]+)\$[0-9]+")))</f>
        <v/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2:22" x14ac:dyDescent="0.25">
      <c r="B212" s="7" t="str" cm="1">
        <f t="array" aca="1" ref="B212" ca="1">IF(OR('Raw Data'!B212="",LEN(TRIM('Raw Data'!B212))=0,Validate_Empty!B212&lt;&gt;"",Validate_Value!B212&lt;&gt;""),"",IF('Raw Data'!B212 = Condition!B212,"",_xlfn.REGEXEXTRACT(CELL("address",'Raw Data'!B212),"\$([A-Z]+)\$[0-9]+")))</f>
        <v/>
      </c>
      <c r="C212" s="7" t="str" cm="1">
        <f t="array" aca="1" ref="C212" ca="1">IF(OR('Raw Data'!C212="",LEN(TRIM('Raw Data'!C212))=0,Validate_Empty!C212&lt;&gt;"",Validate_Value!C212&lt;&gt;""),"",IF('Raw Data'!C212 = Condition!C212,"",_xlfn.REGEXEXTRACT(CELL("address",'Raw Data'!C212),"\$([A-Z]+)\$[0-9]+")))</f>
        <v/>
      </c>
      <c r="D212" s="7" t="str" cm="1">
        <f t="array" aca="1" ref="D212" ca="1">IF(OR('Raw Data'!D212="",LEN(TRIM('Raw Data'!D212))=0,Validate_Empty!D212&lt;&gt;"",Validate_Value!D212&lt;&gt;""),"",IF('Raw Data'!D212 = Condition!D212,"",_xlfn.REGEXEXTRACT(CELL("address",'Raw Data'!D212),"\$([A-Z]+)\$[0-9]+")))</f>
        <v/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2:22" x14ac:dyDescent="0.25">
      <c r="B213" s="7" t="str" cm="1">
        <f t="array" aca="1" ref="B213" ca="1">IF(OR('Raw Data'!B213="",LEN(TRIM('Raw Data'!B213))=0,Validate_Empty!B213&lt;&gt;"",Validate_Value!B213&lt;&gt;""),"",IF('Raw Data'!B213 = Condition!B213,"",_xlfn.REGEXEXTRACT(CELL("address",'Raw Data'!B213),"\$([A-Z]+)\$[0-9]+")))</f>
        <v/>
      </c>
      <c r="C213" s="7" t="str" cm="1">
        <f t="array" aca="1" ref="C213" ca="1">IF(OR('Raw Data'!C213="",LEN(TRIM('Raw Data'!C213))=0,Validate_Empty!C213&lt;&gt;"",Validate_Value!C213&lt;&gt;""),"",IF('Raw Data'!C213 = Condition!C213,"",_xlfn.REGEXEXTRACT(CELL("address",'Raw Data'!C213),"\$([A-Z]+)\$[0-9]+")))</f>
        <v/>
      </c>
      <c r="D213" s="7" t="str" cm="1">
        <f t="array" aca="1" ref="D213" ca="1">IF(OR('Raw Data'!D213="",LEN(TRIM('Raw Data'!D213))=0,Validate_Empty!D213&lt;&gt;"",Validate_Value!D213&lt;&gt;""),"",IF('Raw Data'!D213 = Condition!D213,"",_xlfn.REGEXEXTRACT(CELL("address",'Raw Data'!D213),"\$([A-Z]+)\$[0-9]+")))</f>
        <v/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2:22" x14ac:dyDescent="0.25">
      <c r="B214" s="7" t="str" cm="1">
        <f t="array" aca="1" ref="B214" ca="1">IF(OR('Raw Data'!B214="",LEN(TRIM('Raw Data'!B214))=0,Validate_Empty!B214&lt;&gt;"",Validate_Value!B214&lt;&gt;""),"",IF('Raw Data'!B214 = Condition!B214,"",_xlfn.REGEXEXTRACT(CELL("address",'Raw Data'!B214),"\$([A-Z]+)\$[0-9]+")))</f>
        <v/>
      </c>
      <c r="C214" s="7" t="str" cm="1">
        <f t="array" aca="1" ref="C214" ca="1">IF(OR('Raw Data'!C214="",LEN(TRIM('Raw Data'!C214))=0,Validate_Empty!C214&lt;&gt;"",Validate_Value!C214&lt;&gt;""),"",IF('Raw Data'!C214 = Condition!C214,"",_xlfn.REGEXEXTRACT(CELL("address",'Raw Data'!C214),"\$([A-Z]+)\$[0-9]+")))</f>
        <v/>
      </c>
      <c r="D214" s="7" t="str" cm="1">
        <f t="array" aca="1" ref="D214" ca="1">IF(OR('Raw Data'!D214="",LEN(TRIM('Raw Data'!D214))=0,Validate_Empty!D214&lt;&gt;"",Validate_Value!D214&lt;&gt;""),"",IF('Raw Data'!D214 = Condition!D214,"",_xlfn.REGEXEXTRACT(CELL("address",'Raw Data'!D214),"\$([A-Z]+)\$[0-9]+")))</f>
        <v/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2:22" x14ac:dyDescent="0.25">
      <c r="B215" s="7" t="str" cm="1">
        <f t="array" aca="1" ref="B215" ca="1">IF(OR('Raw Data'!B215="",LEN(TRIM('Raw Data'!B215))=0,Validate_Empty!B215&lt;&gt;"",Validate_Value!B215&lt;&gt;""),"",IF('Raw Data'!B215 = Condition!B215,"",_xlfn.REGEXEXTRACT(CELL("address",'Raw Data'!B215),"\$([A-Z]+)\$[0-9]+")))</f>
        <v/>
      </c>
      <c r="C215" s="7" t="str" cm="1">
        <f t="array" aca="1" ref="C215" ca="1">IF(OR('Raw Data'!C215="",LEN(TRIM('Raw Data'!C215))=0,Validate_Empty!C215&lt;&gt;"",Validate_Value!C215&lt;&gt;""),"",IF('Raw Data'!C215 = Condition!C215,"",_xlfn.REGEXEXTRACT(CELL("address",'Raw Data'!C215),"\$([A-Z]+)\$[0-9]+")))</f>
        <v/>
      </c>
      <c r="D215" s="7" t="str" cm="1">
        <f t="array" aca="1" ref="D215" ca="1">IF(OR('Raw Data'!D215="",LEN(TRIM('Raw Data'!D215))=0,Validate_Empty!D215&lt;&gt;"",Validate_Value!D215&lt;&gt;""),"",IF('Raw Data'!D215 = Condition!D215,"",_xlfn.REGEXEXTRACT(CELL("address",'Raw Data'!D215),"\$([A-Z]+)\$[0-9]+")))</f>
        <v/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2:22" x14ac:dyDescent="0.25">
      <c r="B216" s="7" t="str" cm="1">
        <f t="array" aca="1" ref="B216" ca="1">IF(OR('Raw Data'!B216="",LEN(TRIM('Raw Data'!B216))=0,Validate_Empty!B216&lt;&gt;"",Validate_Value!B216&lt;&gt;""),"",IF('Raw Data'!B216 = Condition!B216,"",_xlfn.REGEXEXTRACT(CELL("address",'Raw Data'!B216),"\$([A-Z]+)\$[0-9]+")))</f>
        <v/>
      </c>
      <c r="C216" s="7" t="str" cm="1">
        <f t="array" aca="1" ref="C216" ca="1">IF(OR('Raw Data'!C216="",LEN(TRIM('Raw Data'!C216))=0,Validate_Empty!C216&lt;&gt;"",Validate_Value!C216&lt;&gt;""),"",IF('Raw Data'!C216 = Condition!C216,"",_xlfn.REGEXEXTRACT(CELL("address",'Raw Data'!C216),"\$([A-Z]+)\$[0-9]+")))</f>
        <v/>
      </c>
      <c r="D216" s="7" t="str" cm="1">
        <f t="array" aca="1" ref="D216" ca="1">IF(OR('Raw Data'!D216="",LEN(TRIM('Raw Data'!D216))=0,Validate_Empty!D216&lt;&gt;"",Validate_Value!D216&lt;&gt;""),"",IF('Raw Data'!D216 = Condition!D216,"",_xlfn.REGEXEXTRACT(CELL("address",'Raw Data'!D216),"\$([A-Z]+)\$[0-9]+")))</f>
        <v/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2:22" x14ac:dyDescent="0.25">
      <c r="B217" s="7" t="str" cm="1">
        <f t="array" aca="1" ref="B217" ca="1">IF(OR('Raw Data'!B217="",LEN(TRIM('Raw Data'!B217))=0,Validate_Empty!B217&lt;&gt;"",Validate_Value!B217&lt;&gt;""),"",IF('Raw Data'!B217 = Condition!B217,"",_xlfn.REGEXEXTRACT(CELL("address",'Raw Data'!B217),"\$([A-Z]+)\$[0-9]+")))</f>
        <v/>
      </c>
      <c r="C217" s="7" t="str" cm="1">
        <f t="array" aca="1" ref="C217" ca="1">IF(OR('Raw Data'!C217="",LEN(TRIM('Raw Data'!C217))=0,Validate_Empty!C217&lt;&gt;"",Validate_Value!C217&lt;&gt;""),"",IF('Raw Data'!C217 = Condition!C217,"",_xlfn.REGEXEXTRACT(CELL("address",'Raw Data'!C217),"\$([A-Z]+)\$[0-9]+")))</f>
        <v/>
      </c>
      <c r="D217" s="7" t="str" cm="1">
        <f t="array" aca="1" ref="D217" ca="1">IF(OR('Raw Data'!D217="",LEN(TRIM('Raw Data'!D217))=0,Validate_Empty!D217&lt;&gt;"",Validate_Value!D217&lt;&gt;""),"",IF('Raw Data'!D217 = Condition!D217,"",_xlfn.REGEXEXTRACT(CELL("address",'Raw Data'!D217),"\$([A-Z]+)\$[0-9]+")))</f>
        <v/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2:22" x14ac:dyDescent="0.25">
      <c r="B218" s="7" t="str" cm="1">
        <f t="array" aca="1" ref="B218" ca="1">IF(OR('Raw Data'!B218="",LEN(TRIM('Raw Data'!B218))=0,Validate_Empty!B218&lt;&gt;"",Validate_Value!B218&lt;&gt;""),"",IF('Raw Data'!B218 = Condition!B218,"",_xlfn.REGEXEXTRACT(CELL("address",'Raw Data'!B218),"\$([A-Z]+)\$[0-9]+")))</f>
        <v/>
      </c>
      <c r="C218" s="7" t="str" cm="1">
        <f t="array" aca="1" ref="C218" ca="1">IF(OR('Raw Data'!C218="",LEN(TRIM('Raw Data'!C218))=0,Validate_Empty!C218&lt;&gt;"",Validate_Value!C218&lt;&gt;""),"",IF('Raw Data'!C218 = Condition!C218,"",_xlfn.REGEXEXTRACT(CELL("address",'Raw Data'!C218),"\$([A-Z]+)\$[0-9]+")))</f>
        <v/>
      </c>
      <c r="D218" s="7" t="str" cm="1">
        <f t="array" aca="1" ref="D218" ca="1">IF(OR('Raw Data'!D218="",LEN(TRIM('Raw Data'!D218))=0,Validate_Empty!D218&lt;&gt;"",Validate_Value!D218&lt;&gt;""),"",IF('Raw Data'!D218 = Condition!D218,"",_xlfn.REGEXEXTRACT(CELL("address",'Raw Data'!D218),"\$([A-Z]+)\$[0-9]+")))</f>
        <v/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2:22" x14ac:dyDescent="0.25">
      <c r="B219" s="7" t="str" cm="1">
        <f t="array" aca="1" ref="B219" ca="1">IF(OR('Raw Data'!B219="",LEN(TRIM('Raw Data'!B219))=0,Validate_Empty!B219&lt;&gt;"",Validate_Value!B219&lt;&gt;""),"",IF('Raw Data'!B219 = Condition!B219,"",_xlfn.REGEXEXTRACT(CELL("address",'Raw Data'!B219),"\$([A-Z]+)\$[0-9]+")))</f>
        <v/>
      </c>
      <c r="C219" s="7" t="str" cm="1">
        <f t="array" aca="1" ref="C219" ca="1">IF(OR('Raw Data'!C219="",LEN(TRIM('Raw Data'!C219))=0,Validate_Empty!C219&lt;&gt;"",Validate_Value!C219&lt;&gt;""),"",IF('Raw Data'!C219 = Condition!C219,"",_xlfn.REGEXEXTRACT(CELL("address",'Raw Data'!C219),"\$([A-Z]+)\$[0-9]+")))</f>
        <v/>
      </c>
      <c r="D219" s="7" t="str" cm="1">
        <f t="array" aca="1" ref="D219" ca="1">IF(OR('Raw Data'!D219="",LEN(TRIM('Raw Data'!D219))=0,Validate_Empty!D219&lt;&gt;"",Validate_Value!D219&lt;&gt;""),"",IF('Raw Data'!D219 = Condition!D219,"",_xlfn.REGEXEXTRACT(CELL("address",'Raw Data'!D219),"\$([A-Z]+)\$[0-9]+")))</f>
        <v/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2:22" x14ac:dyDescent="0.25">
      <c r="B220" s="7" t="str" cm="1">
        <f t="array" aca="1" ref="B220" ca="1">IF(OR('Raw Data'!B220="",LEN(TRIM('Raw Data'!B220))=0,Validate_Empty!B220&lt;&gt;"",Validate_Value!B220&lt;&gt;""),"",IF('Raw Data'!B220 = Condition!B220,"",_xlfn.REGEXEXTRACT(CELL("address",'Raw Data'!B220),"\$([A-Z]+)\$[0-9]+")))</f>
        <v/>
      </c>
      <c r="C220" s="7" t="str" cm="1">
        <f t="array" aca="1" ref="C220" ca="1">IF(OR('Raw Data'!C220="",LEN(TRIM('Raw Data'!C220))=0,Validate_Empty!C220&lt;&gt;"",Validate_Value!C220&lt;&gt;""),"",IF('Raw Data'!C220 = Condition!C220,"",_xlfn.REGEXEXTRACT(CELL("address",'Raw Data'!C220),"\$([A-Z]+)\$[0-9]+")))</f>
        <v/>
      </c>
      <c r="D220" s="7" t="str" cm="1">
        <f t="array" aca="1" ref="D220" ca="1">IF(OR('Raw Data'!D220="",LEN(TRIM('Raw Data'!D220))=0,Validate_Empty!D220&lt;&gt;"",Validate_Value!D220&lt;&gt;""),"",IF('Raw Data'!D220 = Condition!D220,"",_xlfn.REGEXEXTRACT(CELL("address",'Raw Data'!D220),"\$([A-Z]+)\$[0-9]+")))</f>
        <v/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2:22" x14ac:dyDescent="0.25">
      <c r="B221" s="7" t="str" cm="1">
        <f t="array" aca="1" ref="B221" ca="1">IF(OR('Raw Data'!B221="",LEN(TRIM('Raw Data'!B221))=0,Validate_Empty!B221&lt;&gt;"",Validate_Value!B221&lt;&gt;""),"",IF('Raw Data'!B221 = Condition!B221,"",_xlfn.REGEXEXTRACT(CELL("address",'Raw Data'!B221),"\$([A-Z]+)\$[0-9]+")))</f>
        <v/>
      </c>
      <c r="C221" s="7" t="str" cm="1">
        <f t="array" aca="1" ref="C221" ca="1">IF(OR('Raw Data'!C221="",LEN(TRIM('Raw Data'!C221))=0,Validate_Empty!C221&lt;&gt;"",Validate_Value!C221&lt;&gt;""),"",IF('Raw Data'!C221 = Condition!C221,"",_xlfn.REGEXEXTRACT(CELL("address",'Raw Data'!C221),"\$([A-Z]+)\$[0-9]+")))</f>
        <v/>
      </c>
      <c r="D221" s="7" t="str" cm="1">
        <f t="array" aca="1" ref="D221" ca="1">IF(OR('Raw Data'!D221="",LEN(TRIM('Raw Data'!D221))=0,Validate_Empty!D221&lt;&gt;"",Validate_Value!D221&lt;&gt;""),"",IF('Raw Data'!D221 = Condition!D221,"",_xlfn.REGEXEXTRACT(CELL("address",'Raw Data'!D221),"\$([A-Z]+)\$[0-9]+")))</f>
        <v/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2:22" x14ac:dyDescent="0.25">
      <c r="B222" s="7" t="str" cm="1">
        <f t="array" aca="1" ref="B222" ca="1">IF(OR('Raw Data'!B222="",LEN(TRIM('Raw Data'!B222))=0,Validate_Empty!B222&lt;&gt;"",Validate_Value!B222&lt;&gt;""),"",IF('Raw Data'!B222 = Condition!B222,"",_xlfn.REGEXEXTRACT(CELL("address",'Raw Data'!B222),"\$([A-Z]+)\$[0-9]+")))</f>
        <v/>
      </c>
      <c r="C222" s="7" t="str" cm="1">
        <f t="array" aca="1" ref="C222" ca="1">IF(OR('Raw Data'!C222="",LEN(TRIM('Raw Data'!C222))=0,Validate_Empty!C222&lt;&gt;"",Validate_Value!C222&lt;&gt;""),"",IF('Raw Data'!C222 = Condition!C222,"",_xlfn.REGEXEXTRACT(CELL("address",'Raw Data'!C222),"\$([A-Z]+)\$[0-9]+")))</f>
        <v/>
      </c>
      <c r="D222" s="7" t="str" cm="1">
        <f t="array" aca="1" ref="D222" ca="1">IF(OR('Raw Data'!D222="",LEN(TRIM('Raw Data'!D222))=0,Validate_Empty!D222&lt;&gt;"",Validate_Value!D222&lt;&gt;""),"",IF('Raw Data'!D222 = Condition!D222,"",_xlfn.REGEXEXTRACT(CELL("address",'Raw Data'!D222),"\$([A-Z]+)\$[0-9]+")))</f>
        <v/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2:22" x14ac:dyDescent="0.25">
      <c r="B223" s="7" t="str" cm="1">
        <f t="array" aca="1" ref="B223" ca="1">IF(OR('Raw Data'!B223="",LEN(TRIM('Raw Data'!B223))=0,Validate_Empty!B223&lt;&gt;"",Validate_Value!B223&lt;&gt;""),"",IF('Raw Data'!B223 = Condition!B223,"",_xlfn.REGEXEXTRACT(CELL("address",'Raw Data'!B223),"\$([A-Z]+)\$[0-9]+")))</f>
        <v/>
      </c>
      <c r="C223" s="7" t="str" cm="1">
        <f t="array" aca="1" ref="C223" ca="1">IF(OR('Raw Data'!C223="",LEN(TRIM('Raw Data'!C223))=0,Validate_Empty!C223&lt;&gt;"",Validate_Value!C223&lt;&gt;""),"",IF('Raw Data'!C223 = Condition!C223,"",_xlfn.REGEXEXTRACT(CELL("address",'Raw Data'!C223),"\$([A-Z]+)\$[0-9]+")))</f>
        <v/>
      </c>
      <c r="D223" s="7" t="str" cm="1">
        <f t="array" aca="1" ref="D223" ca="1">IF(OR('Raw Data'!D223="",LEN(TRIM('Raw Data'!D223))=0,Validate_Empty!D223&lt;&gt;"",Validate_Value!D223&lt;&gt;""),"",IF('Raw Data'!D223 = Condition!D223,"",_xlfn.REGEXEXTRACT(CELL("address",'Raw Data'!D223),"\$([A-Z]+)\$[0-9]+")))</f>
        <v/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2:22" x14ac:dyDescent="0.25">
      <c r="B224" s="7" t="str" cm="1">
        <f t="array" aca="1" ref="B224" ca="1">IF(OR('Raw Data'!B224="",LEN(TRIM('Raw Data'!B224))=0,Validate_Empty!B224&lt;&gt;"",Validate_Value!B224&lt;&gt;""),"",IF('Raw Data'!B224 = Condition!B224,"",_xlfn.REGEXEXTRACT(CELL("address",'Raw Data'!B224),"\$([A-Z]+)\$[0-9]+")))</f>
        <v/>
      </c>
      <c r="C224" s="7" t="str" cm="1">
        <f t="array" aca="1" ref="C224" ca="1">IF(OR('Raw Data'!C224="",LEN(TRIM('Raw Data'!C224))=0,Validate_Empty!C224&lt;&gt;"",Validate_Value!C224&lt;&gt;""),"",IF('Raw Data'!C224 = Condition!C224,"",_xlfn.REGEXEXTRACT(CELL("address",'Raw Data'!C224),"\$([A-Z]+)\$[0-9]+")))</f>
        <v/>
      </c>
      <c r="D224" s="7" t="str" cm="1">
        <f t="array" aca="1" ref="D224" ca="1">IF(OR('Raw Data'!D224="",LEN(TRIM('Raw Data'!D224))=0,Validate_Empty!D224&lt;&gt;"",Validate_Value!D224&lt;&gt;""),"",IF('Raw Data'!D224 = Condition!D224,"",_xlfn.REGEXEXTRACT(CELL("address",'Raw Data'!D224),"\$([A-Z]+)\$[0-9]+")))</f>
        <v/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2:22" x14ac:dyDescent="0.25">
      <c r="B225" s="7" t="str" cm="1">
        <f t="array" aca="1" ref="B225" ca="1">IF(OR('Raw Data'!B225="",LEN(TRIM('Raw Data'!B225))=0,Validate_Empty!B225&lt;&gt;"",Validate_Value!B225&lt;&gt;""),"",IF('Raw Data'!B225 = Condition!B225,"",_xlfn.REGEXEXTRACT(CELL("address",'Raw Data'!B225),"\$([A-Z]+)\$[0-9]+")))</f>
        <v/>
      </c>
      <c r="C225" s="7" t="str" cm="1">
        <f t="array" aca="1" ref="C225" ca="1">IF(OR('Raw Data'!C225="",LEN(TRIM('Raw Data'!C225))=0,Validate_Empty!C225&lt;&gt;"",Validate_Value!C225&lt;&gt;""),"",IF('Raw Data'!C225 = Condition!C225,"",_xlfn.REGEXEXTRACT(CELL("address",'Raw Data'!C225),"\$([A-Z]+)\$[0-9]+")))</f>
        <v/>
      </c>
      <c r="D225" s="7" t="str" cm="1">
        <f t="array" aca="1" ref="D225" ca="1">IF(OR('Raw Data'!D225="",LEN(TRIM('Raw Data'!D225))=0,Validate_Empty!D225&lt;&gt;"",Validate_Value!D225&lt;&gt;""),"",IF('Raw Data'!D225 = Condition!D225,"",_xlfn.REGEXEXTRACT(CELL("address",'Raw Data'!D225),"\$([A-Z]+)\$[0-9]+")))</f>
        <v/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2:22" x14ac:dyDescent="0.25">
      <c r="B226" s="7" t="str" cm="1">
        <f t="array" aca="1" ref="B226" ca="1">IF(OR('Raw Data'!B226="",LEN(TRIM('Raw Data'!B226))=0,Validate_Empty!B226&lt;&gt;"",Validate_Value!B226&lt;&gt;""),"",IF('Raw Data'!B226 = Condition!B226,"",_xlfn.REGEXEXTRACT(CELL("address",'Raw Data'!B226),"\$([A-Z]+)\$[0-9]+")))</f>
        <v/>
      </c>
      <c r="C226" s="7" t="str" cm="1">
        <f t="array" aca="1" ref="C226" ca="1">IF(OR('Raw Data'!C226="",LEN(TRIM('Raw Data'!C226))=0,Validate_Empty!C226&lt;&gt;"",Validate_Value!C226&lt;&gt;""),"",IF('Raw Data'!C226 = Condition!C226,"",_xlfn.REGEXEXTRACT(CELL("address",'Raw Data'!C226),"\$([A-Z]+)\$[0-9]+")))</f>
        <v/>
      </c>
      <c r="D226" s="7" t="str" cm="1">
        <f t="array" aca="1" ref="D226" ca="1">IF(OR('Raw Data'!D226="",LEN(TRIM('Raw Data'!D226))=0,Validate_Empty!D226&lt;&gt;"",Validate_Value!D226&lt;&gt;""),"",IF('Raw Data'!D226 = Condition!D226,"",_xlfn.REGEXEXTRACT(CELL("address",'Raw Data'!D226),"\$([A-Z]+)\$[0-9]+")))</f>
        <v/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2:22" x14ac:dyDescent="0.25">
      <c r="B227" s="7" t="str" cm="1">
        <f t="array" aca="1" ref="B227" ca="1">IF(OR('Raw Data'!B227="",LEN(TRIM('Raw Data'!B227))=0,Validate_Empty!B227&lt;&gt;"",Validate_Value!B227&lt;&gt;""),"",IF('Raw Data'!B227 = Condition!B227,"",_xlfn.REGEXEXTRACT(CELL("address",'Raw Data'!B227),"\$([A-Z]+)\$[0-9]+")))</f>
        <v/>
      </c>
      <c r="C227" s="7" t="str" cm="1">
        <f t="array" aca="1" ref="C227" ca="1">IF(OR('Raw Data'!C227="",LEN(TRIM('Raw Data'!C227))=0,Validate_Empty!C227&lt;&gt;"",Validate_Value!C227&lt;&gt;""),"",IF('Raw Data'!C227 = Condition!C227,"",_xlfn.REGEXEXTRACT(CELL("address",'Raw Data'!C227),"\$([A-Z]+)\$[0-9]+")))</f>
        <v/>
      </c>
      <c r="D227" s="7" t="str" cm="1">
        <f t="array" aca="1" ref="D227" ca="1">IF(OR('Raw Data'!D227="",LEN(TRIM('Raw Data'!D227))=0,Validate_Empty!D227&lt;&gt;"",Validate_Value!D227&lt;&gt;""),"",IF('Raw Data'!D227 = Condition!D227,"",_xlfn.REGEXEXTRACT(CELL("address",'Raw Data'!D227),"\$([A-Z]+)\$[0-9]+")))</f>
        <v/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2:22" x14ac:dyDescent="0.25">
      <c r="B228" s="7" t="str" cm="1">
        <f t="array" aca="1" ref="B228" ca="1">IF(OR('Raw Data'!B228="",LEN(TRIM('Raw Data'!B228))=0,Validate_Empty!B228&lt;&gt;"",Validate_Value!B228&lt;&gt;""),"",IF('Raw Data'!B228 = Condition!B228,"",_xlfn.REGEXEXTRACT(CELL("address",'Raw Data'!B228),"\$([A-Z]+)\$[0-9]+")))</f>
        <v/>
      </c>
      <c r="C228" s="7" t="str" cm="1">
        <f t="array" aca="1" ref="C228" ca="1">IF(OR('Raw Data'!C228="",LEN(TRIM('Raw Data'!C228))=0,Validate_Empty!C228&lt;&gt;"",Validate_Value!C228&lt;&gt;""),"",IF('Raw Data'!C228 = Condition!C228,"",_xlfn.REGEXEXTRACT(CELL("address",'Raw Data'!C228),"\$([A-Z]+)\$[0-9]+")))</f>
        <v/>
      </c>
      <c r="D228" s="7" t="str" cm="1">
        <f t="array" aca="1" ref="D228" ca="1">IF(OR('Raw Data'!D228="",LEN(TRIM('Raw Data'!D228))=0,Validate_Empty!D228&lt;&gt;"",Validate_Value!D228&lt;&gt;""),"",IF('Raw Data'!D228 = Condition!D228,"",_xlfn.REGEXEXTRACT(CELL("address",'Raw Data'!D228),"\$([A-Z]+)\$[0-9]+")))</f>
        <v/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2:22" x14ac:dyDescent="0.25">
      <c r="B229" s="7" t="str" cm="1">
        <f t="array" aca="1" ref="B229" ca="1">IF(OR('Raw Data'!B229="",LEN(TRIM('Raw Data'!B229))=0,Validate_Empty!B229&lt;&gt;"",Validate_Value!B229&lt;&gt;""),"",IF('Raw Data'!B229 = Condition!B229,"",_xlfn.REGEXEXTRACT(CELL("address",'Raw Data'!B229),"\$([A-Z]+)\$[0-9]+")))</f>
        <v/>
      </c>
      <c r="C229" s="7" t="str" cm="1">
        <f t="array" aca="1" ref="C229" ca="1">IF(OR('Raw Data'!C229="",LEN(TRIM('Raw Data'!C229))=0,Validate_Empty!C229&lt;&gt;"",Validate_Value!C229&lt;&gt;""),"",IF('Raw Data'!C229 = Condition!C229,"",_xlfn.REGEXEXTRACT(CELL("address",'Raw Data'!C229),"\$([A-Z]+)\$[0-9]+")))</f>
        <v/>
      </c>
      <c r="D229" s="7" t="str" cm="1">
        <f t="array" aca="1" ref="D229" ca="1">IF(OR('Raw Data'!D229="",LEN(TRIM('Raw Data'!D229))=0,Validate_Empty!D229&lt;&gt;"",Validate_Value!D229&lt;&gt;""),"",IF('Raw Data'!D229 = Condition!D229,"",_xlfn.REGEXEXTRACT(CELL("address",'Raw Data'!D229),"\$([A-Z]+)\$[0-9]+")))</f>
        <v/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2:22" x14ac:dyDescent="0.25">
      <c r="B230" s="7" t="str" cm="1">
        <f t="array" aca="1" ref="B230" ca="1">IF(OR('Raw Data'!B230="",LEN(TRIM('Raw Data'!B230))=0,Validate_Empty!B230&lt;&gt;"",Validate_Value!B230&lt;&gt;""),"",IF('Raw Data'!B230 = Condition!B230,"",_xlfn.REGEXEXTRACT(CELL("address",'Raw Data'!B230),"\$([A-Z]+)\$[0-9]+")))</f>
        <v/>
      </c>
      <c r="C230" s="7" t="str" cm="1">
        <f t="array" aca="1" ref="C230" ca="1">IF(OR('Raw Data'!C230="",LEN(TRIM('Raw Data'!C230))=0,Validate_Empty!C230&lt;&gt;"",Validate_Value!C230&lt;&gt;""),"",IF('Raw Data'!C230 = Condition!C230,"",_xlfn.REGEXEXTRACT(CELL("address",'Raw Data'!C230),"\$([A-Z]+)\$[0-9]+")))</f>
        <v/>
      </c>
      <c r="D230" s="7" t="str" cm="1">
        <f t="array" aca="1" ref="D230" ca="1">IF(OR('Raw Data'!D230="",LEN(TRIM('Raw Data'!D230))=0,Validate_Empty!D230&lt;&gt;"",Validate_Value!D230&lt;&gt;""),"",IF('Raw Data'!D230 = Condition!D230,"",_xlfn.REGEXEXTRACT(CELL("address",'Raw Data'!D230),"\$([A-Z]+)\$[0-9]+")))</f>
        <v/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2:22" x14ac:dyDescent="0.25">
      <c r="B231" s="7" t="str" cm="1">
        <f t="array" aca="1" ref="B231" ca="1">IF(OR('Raw Data'!B231="",LEN(TRIM('Raw Data'!B231))=0,Validate_Empty!B231&lt;&gt;"",Validate_Value!B231&lt;&gt;""),"",IF('Raw Data'!B231 = Condition!B231,"",_xlfn.REGEXEXTRACT(CELL("address",'Raw Data'!B231),"\$([A-Z]+)\$[0-9]+")))</f>
        <v/>
      </c>
      <c r="C231" s="7" t="str" cm="1">
        <f t="array" aca="1" ref="C231" ca="1">IF(OR('Raw Data'!C231="",LEN(TRIM('Raw Data'!C231))=0,Validate_Empty!C231&lt;&gt;"",Validate_Value!C231&lt;&gt;""),"",IF('Raw Data'!C231 = Condition!C231,"",_xlfn.REGEXEXTRACT(CELL("address",'Raw Data'!C231),"\$([A-Z]+)\$[0-9]+")))</f>
        <v/>
      </c>
      <c r="D231" s="7" t="str" cm="1">
        <f t="array" aca="1" ref="D231" ca="1">IF(OR('Raw Data'!D231="",LEN(TRIM('Raw Data'!D231))=0,Validate_Empty!D231&lt;&gt;"",Validate_Value!D231&lt;&gt;""),"",IF('Raw Data'!D231 = Condition!D231,"",_xlfn.REGEXEXTRACT(CELL("address",'Raw Data'!D231),"\$([A-Z]+)\$[0-9]+")))</f>
        <v/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2:22" x14ac:dyDescent="0.25">
      <c r="B232" s="7" t="str" cm="1">
        <f t="array" aca="1" ref="B232" ca="1">IF(OR('Raw Data'!B232="",LEN(TRIM('Raw Data'!B232))=0,Validate_Empty!B232&lt;&gt;"",Validate_Value!B232&lt;&gt;""),"",IF('Raw Data'!B232 = Condition!B232,"",_xlfn.REGEXEXTRACT(CELL("address",'Raw Data'!B232),"\$([A-Z]+)\$[0-9]+")))</f>
        <v/>
      </c>
      <c r="C232" s="7" t="str" cm="1">
        <f t="array" aca="1" ref="C232" ca="1">IF(OR('Raw Data'!C232="",LEN(TRIM('Raw Data'!C232))=0,Validate_Empty!C232&lt;&gt;"",Validate_Value!C232&lt;&gt;""),"",IF('Raw Data'!C232 = Condition!C232,"",_xlfn.REGEXEXTRACT(CELL("address",'Raw Data'!C232),"\$([A-Z]+)\$[0-9]+")))</f>
        <v/>
      </c>
      <c r="D232" s="7" t="str" cm="1">
        <f t="array" aca="1" ref="D232" ca="1">IF(OR('Raw Data'!D232="",LEN(TRIM('Raw Data'!D232))=0,Validate_Empty!D232&lt;&gt;"",Validate_Value!D232&lt;&gt;""),"",IF('Raw Data'!D232 = Condition!D232,"",_xlfn.REGEXEXTRACT(CELL("address",'Raw Data'!D232),"\$([A-Z]+)\$[0-9]+")))</f>
        <v/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2:22" x14ac:dyDescent="0.25">
      <c r="B233" s="7" t="str" cm="1">
        <f t="array" aca="1" ref="B233" ca="1">IF(OR('Raw Data'!B233="",LEN(TRIM('Raw Data'!B233))=0,Validate_Empty!B233&lt;&gt;"",Validate_Value!B233&lt;&gt;""),"",IF('Raw Data'!B233 = Condition!B233,"",_xlfn.REGEXEXTRACT(CELL("address",'Raw Data'!B233),"\$([A-Z]+)\$[0-9]+")))</f>
        <v/>
      </c>
      <c r="C233" s="7" t="str" cm="1">
        <f t="array" aca="1" ref="C233" ca="1">IF(OR('Raw Data'!C233="",LEN(TRIM('Raw Data'!C233))=0,Validate_Empty!C233&lt;&gt;"",Validate_Value!C233&lt;&gt;""),"",IF('Raw Data'!C233 = Condition!C233,"",_xlfn.REGEXEXTRACT(CELL("address",'Raw Data'!C233),"\$([A-Z]+)\$[0-9]+")))</f>
        <v/>
      </c>
      <c r="D233" s="7" t="str" cm="1">
        <f t="array" aca="1" ref="D233" ca="1">IF(OR('Raw Data'!D233="",LEN(TRIM('Raw Data'!D233))=0,Validate_Empty!D233&lt;&gt;"",Validate_Value!D233&lt;&gt;""),"",IF('Raw Data'!D233 = Condition!D233,"",_xlfn.REGEXEXTRACT(CELL("address",'Raw Data'!D233),"\$([A-Z]+)\$[0-9]+")))</f>
        <v/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2:22" x14ac:dyDescent="0.25">
      <c r="B234" s="7" t="str" cm="1">
        <f t="array" aca="1" ref="B234" ca="1">IF(OR('Raw Data'!B234="",LEN(TRIM('Raw Data'!B234))=0,Validate_Empty!B234&lt;&gt;"",Validate_Value!B234&lt;&gt;""),"",IF('Raw Data'!B234 = Condition!B234,"",_xlfn.REGEXEXTRACT(CELL("address",'Raw Data'!B234),"\$([A-Z]+)\$[0-9]+")))</f>
        <v/>
      </c>
      <c r="C234" s="7" t="str" cm="1">
        <f t="array" aca="1" ref="C234" ca="1">IF(OR('Raw Data'!C234="",LEN(TRIM('Raw Data'!C234))=0,Validate_Empty!C234&lt;&gt;"",Validate_Value!C234&lt;&gt;""),"",IF('Raw Data'!C234 = Condition!C234,"",_xlfn.REGEXEXTRACT(CELL("address",'Raw Data'!C234),"\$([A-Z]+)\$[0-9]+")))</f>
        <v/>
      </c>
      <c r="D234" s="7" t="str" cm="1">
        <f t="array" aca="1" ref="D234" ca="1">IF(OR('Raw Data'!D234="",LEN(TRIM('Raw Data'!D234))=0,Validate_Empty!D234&lt;&gt;"",Validate_Value!D234&lt;&gt;""),"",IF('Raw Data'!D234 = Condition!D234,"",_xlfn.REGEXEXTRACT(CELL("address",'Raw Data'!D234),"\$([A-Z]+)\$[0-9]+")))</f>
        <v/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2:22" x14ac:dyDescent="0.25">
      <c r="B235" s="7" t="str" cm="1">
        <f t="array" aca="1" ref="B235" ca="1">IF(OR('Raw Data'!B235="",LEN(TRIM('Raw Data'!B235))=0,Validate_Empty!B235&lt;&gt;"",Validate_Value!B235&lt;&gt;""),"",IF('Raw Data'!B235 = Condition!B235,"",_xlfn.REGEXEXTRACT(CELL("address",'Raw Data'!B235),"\$([A-Z]+)\$[0-9]+")))</f>
        <v/>
      </c>
      <c r="C235" s="7" t="str" cm="1">
        <f t="array" aca="1" ref="C235" ca="1">IF(OR('Raw Data'!C235="",LEN(TRIM('Raw Data'!C235))=0,Validate_Empty!C235&lt;&gt;"",Validate_Value!C235&lt;&gt;""),"",IF('Raw Data'!C235 = Condition!C235,"",_xlfn.REGEXEXTRACT(CELL("address",'Raw Data'!C235),"\$([A-Z]+)\$[0-9]+")))</f>
        <v/>
      </c>
      <c r="D235" s="7" t="str" cm="1">
        <f t="array" aca="1" ref="D235" ca="1">IF(OR('Raw Data'!D235="",LEN(TRIM('Raw Data'!D235))=0,Validate_Empty!D235&lt;&gt;"",Validate_Value!D235&lt;&gt;""),"",IF('Raw Data'!D235 = Condition!D235,"",_xlfn.REGEXEXTRACT(CELL("address",'Raw Data'!D235),"\$([A-Z]+)\$[0-9]+")))</f>
        <v/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2:22" x14ac:dyDescent="0.25">
      <c r="B236" s="7" t="str" cm="1">
        <f t="array" aca="1" ref="B236" ca="1">IF(OR('Raw Data'!B236="",LEN(TRIM('Raw Data'!B236))=0,Validate_Empty!B236&lt;&gt;"",Validate_Value!B236&lt;&gt;""),"",IF('Raw Data'!B236 = Condition!B236,"",_xlfn.REGEXEXTRACT(CELL("address",'Raw Data'!B236),"\$([A-Z]+)\$[0-9]+")))</f>
        <v/>
      </c>
      <c r="C236" s="7" t="str" cm="1">
        <f t="array" aca="1" ref="C236" ca="1">IF(OR('Raw Data'!C236="",LEN(TRIM('Raw Data'!C236))=0,Validate_Empty!C236&lt;&gt;"",Validate_Value!C236&lt;&gt;""),"",IF('Raw Data'!C236 = Condition!C236,"",_xlfn.REGEXEXTRACT(CELL("address",'Raw Data'!C236),"\$([A-Z]+)\$[0-9]+")))</f>
        <v/>
      </c>
      <c r="D236" s="7" t="str" cm="1">
        <f t="array" aca="1" ref="D236" ca="1">IF(OR('Raw Data'!D236="",LEN(TRIM('Raw Data'!D236))=0,Validate_Empty!D236&lt;&gt;"",Validate_Value!D236&lt;&gt;""),"",IF('Raw Data'!D236 = Condition!D236,"",_xlfn.REGEXEXTRACT(CELL("address",'Raw Data'!D236),"\$([A-Z]+)\$[0-9]+")))</f>
        <v/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2:22" x14ac:dyDescent="0.25">
      <c r="B237" s="7" t="str" cm="1">
        <f t="array" aca="1" ref="B237" ca="1">IF(OR('Raw Data'!B237="",LEN(TRIM('Raw Data'!B237))=0,Validate_Empty!B237&lt;&gt;"",Validate_Value!B237&lt;&gt;""),"",IF('Raw Data'!B237 = Condition!B237,"",_xlfn.REGEXEXTRACT(CELL("address",'Raw Data'!B237),"\$([A-Z]+)\$[0-9]+")))</f>
        <v/>
      </c>
      <c r="C237" s="7" t="str" cm="1">
        <f t="array" aca="1" ref="C237" ca="1">IF(OR('Raw Data'!C237="",LEN(TRIM('Raw Data'!C237))=0,Validate_Empty!C237&lt;&gt;"",Validate_Value!C237&lt;&gt;""),"",IF('Raw Data'!C237 = Condition!C237,"",_xlfn.REGEXEXTRACT(CELL("address",'Raw Data'!C237),"\$([A-Z]+)\$[0-9]+")))</f>
        <v/>
      </c>
      <c r="D237" s="7" t="str" cm="1">
        <f t="array" aca="1" ref="D237" ca="1">IF(OR('Raw Data'!D237="",LEN(TRIM('Raw Data'!D237))=0,Validate_Empty!D237&lt;&gt;"",Validate_Value!D237&lt;&gt;""),"",IF('Raw Data'!D237 = Condition!D237,"",_xlfn.REGEXEXTRACT(CELL("address",'Raw Data'!D237),"\$([A-Z]+)\$[0-9]+")))</f>
        <v/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2:22" x14ac:dyDescent="0.25">
      <c r="B238" s="7" t="str" cm="1">
        <f t="array" aca="1" ref="B238" ca="1">IF(OR('Raw Data'!B238="",LEN(TRIM('Raw Data'!B238))=0,Validate_Empty!B238&lt;&gt;"",Validate_Value!B238&lt;&gt;""),"",IF('Raw Data'!B238 = Condition!B238,"",_xlfn.REGEXEXTRACT(CELL("address",'Raw Data'!B238),"\$([A-Z]+)\$[0-9]+")))</f>
        <v/>
      </c>
      <c r="C238" s="7" t="str" cm="1">
        <f t="array" aca="1" ref="C238" ca="1">IF(OR('Raw Data'!C238="",LEN(TRIM('Raw Data'!C238))=0,Validate_Empty!C238&lt;&gt;"",Validate_Value!C238&lt;&gt;""),"",IF('Raw Data'!C238 = Condition!C238,"",_xlfn.REGEXEXTRACT(CELL("address",'Raw Data'!C238),"\$([A-Z]+)\$[0-9]+")))</f>
        <v/>
      </c>
      <c r="D238" s="7" t="str" cm="1">
        <f t="array" aca="1" ref="D238" ca="1">IF(OR('Raw Data'!D238="",LEN(TRIM('Raw Data'!D238))=0,Validate_Empty!D238&lt;&gt;"",Validate_Value!D238&lt;&gt;""),"",IF('Raw Data'!D238 = Condition!D238,"",_xlfn.REGEXEXTRACT(CELL("address",'Raw Data'!D238),"\$([A-Z]+)\$[0-9]+")))</f>
        <v/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2:22" x14ac:dyDescent="0.25">
      <c r="B239" s="7" t="str" cm="1">
        <f t="array" aca="1" ref="B239" ca="1">IF(OR('Raw Data'!B239="",LEN(TRIM('Raw Data'!B239))=0,Validate_Empty!B239&lt;&gt;"",Validate_Value!B239&lt;&gt;""),"",IF('Raw Data'!B239 = Condition!B239,"",_xlfn.REGEXEXTRACT(CELL("address",'Raw Data'!B239),"\$([A-Z]+)\$[0-9]+")))</f>
        <v/>
      </c>
      <c r="C239" s="7" t="str" cm="1">
        <f t="array" aca="1" ref="C239" ca="1">IF(OR('Raw Data'!C239="",LEN(TRIM('Raw Data'!C239))=0,Validate_Empty!C239&lt;&gt;"",Validate_Value!C239&lt;&gt;""),"",IF('Raw Data'!C239 = Condition!C239,"",_xlfn.REGEXEXTRACT(CELL("address",'Raw Data'!C239),"\$([A-Z]+)\$[0-9]+")))</f>
        <v/>
      </c>
      <c r="D239" s="7" t="str" cm="1">
        <f t="array" aca="1" ref="D239" ca="1">IF(OR('Raw Data'!D239="",LEN(TRIM('Raw Data'!D239))=0,Validate_Empty!D239&lt;&gt;"",Validate_Value!D239&lt;&gt;""),"",IF('Raw Data'!D239 = Condition!D239,"",_xlfn.REGEXEXTRACT(CELL("address",'Raw Data'!D239),"\$([A-Z]+)\$[0-9]+")))</f>
        <v/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2:22" x14ac:dyDescent="0.25">
      <c r="B240" s="7" t="str" cm="1">
        <f t="array" aca="1" ref="B240" ca="1">IF(OR('Raw Data'!B240="",LEN(TRIM('Raw Data'!B240))=0,Validate_Empty!B240&lt;&gt;"",Validate_Value!B240&lt;&gt;""),"",IF('Raw Data'!B240 = Condition!B240,"",_xlfn.REGEXEXTRACT(CELL("address",'Raw Data'!B240),"\$([A-Z]+)\$[0-9]+")))</f>
        <v/>
      </c>
      <c r="C240" s="7" t="str" cm="1">
        <f t="array" aca="1" ref="C240" ca="1">IF(OR('Raw Data'!C240="",LEN(TRIM('Raw Data'!C240))=0,Validate_Empty!C240&lt;&gt;"",Validate_Value!C240&lt;&gt;""),"",IF('Raw Data'!C240 = Condition!C240,"",_xlfn.REGEXEXTRACT(CELL("address",'Raw Data'!C240),"\$([A-Z]+)\$[0-9]+")))</f>
        <v/>
      </c>
      <c r="D240" s="7" t="str" cm="1">
        <f t="array" aca="1" ref="D240" ca="1">IF(OR('Raw Data'!D240="",LEN(TRIM('Raw Data'!D240))=0,Validate_Empty!D240&lt;&gt;"",Validate_Value!D240&lt;&gt;""),"",IF('Raw Data'!D240 = Condition!D240,"",_xlfn.REGEXEXTRACT(CELL("address",'Raw Data'!D240),"\$([A-Z]+)\$[0-9]+")))</f>
        <v/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2:22" x14ac:dyDescent="0.25">
      <c r="B241" s="7" t="str" cm="1">
        <f t="array" aca="1" ref="B241" ca="1">IF(OR('Raw Data'!B241="",LEN(TRIM('Raw Data'!B241))=0,Validate_Empty!B241&lt;&gt;"",Validate_Value!B241&lt;&gt;""),"",IF('Raw Data'!B241 = Condition!B241,"",_xlfn.REGEXEXTRACT(CELL("address",'Raw Data'!B241),"\$([A-Z]+)\$[0-9]+")))</f>
        <v/>
      </c>
      <c r="C241" s="7" t="str" cm="1">
        <f t="array" aca="1" ref="C241" ca="1">IF(OR('Raw Data'!C241="",LEN(TRIM('Raw Data'!C241))=0,Validate_Empty!C241&lt;&gt;"",Validate_Value!C241&lt;&gt;""),"",IF('Raw Data'!C241 = Condition!C241,"",_xlfn.REGEXEXTRACT(CELL("address",'Raw Data'!C241),"\$([A-Z]+)\$[0-9]+")))</f>
        <v/>
      </c>
      <c r="D241" s="7" t="str" cm="1">
        <f t="array" aca="1" ref="D241" ca="1">IF(OR('Raw Data'!D241="",LEN(TRIM('Raw Data'!D241))=0,Validate_Empty!D241&lt;&gt;"",Validate_Value!D241&lt;&gt;""),"",IF('Raw Data'!D241 = Condition!D241,"",_xlfn.REGEXEXTRACT(CELL("address",'Raw Data'!D241),"\$([A-Z]+)\$[0-9]+")))</f>
        <v/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2:22" x14ac:dyDescent="0.25">
      <c r="B242" s="7" t="str" cm="1">
        <f t="array" aca="1" ref="B242" ca="1">IF(OR('Raw Data'!B242="",LEN(TRIM('Raw Data'!B242))=0,Validate_Empty!B242&lt;&gt;"",Validate_Value!B242&lt;&gt;""),"",IF('Raw Data'!B242 = Condition!B242,"",_xlfn.REGEXEXTRACT(CELL("address",'Raw Data'!B242),"\$([A-Z]+)\$[0-9]+")))</f>
        <v/>
      </c>
      <c r="C242" s="7" t="str" cm="1">
        <f t="array" aca="1" ref="C242" ca="1">IF(OR('Raw Data'!C242="",LEN(TRIM('Raw Data'!C242))=0,Validate_Empty!C242&lt;&gt;"",Validate_Value!C242&lt;&gt;""),"",IF('Raw Data'!C242 = Condition!C242,"",_xlfn.REGEXEXTRACT(CELL("address",'Raw Data'!C242),"\$([A-Z]+)\$[0-9]+")))</f>
        <v/>
      </c>
      <c r="D242" s="7" t="str" cm="1">
        <f t="array" aca="1" ref="D242" ca="1">IF(OR('Raw Data'!D242="",LEN(TRIM('Raw Data'!D242))=0,Validate_Empty!D242&lt;&gt;"",Validate_Value!D242&lt;&gt;""),"",IF('Raw Data'!D242 = Condition!D242,"",_xlfn.REGEXEXTRACT(CELL("address",'Raw Data'!D242),"\$([A-Z]+)\$[0-9]+")))</f>
        <v/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2:22" x14ac:dyDescent="0.25">
      <c r="B243" s="7" t="str" cm="1">
        <f t="array" aca="1" ref="B243" ca="1">IF(OR('Raw Data'!B243="",LEN(TRIM('Raw Data'!B243))=0,Validate_Empty!B243&lt;&gt;"",Validate_Value!B243&lt;&gt;""),"",IF('Raw Data'!B243 = Condition!B243,"",_xlfn.REGEXEXTRACT(CELL("address",'Raw Data'!B243),"\$([A-Z]+)\$[0-9]+")))</f>
        <v/>
      </c>
      <c r="C243" s="7" t="str" cm="1">
        <f t="array" aca="1" ref="C243" ca="1">IF(OR('Raw Data'!C243="",LEN(TRIM('Raw Data'!C243))=0,Validate_Empty!C243&lt;&gt;"",Validate_Value!C243&lt;&gt;""),"",IF('Raw Data'!C243 = Condition!C243,"",_xlfn.REGEXEXTRACT(CELL("address",'Raw Data'!C243),"\$([A-Z]+)\$[0-9]+")))</f>
        <v/>
      </c>
      <c r="D243" s="7" t="str" cm="1">
        <f t="array" aca="1" ref="D243" ca="1">IF(OR('Raw Data'!D243="",LEN(TRIM('Raw Data'!D243))=0,Validate_Empty!D243&lt;&gt;"",Validate_Value!D243&lt;&gt;""),"",IF('Raw Data'!D243 = Condition!D243,"",_xlfn.REGEXEXTRACT(CELL("address",'Raw Data'!D243),"\$([A-Z]+)\$[0-9]+")))</f>
        <v/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2:22" x14ac:dyDescent="0.25">
      <c r="B244" s="7" t="str" cm="1">
        <f t="array" aca="1" ref="B244" ca="1">IF(OR('Raw Data'!B244="",LEN(TRIM('Raw Data'!B244))=0,Validate_Empty!B244&lt;&gt;"",Validate_Value!B244&lt;&gt;""),"",IF('Raw Data'!B244 = Condition!B244,"",_xlfn.REGEXEXTRACT(CELL("address",'Raw Data'!B244),"\$([A-Z]+)\$[0-9]+")))</f>
        <v/>
      </c>
      <c r="C244" s="7" t="str" cm="1">
        <f t="array" aca="1" ref="C244" ca="1">IF(OR('Raw Data'!C244="",LEN(TRIM('Raw Data'!C244))=0,Validate_Empty!C244&lt;&gt;"",Validate_Value!C244&lt;&gt;""),"",IF('Raw Data'!C244 = Condition!C244,"",_xlfn.REGEXEXTRACT(CELL("address",'Raw Data'!C244),"\$([A-Z]+)\$[0-9]+")))</f>
        <v/>
      </c>
      <c r="D244" s="7" t="str" cm="1">
        <f t="array" aca="1" ref="D244" ca="1">IF(OR('Raw Data'!D244="",LEN(TRIM('Raw Data'!D244))=0,Validate_Empty!D244&lt;&gt;"",Validate_Value!D244&lt;&gt;""),"",IF('Raw Data'!D244 = Condition!D244,"",_xlfn.REGEXEXTRACT(CELL("address",'Raw Data'!D244),"\$([A-Z]+)\$[0-9]+")))</f>
        <v/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2:22" x14ac:dyDescent="0.25">
      <c r="B245" s="7" t="str" cm="1">
        <f t="array" aca="1" ref="B245" ca="1">IF(OR('Raw Data'!B245="",LEN(TRIM('Raw Data'!B245))=0,Validate_Empty!B245&lt;&gt;"",Validate_Value!B245&lt;&gt;""),"",IF('Raw Data'!B245 = Condition!B245,"",_xlfn.REGEXEXTRACT(CELL("address",'Raw Data'!B245),"\$([A-Z]+)\$[0-9]+")))</f>
        <v/>
      </c>
      <c r="C245" s="7" t="str" cm="1">
        <f t="array" aca="1" ref="C245" ca="1">IF(OR('Raw Data'!C245="",LEN(TRIM('Raw Data'!C245))=0,Validate_Empty!C245&lt;&gt;"",Validate_Value!C245&lt;&gt;""),"",IF('Raw Data'!C245 = Condition!C245,"",_xlfn.REGEXEXTRACT(CELL("address",'Raw Data'!C245),"\$([A-Z]+)\$[0-9]+")))</f>
        <v/>
      </c>
      <c r="D245" s="7" t="str" cm="1">
        <f t="array" aca="1" ref="D245" ca="1">IF(OR('Raw Data'!D245="",LEN(TRIM('Raw Data'!D245))=0,Validate_Empty!D245&lt;&gt;"",Validate_Value!D245&lt;&gt;""),"",IF('Raw Data'!D245 = Condition!D245,"",_xlfn.REGEXEXTRACT(CELL("address",'Raw Data'!D245),"\$([A-Z]+)\$[0-9]+")))</f>
        <v/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2:22" x14ac:dyDescent="0.25">
      <c r="B246" s="7" t="str" cm="1">
        <f t="array" aca="1" ref="B246" ca="1">IF(OR('Raw Data'!B246="",LEN(TRIM('Raw Data'!B246))=0,Validate_Empty!B246&lt;&gt;"",Validate_Value!B246&lt;&gt;""),"",IF('Raw Data'!B246 = Condition!B246,"",_xlfn.REGEXEXTRACT(CELL("address",'Raw Data'!B246),"\$([A-Z]+)\$[0-9]+")))</f>
        <v/>
      </c>
      <c r="C246" s="7" t="str" cm="1">
        <f t="array" aca="1" ref="C246" ca="1">IF(OR('Raw Data'!C246="",LEN(TRIM('Raw Data'!C246))=0,Validate_Empty!C246&lt;&gt;"",Validate_Value!C246&lt;&gt;""),"",IF('Raw Data'!C246 = Condition!C246,"",_xlfn.REGEXEXTRACT(CELL("address",'Raw Data'!C246),"\$([A-Z]+)\$[0-9]+")))</f>
        <v/>
      </c>
      <c r="D246" s="7" t="str" cm="1">
        <f t="array" aca="1" ref="D246" ca="1">IF(OR('Raw Data'!D246="",LEN(TRIM('Raw Data'!D246))=0,Validate_Empty!D246&lt;&gt;"",Validate_Value!D246&lt;&gt;""),"",IF('Raw Data'!D246 = Condition!D246,"",_xlfn.REGEXEXTRACT(CELL("address",'Raw Data'!D246),"\$([A-Z]+)\$[0-9]+")))</f>
        <v/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2:22" x14ac:dyDescent="0.25">
      <c r="B247" s="7" t="str" cm="1">
        <f t="array" aca="1" ref="B247" ca="1">IF(OR('Raw Data'!B247="",LEN(TRIM('Raw Data'!B247))=0,Validate_Empty!B247&lt;&gt;"",Validate_Value!B247&lt;&gt;""),"",IF('Raw Data'!B247 = Condition!B247,"",_xlfn.REGEXEXTRACT(CELL("address",'Raw Data'!B247),"\$([A-Z]+)\$[0-9]+")))</f>
        <v/>
      </c>
      <c r="C247" s="7" t="str" cm="1">
        <f t="array" aca="1" ref="C247" ca="1">IF(OR('Raw Data'!C247="",LEN(TRIM('Raw Data'!C247))=0,Validate_Empty!C247&lt;&gt;"",Validate_Value!C247&lt;&gt;""),"",IF('Raw Data'!C247 = Condition!C247,"",_xlfn.REGEXEXTRACT(CELL("address",'Raw Data'!C247),"\$([A-Z]+)\$[0-9]+")))</f>
        <v/>
      </c>
      <c r="D247" s="7" t="str" cm="1">
        <f t="array" aca="1" ref="D247" ca="1">IF(OR('Raw Data'!D247="",LEN(TRIM('Raw Data'!D247))=0,Validate_Empty!D247&lt;&gt;"",Validate_Value!D247&lt;&gt;""),"",IF('Raw Data'!D247 = Condition!D247,"",_xlfn.REGEXEXTRACT(CELL("address",'Raw Data'!D247),"\$([A-Z]+)\$[0-9]+")))</f>
        <v/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2:22" x14ac:dyDescent="0.25">
      <c r="B248" s="7" t="str" cm="1">
        <f t="array" aca="1" ref="B248" ca="1">IF(OR('Raw Data'!B248="",LEN(TRIM('Raw Data'!B248))=0,Validate_Empty!B248&lt;&gt;"",Validate_Value!B248&lt;&gt;""),"",IF('Raw Data'!B248 = Condition!B248,"",_xlfn.REGEXEXTRACT(CELL("address",'Raw Data'!B248),"\$([A-Z]+)\$[0-9]+")))</f>
        <v/>
      </c>
      <c r="C248" s="7" t="str" cm="1">
        <f t="array" aca="1" ref="C248" ca="1">IF(OR('Raw Data'!C248="",LEN(TRIM('Raw Data'!C248))=0,Validate_Empty!C248&lt;&gt;"",Validate_Value!C248&lt;&gt;""),"",IF('Raw Data'!C248 = Condition!C248,"",_xlfn.REGEXEXTRACT(CELL("address",'Raw Data'!C248),"\$([A-Z]+)\$[0-9]+")))</f>
        <v/>
      </c>
      <c r="D248" s="7" t="str" cm="1">
        <f t="array" aca="1" ref="D248" ca="1">IF(OR('Raw Data'!D248="",LEN(TRIM('Raw Data'!D248))=0,Validate_Empty!D248&lt;&gt;"",Validate_Value!D248&lt;&gt;""),"",IF('Raw Data'!D248 = Condition!D248,"",_xlfn.REGEXEXTRACT(CELL("address",'Raw Data'!D248),"\$([A-Z]+)\$[0-9]+")))</f>
        <v/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2:22" x14ac:dyDescent="0.25">
      <c r="B249" s="7" t="str" cm="1">
        <f t="array" aca="1" ref="B249" ca="1">IF(OR('Raw Data'!B249="",LEN(TRIM('Raw Data'!B249))=0,Validate_Empty!B249&lt;&gt;"",Validate_Value!B249&lt;&gt;""),"",IF('Raw Data'!B249 = Condition!B249,"",_xlfn.REGEXEXTRACT(CELL("address",'Raw Data'!B249),"\$([A-Z]+)\$[0-9]+")))</f>
        <v/>
      </c>
      <c r="C249" s="7" t="str" cm="1">
        <f t="array" aca="1" ref="C249" ca="1">IF(OR('Raw Data'!C249="",LEN(TRIM('Raw Data'!C249))=0,Validate_Empty!C249&lt;&gt;"",Validate_Value!C249&lt;&gt;""),"",IF('Raw Data'!C249 = Condition!C249,"",_xlfn.REGEXEXTRACT(CELL("address",'Raw Data'!C249),"\$([A-Z]+)\$[0-9]+")))</f>
        <v/>
      </c>
      <c r="D249" s="7" t="str" cm="1">
        <f t="array" aca="1" ref="D249" ca="1">IF(OR('Raw Data'!D249="",LEN(TRIM('Raw Data'!D249))=0,Validate_Empty!D249&lt;&gt;"",Validate_Value!D249&lt;&gt;""),"",IF('Raw Data'!D249 = Condition!D249,"",_xlfn.REGEXEXTRACT(CELL("address",'Raw Data'!D249),"\$([A-Z]+)\$[0-9]+")))</f>
        <v/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DC51-D9DE-4A9D-AEA1-BA75070B4BD8}">
  <dimension ref="B8:V249"/>
  <sheetViews>
    <sheetView tabSelected="1" zoomScale="55" zoomScaleNormal="55" workbookViewId="0">
      <selection activeCell="I24" sqref="I24"/>
    </sheetView>
  </sheetViews>
  <sheetFormatPr defaultRowHeight="15" x14ac:dyDescent="0.25"/>
  <cols>
    <col min="2" max="2" width="20.7109375" customWidth="1"/>
    <col min="3" max="22" width="13.140625" customWidth="1"/>
  </cols>
  <sheetData>
    <row r="8" spans="2:22" x14ac:dyDescent="0.25">
      <c r="B8" s="8" t="s">
        <v>26</v>
      </c>
      <c r="C8" s="8" t="s">
        <v>26</v>
      </c>
      <c r="D8" s="8" t="s">
        <v>26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2:22" x14ac:dyDescent="0.25">
      <c r="B9" s="1" t="s">
        <v>0</v>
      </c>
      <c r="C9" s="1" t="s">
        <v>1</v>
      </c>
      <c r="D9" s="12" t="s">
        <v>2</v>
      </c>
      <c r="E9" s="1" t="s">
        <v>3</v>
      </c>
      <c r="F9" s="1" t="s">
        <v>4</v>
      </c>
      <c r="G9" s="1" t="s">
        <v>5</v>
      </c>
      <c r="H9" s="12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2" t="s">
        <v>11</v>
      </c>
      <c r="N9" s="1" t="s">
        <v>12</v>
      </c>
      <c r="O9" s="1" t="s">
        <v>13</v>
      </c>
      <c r="P9" s="12" t="s">
        <v>14</v>
      </c>
      <c r="Q9" s="1" t="s">
        <v>15</v>
      </c>
      <c r="R9" s="1" t="s">
        <v>16</v>
      </c>
      <c r="S9" s="12" t="s">
        <v>17</v>
      </c>
      <c r="T9" s="1" t="s">
        <v>18</v>
      </c>
      <c r="U9" s="1" t="s">
        <v>19</v>
      </c>
      <c r="V9" s="12" t="s">
        <v>20</v>
      </c>
    </row>
    <row r="10" spans="2:22" x14ac:dyDescent="0.25">
      <c r="B10" s="7" t="s">
        <v>39</v>
      </c>
      <c r="C10" s="7" t="s">
        <v>40</v>
      </c>
      <c r="D10" s="20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2:22" x14ac:dyDescent="0.25">
      <c r="B11" s="7" t="s">
        <v>39</v>
      </c>
      <c r="C11" s="7" t="s">
        <v>41</v>
      </c>
      <c r="D11" s="20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2:22" x14ac:dyDescent="0.25">
      <c r="B12" s="7" t="s">
        <v>39</v>
      </c>
      <c r="C12" s="7" t="s">
        <v>42</v>
      </c>
      <c r="D12" s="20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2:22" x14ac:dyDescent="0.25">
      <c r="B13" s="7" t="s">
        <v>39</v>
      </c>
      <c r="C13" s="7" t="s">
        <v>43</v>
      </c>
      <c r="D13" s="20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2:22" x14ac:dyDescent="0.25">
      <c r="B14" s="7" t="s">
        <v>39</v>
      </c>
      <c r="C14" s="7" t="s">
        <v>44</v>
      </c>
      <c r="D14" s="20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2:22" x14ac:dyDescent="0.25">
      <c r="B15" s="7" t="s">
        <v>39</v>
      </c>
      <c r="C15" s="7" t="s">
        <v>45</v>
      </c>
      <c r="D15" s="20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2:22" x14ac:dyDescent="0.25">
      <c r="B16" s="7" t="s">
        <v>39</v>
      </c>
      <c r="C16" s="7" t="s">
        <v>46</v>
      </c>
      <c r="D16" s="20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2:22" x14ac:dyDescent="0.25">
      <c r="B17" s="7" t="s">
        <v>39</v>
      </c>
      <c r="C17" s="7" t="s">
        <v>47</v>
      </c>
      <c r="D17" s="20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 x14ac:dyDescent="0.25">
      <c r="B18" s="7" t="s">
        <v>39</v>
      </c>
      <c r="C18" s="7" t="s">
        <v>48</v>
      </c>
      <c r="D18" s="20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2:22" x14ac:dyDescent="0.25">
      <c r="B19" s="7" t="s">
        <v>39</v>
      </c>
      <c r="C19" s="7" t="s">
        <v>49</v>
      </c>
      <c r="D19" s="20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2" x14ac:dyDescent="0.25">
      <c r="B20" s="7" t="s">
        <v>39</v>
      </c>
      <c r="C20" s="7" t="s">
        <v>50</v>
      </c>
      <c r="D20" s="2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22" x14ac:dyDescent="0.25">
      <c r="B21" s="7" t="s">
        <v>39</v>
      </c>
      <c r="C21" s="7" t="s">
        <v>51</v>
      </c>
      <c r="D21" s="2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2:22" x14ac:dyDescent="0.25">
      <c r="B22" s="7" t="s">
        <v>39</v>
      </c>
      <c r="C22" s="7" t="s">
        <v>52</v>
      </c>
      <c r="D22" s="2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2:22" x14ac:dyDescent="0.25">
      <c r="B23" s="7" t="s">
        <v>39</v>
      </c>
      <c r="C23" s="7" t="s">
        <v>53</v>
      </c>
      <c r="D23" s="2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22" x14ac:dyDescent="0.25">
      <c r="B24" s="7" t="s">
        <v>39</v>
      </c>
      <c r="C24" s="7" t="s">
        <v>54</v>
      </c>
      <c r="D24" s="2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2:22" x14ac:dyDescent="0.25">
      <c r="B25" s="7" t="s">
        <v>39</v>
      </c>
      <c r="C25" s="7" t="s">
        <v>55</v>
      </c>
      <c r="D25" s="2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 x14ac:dyDescent="0.25">
      <c r="B26" s="7" t="s">
        <v>39</v>
      </c>
      <c r="C26" s="7" t="s">
        <v>56</v>
      </c>
      <c r="D26" s="2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2:22" x14ac:dyDescent="0.25">
      <c r="B27" s="7" t="s">
        <v>39</v>
      </c>
      <c r="C27" s="7" t="s">
        <v>57</v>
      </c>
      <c r="D27" s="2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2:22" x14ac:dyDescent="0.25">
      <c r="B28" s="7" t="s">
        <v>39</v>
      </c>
      <c r="C28" s="7" t="s">
        <v>58</v>
      </c>
      <c r="D28" s="2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2:22" x14ac:dyDescent="0.25">
      <c r="B29" s="7" t="s">
        <v>39</v>
      </c>
      <c r="C29" s="7" t="s">
        <v>59</v>
      </c>
      <c r="D29" s="2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2:22" x14ac:dyDescent="0.25">
      <c r="B30" s="7" t="s">
        <v>39</v>
      </c>
      <c r="C30" s="7" t="s">
        <v>60</v>
      </c>
      <c r="D30" s="2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2:22" x14ac:dyDescent="0.25">
      <c r="B31" s="7" t="s">
        <v>39</v>
      </c>
      <c r="C31" s="7" t="s">
        <v>61</v>
      </c>
      <c r="D31" s="2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2:22" x14ac:dyDescent="0.25">
      <c r="B32" s="7" t="s">
        <v>39</v>
      </c>
      <c r="C32" s="7" t="s">
        <v>62</v>
      </c>
      <c r="D32" s="2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2:22" x14ac:dyDescent="0.25">
      <c r="B33" s="7" t="s">
        <v>39</v>
      </c>
      <c r="C33" s="7" t="s">
        <v>63</v>
      </c>
      <c r="D33" s="2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2:22" x14ac:dyDescent="0.25">
      <c r="B34" s="7" t="s">
        <v>64</v>
      </c>
      <c r="C34" s="7" t="s">
        <v>40</v>
      </c>
      <c r="D34" s="2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2:22" x14ac:dyDescent="0.25">
      <c r="B35" s="7" t="s">
        <v>64</v>
      </c>
      <c r="C35" s="7" t="s">
        <v>41</v>
      </c>
      <c r="D35" s="2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2:22" x14ac:dyDescent="0.25">
      <c r="B36" s="7" t="s">
        <v>64</v>
      </c>
      <c r="C36" s="7" t="s">
        <v>42</v>
      </c>
      <c r="D36" s="2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2:22" x14ac:dyDescent="0.25">
      <c r="B37" s="7" t="s">
        <v>64</v>
      </c>
      <c r="C37" s="7" t="s">
        <v>43</v>
      </c>
      <c r="D37" s="2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2:22" x14ac:dyDescent="0.25">
      <c r="B38" s="7" t="s">
        <v>64</v>
      </c>
      <c r="C38" s="7" t="s">
        <v>44</v>
      </c>
      <c r="D38" s="2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22" x14ac:dyDescent="0.25">
      <c r="B39" s="7" t="s">
        <v>64</v>
      </c>
      <c r="C39" s="7" t="s">
        <v>45</v>
      </c>
      <c r="D39" s="2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2:22" x14ac:dyDescent="0.25">
      <c r="B40" s="7" t="s">
        <v>64</v>
      </c>
      <c r="C40" s="7" t="s">
        <v>46</v>
      </c>
      <c r="D40" s="2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2:22" x14ac:dyDescent="0.25">
      <c r="B41" s="7" t="s">
        <v>64</v>
      </c>
      <c r="C41" s="7" t="s">
        <v>47</v>
      </c>
      <c r="D41" s="2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2:22" x14ac:dyDescent="0.25">
      <c r="B42" s="7" t="s">
        <v>64</v>
      </c>
      <c r="C42" s="7" t="s">
        <v>48</v>
      </c>
      <c r="D42" s="2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2:22" x14ac:dyDescent="0.25">
      <c r="B43" s="7" t="s">
        <v>64</v>
      </c>
      <c r="C43" s="7" t="s">
        <v>49</v>
      </c>
      <c r="D43" s="2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2:22" x14ac:dyDescent="0.25">
      <c r="B44" s="7" t="s">
        <v>64</v>
      </c>
      <c r="C44" s="7" t="s">
        <v>50</v>
      </c>
      <c r="D44" s="2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2:22" x14ac:dyDescent="0.25">
      <c r="B45" s="7" t="s">
        <v>64</v>
      </c>
      <c r="C45" s="7" t="s">
        <v>51</v>
      </c>
      <c r="D45" s="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2:22" x14ac:dyDescent="0.25">
      <c r="B46" s="7" t="s">
        <v>64</v>
      </c>
      <c r="C46" s="7" t="s">
        <v>52</v>
      </c>
      <c r="D46" s="2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2:22" x14ac:dyDescent="0.25">
      <c r="B47" s="7" t="s">
        <v>64</v>
      </c>
      <c r="C47" s="7" t="s">
        <v>53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2:22" x14ac:dyDescent="0.25">
      <c r="B48" s="7" t="s">
        <v>64</v>
      </c>
      <c r="C48" s="7" t="s">
        <v>54</v>
      </c>
      <c r="D48" s="2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2:22" x14ac:dyDescent="0.25">
      <c r="B49" s="7" t="s">
        <v>64</v>
      </c>
      <c r="C49" s="7" t="s">
        <v>55</v>
      </c>
      <c r="D49" s="2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2:22" x14ac:dyDescent="0.25">
      <c r="B50" s="7" t="s">
        <v>64</v>
      </c>
      <c r="C50" s="7" t="s">
        <v>56</v>
      </c>
      <c r="D50" s="2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2:22" x14ac:dyDescent="0.25">
      <c r="B51" s="7" t="s">
        <v>64</v>
      </c>
      <c r="C51" s="7" t="s">
        <v>57</v>
      </c>
      <c r="D51" s="2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2:22" x14ac:dyDescent="0.25">
      <c r="B52" s="7" t="s">
        <v>64</v>
      </c>
      <c r="C52" s="7" t="s">
        <v>58</v>
      </c>
      <c r="D52" s="2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2:22" x14ac:dyDescent="0.25">
      <c r="B53" s="7" t="s">
        <v>64</v>
      </c>
      <c r="C53" s="7" t="s">
        <v>59</v>
      </c>
      <c r="D53" s="2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2:22" x14ac:dyDescent="0.25">
      <c r="B54" s="7" t="s">
        <v>64</v>
      </c>
      <c r="C54" s="7" t="s">
        <v>60</v>
      </c>
      <c r="D54" s="2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2:22" x14ac:dyDescent="0.25">
      <c r="B55" s="7" t="s">
        <v>64</v>
      </c>
      <c r="C55" s="7" t="s">
        <v>61</v>
      </c>
      <c r="D55" s="2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2:22" x14ac:dyDescent="0.25">
      <c r="B56" s="7" t="s">
        <v>64</v>
      </c>
      <c r="C56" s="7" t="s">
        <v>62</v>
      </c>
      <c r="D56" s="2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2:22" x14ac:dyDescent="0.25">
      <c r="B57" s="7" t="s">
        <v>64</v>
      </c>
      <c r="C57" s="7" t="s">
        <v>63</v>
      </c>
      <c r="D57" s="2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2:22" x14ac:dyDescent="0.25">
      <c r="B58" s="7" t="s">
        <v>65</v>
      </c>
      <c r="C58" s="7" t="s">
        <v>40</v>
      </c>
      <c r="D58" s="2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22" x14ac:dyDescent="0.25">
      <c r="B59" s="7" t="s">
        <v>65</v>
      </c>
      <c r="C59" s="7" t="s">
        <v>41</v>
      </c>
      <c r="D59" s="2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2" x14ac:dyDescent="0.25">
      <c r="B60" s="7" t="s">
        <v>65</v>
      </c>
      <c r="C60" s="7" t="s">
        <v>42</v>
      </c>
      <c r="D60" s="2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22" x14ac:dyDescent="0.25">
      <c r="B61" s="7" t="s">
        <v>65</v>
      </c>
      <c r="C61" s="7" t="s">
        <v>43</v>
      </c>
      <c r="D61" s="2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22" x14ac:dyDescent="0.25">
      <c r="B62" s="7" t="s">
        <v>65</v>
      </c>
      <c r="C62" s="7" t="s">
        <v>44</v>
      </c>
      <c r="D62" s="2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22" x14ac:dyDescent="0.25">
      <c r="B63" s="7" t="s">
        <v>65</v>
      </c>
      <c r="C63" s="7" t="s">
        <v>45</v>
      </c>
      <c r="D63" s="2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22" x14ac:dyDescent="0.25">
      <c r="B64" s="7" t="s">
        <v>65</v>
      </c>
      <c r="C64" s="7" t="s">
        <v>46</v>
      </c>
      <c r="D64" s="2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 x14ac:dyDescent="0.25">
      <c r="B65" s="7" t="s">
        <v>65</v>
      </c>
      <c r="C65" s="7" t="s">
        <v>47</v>
      </c>
      <c r="D65" s="2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 x14ac:dyDescent="0.25">
      <c r="B66" s="7" t="s">
        <v>65</v>
      </c>
      <c r="C66" s="7" t="s">
        <v>48</v>
      </c>
      <c r="D66" s="2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 x14ac:dyDescent="0.25">
      <c r="B67" s="7" t="s">
        <v>65</v>
      </c>
      <c r="C67" s="7" t="s">
        <v>49</v>
      </c>
      <c r="D67" s="2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 x14ac:dyDescent="0.25">
      <c r="B68" s="7" t="s">
        <v>65</v>
      </c>
      <c r="C68" s="7" t="s">
        <v>50</v>
      </c>
      <c r="D68" s="2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 x14ac:dyDescent="0.25">
      <c r="B69" s="7" t="s">
        <v>65</v>
      </c>
      <c r="C69" s="7" t="s">
        <v>51</v>
      </c>
      <c r="D69" s="2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 x14ac:dyDescent="0.25">
      <c r="B70" s="7" t="s">
        <v>65</v>
      </c>
      <c r="C70" s="7" t="s">
        <v>52</v>
      </c>
      <c r="D70" s="2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 x14ac:dyDescent="0.25">
      <c r="B71" s="7" t="s">
        <v>65</v>
      </c>
      <c r="C71" s="7" t="s">
        <v>53</v>
      </c>
      <c r="D71" s="2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 x14ac:dyDescent="0.25">
      <c r="B72" s="7" t="s">
        <v>65</v>
      </c>
      <c r="C72" s="7" t="s">
        <v>54</v>
      </c>
      <c r="D72" s="2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 x14ac:dyDescent="0.25">
      <c r="B73" s="7" t="s">
        <v>65</v>
      </c>
      <c r="C73" s="7" t="s">
        <v>55</v>
      </c>
      <c r="D73" s="2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2:22" x14ac:dyDescent="0.25">
      <c r="B74" s="7" t="s">
        <v>65</v>
      </c>
      <c r="C74" s="7" t="s">
        <v>56</v>
      </c>
      <c r="D74" s="2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2:22" x14ac:dyDescent="0.25">
      <c r="B75" s="7" t="s">
        <v>65</v>
      </c>
      <c r="C75" s="7" t="s">
        <v>57</v>
      </c>
      <c r="D75" s="2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2:22" x14ac:dyDescent="0.25">
      <c r="B76" s="7" t="s">
        <v>65</v>
      </c>
      <c r="C76" s="7" t="s">
        <v>58</v>
      </c>
      <c r="D76" s="2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2:22" x14ac:dyDescent="0.25">
      <c r="B77" s="7" t="s">
        <v>65</v>
      </c>
      <c r="C77" s="7" t="s">
        <v>59</v>
      </c>
      <c r="D77" s="2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2:22" x14ac:dyDescent="0.25">
      <c r="B78" s="7" t="s">
        <v>65</v>
      </c>
      <c r="C78" s="7" t="s">
        <v>60</v>
      </c>
      <c r="D78" s="2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2:22" x14ac:dyDescent="0.25">
      <c r="B79" s="7" t="s">
        <v>65</v>
      </c>
      <c r="C79" s="7" t="s">
        <v>61</v>
      </c>
      <c r="D79" s="2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2:22" x14ac:dyDescent="0.25">
      <c r="B80" s="7" t="s">
        <v>65</v>
      </c>
      <c r="C80" s="7" t="s">
        <v>62</v>
      </c>
      <c r="D80" s="2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2:22" x14ac:dyDescent="0.25">
      <c r="B81" s="7" t="s">
        <v>65</v>
      </c>
      <c r="C81" s="7" t="s">
        <v>63</v>
      </c>
      <c r="D81" s="2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2:22" x14ac:dyDescent="0.25">
      <c r="B82" s="7" t="s">
        <v>66</v>
      </c>
      <c r="C82" s="7" t="s">
        <v>40</v>
      </c>
      <c r="D82" s="2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2:22" x14ac:dyDescent="0.25">
      <c r="B83" s="7" t="s">
        <v>66</v>
      </c>
      <c r="C83" s="7" t="s">
        <v>41</v>
      </c>
      <c r="D83" s="2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2:22" x14ac:dyDescent="0.25">
      <c r="B84" s="7" t="s">
        <v>66</v>
      </c>
      <c r="C84" s="7" t="s">
        <v>42</v>
      </c>
      <c r="D84" s="2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2:22" x14ac:dyDescent="0.25">
      <c r="B85" s="7" t="s">
        <v>66</v>
      </c>
      <c r="C85" s="7" t="s">
        <v>43</v>
      </c>
      <c r="D85" s="2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2:22" x14ac:dyDescent="0.25">
      <c r="B86" s="7" t="s">
        <v>66</v>
      </c>
      <c r="C86" s="7" t="s">
        <v>44</v>
      </c>
      <c r="D86" s="2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 x14ac:dyDescent="0.25">
      <c r="B87" s="7" t="s">
        <v>66</v>
      </c>
      <c r="C87" s="7" t="s">
        <v>45</v>
      </c>
      <c r="D87" s="2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2:22" x14ac:dyDescent="0.25">
      <c r="B88" s="7" t="s">
        <v>66</v>
      </c>
      <c r="C88" s="7" t="s">
        <v>46</v>
      </c>
      <c r="D88" s="2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2:22" x14ac:dyDescent="0.25">
      <c r="B89" s="7" t="s">
        <v>66</v>
      </c>
      <c r="C89" s="7" t="s">
        <v>47</v>
      </c>
      <c r="D89" s="2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2:22" x14ac:dyDescent="0.25">
      <c r="B90" s="7" t="s">
        <v>66</v>
      </c>
      <c r="C90" s="7" t="s">
        <v>48</v>
      </c>
      <c r="D90" s="2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2:22" x14ac:dyDescent="0.25">
      <c r="B91" s="7" t="s">
        <v>66</v>
      </c>
      <c r="C91" s="7" t="s">
        <v>49</v>
      </c>
      <c r="D91" s="2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2:22" x14ac:dyDescent="0.25">
      <c r="B92" s="7" t="s">
        <v>66</v>
      </c>
      <c r="C92" s="7" t="s">
        <v>50</v>
      </c>
      <c r="D92" s="2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2:22" x14ac:dyDescent="0.25">
      <c r="B93" s="7" t="s">
        <v>66</v>
      </c>
      <c r="C93" s="7" t="s">
        <v>51</v>
      </c>
      <c r="D93" s="2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2:22" x14ac:dyDescent="0.25">
      <c r="B94" s="7" t="s">
        <v>66</v>
      </c>
      <c r="C94" s="7" t="s">
        <v>52</v>
      </c>
      <c r="D94" s="2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2:22" x14ac:dyDescent="0.25">
      <c r="B95" s="7" t="s">
        <v>66</v>
      </c>
      <c r="C95" s="7" t="s">
        <v>53</v>
      </c>
      <c r="D95" s="2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2:22" x14ac:dyDescent="0.25">
      <c r="B96" s="7" t="s">
        <v>66</v>
      </c>
      <c r="C96" s="7" t="s">
        <v>54</v>
      </c>
      <c r="D96" s="2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2:22" x14ac:dyDescent="0.25">
      <c r="B97" s="7" t="s">
        <v>66</v>
      </c>
      <c r="C97" s="7" t="s">
        <v>55</v>
      </c>
      <c r="D97" s="2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2:22" x14ac:dyDescent="0.25">
      <c r="B98" s="7" t="s">
        <v>66</v>
      </c>
      <c r="C98" s="7" t="s">
        <v>56</v>
      </c>
      <c r="D98" s="2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2:22" x14ac:dyDescent="0.25">
      <c r="B99" s="7" t="s">
        <v>66</v>
      </c>
      <c r="C99" s="7" t="s">
        <v>57</v>
      </c>
      <c r="D99" s="2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2:22" x14ac:dyDescent="0.25">
      <c r="B100" s="7" t="s">
        <v>66</v>
      </c>
      <c r="C100" s="7" t="s">
        <v>58</v>
      </c>
      <c r="D100" s="2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2:22" x14ac:dyDescent="0.25">
      <c r="B101" s="7" t="s">
        <v>66</v>
      </c>
      <c r="C101" s="7" t="s">
        <v>59</v>
      </c>
      <c r="D101" s="2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2:22" x14ac:dyDescent="0.25">
      <c r="B102" s="7" t="s">
        <v>66</v>
      </c>
      <c r="C102" s="7" t="s">
        <v>60</v>
      </c>
      <c r="D102" s="2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2:22" x14ac:dyDescent="0.25">
      <c r="B103" s="7" t="s">
        <v>66</v>
      </c>
      <c r="C103" s="7" t="s">
        <v>61</v>
      </c>
      <c r="D103" s="2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2:22" x14ac:dyDescent="0.25">
      <c r="B104" s="7" t="s">
        <v>66</v>
      </c>
      <c r="C104" s="7" t="s">
        <v>62</v>
      </c>
      <c r="D104" s="2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2:22" x14ac:dyDescent="0.25">
      <c r="B105" s="7" t="s">
        <v>66</v>
      </c>
      <c r="C105" s="7" t="s">
        <v>63</v>
      </c>
      <c r="D105" s="2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2:22" x14ac:dyDescent="0.25">
      <c r="B106" s="7" t="s">
        <v>67</v>
      </c>
      <c r="C106" s="7" t="s">
        <v>40</v>
      </c>
      <c r="D106" s="2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2:22" x14ac:dyDescent="0.25">
      <c r="B107" s="7" t="s">
        <v>67</v>
      </c>
      <c r="C107" s="7" t="s">
        <v>41</v>
      </c>
      <c r="D107" s="2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2:22" x14ac:dyDescent="0.25">
      <c r="B108" s="7" t="s">
        <v>67</v>
      </c>
      <c r="C108" s="7" t="s">
        <v>42</v>
      </c>
      <c r="D108" s="2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2:22" x14ac:dyDescent="0.25">
      <c r="B109" s="7" t="s">
        <v>67</v>
      </c>
      <c r="C109" s="7" t="s">
        <v>43</v>
      </c>
      <c r="D109" s="2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2:22" x14ac:dyDescent="0.25">
      <c r="B110" s="7" t="s">
        <v>67</v>
      </c>
      <c r="C110" s="7" t="s">
        <v>44</v>
      </c>
      <c r="D110" s="2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2:22" x14ac:dyDescent="0.25">
      <c r="B111" s="7" t="s">
        <v>67</v>
      </c>
      <c r="C111" s="7" t="s">
        <v>45</v>
      </c>
      <c r="D111" s="2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2:22" x14ac:dyDescent="0.25">
      <c r="B112" s="7" t="s">
        <v>67</v>
      </c>
      <c r="C112" s="7" t="s">
        <v>46</v>
      </c>
      <c r="D112" s="2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2:22" x14ac:dyDescent="0.25">
      <c r="B113" s="7" t="s">
        <v>67</v>
      </c>
      <c r="C113" s="7" t="s">
        <v>47</v>
      </c>
      <c r="D113" s="2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2:22" x14ac:dyDescent="0.25">
      <c r="B114" s="7" t="s">
        <v>67</v>
      </c>
      <c r="C114" s="7" t="s">
        <v>48</v>
      </c>
      <c r="D114" s="2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2:22" x14ac:dyDescent="0.25">
      <c r="B115" s="7" t="s">
        <v>67</v>
      </c>
      <c r="C115" s="7" t="s">
        <v>49</v>
      </c>
      <c r="D115" s="2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2:22" x14ac:dyDescent="0.25">
      <c r="B116" s="7" t="s">
        <v>67</v>
      </c>
      <c r="C116" s="7" t="s">
        <v>50</v>
      </c>
      <c r="D116" s="2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2:22" x14ac:dyDescent="0.25">
      <c r="B117" s="7" t="s">
        <v>67</v>
      </c>
      <c r="C117" s="7" t="s">
        <v>51</v>
      </c>
      <c r="D117" s="2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2:22" x14ac:dyDescent="0.25">
      <c r="B118" s="7" t="s">
        <v>67</v>
      </c>
      <c r="C118" s="7" t="s">
        <v>52</v>
      </c>
      <c r="D118" s="2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2:22" x14ac:dyDescent="0.25">
      <c r="B119" s="7" t="s">
        <v>67</v>
      </c>
      <c r="C119" s="7" t="s">
        <v>53</v>
      </c>
      <c r="D119" s="2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2:22" x14ac:dyDescent="0.25">
      <c r="B120" s="7" t="s">
        <v>67</v>
      </c>
      <c r="C120" s="7" t="s">
        <v>54</v>
      </c>
      <c r="D120" s="2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2:22" x14ac:dyDescent="0.25">
      <c r="B121" s="7" t="s">
        <v>67</v>
      </c>
      <c r="C121" s="7" t="s">
        <v>55</v>
      </c>
      <c r="D121" s="2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2:22" x14ac:dyDescent="0.25">
      <c r="B122" s="7" t="s">
        <v>67</v>
      </c>
      <c r="C122" s="7" t="s">
        <v>56</v>
      </c>
      <c r="D122" s="2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2:22" x14ac:dyDescent="0.25">
      <c r="B123" s="7" t="s">
        <v>67</v>
      </c>
      <c r="C123" s="7" t="s">
        <v>57</v>
      </c>
      <c r="D123" s="2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2:22" x14ac:dyDescent="0.25">
      <c r="B124" s="7" t="s">
        <v>67</v>
      </c>
      <c r="C124" s="7" t="s">
        <v>58</v>
      </c>
      <c r="D124" s="2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2:22" x14ac:dyDescent="0.25">
      <c r="B125" s="7" t="s">
        <v>67</v>
      </c>
      <c r="C125" s="7" t="s">
        <v>59</v>
      </c>
      <c r="D125" s="2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2:22" x14ac:dyDescent="0.25">
      <c r="B126" s="7" t="s">
        <v>67</v>
      </c>
      <c r="C126" s="7" t="s">
        <v>60</v>
      </c>
      <c r="D126" s="2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2:22" x14ac:dyDescent="0.25">
      <c r="B127" s="7" t="s">
        <v>67</v>
      </c>
      <c r="C127" s="7" t="s">
        <v>61</v>
      </c>
      <c r="D127" s="2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2:22" x14ac:dyDescent="0.25">
      <c r="B128" s="7" t="s">
        <v>67</v>
      </c>
      <c r="C128" s="7" t="s">
        <v>62</v>
      </c>
      <c r="D128" s="2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2:22" x14ac:dyDescent="0.25">
      <c r="B129" s="7" t="s">
        <v>67</v>
      </c>
      <c r="C129" s="7" t="s">
        <v>63</v>
      </c>
      <c r="D129" s="2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2:22" x14ac:dyDescent="0.25">
      <c r="B130" s="7" t="s">
        <v>68</v>
      </c>
      <c r="C130" s="7" t="s">
        <v>69</v>
      </c>
      <c r="D130" s="1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2:22" x14ac:dyDescent="0.25">
      <c r="B131" s="7" t="s">
        <v>68</v>
      </c>
      <c r="C131" s="7" t="s">
        <v>69</v>
      </c>
      <c r="D131" s="1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2:22" x14ac:dyDescent="0.25">
      <c r="B132" s="7" t="s">
        <v>68</v>
      </c>
      <c r="C132" s="7" t="s">
        <v>69</v>
      </c>
      <c r="D132" s="1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2:22" x14ac:dyDescent="0.25">
      <c r="B133" s="7" t="s">
        <v>68</v>
      </c>
      <c r="C133" s="7" t="s">
        <v>69</v>
      </c>
      <c r="D133" s="1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2:22" x14ac:dyDescent="0.25">
      <c r="B134" s="7" t="s">
        <v>68</v>
      </c>
      <c r="C134" s="7" t="s">
        <v>69</v>
      </c>
      <c r="D134" s="1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2:22" x14ac:dyDescent="0.25">
      <c r="B135" s="7" t="s">
        <v>68</v>
      </c>
      <c r="C135" s="7" t="s">
        <v>69</v>
      </c>
      <c r="D135" s="1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2:22" x14ac:dyDescent="0.25">
      <c r="B136" s="7" t="s">
        <v>68</v>
      </c>
      <c r="C136" s="7" t="s">
        <v>69</v>
      </c>
      <c r="D136" s="1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2:22" x14ac:dyDescent="0.25">
      <c r="B137" s="7" t="s">
        <v>68</v>
      </c>
      <c r="C137" s="7" t="s">
        <v>69</v>
      </c>
      <c r="D137" s="1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2:22" x14ac:dyDescent="0.25">
      <c r="B138" s="7" t="s">
        <v>68</v>
      </c>
      <c r="C138" s="7" t="s">
        <v>69</v>
      </c>
      <c r="D138" s="1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2:22" x14ac:dyDescent="0.25">
      <c r="B139" s="7" t="s">
        <v>68</v>
      </c>
      <c r="C139" s="7" t="s">
        <v>69</v>
      </c>
      <c r="D139" s="1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2:22" x14ac:dyDescent="0.25">
      <c r="B140" s="7" t="s">
        <v>68</v>
      </c>
      <c r="C140" s="7" t="s">
        <v>69</v>
      </c>
      <c r="D140" s="1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2:22" x14ac:dyDescent="0.25">
      <c r="B141" s="7" t="s">
        <v>68</v>
      </c>
      <c r="C141" s="7" t="s">
        <v>69</v>
      </c>
      <c r="D141" s="1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2:22" x14ac:dyDescent="0.25">
      <c r="B142" s="7" t="s">
        <v>68</v>
      </c>
      <c r="C142" s="7" t="s">
        <v>69</v>
      </c>
      <c r="D142" s="1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2:22" x14ac:dyDescent="0.25">
      <c r="B143" s="7" t="s">
        <v>68</v>
      </c>
      <c r="C143" s="7" t="s">
        <v>69</v>
      </c>
      <c r="D143" s="1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2:22" x14ac:dyDescent="0.25">
      <c r="B144" s="7" t="s">
        <v>68</v>
      </c>
      <c r="C144" s="7" t="s">
        <v>69</v>
      </c>
      <c r="D144" s="1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2:22" x14ac:dyDescent="0.25">
      <c r="B145" s="7" t="s">
        <v>68</v>
      </c>
      <c r="C145" s="7" t="s">
        <v>69</v>
      </c>
      <c r="D145" s="1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2:22" x14ac:dyDescent="0.25">
      <c r="B146" s="7" t="s">
        <v>68</v>
      </c>
      <c r="C146" s="7" t="s">
        <v>69</v>
      </c>
      <c r="D146" s="1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2:22" x14ac:dyDescent="0.25">
      <c r="B147" s="7" t="s">
        <v>68</v>
      </c>
      <c r="C147" s="7" t="s">
        <v>69</v>
      </c>
      <c r="D147" s="1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2:22" x14ac:dyDescent="0.25">
      <c r="B148" s="7" t="s">
        <v>68</v>
      </c>
      <c r="C148" s="7" t="s">
        <v>69</v>
      </c>
      <c r="D148" s="1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2:22" x14ac:dyDescent="0.25">
      <c r="B149" s="7" t="s">
        <v>68</v>
      </c>
      <c r="C149" s="7" t="s">
        <v>69</v>
      </c>
      <c r="D149" s="1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2:22" x14ac:dyDescent="0.25">
      <c r="B150" s="7" t="s">
        <v>68</v>
      </c>
      <c r="C150" s="7" t="s">
        <v>69</v>
      </c>
      <c r="D150" s="1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2:22" x14ac:dyDescent="0.25">
      <c r="B151" s="7" t="s">
        <v>68</v>
      </c>
      <c r="C151" s="7" t="s">
        <v>69</v>
      </c>
      <c r="D151" s="1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2:22" x14ac:dyDescent="0.25">
      <c r="B152" s="7" t="s">
        <v>68</v>
      </c>
      <c r="C152" s="7" t="s">
        <v>69</v>
      </c>
      <c r="D152" s="1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2:22" x14ac:dyDescent="0.25">
      <c r="B153" s="7" t="s">
        <v>68</v>
      </c>
      <c r="C153" s="7" t="s">
        <v>69</v>
      </c>
      <c r="D153" s="1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2:22" x14ac:dyDescent="0.25">
      <c r="B154" s="7" t="s">
        <v>70</v>
      </c>
      <c r="C154" s="7" t="s">
        <v>69</v>
      </c>
      <c r="D154" s="1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2:22" x14ac:dyDescent="0.25">
      <c r="B155" s="7" t="s">
        <v>70</v>
      </c>
      <c r="C155" s="7" t="s">
        <v>69</v>
      </c>
      <c r="D155" s="1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2:22" x14ac:dyDescent="0.25">
      <c r="B156" s="7" t="s">
        <v>70</v>
      </c>
      <c r="C156" s="7" t="s">
        <v>69</v>
      </c>
      <c r="D156" s="1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2:22" x14ac:dyDescent="0.25">
      <c r="B157" s="7" t="s">
        <v>70</v>
      </c>
      <c r="C157" s="7" t="s">
        <v>69</v>
      </c>
      <c r="D157" s="1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2:22" x14ac:dyDescent="0.25">
      <c r="B158" s="7" t="s">
        <v>70</v>
      </c>
      <c r="C158" s="7" t="s">
        <v>69</v>
      </c>
      <c r="D158" s="1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2:22" x14ac:dyDescent="0.25">
      <c r="B159" s="7" t="s">
        <v>70</v>
      </c>
      <c r="C159" s="7" t="s">
        <v>69</v>
      </c>
      <c r="D159" s="1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2:22" x14ac:dyDescent="0.25">
      <c r="B160" s="7" t="s">
        <v>70</v>
      </c>
      <c r="C160" s="7" t="s">
        <v>69</v>
      </c>
      <c r="D160" s="1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2:22" x14ac:dyDescent="0.25">
      <c r="B161" s="7" t="s">
        <v>70</v>
      </c>
      <c r="C161" s="7" t="s">
        <v>69</v>
      </c>
      <c r="D161" s="1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2:22" x14ac:dyDescent="0.25">
      <c r="B162" s="7" t="s">
        <v>70</v>
      </c>
      <c r="C162" s="7" t="s">
        <v>69</v>
      </c>
      <c r="D162" s="1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2:22" x14ac:dyDescent="0.25">
      <c r="B163" s="7" t="s">
        <v>70</v>
      </c>
      <c r="C163" s="7" t="s">
        <v>69</v>
      </c>
      <c r="D163" s="1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2:22" x14ac:dyDescent="0.25">
      <c r="B164" s="7" t="s">
        <v>70</v>
      </c>
      <c r="C164" s="7" t="s">
        <v>69</v>
      </c>
      <c r="D164" s="1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2:22" x14ac:dyDescent="0.25">
      <c r="B165" s="7" t="s">
        <v>70</v>
      </c>
      <c r="C165" s="7" t="s">
        <v>69</v>
      </c>
      <c r="D165" s="1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2:22" x14ac:dyDescent="0.25">
      <c r="B166" s="7" t="s">
        <v>70</v>
      </c>
      <c r="C166" s="7" t="s">
        <v>69</v>
      </c>
      <c r="D166" s="1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2:22" x14ac:dyDescent="0.25">
      <c r="B167" s="7" t="s">
        <v>70</v>
      </c>
      <c r="C167" s="7" t="s">
        <v>69</v>
      </c>
      <c r="D167" s="1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2:22" x14ac:dyDescent="0.25">
      <c r="B168" s="7" t="s">
        <v>70</v>
      </c>
      <c r="C168" s="7" t="s">
        <v>69</v>
      </c>
      <c r="D168" s="1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2:22" x14ac:dyDescent="0.25">
      <c r="B169" s="7" t="s">
        <v>70</v>
      </c>
      <c r="C169" s="7" t="s">
        <v>69</v>
      </c>
      <c r="D169" s="1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2:22" x14ac:dyDescent="0.25">
      <c r="B170" s="7" t="s">
        <v>70</v>
      </c>
      <c r="C170" s="7" t="s">
        <v>69</v>
      </c>
      <c r="D170" s="1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2:22" x14ac:dyDescent="0.25">
      <c r="B171" s="7" t="s">
        <v>70</v>
      </c>
      <c r="C171" s="7" t="s">
        <v>69</v>
      </c>
      <c r="D171" s="1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2:22" x14ac:dyDescent="0.25">
      <c r="B172" s="7" t="s">
        <v>70</v>
      </c>
      <c r="C172" s="7" t="s">
        <v>69</v>
      </c>
      <c r="D172" s="1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2:22" x14ac:dyDescent="0.25">
      <c r="B173" s="7" t="s">
        <v>70</v>
      </c>
      <c r="C173" s="7" t="s">
        <v>69</v>
      </c>
      <c r="D173" s="1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2:22" x14ac:dyDescent="0.25">
      <c r="B174" s="7" t="s">
        <v>70</v>
      </c>
      <c r="C174" s="7" t="s">
        <v>69</v>
      </c>
      <c r="D174" s="1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2:22" x14ac:dyDescent="0.25">
      <c r="B175" s="7" t="s">
        <v>70</v>
      </c>
      <c r="C175" s="7" t="s">
        <v>69</v>
      </c>
      <c r="D175" s="1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2:22" x14ac:dyDescent="0.25">
      <c r="B176" s="7" t="s">
        <v>70</v>
      </c>
      <c r="C176" s="7" t="s">
        <v>69</v>
      </c>
      <c r="D176" s="1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2:22" x14ac:dyDescent="0.25">
      <c r="B177" s="7" t="s">
        <v>70</v>
      </c>
      <c r="C177" s="7" t="s">
        <v>69</v>
      </c>
      <c r="D177" s="1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2:22" x14ac:dyDescent="0.25">
      <c r="B178" s="7" t="s">
        <v>71</v>
      </c>
      <c r="C178" s="7" t="s">
        <v>69</v>
      </c>
      <c r="D178" s="1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2:22" x14ac:dyDescent="0.25">
      <c r="B179" s="7" t="s">
        <v>71</v>
      </c>
      <c r="C179" s="7" t="s">
        <v>69</v>
      </c>
      <c r="D179" s="1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2:22" x14ac:dyDescent="0.25">
      <c r="B180" s="7" t="s">
        <v>71</v>
      </c>
      <c r="C180" s="7" t="s">
        <v>69</v>
      </c>
      <c r="D180" s="1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2:22" x14ac:dyDescent="0.25">
      <c r="B181" s="7" t="s">
        <v>71</v>
      </c>
      <c r="C181" s="7" t="s">
        <v>69</v>
      </c>
      <c r="D181" s="1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2:22" x14ac:dyDescent="0.25">
      <c r="B182" s="7" t="s">
        <v>71</v>
      </c>
      <c r="C182" s="7" t="s">
        <v>69</v>
      </c>
      <c r="D182" s="1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2:22" x14ac:dyDescent="0.25">
      <c r="B183" s="7" t="s">
        <v>71</v>
      </c>
      <c r="C183" s="7" t="s">
        <v>69</v>
      </c>
      <c r="D183" s="1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2:22" x14ac:dyDescent="0.25">
      <c r="B184" s="7" t="s">
        <v>71</v>
      </c>
      <c r="C184" s="7" t="s">
        <v>69</v>
      </c>
      <c r="D184" s="1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2:22" x14ac:dyDescent="0.25">
      <c r="B185" s="7" t="s">
        <v>71</v>
      </c>
      <c r="C185" s="7" t="s">
        <v>69</v>
      </c>
      <c r="D185" s="1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2:22" x14ac:dyDescent="0.25">
      <c r="B186" s="7" t="s">
        <v>71</v>
      </c>
      <c r="C186" s="7" t="s">
        <v>69</v>
      </c>
      <c r="D186" s="1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2:22" x14ac:dyDescent="0.25">
      <c r="B187" s="7" t="s">
        <v>71</v>
      </c>
      <c r="C187" s="7" t="s">
        <v>69</v>
      </c>
      <c r="D187" s="1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2:22" x14ac:dyDescent="0.25">
      <c r="B188" s="7" t="s">
        <v>71</v>
      </c>
      <c r="C188" s="7" t="s">
        <v>69</v>
      </c>
      <c r="D188" s="1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2:22" x14ac:dyDescent="0.25">
      <c r="B189" s="7" t="s">
        <v>71</v>
      </c>
      <c r="C189" s="7" t="s">
        <v>69</v>
      </c>
      <c r="D189" s="1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2:22" x14ac:dyDescent="0.25">
      <c r="B190" s="7" t="s">
        <v>71</v>
      </c>
      <c r="C190" s="7" t="s">
        <v>69</v>
      </c>
      <c r="D190" s="1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2:22" x14ac:dyDescent="0.25">
      <c r="B191" s="7" t="s">
        <v>71</v>
      </c>
      <c r="C191" s="7" t="s">
        <v>69</v>
      </c>
      <c r="D191" s="1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2:22" x14ac:dyDescent="0.25">
      <c r="B192" s="7" t="s">
        <v>71</v>
      </c>
      <c r="C192" s="7" t="s">
        <v>69</v>
      </c>
      <c r="D192" s="1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2:22" x14ac:dyDescent="0.25">
      <c r="B193" s="7" t="s">
        <v>71</v>
      </c>
      <c r="C193" s="7" t="s">
        <v>69</v>
      </c>
      <c r="D193" s="1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2:22" x14ac:dyDescent="0.25">
      <c r="B194" s="7" t="s">
        <v>71</v>
      </c>
      <c r="C194" s="7" t="s">
        <v>69</v>
      </c>
      <c r="D194" s="1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2:22" x14ac:dyDescent="0.25">
      <c r="B195" s="7" t="s">
        <v>71</v>
      </c>
      <c r="C195" s="7" t="s">
        <v>69</v>
      </c>
      <c r="D195" s="1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2:22" x14ac:dyDescent="0.25">
      <c r="B196" s="7" t="s">
        <v>71</v>
      </c>
      <c r="C196" s="7" t="s">
        <v>69</v>
      </c>
      <c r="D196" s="1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2:22" x14ac:dyDescent="0.25">
      <c r="B197" s="7" t="s">
        <v>71</v>
      </c>
      <c r="C197" s="7" t="s">
        <v>69</v>
      </c>
      <c r="D197" s="1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2:22" x14ac:dyDescent="0.25">
      <c r="B198" s="7" t="s">
        <v>71</v>
      </c>
      <c r="C198" s="7" t="s">
        <v>69</v>
      </c>
      <c r="D198" s="1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2:22" x14ac:dyDescent="0.25">
      <c r="B199" s="7" t="s">
        <v>71</v>
      </c>
      <c r="C199" s="7" t="s">
        <v>69</v>
      </c>
      <c r="D199" s="1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2:22" x14ac:dyDescent="0.25">
      <c r="B200" s="7" t="s">
        <v>71</v>
      </c>
      <c r="C200" s="7" t="s">
        <v>69</v>
      </c>
      <c r="D200" s="1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2:22" x14ac:dyDescent="0.25">
      <c r="B201" s="7" t="s">
        <v>71</v>
      </c>
      <c r="C201" s="7" t="s">
        <v>69</v>
      </c>
      <c r="D201" s="1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2:22" x14ac:dyDescent="0.25">
      <c r="B202" s="7" t="s">
        <v>72</v>
      </c>
      <c r="C202" s="7" t="s">
        <v>69</v>
      </c>
      <c r="D202" s="1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2:22" x14ac:dyDescent="0.25">
      <c r="B203" s="7" t="s">
        <v>72</v>
      </c>
      <c r="C203" s="7" t="s">
        <v>69</v>
      </c>
      <c r="D203" s="1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2:22" x14ac:dyDescent="0.25">
      <c r="B204" s="7" t="s">
        <v>72</v>
      </c>
      <c r="C204" s="7" t="s">
        <v>69</v>
      </c>
      <c r="D204" s="1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2:22" x14ac:dyDescent="0.25">
      <c r="B205" s="7" t="s">
        <v>72</v>
      </c>
      <c r="C205" s="7" t="s">
        <v>69</v>
      </c>
      <c r="D205" s="1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2:22" x14ac:dyDescent="0.25">
      <c r="B206" s="7" t="s">
        <v>72</v>
      </c>
      <c r="C206" s="7" t="s">
        <v>69</v>
      </c>
      <c r="D206" s="1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2:22" x14ac:dyDescent="0.25">
      <c r="B207" s="7" t="s">
        <v>72</v>
      </c>
      <c r="C207" s="7" t="s">
        <v>69</v>
      </c>
      <c r="D207" s="1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2:22" x14ac:dyDescent="0.25">
      <c r="B208" s="7" t="s">
        <v>72</v>
      </c>
      <c r="C208" s="7" t="s">
        <v>69</v>
      </c>
      <c r="D208" s="1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2:22" x14ac:dyDescent="0.25">
      <c r="B209" s="7" t="s">
        <v>72</v>
      </c>
      <c r="C209" s="7" t="s">
        <v>69</v>
      </c>
      <c r="D209" s="1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2:22" x14ac:dyDescent="0.25">
      <c r="B210" s="7" t="s">
        <v>72</v>
      </c>
      <c r="C210" s="7" t="s">
        <v>69</v>
      </c>
      <c r="D210" s="1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2:22" x14ac:dyDescent="0.25">
      <c r="B211" s="7" t="s">
        <v>72</v>
      </c>
      <c r="C211" s="7" t="s">
        <v>69</v>
      </c>
      <c r="D211" s="1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2:22" x14ac:dyDescent="0.25">
      <c r="B212" s="7" t="s">
        <v>72</v>
      </c>
      <c r="C212" s="7" t="s">
        <v>69</v>
      </c>
      <c r="D212" s="1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2:22" x14ac:dyDescent="0.25">
      <c r="B213" s="7" t="s">
        <v>72</v>
      </c>
      <c r="C213" s="7" t="s">
        <v>69</v>
      </c>
      <c r="D213" s="1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2:22" x14ac:dyDescent="0.25">
      <c r="B214" s="7" t="s">
        <v>72</v>
      </c>
      <c r="C214" s="7" t="s">
        <v>69</v>
      </c>
      <c r="D214" s="1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2:22" x14ac:dyDescent="0.25">
      <c r="B215" s="7" t="s">
        <v>72</v>
      </c>
      <c r="C215" s="7" t="s">
        <v>69</v>
      </c>
      <c r="D215" s="1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2:22" x14ac:dyDescent="0.25">
      <c r="B216" s="7" t="s">
        <v>72</v>
      </c>
      <c r="C216" s="7" t="s">
        <v>69</v>
      </c>
      <c r="D216" s="1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2:22" x14ac:dyDescent="0.25">
      <c r="B217" s="7" t="s">
        <v>72</v>
      </c>
      <c r="C217" s="7" t="s">
        <v>69</v>
      </c>
      <c r="D217" s="1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2:22" x14ac:dyDescent="0.25">
      <c r="B218" s="7" t="s">
        <v>72</v>
      </c>
      <c r="C218" s="7" t="s">
        <v>69</v>
      </c>
      <c r="D218" s="1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2:22" x14ac:dyDescent="0.25">
      <c r="B219" s="7" t="s">
        <v>72</v>
      </c>
      <c r="C219" s="7" t="s">
        <v>69</v>
      </c>
      <c r="D219" s="1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2:22" x14ac:dyDescent="0.25">
      <c r="B220" s="7" t="s">
        <v>72</v>
      </c>
      <c r="C220" s="7" t="s">
        <v>69</v>
      </c>
      <c r="D220" s="1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2:22" x14ac:dyDescent="0.25">
      <c r="B221" s="7" t="s">
        <v>72</v>
      </c>
      <c r="C221" s="7" t="s">
        <v>69</v>
      </c>
      <c r="D221" s="1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2:22" x14ac:dyDescent="0.25">
      <c r="B222" s="7" t="s">
        <v>72</v>
      </c>
      <c r="C222" s="7" t="s">
        <v>69</v>
      </c>
      <c r="D222" s="1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2:22" x14ac:dyDescent="0.25">
      <c r="B223" s="7" t="s">
        <v>72</v>
      </c>
      <c r="C223" s="7" t="s">
        <v>69</v>
      </c>
      <c r="D223" s="1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2:22" x14ac:dyDescent="0.25">
      <c r="B224" s="7" t="s">
        <v>72</v>
      </c>
      <c r="C224" s="7" t="s">
        <v>69</v>
      </c>
      <c r="D224" s="1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2:22" x14ac:dyDescent="0.25">
      <c r="B225" s="7" t="s">
        <v>72</v>
      </c>
      <c r="C225" s="7" t="s">
        <v>69</v>
      </c>
      <c r="D225" s="1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2:22" x14ac:dyDescent="0.25">
      <c r="B226" s="7" t="s">
        <v>73</v>
      </c>
      <c r="C226" s="7" t="s">
        <v>69</v>
      </c>
      <c r="D226" s="1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2:22" x14ac:dyDescent="0.25">
      <c r="B227" s="7" t="s">
        <v>73</v>
      </c>
      <c r="C227" s="7" t="s">
        <v>69</v>
      </c>
      <c r="D227" s="1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2:22" x14ac:dyDescent="0.25">
      <c r="B228" s="7" t="s">
        <v>73</v>
      </c>
      <c r="C228" s="7" t="s">
        <v>69</v>
      </c>
      <c r="D228" s="1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2:22" x14ac:dyDescent="0.25">
      <c r="B229" s="7" t="s">
        <v>73</v>
      </c>
      <c r="C229" s="7" t="s">
        <v>69</v>
      </c>
      <c r="D229" s="1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2:22" x14ac:dyDescent="0.25">
      <c r="B230" s="7" t="s">
        <v>73</v>
      </c>
      <c r="C230" s="7" t="s">
        <v>69</v>
      </c>
      <c r="D230" s="1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2:22" x14ac:dyDescent="0.25">
      <c r="B231" s="7" t="s">
        <v>73</v>
      </c>
      <c r="C231" s="7" t="s">
        <v>69</v>
      </c>
      <c r="D231" s="1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2:22" x14ac:dyDescent="0.25">
      <c r="B232" s="7" t="s">
        <v>73</v>
      </c>
      <c r="C232" s="7" t="s">
        <v>69</v>
      </c>
      <c r="D232" s="1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2:22" x14ac:dyDescent="0.25">
      <c r="B233" s="7" t="s">
        <v>73</v>
      </c>
      <c r="C233" s="7" t="s">
        <v>69</v>
      </c>
      <c r="D233" s="1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2:22" x14ac:dyDescent="0.25">
      <c r="B234" s="7" t="s">
        <v>73</v>
      </c>
      <c r="C234" s="7" t="s">
        <v>69</v>
      </c>
      <c r="D234" s="1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2:22" x14ac:dyDescent="0.25">
      <c r="B235" s="7" t="s">
        <v>73</v>
      </c>
      <c r="C235" s="7" t="s">
        <v>69</v>
      </c>
      <c r="D235" s="1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2:22" x14ac:dyDescent="0.25">
      <c r="B236" s="7" t="s">
        <v>73</v>
      </c>
      <c r="C236" s="7" t="s">
        <v>69</v>
      </c>
      <c r="D236" s="1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2:22" x14ac:dyDescent="0.25">
      <c r="B237" s="7" t="s">
        <v>73</v>
      </c>
      <c r="C237" s="7" t="s">
        <v>69</v>
      </c>
      <c r="D237" s="1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2:22" x14ac:dyDescent="0.25">
      <c r="B238" s="7" t="s">
        <v>73</v>
      </c>
      <c r="C238" s="7" t="s">
        <v>69</v>
      </c>
      <c r="D238" s="1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2:22" x14ac:dyDescent="0.25">
      <c r="B239" s="7" t="s">
        <v>73</v>
      </c>
      <c r="C239" s="7" t="s">
        <v>69</v>
      </c>
      <c r="D239" s="1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2:22" x14ac:dyDescent="0.25">
      <c r="B240" s="7" t="s">
        <v>73</v>
      </c>
      <c r="C240" s="7" t="s">
        <v>69</v>
      </c>
      <c r="D240" s="1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2:22" x14ac:dyDescent="0.25">
      <c r="B241" s="7" t="s">
        <v>73</v>
      </c>
      <c r="C241" s="7" t="s">
        <v>69</v>
      </c>
      <c r="D241" s="1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2:22" x14ac:dyDescent="0.25">
      <c r="B242" s="7" t="s">
        <v>73</v>
      </c>
      <c r="C242" s="7" t="s">
        <v>69</v>
      </c>
      <c r="D242" s="1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2:22" x14ac:dyDescent="0.25">
      <c r="B243" s="7" t="s">
        <v>73</v>
      </c>
      <c r="C243" s="7" t="s">
        <v>69</v>
      </c>
      <c r="D243" s="1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2:22" x14ac:dyDescent="0.25">
      <c r="B244" s="7" t="s">
        <v>73</v>
      </c>
      <c r="C244" s="7" t="s">
        <v>69</v>
      </c>
      <c r="D244" s="1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2:22" x14ac:dyDescent="0.25">
      <c r="B245" s="7" t="s">
        <v>73</v>
      </c>
      <c r="C245" s="7" t="s">
        <v>69</v>
      </c>
      <c r="D245" s="1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2:22" x14ac:dyDescent="0.25">
      <c r="B246" s="7" t="s">
        <v>73</v>
      </c>
      <c r="C246" s="7" t="s">
        <v>69</v>
      </c>
      <c r="D246" s="1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2:22" x14ac:dyDescent="0.25">
      <c r="B247" s="7" t="s">
        <v>73</v>
      </c>
      <c r="C247" s="7" t="s">
        <v>69</v>
      </c>
      <c r="D247" s="1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2:22" x14ac:dyDescent="0.25">
      <c r="B248" s="7" t="s">
        <v>73</v>
      </c>
      <c r="C248" s="7" t="s">
        <v>69</v>
      </c>
      <c r="D248" s="1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2:22" x14ac:dyDescent="0.25">
      <c r="B249" s="7" t="s">
        <v>73</v>
      </c>
      <c r="C249" s="7" t="s">
        <v>69</v>
      </c>
      <c r="D249" s="1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H3"/>
  <sheetViews>
    <sheetView workbookViewId="0">
      <selection activeCell="G3" sqref="G3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6" width="25.85546875" customWidth="1"/>
    <col min="7" max="8" width="20" bestFit="1" customWidth="1"/>
  </cols>
  <sheetData>
    <row r="1" spans="1:8" x14ac:dyDescent="0.25">
      <c r="A1" t="s">
        <v>38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s="19" t="s">
        <v>32</v>
      </c>
      <c r="H1" s="19" t="s">
        <v>33</v>
      </c>
    </row>
    <row r="2" spans="1:8" x14ac:dyDescent="0.25">
      <c r="A2">
        <v>2</v>
      </c>
      <c r="B2" t="s">
        <v>34</v>
      </c>
      <c r="C2" t="s">
        <v>35</v>
      </c>
      <c r="D2" s="4">
        <v>45292</v>
      </c>
      <c r="E2" s="4">
        <v>46388</v>
      </c>
      <c r="F2" t="s">
        <v>36</v>
      </c>
      <c r="G2" t="s">
        <v>34</v>
      </c>
      <c r="H2" t="s">
        <v>37</v>
      </c>
    </row>
    <row r="3" spans="1:8" x14ac:dyDescent="0.25">
      <c r="F3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str" cm="1">
        <f t="array" aca="1" ref="B7" ca="1">IF('Raw Data'!B7="",_xlfn.REGEXEXTRACT(CELL("address",'Raw Data'!B7),"\$([A-Z]+)\$[0-9]+"),"")</f>
        <v>$B$7</v>
      </c>
      <c r="C7" t="str" cm="1">
        <f t="array" aca="1" ref="C7" ca="1">IF('Raw Data'!C7="",_xlfn.REGEXEXTRACT(CELL("address",'Raw Data'!C7),"\$([A-Z]+)\$[0-9]+"),"")</f>
        <v>$C$7</v>
      </c>
      <c r="D7" t="str" cm="1">
        <f t="array" aca="1" ref="D7" ca="1">IF('Raw Data'!D7="",_xlfn.REGEXEXTRACT(CELL("address",'Raw Data'!D7),"\$([A-Z]+)\$[0-9]+"),"")</f>
        <v>$D$7</v>
      </c>
      <c r="E7" t="str" cm="1">
        <f t="array" aca="1" ref="E7" ca="1">IF('Raw Data'!E7="",_xlfn.REGEXEXTRACT(CELL("address",'Raw Data'!E7),"\$([A-Z]+)\$[0-9]+"),"")</f>
        <v>$E$7</v>
      </c>
      <c r="F7" t="str" cm="1">
        <f t="array" aca="1" ref="F7" ca="1">IF('Raw Data'!F7="",_xlfn.REGEXEXTRACT(CELL("address",'Raw Data'!F7),"\$([A-Z]+)\$[0-9]+"),"")</f>
        <v>$F$7</v>
      </c>
      <c r="G7" t="e" cm="1">
        <f t="array" aca="1" ref="G7" ca="1">IF('Raw Data'!#REF!="",_xlfn.REGEXEXTRACT(CELL("address",'Raw Data'!#REF!),"\$([A-Z]+)\$[0-9]+"),"")</f>
        <v>#REF!</v>
      </c>
      <c r="H7" t="str" cm="1">
        <f t="array" aca="1" ref="H7" ca="1">IF('Raw Data'!G7="",_xlfn.REGEXEXTRACT(CELL("address",'Raw Data'!G7),"\$([A-Z]+)\$[0-9]+"),"")</f>
        <v>$G$7</v>
      </c>
      <c r="I7" t="str" cm="1">
        <f t="array" aca="1" ref="I7" ca="1">IF('Raw Data'!H7="",_xlfn.REGEXEXTRACT(CELL("address",'Raw Data'!H7),"\$([A-Z]+)\$[0-9]+"),"")</f>
        <v>$H$7</v>
      </c>
    </row>
    <row r="8" spans="2:9" x14ac:dyDescent="0.25">
      <c r="B8" t="str" cm="1">
        <f t="array" aca="1" ref="B8" ca="1">IF('Raw Data'!B8="",_xlfn.REGEXEXTRACT(CELL("address",'Raw Data'!B8),"\$([A-Z]+)\$[0-9]+"),"")</f>
        <v>$B$8</v>
      </c>
      <c r="C8" t="str" cm="1">
        <f t="array" aca="1" ref="C8" ca="1">IF('Raw Data'!C8="",_xlfn.REGEXEXTRACT(CELL("address",'Raw Data'!C8),"\$([A-Z]+)\$[0-9]+"),"")</f>
        <v>$C$8</v>
      </c>
      <c r="D8" t="str" cm="1">
        <f t="array" aca="1" ref="D8" ca="1">IF('Raw Data'!D8="",_xlfn.REGEXEXTRACT(CELL("address",'Raw Data'!D8),"\$([A-Z]+)\$[0-9]+"),"")</f>
        <v>$D$8</v>
      </c>
      <c r="E8" t="str" cm="1">
        <f t="array" aca="1" ref="E8" ca="1">IF('Raw Data'!E8="",_xlfn.REGEXEXTRACT(CELL("address",'Raw Data'!E8),"\$([A-Z]+)\$[0-9]+"),"")</f>
        <v>$E$8</v>
      </c>
      <c r="F8" t="str" cm="1">
        <f t="array" aca="1" ref="F8" ca="1">IF('Raw Data'!F8="",_xlfn.REGEXEXTRACT(CELL("address",'Raw Data'!F8),"\$([A-Z]+)\$[0-9]+"),"")</f>
        <v>$F$8</v>
      </c>
      <c r="G8" t="e" cm="1">
        <f t="array" aca="1" ref="G8" ca="1">IF('Raw Data'!#REF!="",_xlfn.REGEXEXTRACT(CELL("address",'Raw Data'!#REF!),"\$([A-Z]+)\$[0-9]+"),"")</f>
        <v>#REF!</v>
      </c>
      <c r="H8" t="str" cm="1">
        <f t="array" aca="1" ref="H8" ca="1">IF('Raw Data'!G8="",_xlfn.REGEXEXTRACT(CELL("address",'Raw Data'!G8),"\$([A-Z]+)\$[0-9]+"),"")</f>
        <v>$G$8</v>
      </c>
      <c r="I8" t="str" cm="1">
        <f t="array" aca="1" ref="I8" ca="1">IF('Raw Data'!H8="",_xlfn.REGEXEXTRACT(CELL("address",'Raw Data'!H8),"\$([A-Z]+)\$[0-9]+"),"")</f>
        <v>$H$8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/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/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/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/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/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/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/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/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/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/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/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/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/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/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/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/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/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/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/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/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/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/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/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/>
      </c>
      <c r="I34" t="str" cm="1">
        <f t="array" aca="1" ref="I34" ca="1">IF('Raw Data'!H34="",_xlfn.REGEXEXTRACT(CELL("address",'Raw Data'!H34),"\$([A-Z]+)\$[0-9]+"),"")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/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/>
      </c>
      <c r="I35" t="str" cm="1">
        <f t="array" aca="1" ref="I35" ca="1">IF('Raw Data'!H35="",_xlfn.REGEXEXTRACT(CELL("address",'Raw Data'!H35),"\$([A-Z]+)\$[0-9]+"),"")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/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/>
      </c>
      <c r="I36" t="str" cm="1">
        <f t="array" aca="1" ref="I36" ca="1">IF('Raw Data'!H36="",_xlfn.REGEXEXTRACT(CELL("address",'Raw Data'!H36),"\$([A-Z]+)\$[0-9]+"),"")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/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/>
      </c>
      <c r="I37" t="str" cm="1">
        <f t="array" aca="1" ref="I37" ca="1">IF('Raw Data'!H37="",_xlfn.REGEXEXTRACT(CELL("address",'Raw Data'!H37),"\$([A-Z]+)\$[0-9]+"),"")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/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/>
      </c>
      <c r="I38" t="str" cm="1">
        <f t="array" aca="1" ref="I38" ca="1">IF('Raw Data'!H38="",_xlfn.REGEXEXTRACT(CELL("address",'Raw Data'!H38),"\$([A-Z]+)\$[0-9]+"),"")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/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/>
      </c>
      <c r="I39" t="str" cm="1">
        <f t="array" aca="1" ref="I39" ca="1">IF('Raw Data'!H39="",_xlfn.REGEXEXTRACT(CELL("address",'Raw Data'!H39),"\$([A-Z]+)\$[0-9]+"),"")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/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/>
      </c>
      <c r="I40" t="str" cm="1">
        <f t="array" aca="1" ref="I40" ca="1">IF('Raw Data'!H40="",_xlfn.REGEXEXTRACT(CELL("address",'Raw Data'!H40),"\$([A-Z]+)\$[0-9]+"),"")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/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/>
      </c>
      <c r="I41" t="str" cm="1">
        <f t="array" aca="1" ref="I41" ca="1">IF('Raw Data'!H41="",_xlfn.REGEXEXTRACT(CELL("address",'Raw Data'!H41),"\$([A-Z]+)\$[0-9]+"),"")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/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/>
      </c>
      <c r="I42" t="str" cm="1">
        <f t="array" aca="1" ref="I42" ca="1">IF('Raw Data'!H42="",_xlfn.REGEXEXTRACT(CELL("address",'Raw Data'!H42),"\$([A-Z]+)\$[0-9]+"),"")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/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/>
      </c>
      <c r="I43" t="str" cm="1">
        <f t="array" aca="1" ref="I43" ca="1">IF('Raw Data'!H43="",_xlfn.REGEXEXTRACT(CELL("address",'Raw Data'!H43),"\$([A-Z]+)\$[0-9]+"),"")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/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/>
      </c>
      <c r="I44" t="str" cm="1">
        <f t="array" aca="1" ref="I44" ca="1">IF('Raw Data'!H44="",_xlfn.REGEXEXTRACT(CELL("address",'Raw Data'!H44),"\$([A-Z]+)\$[0-9]+"),"")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/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/>
      </c>
      <c r="I45" t="str" cm="1">
        <f t="array" aca="1" ref="I45" ca="1">IF('Raw Data'!H45="",_xlfn.REGEXEXTRACT(CELL("address",'Raw Data'!H45),"\$([A-Z]+)\$[0-9]+"),"")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/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/>
      </c>
      <c r="I46" t="str" cm="1">
        <f t="array" aca="1" ref="I46" ca="1">IF('Raw Data'!H46="",_xlfn.REGEXEXTRACT(CELL("address",'Raw Data'!H46),"\$([A-Z]+)\$[0-9]+"),"")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/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/>
      </c>
      <c r="I47" t="str" cm="1">
        <f t="array" aca="1" ref="I47" ca="1">IF('Raw Data'!H47="",_xlfn.REGEXEXTRACT(CELL("address",'Raw Data'!H47),"\$([A-Z]+)\$[0-9]+"),"")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/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/>
      </c>
      <c r="I48" t="str" cm="1">
        <f t="array" aca="1" ref="I48" ca="1">IF('Raw Data'!H48="",_xlfn.REGEXEXTRACT(CELL("address",'Raw Data'!H48),"\$([A-Z]+)\$[0-9]+"),"")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/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/>
      </c>
      <c r="I49" t="str" cm="1">
        <f t="array" aca="1" ref="I49" ca="1">IF('Raw Data'!H49="",_xlfn.REGEXEXTRACT(CELL("address",'Raw Data'!H49),"\$([A-Z]+)\$[0-9]+"),"")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/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/>
      </c>
      <c r="I50" t="str" cm="1">
        <f t="array" aca="1" ref="I50" ca="1">IF('Raw Data'!H50="",_xlfn.REGEXEXTRACT(CELL("address",'Raw Data'!H50),"\$([A-Z]+)\$[0-9]+"),"")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/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/>
      </c>
      <c r="I51" t="str" cm="1">
        <f t="array" aca="1" ref="I51" ca="1">IF('Raw Data'!H51="",_xlfn.REGEXEXTRACT(CELL("address",'Raw Data'!H51),"\$([A-Z]+)\$[0-9]+"),"")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/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/>
      </c>
      <c r="I52" t="str" cm="1">
        <f t="array" aca="1" ref="I52" ca="1">IF('Raw Data'!H52="",_xlfn.REGEXEXTRACT(CELL("address",'Raw Data'!H52),"\$([A-Z]+)\$[0-9]+"),"")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/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/>
      </c>
      <c r="I53" t="str" cm="1">
        <f t="array" aca="1" ref="I53" ca="1">IF('Raw Data'!H53="",_xlfn.REGEXEXTRACT(CELL("address",'Raw Data'!H53),"\$([A-Z]+)\$[0-9]+"),"")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/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/>
      </c>
      <c r="I54" t="str" cm="1">
        <f t="array" aca="1" ref="I54" ca="1">IF('Raw Data'!H54="",_xlfn.REGEXEXTRACT(CELL("address",'Raw Data'!H54),"\$([A-Z]+)\$[0-9]+"),"")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/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/>
      </c>
      <c r="I55" t="str" cm="1">
        <f t="array" aca="1" ref="I55" ca="1">IF('Raw Data'!H55="",_xlfn.REGEXEXTRACT(CELL("address",'Raw Data'!H55),"\$([A-Z]+)\$[0-9]+"),"")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/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/>
      </c>
      <c r="I56" t="str" cm="1">
        <f t="array" aca="1" ref="I56" ca="1">IF('Raw Data'!H56="",_xlfn.REGEXEXTRACT(CELL("address",'Raw Data'!H56),"\$([A-Z]+)\$[0-9]+"),"")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/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/>
      </c>
      <c r="I57" t="str" cm="1">
        <f t="array" aca="1" ref="I57" ca="1">IF('Raw Data'!H57="",_xlfn.REGEXEXTRACT(CELL("address",'Raw Data'!H57),"\$([A-Z]+)\$[0-9]+"),"")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/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/>
      </c>
      <c r="I58" t="str" cm="1">
        <f t="array" aca="1" ref="I58" ca="1">IF('Raw Data'!H58="",_xlfn.REGEXEXTRACT(CELL("address",'Raw Data'!H58),"\$([A-Z]+)\$[0-9]+"),"")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/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/>
      </c>
      <c r="I59" t="str" cm="1">
        <f t="array" aca="1" ref="I59" ca="1">IF('Raw Data'!H59="",_xlfn.REGEXEXTRACT(CELL("address",'Raw Data'!H59),"\$([A-Z]+)\$[0-9]+"),"")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/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/>
      </c>
      <c r="I60" t="str" cm="1">
        <f t="array" aca="1" ref="I60" ca="1">IF('Raw Data'!H60="",_xlfn.REGEXEXTRACT(CELL("address",'Raw Data'!H60),"\$([A-Z]+)\$[0-9]+"),"")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/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/>
      </c>
      <c r="I61" t="str" cm="1">
        <f t="array" aca="1" ref="I61" ca="1">IF('Raw Data'!H61="",_xlfn.REGEXEXTRACT(CELL("address",'Raw Data'!H61),"\$([A-Z]+)\$[0-9]+"),"")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/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/>
      </c>
      <c r="I62" t="str" cm="1">
        <f t="array" aca="1" ref="I62" ca="1">IF('Raw Data'!H62="",_xlfn.REGEXEXTRACT(CELL("address",'Raw Data'!H62),"\$([A-Z]+)\$[0-9]+"),"")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/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/>
      </c>
      <c r="I63" t="str" cm="1">
        <f t="array" aca="1" ref="I63" ca="1">IF('Raw Data'!H63="",_xlfn.REGEXEXTRACT(CELL("address",'Raw Data'!H63),"\$([A-Z]+)\$[0-9]+"),"")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/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/>
      </c>
      <c r="I64" t="str" cm="1">
        <f t="array" aca="1" ref="I64" ca="1">IF('Raw Data'!H64="",_xlfn.REGEXEXTRACT(CELL("address",'Raw Data'!H64),"\$([A-Z]+)\$[0-9]+"),"")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/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/>
      </c>
      <c r="I65" t="str" cm="1">
        <f t="array" aca="1" ref="I65" ca="1">IF('Raw Data'!H65="",_xlfn.REGEXEXTRACT(CELL("address",'Raw Data'!H65),"\$([A-Z]+)\$[0-9]+"),"")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/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/>
      </c>
      <c r="I66" t="str" cm="1">
        <f t="array" aca="1" ref="I66" ca="1">IF('Raw Data'!H66="",_xlfn.REGEXEXTRACT(CELL("address",'Raw Data'!H66),"\$([A-Z]+)\$[0-9]+"),"")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/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/>
      </c>
      <c r="I67" t="str" cm="1">
        <f t="array" aca="1" ref="I67" ca="1">IF('Raw Data'!H67="",_xlfn.REGEXEXTRACT(CELL("address",'Raw Data'!H67),"\$([A-Z]+)\$[0-9]+"),"")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/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/>
      </c>
      <c r="I68" t="str" cm="1">
        <f t="array" aca="1" ref="I68" ca="1">IF('Raw Data'!H68="",_xlfn.REGEXEXTRACT(CELL("address",'Raw Data'!H68),"\$([A-Z]+)\$[0-9]+"),"")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/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/>
      </c>
      <c r="I69" t="str" cm="1">
        <f t="array" aca="1" ref="I69" ca="1">IF('Raw Data'!H69="",_xlfn.REGEXEXTRACT(CELL("address",'Raw Data'!H69),"\$([A-Z]+)\$[0-9]+"),"")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/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/>
      </c>
      <c r="I70" t="str" cm="1">
        <f t="array" aca="1" ref="I70" ca="1">IF('Raw Data'!H70="",_xlfn.REGEXEXTRACT(CELL("address",'Raw Data'!H70),"\$([A-Z]+)\$[0-9]+"),"")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/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/>
      </c>
      <c r="I71" t="str" cm="1">
        <f t="array" aca="1" ref="I71" ca="1">IF('Raw Data'!H71="",_xlfn.REGEXEXTRACT(CELL("address",'Raw Data'!H71),"\$([A-Z]+)\$[0-9]+"),"")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/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/>
      </c>
      <c r="I72" t="str" cm="1">
        <f t="array" aca="1" ref="I72" ca="1">IF('Raw Data'!H72="",_xlfn.REGEXEXTRACT(CELL("address",'Raw Data'!H72),"\$([A-Z]+)\$[0-9]+"),"")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/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/>
      </c>
      <c r="I73" t="str" cm="1">
        <f t="array" aca="1" ref="I73" ca="1">IF('Raw Data'!H73="",_xlfn.REGEXEXTRACT(CELL("address",'Raw Data'!H73),"\$([A-Z]+)\$[0-9]+"),"")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/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/>
      </c>
      <c r="I74" t="str" cm="1">
        <f t="array" aca="1" ref="I74" ca="1">IF('Raw Data'!H74="",_xlfn.REGEXEXTRACT(CELL("address",'Raw Data'!H74),"\$([A-Z]+)\$[0-9]+"),"")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/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/>
      </c>
      <c r="I75" t="str" cm="1">
        <f t="array" aca="1" ref="I75" ca="1">IF('Raw Data'!H75="",_xlfn.REGEXEXTRACT(CELL("address",'Raw Data'!H75),"\$([A-Z]+)\$[0-9]+"),"")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/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/>
      </c>
      <c r="I76" t="str" cm="1">
        <f t="array" aca="1" ref="I76" ca="1">IF('Raw Data'!H76="",_xlfn.REGEXEXTRACT(CELL("address",'Raw Data'!H76),"\$([A-Z]+)\$[0-9]+"),"")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/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/>
      </c>
      <c r="I77" t="str" cm="1">
        <f t="array" aca="1" ref="I77" ca="1">IF('Raw Data'!H77="",_xlfn.REGEXEXTRACT(CELL("address",'Raw Data'!H77),"\$([A-Z]+)\$[0-9]+"),"")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/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/>
      </c>
      <c r="I78" t="str" cm="1">
        <f t="array" aca="1" ref="I78" ca="1">IF('Raw Data'!H78="",_xlfn.REGEXEXTRACT(CELL("address",'Raw Data'!H78),"\$([A-Z]+)\$[0-9]+"),"")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/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/>
      </c>
      <c r="I79" t="str" cm="1">
        <f t="array" aca="1" ref="I79" ca="1">IF('Raw Data'!H79="",_xlfn.REGEXEXTRACT(CELL("address",'Raw Data'!H79),"\$([A-Z]+)\$[0-9]+"),"")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/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/>
      </c>
      <c r="I80" t="str" cm="1">
        <f t="array" aca="1" ref="I80" ca="1">IF('Raw Data'!H80="",_xlfn.REGEXEXTRACT(CELL("address",'Raw Data'!H80),"\$([A-Z]+)\$[0-9]+"),"")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/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/>
      </c>
      <c r="I81" t="str" cm="1">
        <f t="array" aca="1" ref="I81" ca="1">IF('Raw Data'!H81="",_xlfn.REGEXEXTRACT(CELL("address",'Raw Data'!H81),"\$([A-Z]+)\$[0-9]+"),"")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/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/>
      </c>
      <c r="I82" t="str" cm="1">
        <f t="array" aca="1" ref="I82" ca="1">IF('Raw Data'!H82="",_xlfn.REGEXEXTRACT(CELL("address",'Raw Data'!H82),"\$([A-Z]+)\$[0-9]+"),"")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/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/>
      </c>
      <c r="I83" t="str" cm="1">
        <f t="array" aca="1" ref="I83" ca="1">IF('Raw Data'!H83="",_xlfn.REGEXEXTRACT(CELL("address",'Raw Data'!H83),"\$([A-Z]+)\$[0-9]+"),"")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/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/>
      </c>
      <c r="I84" t="str" cm="1">
        <f t="array" aca="1" ref="I84" ca="1">IF('Raw Data'!H84="",_xlfn.REGEXEXTRACT(CELL("address",'Raw Data'!H84),"\$([A-Z]+)\$[0-9]+"),"")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/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/>
      </c>
      <c r="I85" t="str" cm="1">
        <f t="array" aca="1" ref="I85" ca="1">IF('Raw Data'!H85="",_xlfn.REGEXEXTRACT(CELL("address",'Raw Data'!H85),"\$([A-Z]+)\$[0-9]+"),"")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/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/>
      </c>
      <c r="I86" t="str" cm="1">
        <f t="array" aca="1" ref="I86" ca="1">IF('Raw Data'!H86="",_xlfn.REGEXEXTRACT(CELL("address",'Raw Data'!H86),"\$([A-Z]+)\$[0-9]+"),"")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/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/>
      </c>
      <c r="I87" t="str" cm="1">
        <f t="array" aca="1" ref="I87" ca="1">IF('Raw Data'!H87="",_xlfn.REGEXEXTRACT(CELL("address",'Raw Data'!H87),"\$([A-Z]+)\$[0-9]+"),"")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/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/>
      </c>
      <c r="I88" t="str" cm="1">
        <f t="array" aca="1" ref="I88" ca="1">IF('Raw Data'!H88="",_xlfn.REGEXEXTRACT(CELL("address",'Raw Data'!H88),"\$([A-Z]+)\$[0-9]+"),"")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/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/>
      </c>
      <c r="I89" t="str" cm="1">
        <f t="array" aca="1" ref="I89" ca="1">IF('Raw Data'!H89="",_xlfn.REGEXEXTRACT(CELL("address",'Raw Data'!H89),"\$([A-Z]+)\$[0-9]+"),"")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/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/>
      </c>
      <c r="I90" t="str" cm="1">
        <f t="array" aca="1" ref="I90" ca="1">IF('Raw Data'!H90="",_xlfn.REGEXEXTRACT(CELL("address",'Raw Data'!H90),"\$([A-Z]+)\$[0-9]+"),"")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/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/>
      </c>
      <c r="I91" t="str" cm="1">
        <f t="array" aca="1" ref="I91" ca="1">IF('Raw Data'!H91="",_xlfn.REGEXEXTRACT(CELL("address",'Raw Data'!H91),"\$([A-Z]+)\$[0-9]+"),"")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/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/>
      </c>
      <c r="I92" t="str" cm="1">
        <f t="array" aca="1" ref="I92" ca="1">IF('Raw Data'!H92="",_xlfn.REGEXEXTRACT(CELL("address",'Raw Data'!H92),"\$([A-Z]+)\$[0-9]+"),"")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/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/>
      </c>
      <c r="I93" t="str" cm="1">
        <f t="array" aca="1" ref="I93" ca="1">IF('Raw Data'!H93="",_xlfn.REGEXEXTRACT(CELL("address",'Raw Data'!H93),"\$([A-Z]+)\$[0-9]+"),"")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/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/>
      </c>
      <c r="I94" t="str" cm="1">
        <f t="array" aca="1" ref="I94" ca="1">IF('Raw Data'!H94="",_xlfn.REGEXEXTRACT(CELL("address",'Raw Data'!H94),"\$([A-Z]+)\$[0-9]+"),"")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/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/>
      </c>
      <c r="I95" t="str" cm="1">
        <f t="array" aca="1" ref="I95" ca="1">IF('Raw Data'!H95="",_xlfn.REGEXEXTRACT(CELL("address",'Raw Data'!H95),"\$([A-Z]+)\$[0-9]+"),"")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/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/>
      </c>
      <c r="I96" t="str" cm="1">
        <f t="array" aca="1" ref="I96" ca="1">IF('Raw Data'!H96="",_xlfn.REGEXEXTRACT(CELL("address",'Raw Data'!H96),"\$([A-Z]+)\$[0-9]+"),"")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/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/>
      </c>
      <c r="I97" t="str" cm="1">
        <f t="array" aca="1" ref="I97" ca="1">IF('Raw Data'!H97="",_xlfn.REGEXEXTRACT(CELL("address",'Raw Data'!H97),"\$([A-Z]+)\$[0-9]+"),"")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/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/>
      </c>
      <c r="I98" t="str" cm="1">
        <f t="array" aca="1" ref="I98" ca="1">IF('Raw Data'!H98="",_xlfn.REGEXEXTRACT(CELL("address",'Raw Data'!H98),"\$([A-Z]+)\$[0-9]+"),"")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/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/>
      </c>
      <c r="I99" t="str" cm="1">
        <f t="array" aca="1" ref="I99" ca="1">IF('Raw Data'!H99="",_xlfn.REGEXEXTRACT(CELL("address",'Raw Data'!H99),"\$([A-Z]+)\$[0-9]+"),"")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/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/>
      </c>
      <c r="I100" t="str" cm="1">
        <f t="array" aca="1" ref="I100" ca="1">IF('Raw Data'!H100="",_xlfn.REGEXEXTRACT(CELL("address",'Raw Data'!H100),"\$([A-Z]+)\$[0-9]+"),"")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/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/>
      </c>
      <c r="I101" t="str" cm="1">
        <f t="array" aca="1" ref="I101" ca="1">IF('Raw Data'!H101="",_xlfn.REGEXEXTRACT(CELL("address",'Raw Data'!H101),"\$([A-Z]+)\$[0-9]+"),"")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/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/>
      </c>
      <c r="I102" t="str" cm="1">
        <f t="array" aca="1" ref="I102" ca="1">IF('Raw Data'!H102="",_xlfn.REGEXEXTRACT(CELL("address",'Raw Data'!H102),"\$([A-Z]+)\$[0-9]+"),"")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/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/>
      </c>
      <c r="I103" t="str" cm="1">
        <f t="array" aca="1" ref="I103" ca="1">IF('Raw Data'!H103="",_xlfn.REGEXEXTRACT(CELL("address",'Raw Data'!H103),"\$([A-Z]+)\$[0-9]+"),"")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/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/>
      </c>
      <c r="I104" t="str" cm="1">
        <f t="array" aca="1" ref="I104" ca="1">IF('Raw Data'!H104="",_xlfn.REGEXEXTRACT(CELL("address",'Raw Data'!H104),"\$([A-Z]+)\$[0-9]+"),"")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/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/>
      </c>
      <c r="I105" t="str" cm="1">
        <f t="array" aca="1" ref="I105" ca="1">IF('Raw Data'!H105="",_xlfn.REGEXEXTRACT(CELL("address",'Raw Data'!H105),"\$([A-Z]+)\$[0-9]+"),"")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/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/>
      </c>
      <c r="I106" t="str" cm="1">
        <f t="array" aca="1" ref="I106" ca="1">IF('Raw Data'!H106="",_xlfn.REGEXEXTRACT(CELL("address",'Raw Data'!H106),"\$([A-Z]+)\$[0-9]+"),"")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/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/>
      </c>
      <c r="I107" t="str" cm="1">
        <f t="array" aca="1" ref="I107" ca="1">IF('Raw Data'!H107="",_xlfn.REGEXEXTRACT(CELL("address",'Raw Data'!H107),"\$([A-Z]+)\$[0-9]+"),"")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/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/>
      </c>
      <c r="I108" t="str" cm="1">
        <f t="array" aca="1" ref="I108" ca="1">IF('Raw Data'!H108="",_xlfn.REGEXEXTRACT(CELL("address",'Raw Data'!H108),"\$([A-Z]+)\$[0-9]+"),"")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/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/>
      </c>
      <c r="I109" t="str" cm="1">
        <f t="array" aca="1" ref="I109" ca="1">IF('Raw Data'!H109="",_xlfn.REGEXEXTRACT(CELL("address",'Raw Data'!H109),"\$([A-Z]+)\$[0-9]+"),"")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/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/>
      </c>
      <c r="I110" t="str" cm="1">
        <f t="array" aca="1" ref="I110" ca="1">IF('Raw Data'!H110="",_xlfn.REGEXEXTRACT(CELL("address",'Raw Data'!H110),"\$([A-Z]+)\$[0-9]+"),"")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/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/>
      </c>
      <c r="I111" t="str" cm="1">
        <f t="array" aca="1" ref="I111" ca="1">IF('Raw Data'!H111="",_xlfn.REGEXEXTRACT(CELL("address",'Raw Data'!H111),"\$([A-Z]+)\$[0-9]+"),"")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/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/>
      </c>
      <c r="I112" t="str" cm="1">
        <f t="array" aca="1" ref="I112" ca="1">IF('Raw Data'!H112="",_xlfn.REGEXEXTRACT(CELL("address",'Raw Data'!H112),"\$([A-Z]+)\$[0-9]+"),"")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/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/>
      </c>
      <c r="I113" t="str" cm="1">
        <f t="array" aca="1" ref="I113" ca="1">IF('Raw Data'!H113="",_xlfn.REGEXEXTRACT(CELL("address",'Raw Data'!H113),"\$([A-Z]+)\$[0-9]+"),"")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/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/>
      </c>
      <c r="I114" t="str" cm="1">
        <f t="array" aca="1" ref="I114" ca="1">IF('Raw Data'!H114="",_xlfn.REGEXEXTRACT(CELL("address",'Raw Data'!H114),"\$([A-Z]+)\$[0-9]+"),"")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/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/>
      </c>
      <c r="I115" t="str" cm="1">
        <f t="array" aca="1" ref="I115" ca="1">IF('Raw Data'!H115="",_xlfn.REGEXEXTRACT(CELL("address",'Raw Data'!H115),"\$([A-Z]+)\$[0-9]+"),"")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/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/>
      </c>
      <c r="I116" t="str" cm="1">
        <f t="array" aca="1" ref="I116" ca="1">IF('Raw Data'!H116="",_xlfn.REGEXEXTRACT(CELL("address",'Raw Data'!H116),"\$([A-Z]+)\$[0-9]+"),"")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/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/>
      </c>
      <c r="I117" t="str" cm="1">
        <f t="array" aca="1" ref="I117" ca="1">IF('Raw Data'!H117="",_xlfn.REGEXEXTRACT(CELL("address",'Raw Data'!H117),"\$([A-Z]+)\$[0-9]+"),"")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/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/>
      </c>
      <c r="I118" t="str" cm="1">
        <f t="array" aca="1" ref="I118" ca="1">IF('Raw Data'!H118="",_xlfn.REGEXEXTRACT(CELL("address",'Raw Data'!H118),"\$([A-Z]+)\$[0-9]+"),"")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/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/>
      </c>
      <c r="I119" t="str" cm="1">
        <f t="array" aca="1" ref="I119" ca="1">IF('Raw Data'!H119="",_xlfn.REGEXEXTRACT(CELL("address",'Raw Data'!H119),"\$([A-Z]+)\$[0-9]+"),"")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/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/>
      </c>
      <c r="I120" t="str" cm="1">
        <f t="array" aca="1" ref="I120" ca="1">IF('Raw Data'!H120="",_xlfn.REGEXEXTRACT(CELL("address",'Raw Data'!H120),"\$([A-Z]+)\$[0-9]+"),"")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/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/>
      </c>
      <c r="I121" t="str" cm="1">
        <f t="array" aca="1" ref="I121" ca="1">IF('Raw Data'!H121="",_xlfn.REGEXEXTRACT(CELL("address",'Raw Data'!H121),"\$([A-Z]+)\$[0-9]+"),"")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/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/>
      </c>
      <c r="I122" t="str" cm="1">
        <f t="array" aca="1" ref="I122" ca="1">IF('Raw Data'!H122="",_xlfn.REGEXEXTRACT(CELL("address",'Raw Data'!H122),"\$([A-Z]+)\$[0-9]+"),"")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/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/>
      </c>
      <c r="I123" t="str" cm="1">
        <f t="array" aca="1" ref="I123" ca="1">IF('Raw Data'!H123="",_xlfn.REGEXEXTRACT(CELL("address",'Raw Data'!H123),"\$([A-Z]+)\$[0-9]+"),"")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/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/>
      </c>
      <c r="I124" t="str" cm="1">
        <f t="array" aca="1" ref="I124" ca="1">IF('Raw Data'!H124="",_xlfn.REGEXEXTRACT(CELL("address",'Raw Data'!H124),"\$([A-Z]+)\$[0-9]+"),"")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/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/>
      </c>
      <c r="I125" t="str" cm="1">
        <f t="array" aca="1" ref="I125" ca="1">IF('Raw Data'!H125="",_xlfn.REGEXEXTRACT(CELL("address",'Raw Data'!H125),"\$([A-Z]+)\$[0-9]+"),"")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/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/>
      </c>
      <c r="I126" t="str" cm="1">
        <f t="array" aca="1" ref="I126" ca="1">IF('Raw Data'!H126="",_xlfn.REGEXEXTRACT(CELL("address",'Raw Data'!H126),"\$([A-Z]+)\$[0-9]+"),"")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/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/>
      </c>
      <c r="I127" t="str" cm="1">
        <f t="array" aca="1" ref="I127" ca="1">IF('Raw Data'!H127="",_xlfn.REGEXEXTRACT(CELL("address",'Raw Data'!H127),"\$([A-Z]+)\$[0-9]+"),"")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/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/>
      </c>
      <c r="I128" t="str" cm="1">
        <f t="array" aca="1" ref="I128" ca="1">IF('Raw Data'!H128="",_xlfn.REGEXEXTRACT(CELL("address",'Raw Data'!H128),"\$([A-Z]+)\$[0-9]+"),"")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/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/>
      </c>
      <c r="I129" t="str" cm="1">
        <f t="array" aca="1" ref="I129" ca="1">IF('Raw Data'!H129="",_xlfn.REGEXEXTRACT(CELL("address",'Raw Data'!H129),"\$([A-Z]+)\$[0-9]+"),"")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>$F$130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>$G$130</v>
      </c>
      <c r="I130" t="str" cm="1">
        <f t="array" aca="1" ref="I130" ca="1">IF('Raw Data'!H130="",_xlfn.REGEXEXTRACT(CELL("address",'Raw Data'!H130),"\$([A-Z]+)\$[0-9]+"),"")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>$F$131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>$G$131</v>
      </c>
      <c r="I131" t="str" cm="1">
        <f t="array" aca="1" ref="I131" ca="1">IF('Raw Data'!H131="",_xlfn.REGEXEXTRACT(CELL("address",'Raw Data'!H131),"\$([A-Z]+)\$[0-9]+"),"")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>$F$132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>$G$132</v>
      </c>
      <c r="I132" t="str" cm="1">
        <f t="array" aca="1" ref="I132" ca="1">IF('Raw Data'!H132="",_xlfn.REGEXEXTRACT(CELL("address",'Raw Data'!H132),"\$([A-Z]+)\$[0-9]+"),"")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>$F$133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>$G$133</v>
      </c>
      <c r="I133" t="str" cm="1">
        <f t="array" aca="1" ref="I133" ca="1">IF('Raw Data'!H133="",_xlfn.REGEXEXTRACT(CELL("address",'Raw Data'!H133),"\$([A-Z]+)\$[0-9]+"),"")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>$F$134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>$G$134</v>
      </c>
      <c r="I134" t="str" cm="1">
        <f t="array" aca="1" ref="I134" ca="1">IF('Raw Data'!H134="",_xlfn.REGEXEXTRACT(CELL("address",'Raw Data'!H134),"\$([A-Z]+)\$[0-9]+"),"")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>$G$135</v>
      </c>
      <c r="I135" t="str" cm="1">
        <f t="array" aca="1" ref="I135" ca="1">IF('Raw Data'!H135="",_xlfn.REGEXEXTRACT(CELL("address",'Raw Data'!H135),"\$([A-Z]+)\$[0-9]+"),"")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>$G$136</v>
      </c>
      <c r="I136" t="str" cm="1">
        <f t="array" aca="1" ref="I136" ca="1">IF('Raw Data'!H136="",_xlfn.REGEXEXTRACT(CELL("address",'Raw Data'!H136),"\$([A-Z]+)\$[0-9]+"),"")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>$G$137</v>
      </c>
      <c r="I137" t="str" cm="1">
        <f t="array" aca="1" ref="I137" ca="1">IF('Raw Data'!H137="",_xlfn.REGEXEXTRACT(CELL("address",'Raw Data'!H137),"\$([A-Z]+)\$[0-9]+"),"")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>$G$138</v>
      </c>
      <c r="I138" t="str" cm="1">
        <f t="array" aca="1" ref="I138" ca="1">IF('Raw Data'!H138="",_xlfn.REGEXEXTRACT(CELL("address",'Raw Data'!H138),"\$([A-Z]+)\$[0-9]+"),"")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>$G$139</v>
      </c>
      <c r="I139" t="str" cm="1">
        <f t="array" aca="1" ref="I139" ca="1">IF('Raw Data'!H139="",_xlfn.REGEXEXTRACT(CELL("address",'Raw Data'!H139),"\$([A-Z]+)\$[0-9]+"),"")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>$G$140</v>
      </c>
      <c r="I140" t="str" cm="1">
        <f t="array" aca="1" ref="I140" ca="1">IF('Raw Data'!H140="",_xlfn.REGEXEXTRACT(CELL("address",'Raw Data'!H140),"\$([A-Z]+)\$[0-9]+"),"")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>$G$141</v>
      </c>
      <c r="I141" t="str" cm="1">
        <f t="array" aca="1" ref="I141" ca="1">IF('Raw Data'!H141="",_xlfn.REGEXEXTRACT(CELL("address",'Raw Data'!H141),"\$([A-Z]+)\$[0-9]+"),"")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>$G$142</v>
      </c>
      <c r="I142" t="str" cm="1">
        <f t="array" aca="1" ref="I142" ca="1">IF('Raw Data'!H142="",_xlfn.REGEXEXTRACT(CELL("address",'Raw Data'!H142),"\$([A-Z]+)\$[0-9]+"),"")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>$G$143</v>
      </c>
      <c r="I143" t="str" cm="1">
        <f t="array" aca="1" ref="I143" ca="1">IF('Raw Data'!H143="",_xlfn.REGEXEXTRACT(CELL("address",'Raw Data'!H143),"\$([A-Z]+)\$[0-9]+"),"")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>$G$144</v>
      </c>
      <c r="I144" t="str" cm="1">
        <f t="array" aca="1" ref="I144" ca="1">IF('Raw Data'!H144="",_xlfn.REGEXEXTRACT(CELL("address",'Raw Data'!H144),"\$([A-Z]+)\$[0-9]+"),"")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>$G$145</v>
      </c>
      <c r="I145" t="str" cm="1">
        <f t="array" aca="1" ref="I145" ca="1">IF('Raw Data'!H145="",_xlfn.REGEXEXTRACT(CELL("address",'Raw Data'!H145),"\$([A-Z]+)\$[0-9]+"),"")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>$G$146</v>
      </c>
      <c r="I146" t="str" cm="1">
        <f t="array" aca="1" ref="I146" ca="1">IF('Raw Data'!H146="",_xlfn.REGEXEXTRACT(CELL("address",'Raw Data'!H146),"\$([A-Z]+)\$[0-9]+"),"")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>$G$147</v>
      </c>
      <c r="I147" t="str" cm="1">
        <f t="array" aca="1" ref="I147" ca="1">IF('Raw Data'!H147="",_xlfn.REGEXEXTRACT(CELL("address",'Raw Data'!H147),"\$([A-Z]+)\$[0-9]+"),"")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>$G$148</v>
      </c>
      <c r="I148" t="str" cm="1">
        <f t="array" aca="1" ref="I148" ca="1">IF('Raw Data'!H148="",_xlfn.REGEXEXTRACT(CELL("address",'Raw Data'!H148),"\$([A-Z]+)\$[0-9]+"),"")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>$G$149</v>
      </c>
      <c r="I149" t="str" cm="1">
        <f t="array" aca="1" ref="I149" ca="1">IF('Raw Data'!H149="",_xlfn.REGEXEXTRACT(CELL("address",'Raw Data'!H149),"\$([A-Z]+)\$[0-9]+"),"")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>$G$150</v>
      </c>
      <c r="I150" t="str" cm="1">
        <f t="array" aca="1" ref="I150" ca="1">IF('Raw Data'!H150="",_xlfn.REGEXEXTRACT(CELL("address",'Raw Data'!H150),"\$([A-Z]+)\$[0-9]+"),"")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>$G$151</v>
      </c>
      <c r="I151" t="str" cm="1">
        <f t="array" aca="1" ref="I151" ca="1">IF('Raw Data'!H151="",_xlfn.REGEXEXTRACT(CELL("address",'Raw Data'!H151),"\$([A-Z]+)\$[0-9]+"),"")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>$G$152</v>
      </c>
      <c r="I152" t="str" cm="1">
        <f t="array" aca="1" ref="I152" ca="1">IF('Raw Data'!H152="",_xlfn.REGEXEXTRACT(CELL("address",'Raw Data'!H152),"\$([A-Z]+)\$[0-9]+"),"")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>$G$153</v>
      </c>
      <c r="I153" t="str" cm="1">
        <f t="array" aca="1" ref="I153" ca="1">IF('Raw Data'!H153="",_xlfn.REGEXEXTRACT(CELL("address",'Raw Data'!H153),"\$([A-Z]+)\$[0-9]+"),"")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>$G$154</v>
      </c>
      <c r="I154" t="str" cm="1">
        <f t="array" aca="1" ref="I154" ca="1">IF('Raw Data'!H154="",_xlfn.REGEXEXTRACT(CELL("address",'Raw Data'!H154),"\$([A-Z]+)\$[0-9]+"),"")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>$G$155</v>
      </c>
      <c r="I155" t="str" cm="1">
        <f t="array" aca="1" ref="I155" ca="1">IF('Raw Data'!H155="",_xlfn.REGEXEXTRACT(CELL("address",'Raw Data'!H155),"\$([A-Z]+)\$[0-9]+"),"")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>$G$156</v>
      </c>
      <c r="I156" t="str" cm="1">
        <f t="array" aca="1" ref="I156" ca="1">IF('Raw Data'!H156="",_xlfn.REGEXEXTRACT(CELL("address",'Raw Data'!H156),"\$([A-Z]+)\$[0-9]+"),"")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>$G$157</v>
      </c>
      <c r="I157" t="str" cm="1">
        <f t="array" aca="1" ref="I157" ca="1">IF('Raw Data'!H157="",_xlfn.REGEXEXTRACT(CELL("address",'Raw Data'!H157),"\$([A-Z]+)\$[0-9]+"),"")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>$G$158</v>
      </c>
      <c r="I158" t="str" cm="1">
        <f t="array" aca="1" ref="I158" ca="1">IF('Raw Data'!H158="",_xlfn.REGEXEXTRACT(CELL("address",'Raw Data'!H158),"\$([A-Z]+)\$[0-9]+"),"")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>$G$159</v>
      </c>
      <c r="I159" t="str" cm="1">
        <f t="array" aca="1" ref="I159" ca="1">IF('Raw Data'!H159="",_xlfn.REGEXEXTRACT(CELL("address",'Raw Data'!H159),"\$([A-Z]+)\$[0-9]+"),"")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>$G$160</v>
      </c>
      <c r="I160" t="str" cm="1">
        <f t="array" aca="1" ref="I160" ca="1">IF('Raw Data'!H160="",_xlfn.REGEXEXTRACT(CELL("address",'Raw Data'!H160),"\$([A-Z]+)\$[0-9]+"),"")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>$G$161</v>
      </c>
      <c r="I161" t="str" cm="1">
        <f t="array" aca="1" ref="I161" ca="1">IF('Raw Data'!H161="",_xlfn.REGEXEXTRACT(CELL("address",'Raw Data'!H161),"\$([A-Z]+)\$[0-9]+"),"")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>$G$162</v>
      </c>
      <c r="I162" t="str" cm="1">
        <f t="array" aca="1" ref="I162" ca="1">IF('Raw Data'!H162="",_xlfn.REGEXEXTRACT(CELL("address",'Raw Data'!H162),"\$([A-Z]+)\$[0-9]+"),"")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>$G$163</v>
      </c>
      <c r="I163" t="str" cm="1">
        <f t="array" aca="1" ref="I163" ca="1">IF('Raw Data'!H163="",_xlfn.REGEXEXTRACT(CELL("address",'Raw Data'!H163),"\$([A-Z]+)\$[0-9]+"),"")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>$G$164</v>
      </c>
      <c r="I164" t="str" cm="1">
        <f t="array" aca="1" ref="I164" ca="1">IF('Raw Data'!H164="",_xlfn.REGEXEXTRACT(CELL("address",'Raw Data'!H164),"\$([A-Z]+)\$[0-9]+"),"")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>$G$165</v>
      </c>
      <c r="I165" t="str" cm="1">
        <f t="array" aca="1" ref="I165" ca="1">IF('Raw Data'!H165="",_xlfn.REGEXEXTRACT(CELL("address",'Raw Data'!H165),"\$([A-Z]+)\$[0-9]+"),"")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>$G$166</v>
      </c>
      <c r="I166" t="str" cm="1">
        <f t="array" aca="1" ref="I166" ca="1">IF('Raw Data'!H166="",_xlfn.REGEXEXTRACT(CELL("address",'Raw Data'!H166),"\$([A-Z]+)\$[0-9]+"),"")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>$G$167</v>
      </c>
      <c r="I167" t="str" cm="1">
        <f t="array" aca="1" ref="I167" ca="1">IF('Raw Data'!H167="",_xlfn.REGEXEXTRACT(CELL("address",'Raw Data'!H167),"\$([A-Z]+)\$[0-9]+"),"")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>$G$168</v>
      </c>
      <c r="I168" t="str" cm="1">
        <f t="array" aca="1" ref="I168" ca="1">IF('Raw Data'!H168="",_xlfn.REGEXEXTRACT(CELL("address",'Raw Data'!H168),"\$([A-Z]+)\$[0-9]+"),"")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>$G$169</v>
      </c>
      <c r="I169" t="str" cm="1">
        <f t="array" aca="1" ref="I169" ca="1">IF('Raw Data'!H169="",_xlfn.REGEXEXTRACT(CELL("address",'Raw Data'!H169),"\$([A-Z]+)\$[0-9]+"),"")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>$G$170</v>
      </c>
      <c r="I170" t="str" cm="1">
        <f t="array" aca="1" ref="I170" ca="1">IF('Raw Data'!H170="",_xlfn.REGEXEXTRACT(CELL("address",'Raw Data'!H170),"\$([A-Z]+)\$[0-9]+"),"")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>$G$171</v>
      </c>
      <c r="I171" t="str" cm="1">
        <f t="array" aca="1" ref="I171" ca="1">IF('Raw Data'!H171="",_xlfn.REGEXEXTRACT(CELL("address",'Raw Data'!H171),"\$([A-Z]+)\$[0-9]+"),"")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>$G$172</v>
      </c>
      <c r="I172" t="str" cm="1">
        <f t="array" aca="1" ref="I172" ca="1">IF('Raw Data'!H172="",_xlfn.REGEXEXTRACT(CELL("address",'Raw Data'!H172),"\$([A-Z]+)\$[0-9]+"),"")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>$G$173</v>
      </c>
      <c r="I173" t="str" cm="1">
        <f t="array" aca="1" ref="I173" ca="1">IF('Raw Data'!H173="",_xlfn.REGEXEXTRACT(CELL("address",'Raw Data'!H173),"\$([A-Z]+)\$[0-9]+"),"")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>$G$174</v>
      </c>
      <c r="I174" t="str" cm="1">
        <f t="array" aca="1" ref="I174" ca="1">IF('Raw Data'!H174="",_xlfn.REGEXEXTRACT(CELL("address",'Raw Data'!H174),"\$([A-Z]+)\$[0-9]+"),"")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>$G$175</v>
      </c>
      <c r="I175" t="str" cm="1">
        <f t="array" aca="1" ref="I175" ca="1">IF('Raw Data'!H175="",_xlfn.REGEXEXTRACT(CELL("address",'Raw Data'!H175),"\$([A-Z]+)\$[0-9]+"),"")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>$G$176</v>
      </c>
      <c r="I176" t="str" cm="1">
        <f t="array" aca="1" ref="I176" ca="1">IF('Raw Data'!H176="",_xlfn.REGEXEXTRACT(CELL("address",'Raw Data'!H176),"\$([A-Z]+)\$[0-9]+"),"")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>$G$177</v>
      </c>
      <c r="I177" t="str" cm="1">
        <f t="array" aca="1" ref="I177" ca="1">IF('Raw Data'!H177="",_xlfn.REGEXEXTRACT(CELL("address",'Raw Data'!H177),"\$([A-Z]+)\$[0-9]+"),"")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/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>$G$178</v>
      </c>
      <c r="I178" t="str" cm="1">
        <f t="array" aca="1" ref="I178" ca="1">IF('Raw Data'!H178="",_xlfn.REGEXEXTRACT(CELL("address",'Raw Data'!H178),"\$([A-Z]+)\$[0-9]+"),"")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/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>$G$179</v>
      </c>
      <c r="I179" t="str" cm="1">
        <f t="array" aca="1" ref="I179" ca="1">IF('Raw Data'!H179="",_xlfn.REGEXEXTRACT(CELL("address",'Raw Data'!H179),"\$([A-Z]+)\$[0-9]+"),"")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/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>$G$180</v>
      </c>
      <c r="I180" t="str" cm="1">
        <f t="array" aca="1" ref="I180" ca="1">IF('Raw Data'!H180="",_xlfn.REGEXEXTRACT(CELL("address",'Raw Data'!H180),"\$([A-Z]+)\$[0-9]+"),"")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/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>$G$181</v>
      </c>
      <c r="I181" t="str" cm="1">
        <f t="array" aca="1" ref="I181" ca="1">IF('Raw Data'!H181="",_xlfn.REGEXEXTRACT(CELL("address",'Raw Data'!H181),"\$([A-Z]+)\$[0-9]+"),"")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/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>$G$182</v>
      </c>
      <c r="I182" t="str" cm="1">
        <f t="array" aca="1" ref="I182" ca="1">IF('Raw Data'!H182="",_xlfn.REGEXEXTRACT(CELL("address",'Raw Data'!H182),"\$([A-Z]+)\$[0-9]+"),"")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/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>$G$183</v>
      </c>
      <c r="I183" t="str" cm="1">
        <f t="array" aca="1" ref="I183" ca="1">IF('Raw Data'!H183="",_xlfn.REGEXEXTRACT(CELL("address",'Raw Data'!H183),"\$([A-Z]+)\$[0-9]+"),"")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/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>$G$184</v>
      </c>
      <c r="I184" t="str" cm="1">
        <f t="array" aca="1" ref="I184" ca="1">IF('Raw Data'!H184="",_xlfn.REGEXEXTRACT(CELL("address",'Raw Data'!H184),"\$([A-Z]+)\$[0-9]+"),"")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/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>$G$185</v>
      </c>
      <c r="I185" t="str" cm="1">
        <f t="array" aca="1" ref="I185" ca="1">IF('Raw Data'!H185="",_xlfn.REGEXEXTRACT(CELL("address",'Raw Data'!H185),"\$([A-Z]+)\$[0-9]+"),"")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/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>$G$186</v>
      </c>
      <c r="I186" t="str" cm="1">
        <f t="array" aca="1" ref="I186" ca="1">IF('Raw Data'!H186="",_xlfn.REGEXEXTRACT(CELL("address",'Raw Data'!H186),"\$([A-Z]+)\$[0-9]+"),"")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/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>$G$187</v>
      </c>
      <c r="I187" t="str" cm="1">
        <f t="array" aca="1" ref="I187" ca="1">IF('Raw Data'!H187="",_xlfn.REGEXEXTRACT(CELL("address",'Raw Data'!H187),"\$([A-Z]+)\$[0-9]+"),"")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/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>$G$188</v>
      </c>
      <c r="I188" t="str" cm="1">
        <f t="array" aca="1" ref="I188" ca="1">IF('Raw Data'!H188="",_xlfn.REGEXEXTRACT(CELL("address",'Raw Data'!H188),"\$([A-Z]+)\$[0-9]+"),"")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/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>$G$189</v>
      </c>
      <c r="I189" t="str" cm="1">
        <f t="array" aca="1" ref="I189" ca="1">IF('Raw Data'!H189="",_xlfn.REGEXEXTRACT(CELL("address",'Raw Data'!H189),"\$([A-Z]+)\$[0-9]+"),"")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/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>$G$190</v>
      </c>
      <c r="I190" t="str" cm="1">
        <f t="array" aca="1" ref="I190" ca="1">IF('Raw Data'!H190="",_xlfn.REGEXEXTRACT(CELL("address",'Raw Data'!H190),"\$([A-Z]+)\$[0-9]+"),"")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/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>$G$191</v>
      </c>
      <c r="I191" t="str" cm="1">
        <f t="array" aca="1" ref="I191" ca="1">IF('Raw Data'!H191="",_xlfn.REGEXEXTRACT(CELL("address",'Raw Data'!H191),"\$([A-Z]+)\$[0-9]+"),"")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/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>$G$192</v>
      </c>
      <c r="I192" t="str" cm="1">
        <f t="array" aca="1" ref="I192" ca="1">IF('Raw Data'!H192="",_xlfn.REGEXEXTRACT(CELL("address",'Raw Data'!H192),"\$([A-Z]+)\$[0-9]+"),"")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/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>$G$193</v>
      </c>
      <c r="I193" t="str" cm="1">
        <f t="array" aca="1" ref="I193" ca="1">IF('Raw Data'!H193="",_xlfn.REGEXEXTRACT(CELL("address",'Raw Data'!H193),"\$([A-Z]+)\$[0-9]+"),"")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/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>$G$194</v>
      </c>
      <c r="I194" t="str" cm="1">
        <f t="array" aca="1" ref="I194" ca="1">IF('Raw Data'!H194="",_xlfn.REGEXEXTRACT(CELL("address",'Raw Data'!H194),"\$([A-Z]+)\$[0-9]+"),"")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/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>$G$195</v>
      </c>
      <c r="I195" t="str" cm="1">
        <f t="array" aca="1" ref="I195" ca="1">IF('Raw Data'!H195="",_xlfn.REGEXEXTRACT(CELL("address",'Raw Data'!H195),"\$([A-Z]+)\$[0-9]+"),"")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/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>$G$196</v>
      </c>
      <c r="I196" t="str" cm="1">
        <f t="array" aca="1" ref="I196" ca="1">IF('Raw Data'!H196="",_xlfn.REGEXEXTRACT(CELL("address",'Raw Data'!H196),"\$([A-Z]+)\$[0-9]+"),"")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/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>$G$197</v>
      </c>
      <c r="I197" t="str" cm="1">
        <f t="array" aca="1" ref="I197" ca="1">IF('Raw Data'!H197="",_xlfn.REGEXEXTRACT(CELL("address",'Raw Data'!H197),"\$([A-Z]+)\$[0-9]+"),"")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/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>$G$198</v>
      </c>
      <c r="I198" t="str" cm="1">
        <f t="array" aca="1" ref="I198" ca="1">IF('Raw Data'!H198="",_xlfn.REGEXEXTRACT(CELL("address",'Raw Data'!H198),"\$([A-Z]+)\$[0-9]+"),"")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/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>$G$199</v>
      </c>
      <c r="I199" t="str" cm="1">
        <f t="array" aca="1" ref="I199" ca="1">IF('Raw Data'!H199="",_xlfn.REGEXEXTRACT(CELL("address",'Raw Data'!H199),"\$([A-Z]+)\$[0-9]+"),"")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/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>$G$200</v>
      </c>
      <c r="I200" t="str" cm="1">
        <f t="array" aca="1" ref="I200" ca="1">IF('Raw Data'!H200="",_xlfn.REGEXEXTRACT(CELL("address",'Raw Data'!H200),"\$([A-Z]+)\$[0-9]+"),"")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/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>$G$201</v>
      </c>
      <c r="I201" t="str" cm="1">
        <f t="array" aca="1" ref="I201" ca="1">IF('Raw Data'!H201="",_xlfn.REGEXEXTRACT(CELL("address",'Raw Data'!H201),"\$([A-Z]+)\$[0-9]+"),"")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/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>$G$202</v>
      </c>
      <c r="I202" t="str" cm="1">
        <f t="array" aca="1" ref="I202" ca="1">IF('Raw Data'!H202="",_xlfn.REGEXEXTRACT(CELL("address",'Raw Data'!H202),"\$([A-Z]+)\$[0-9]+"),"")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/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>$G$203</v>
      </c>
      <c r="I203" t="str" cm="1">
        <f t="array" aca="1" ref="I203" ca="1">IF('Raw Data'!H203="",_xlfn.REGEXEXTRACT(CELL("address",'Raw Data'!H203),"\$([A-Z]+)\$[0-9]+"),"")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/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>$G$204</v>
      </c>
      <c r="I204" t="str" cm="1">
        <f t="array" aca="1" ref="I204" ca="1">IF('Raw Data'!H204="",_xlfn.REGEXEXTRACT(CELL("address",'Raw Data'!H204),"\$([A-Z]+)\$[0-9]+"),"")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/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>$G$205</v>
      </c>
      <c r="I205" t="str" cm="1">
        <f t="array" aca="1" ref="I205" ca="1">IF('Raw Data'!H205="",_xlfn.REGEXEXTRACT(CELL("address",'Raw Data'!H205),"\$([A-Z]+)\$[0-9]+"),"")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/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>$G$206</v>
      </c>
      <c r="I206" t="str" cm="1">
        <f t="array" aca="1" ref="I206" ca="1">IF('Raw Data'!H206="",_xlfn.REGEXEXTRACT(CELL("address",'Raw Data'!H206),"\$([A-Z]+)\$[0-9]+"),"")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/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>$G$207</v>
      </c>
      <c r="I207" t="str" cm="1">
        <f t="array" aca="1" ref="I207" ca="1">IF('Raw Data'!H207="",_xlfn.REGEXEXTRACT(CELL("address",'Raw Data'!H207),"\$([A-Z]+)\$[0-9]+"),"")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/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>$G$208</v>
      </c>
      <c r="I208" t="str" cm="1">
        <f t="array" aca="1" ref="I208" ca="1">IF('Raw Data'!H208="",_xlfn.REGEXEXTRACT(CELL("address",'Raw Data'!H208),"\$([A-Z]+)\$[0-9]+"),"")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/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>$G$209</v>
      </c>
      <c r="I209" t="str" cm="1">
        <f t="array" aca="1" ref="I209" ca="1">IF('Raw Data'!H209="",_xlfn.REGEXEXTRACT(CELL("address",'Raw Data'!H209),"\$([A-Z]+)\$[0-9]+"),"")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/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>$G$210</v>
      </c>
      <c r="I210" t="str" cm="1">
        <f t="array" aca="1" ref="I210" ca="1">IF('Raw Data'!H210="",_xlfn.REGEXEXTRACT(CELL("address",'Raw Data'!H210),"\$([A-Z]+)\$[0-9]+"),"")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/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>$G$211</v>
      </c>
      <c r="I211" t="str" cm="1">
        <f t="array" aca="1" ref="I211" ca="1">IF('Raw Data'!H211="",_xlfn.REGEXEXTRACT(CELL("address",'Raw Data'!H211),"\$([A-Z]+)\$[0-9]+"),"")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/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>$G$212</v>
      </c>
      <c r="I212" t="str" cm="1">
        <f t="array" aca="1" ref="I212" ca="1">IF('Raw Data'!H212="",_xlfn.REGEXEXTRACT(CELL("address",'Raw Data'!H212),"\$([A-Z]+)\$[0-9]+"),"")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/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>$G$213</v>
      </c>
      <c r="I213" t="str" cm="1">
        <f t="array" aca="1" ref="I213" ca="1">IF('Raw Data'!H213="",_xlfn.REGEXEXTRACT(CELL("address",'Raw Data'!H213),"\$([A-Z]+)\$[0-9]+"),"")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/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>$G$214</v>
      </c>
      <c r="I214" t="str" cm="1">
        <f t="array" aca="1" ref="I214" ca="1">IF('Raw Data'!H214="",_xlfn.REGEXEXTRACT(CELL("address",'Raw Data'!H214),"\$([A-Z]+)\$[0-9]+"),"")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/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>$G$215</v>
      </c>
      <c r="I215" t="str" cm="1">
        <f t="array" aca="1" ref="I215" ca="1">IF('Raw Data'!H215="",_xlfn.REGEXEXTRACT(CELL("address",'Raw Data'!H215),"\$([A-Z]+)\$[0-9]+"),"")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/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>$G$216</v>
      </c>
      <c r="I216" t="str" cm="1">
        <f t="array" aca="1" ref="I216" ca="1">IF('Raw Data'!H216="",_xlfn.REGEXEXTRACT(CELL("address",'Raw Data'!H216),"\$([A-Z]+)\$[0-9]+"),"")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/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>$G$217</v>
      </c>
      <c r="I217" t="str" cm="1">
        <f t="array" aca="1" ref="I217" ca="1">IF('Raw Data'!H217="",_xlfn.REGEXEXTRACT(CELL("address",'Raw Data'!H217),"\$([A-Z]+)\$[0-9]+"),"")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/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>$G$218</v>
      </c>
      <c r="I218" t="str" cm="1">
        <f t="array" aca="1" ref="I218" ca="1">IF('Raw Data'!H218="",_xlfn.REGEXEXTRACT(CELL("address",'Raw Data'!H218),"\$([A-Z]+)\$[0-9]+"),"")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/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>$G$219</v>
      </c>
      <c r="I219" t="str" cm="1">
        <f t="array" aca="1" ref="I219" ca="1">IF('Raw Data'!H219="",_xlfn.REGEXEXTRACT(CELL("address",'Raw Data'!H219),"\$([A-Z]+)\$[0-9]+"),"")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/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>$G$220</v>
      </c>
      <c r="I220" t="str" cm="1">
        <f t="array" aca="1" ref="I220" ca="1">IF('Raw Data'!H220="",_xlfn.REGEXEXTRACT(CELL("address",'Raw Data'!H220),"\$([A-Z]+)\$[0-9]+"),"")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/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>$G$221</v>
      </c>
      <c r="I221" t="str" cm="1">
        <f t="array" aca="1" ref="I221" ca="1">IF('Raw Data'!H221="",_xlfn.REGEXEXTRACT(CELL("address",'Raw Data'!H221),"\$([A-Z]+)\$[0-9]+"),"")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/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>$G$222</v>
      </c>
      <c r="I222" t="str" cm="1">
        <f t="array" aca="1" ref="I222" ca="1">IF('Raw Data'!H222="",_xlfn.REGEXEXTRACT(CELL("address",'Raw Data'!H222),"\$([A-Z]+)\$[0-9]+"),"")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/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>$G$223</v>
      </c>
      <c r="I223" t="str" cm="1">
        <f t="array" aca="1" ref="I223" ca="1">IF('Raw Data'!H223="",_xlfn.REGEXEXTRACT(CELL("address",'Raw Data'!H223),"\$([A-Z]+)\$[0-9]+"),"")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/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>$G$224</v>
      </c>
      <c r="I224" t="str" cm="1">
        <f t="array" aca="1" ref="I224" ca="1">IF('Raw Data'!H224="",_xlfn.REGEXEXTRACT(CELL("address",'Raw Data'!H224),"\$([A-Z]+)\$[0-9]+"),"")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/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>$G$225</v>
      </c>
      <c r="I225" t="str" cm="1">
        <f t="array" aca="1" ref="I225" ca="1">IF('Raw Data'!H225="",_xlfn.REGEXEXTRACT(CELL("address",'Raw Data'!H225),"\$([A-Z]+)\$[0-9]+"),"")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/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>$G$226</v>
      </c>
      <c r="I226" t="str" cm="1">
        <f t="array" aca="1" ref="I226" ca="1">IF('Raw Data'!H226="",_xlfn.REGEXEXTRACT(CELL("address",'Raw Data'!H226),"\$([A-Z]+)\$[0-9]+"),"")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/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>$G$227</v>
      </c>
      <c r="I227" t="str" cm="1">
        <f t="array" aca="1" ref="I227" ca="1">IF('Raw Data'!H227="",_xlfn.REGEXEXTRACT(CELL("address",'Raw Data'!H227),"\$([A-Z]+)\$[0-9]+"),"")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/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>$G$228</v>
      </c>
      <c r="I228" t="str" cm="1">
        <f t="array" aca="1" ref="I228" ca="1">IF('Raw Data'!H228="",_xlfn.REGEXEXTRACT(CELL("address",'Raw Data'!H228),"\$([A-Z]+)\$[0-9]+"),"")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/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>$G$229</v>
      </c>
      <c r="I229" t="str" cm="1">
        <f t="array" aca="1" ref="I229" ca="1">IF('Raw Data'!H229="",_xlfn.REGEXEXTRACT(CELL("address",'Raw Data'!H229),"\$([A-Z]+)\$[0-9]+"),"")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/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>$G$230</v>
      </c>
      <c r="I230" t="str" cm="1">
        <f t="array" aca="1" ref="I230" ca="1">IF('Raw Data'!H230="",_xlfn.REGEXEXTRACT(CELL("address",'Raw Data'!H230),"\$([A-Z]+)\$[0-9]+"),"")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/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>$G$231</v>
      </c>
      <c r="I231" t="str" cm="1">
        <f t="array" aca="1" ref="I231" ca="1">IF('Raw Data'!H231="",_xlfn.REGEXEXTRACT(CELL("address",'Raw Data'!H231),"\$([A-Z]+)\$[0-9]+"),"")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/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>$G$232</v>
      </c>
      <c r="I232" t="str" cm="1">
        <f t="array" aca="1" ref="I232" ca="1">IF('Raw Data'!H232="",_xlfn.REGEXEXTRACT(CELL("address",'Raw Data'!H232),"\$([A-Z]+)\$[0-9]+"),"")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/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>$G$233</v>
      </c>
      <c r="I233" t="str" cm="1">
        <f t="array" aca="1" ref="I233" ca="1">IF('Raw Data'!H233="",_xlfn.REGEXEXTRACT(CELL("address",'Raw Data'!H233),"\$([A-Z]+)\$[0-9]+"),"")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/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>$G$234</v>
      </c>
      <c r="I234" t="str" cm="1">
        <f t="array" aca="1" ref="I234" ca="1">IF('Raw Data'!H234="",_xlfn.REGEXEXTRACT(CELL("address",'Raw Data'!H234),"\$([A-Z]+)\$[0-9]+"),"")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/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>$G$235</v>
      </c>
      <c r="I235" t="str" cm="1">
        <f t="array" aca="1" ref="I235" ca="1">IF('Raw Data'!H235="",_xlfn.REGEXEXTRACT(CELL("address",'Raw Data'!H235),"\$([A-Z]+)\$[0-9]+"),"")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/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>$G$236</v>
      </c>
      <c r="I236" t="str" cm="1">
        <f t="array" aca="1" ref="I236" ca="1">IF('Raw Data'!H236="",_xlfn.REGEXEXTRACT(CELL("address",'Raw Data'!H236),"\$([A-Z]+)\$[0-9]+"),"")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/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>$G$237</v>
      </c>
      <c r="I237" t="str" cm="1">
        <f t="array" aca="1" ref="I237" ca="1">IF('Raw Data'!H237="",_xlfn.REGEXEXTRACT(CELL("address",'Raw Data'!H237),"\$([A-Z]+)\$[0-9]+"),"")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/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>$G$238</v>
      </c>
      <c r="I238" t="str" cm="1">
        <f t="array" aca="1" ref="I238" ca="1">IF('Raw Data'!H238="",_xlfn.REGEXEXTRACT(CELL("address",'Raw Data'!H238),"\$([A-Z]+)\$[0-9]+"),"")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/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>$G$239</v>
      </c>
      <c r="I239" t="str" cm="1">
        <f t="array" aca="1" ref="I239" ca="1">IF('Raw Data'!H239="",_xlfn.REGEXEXTRACT(CELL("address",'Raw Data'!H239),"\$([A-Z]+)\$[0-9]+"),"")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/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>$G$240</v>
      </c>
      <c r="I240" t="str" cm="1">
        <f t="array" aca="1" ref="I240" ca="1">IF('Raw Data'!H240="",_xlfn.REGEXEXTRACT(CELL("address",'Raw Data'!H240),"\$([A-Z]+)\$[0-9]+"),"")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/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>$G$241</v>
      </c>
      <c r="I241" t="str" cm="1">
        <f t="array" aca="1" ref="I241" ca="1">IF('Raw Data'!H241="",_xlfn.REGEXEXTRACT(CELL("address",'Raw Data'!H241),"\$([A-Z]+)\$[0-9]+"),"")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/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>$G$242</v>
      </c>
      <c r="I242" t="str" cm="1">
        <f t="array" aca="1" ref="I242" ca="1">IF('Raw Data'!H242="",_xlfn.REGEXEXTRACT(CELL("address",'Raw Data'!H242),"\$([A-Z]+)\$[0-9]+"),"")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/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>$G$243</v>
      </c>
      <c r="I243" t="str" cm="1">
        <f t="array" aca="1" ref="I243" ca="1">IF('Raw Data'!H243="",_xlfn.REGEXEXTRACT(CELL("address",'Raw Data'!H243),"\$([A-Z]+)\$[0-9]+"),"")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/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>$G$244</v>
      </c>
      <c r="I244" t="str" cm="1">
        <f t="array" aca="1" ref="I244" ca="1">IF('Raw Data'!H244="",_xlfn.REGEXEXTRACT(CELL("address",'Raw Data'!H244),"\$([A-Z]+)\$[0-9]+"),"")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/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>$G$245</v>
      </c>
      <c r="I245" t="str" cm="1">
        <f t="array" aca="1" ref="I245" ca="1">IF('Raw Data'!H245="",_xlfn.REGEXEXTRACT(CELL("address",'Raw Data'!H245),"\$([A-Z]+)\$[0-9]+"),"")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/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>$G$246</v>
      </c>
      <c r="I246" t="str" cm="1">
        <f t="array" aca="1" ref="I246" ca="1">IF('Raw Data'!H246="",_xlfn.REGEXEXTRACT(CELL("address",'Raw Data'!H246),"\$([A-Z]+)\$[0-9]+"),"")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/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>$G$247</v>
      </c>
      <c r="I247" t="str" cm="1">
        <f t="array" aca="1" ref="I247" ca="1">IF('Raw Data'!H247="",_xlfn.REGEXEXTRACT(CELL("address",'Raw Data'!H247),"\$([A-Z]+)\$[0-9]+"),"")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/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>$G$248</v>
      </c>
      <c r="I248" t="str" cm="1">
        <f t="array" aca="1" ref="I248" ca="1">IF('Raw Data'!H248="",_xlfn.REGEXEXTRACT(CELL("address",'Raw Data'!H248),"\$([A-Z]+)\$[0-9]+"),"")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/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>$G$249</v>
      </c>
      <c r="I249" t="str" cm="1">
        <f t="array" aca="1" ref="I249" ca="1">IF('Raw Data'!H249="",_xlfn.REGEXEXTRACT(CELL("address",'Raw Data'!H249),"\$([A-Z]+)\$[0-9]+"),"")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>$G$250</v>
      </c>
      <c r="I250" t="str" cm="1">
        <f t="array" aca="1" ref="I250" ca="1">IF('Raw Data'!H250="",_xlfn.REGEXEXTRACT(CELL("address",'Raw Data'!H250),"\$([A-Z]+)\$[0-9]+"),"")</f>
        <v>$H$250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>$G$251</v>
      </c>
      <c r="I251" t="str" cm="1">
        <f t="array" aca="1" ref="I251" ca="1">IF('Raw Data'!H251="",_xlfn.REGEXEXTRACT(CELL("address",'Raw Data'!H251),"\$([A-Z]+)\$[0-9]+"),"")</f>
        <v>$H$251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>$G$252</v>
      </c>
      <c r="I252" t="str" cm="1">
        <f t="array" aca="1" ref="I252" ca="1">IF('Raw Data'!H252="",_xlfn.REGEXEXTRACT(CELL("address",'Raw Data'!H252),"\$([A-Z]+)\$[0-9]+"),"")</f>
        <v>$H$252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>$G$253</v>
      </c>
      <c r="I253" t="str" cm="1">
        <f t="array" aca="1" ref="I253" ca="1">IF('Raw Data'!H253="",_xlfn.REGEXEXTRACT(CELL("address",'Raw Data'!H253),"\$([A-Z]+)\$[0-9]+"),"")</f>
        <v>$H$253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>$G$254</v>
      </c>
      <c r="I254" t="str" cm="1">
        <f t="array" aca="1" ref="I254" ca="1">IF('Raw Data'!H254="",_xlfn.REGEXEXTRACT(CELL("address",'Raw Data'!H254),"\$([A-Z]+)\$[0-9]+"),"")</f>
        <v>$H$254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>$G$255</v>
      </c>
      <c r="I255" t="str" cm="1">
        <f t="array" aca="1" ref="I255" ca="1">IF('Raw Data'!H255="",_xlfn.REGEXEXTRACT(CELL("address",'Raw Data'!H255),"\$([A-Z]+)\$[0-9]+"),"")</f>
        <v>$H$255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>$G$256</v>
      </c>
      <c r="I256" t="str" cm="1">
        <f t="array" aca="1" ref="I256" ca="1">IF('Raw Data'!H256="",_xlfn.REGEXEXTRACT(CELL("address",'Raw Data'!H256),"\$([A-Z]+)\$[0-9]+"),"")</f>
        <v>$H$256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>$G$257</v>
      </c>
      <c r="I257" t="str" cm="1">
        <f t="array" aca="1" ref="I257" ca="1">IF('Raw Data'!H257="",_xlfn.REGEXEXTRACT(CELL("address",'Raw Data'!H257),"\$([A-Z]+)\$[0-9]+"),"")</f>
        <v>$H$257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675084-FEC2-495E-A808-8710DA700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Validate_Empty</vt:lpstr>
      <vt:lpstr>Validate_Value</vt:lpstr>
      <vt:lpstr>Validate_Condition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2026-03-11T16:06:05Z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