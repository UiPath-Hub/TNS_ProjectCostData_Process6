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i_Robot1\Documents\UiPath\Project Cost Data (Dev)\Process 6 - Insert Temporary Transaction Process\Validation Files\"/>
    </mc:Choice>
  </mc:AlternateContent>
  <xr:revisionPtr revIDLastSave="0" documentId="13_ncr:1_{574EA3B3-9951-4B6F-93F1-A853603DCCC1}" xr6:coauthVersionLast="47" xr6:coauthVersionMax="47" xr10:uidLastSave="{00000000-0000-0000-0000-000000000000}"/>
  <bookViews>
    <workbookView xWindow="-120" yWindow="-120" windowWidth="29040" windowHeight="15720" tabRatio="732" activeTab="5" xr2:uid="{E62ED3AB-165A-4566-AE8D-FA0995BDA05A}"/>
  </bookViews>
  <sheets>
    <sheet name="Raw Data" sheetId="3" r:id="rId1"/>
    <sheet name="Validate_Empty" sheetId="6" r:id="rId2"/>
    <sheet name="Validate_Value" sheetId="8" r:id="rId3"/>
    <sheet name="Validate_Condition" sheetId="10" r:id="rId4"/>
    <sheet name="Condition" sheetId="11" r:id="rId5"/>
    <sheet name="Configuration" sheetId="9" r:id="rId6"/>
    <sheet name="Validate_Type" sheetId="7" state="hidden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3" i="8" l="1" a="1"/>
  <c r="I13" i="8" s="1"/>
  <c r="I14" i="8" a="1"/>
  <c r="I14" i="8" s="1"/>
  <c r="I15" i="8" a="1"/>
  <c r="I15" i="8" s="1"/>
  <c r="I16" i="8" a="1"/>
  <c r="I16" i="8" s="1"/>
  <c r="I17" i="8" a="1"/>
  <c r="I17" i="8" s="1"/>
  <c r="I18" i="8" a="1"/>
  <c r="I18" i="8" s="1"/>
  <c r="I19" i="8" a="1"/>
  <c r="I19" i="8" s="1"/>
  <c r="I20" i="8" a="1"/>
  <c r="I20" i="8" s="1"/>
  <c r="I21" i="8" a="1"/>
  <c r="I21" i="8" s="1"/>
  <c r="I22" i="8" a="1"/>
  <c r="I22" i="8" s="1"/>
  <c r="I23" i="8" a="1"/>
  <c r="I23" i="8" s="1"/>
  <c r="I24" i="8" a="1"/>
  <c r="I24" i="8" s="1"/>
  <c r="I25" i="8" a="1"/>
  <c r="I25" i="8" s="1"/>
  <c r="I26" i="8" a="1"/>
  <c r="I26" i="8" s="1"/>
  <c r="I27" i="8" a="1"/>
  <c r="I27" i="8" s="1"/>
  <c r="I28" i="8" a="1"/>
  <c r="I28" i="8" s="1"/>
  <c r="I29" i="8" a="1"/>
  <c r="I29" i="8" s="1"/>
  <c r="I30" i="8" a="1"/>
  <c r="I30" i="8" s="1"/>
  <c r="I31" i="8" a="1"/>
  <c r="I31" i="8" s="1"/>
  <c r="I32" i="8" a="1"/>
  <c r="I32" i="8" s="1"/>
  <c r="I33" i="8" a="1"/>
  <c r="I33" i="8" s="1"/>
  <c r="I34" i="8" a="1"/>
  <c r="I34" i="8" s="1"/>
  <c r="I35" i="8" a="1"/>
  <c r="I35" i="8" s="1"/>
  <c r="I36" i="8" a="1"/>
  <c r="I36" i="8" s="1"/>
  <c r="I37" i="8" a="1"/>
  <c r="I37" i="8" s="1"/>
  <c r="I38" i="8" a="1"/>
  <c r="I38" i="8" s="1"/>
  <c r="I39" i="8" a="1"/>
  <c r="I39" i="8" s="1"/>
  <c r="I40" i="8" a="1"/>
  <c r="I40" i="8" s="1"/>
  <c r="I41" i="8" a="1"/>
  <c r="I41" i="8" s="1"/>
  <c r="I42" i="8" a="1"/>
  <c r="I42" i="8" s="1"/>
  <c r="I43" i="8" a="1"/>
  <c r="I43" i="8" s="1"/>
  <c r="I44" i="8" a="1"/>
  <c r="I44" i="8" s="1"/>
  <c r="I45" i="8" a="1"/>
  <c r="I45" i="8" s="1"/>
  <c r="I46" i="8" a="1"/>
  <c r="I46" i="8" s="1"/>
  <c r="I47" i="8" a="1"/>
  <c r="I47" i="8" s="1"/>
  <c r="I48" i="8" a="1"/>
  <c r="I48" i="8" s="1"/>
  <c r="I49" i="8" a="1"/>
  <c r="I49" i="8" s="1"/>
  <c r="I50" i="8" a="1"/>
  <c r="I50" i="8" s="1"/>
  <c r="I51" i="8" a="1"/>
  <c r="I51" i="8" s="1"/>
  <c r="I52" i="8" a="1"/>
  <c r="I52" i="8" s="1"/>
  <c r="I53" i="8" a="1"/>
  <c r="I53" i="8" s="1"/>
  <c r="I54" i="8" a="1"/>
  <c r="I54" i="8" s="1"/>
  <c r="I55" i="8" a="1"/>
  <c r="I55" i="8" s="1"/>
  <c r="I56" i="8" a="1"/>
  <c r="I56" i="8" s="1"/>
  <c r="I57" i="8" a="1"/>
  <c r="I57" i="8" s="1"/>
  <c r="I58" i="8" a="1"/>
  <c r="I58" i="8" s="1"/>
  <c r="I59" i="8" a="1"/>
  <c r="I59" i="8" s="1"/>
  <c r="I60" i="8" a="1"/>
  <c r="I60" i="8" s="1"/>
  <c r="I61" i="8" a="1"/>
  <c r="I61" i="8" s="1"/>
  <c r="I62" i="8" a="1"/>
  <c r="I62" i="8" s="1"/>
  <c r="I63" i="8" a="1"/>
  <c r="I63" i="8" s="1"/>
  <c r="I64" i="8" a="1"/>
  <c r="I64" i="8" s="1"/>
  <c r="I65" i="8" a="1"/>
  <c r="I65" i="8" s="1"/>
  <c r="I66" i="8" a="1"/>
  <c r="I66" i="8" s="1"/>
  <c r="I67" i="8" a="1"/>
  <c r="I67" i="8" s="1"/>
  <c r="I68" i="8" a="1"/>
  <c r="I68" i="8" s="1"/>
  <c r="I69" i="8" a="1"/>
  <c r="I69" i="8" s="1"/>
  <c r="I70" i="8" a="1"/>
  <c r="I70" i="8" s="1"/>
  <c r="I71" i="8" a="1"/>
  <c r="I71" i="8" s="1"/>
  <c r="I72" i="8" a="1"/>
  <c r="I72" i="8" s="1"/>
  <c r="I73" i="8" a="1"/>
  <c r="I73" i="8" s="1"/>
  <c r="I74" i="8" a="1"/>
  <c r="I74" i="8" s="1"/>
  <c r="I75" i="8" a="1"/>
  <c r="I75" i="8" s="1"/>
  <c r="I76" i="8" a="1"/>
  <c r="I76" i="8" s="1"/>
  <c r="I77" i="8" a="1"/>
  <c r="I77" i="8" s="1"/>
  <c r="I78" i="8" a="1"/>
  <c r="I78" i="8" s="1"/>
  <c r="I79" i="8" a="1"/>
  <c r="I79" i="8" s="1"/>
  <c r="I80" i="8" a="1"/>
  <c r="I80" i="8" s="1"/>
  <c r="I81" i="8" a="1"/>
  <c r="I81" i="8" s="1"/>
  <c r="I82" i="8" a="1"/>
  <c r="I82" i="8" s="1"/>
  <c r="I83" i="8" a="1"/>
  <c r="I83" i="8" s="1"/>
  <c r="I84" i="8" a="1"/>
  <c r="I84" i="8" s="1"/>
  <c r="I85" i="8" a="1"/>
  <c r="I85" i="8" s="1"/>
  <c r="I86" i="8" a="1"/>
  <c r="I86" i="8" s="1"/>
  <c r="I87" i="8" a="1"/>
  <c r="I87" i="8" s="1"/>
  <c r="I88" i="8" a="1"/>
  <c r="I88" i="8" s="1"/>
  <c r="I89" i="8" a="1"/>
  <c r="I89" i="8" s="1"/>
  <c r="I90" i="8" a="1"/>
  <c r="I90" i="8" s="1"/>
  <c r="I91" i="8" a="1"/>
  <c r="I91" i="8" s="1"/>
  <c r="I92" i="8" a="1"/>
  <c r="I92" i="8" s="1"/>
  <c r="I93" i="8" a="1"/>
  <c r="I93" i="8" s="1"/>
  <c r="I94" i="8" a="1"/>
  <c r="I94" i="8" s="1"/>
  <c r="I95" i="8" a="1"/>
  <c r="I95" i="8" s="1"/>
  <c r="I96" i="8" a="1"/>
  <c r="I96" i="8" s="1"/>
  <c r="I97" i="8" a="1"/>
  <c r="I97" i="8" s="1"/>
  <c r="I98" i="8" a="1"/>
  <c r="I98" i="8" s="1"/>
  <c r="I99" i="8" a="1"/>
  <c r="I99" i="8" s="1"/>
  <c r="I100" i="8" a="1"/>
  <c r="I100" i="8" s="1"/>
  <c r="I101" i="8" a="1"/>
  <c r="I101" i="8" s="1"/>
  <c r="I102" i="8" a="1"/>
  <c r="I102" i="8" s="1"/>
  <c r="I103" i="8" a="1"/>
  <c r="I103" i="8" s="1"/>
  <c r="I104" i="8" a="1"/>
  <c r="I104" i="8" s="1"/>
  <c r="I105" i="8" a="1"/>
  <c r="I105" i="8" s="1"/>
  <c r="I106" i="8" a="1"/>
  <c r="I106" i="8" s="1"/>
  <c r="I107" i="8" a="1"/>
  <c r="I107" i="8" s="1"/>
  <c r="I108" i="8" a="1"/>
  <c r="I108" i="8" s="1"/>
  <c r="I109" i="8" a="1"/>
  <c r="I109" i="8" s="1"/>
  <c r="I110" i="8" a="1"/>
  <c r="I110" i="8" s="1"/>
  <c r="I111" i="8" a="1"/>
  <c r="I111" i="8" s="1"/>
  <c r="I112" i="8" a="1"/>
  <c r="I112" i="8" s="1"/>
  <c r="I113" i="8" a="1"/>
  <c r="I113" i="8" s="1"/>
  <c r="I114" i="8" a="1"/>
  <c r="I114" i="8" s="1"/>
  <c r="I115" i="8" a="1"/>
  <c r="I115" i="8" s="1"/>
  <c r="I116" i="8" a="1"/>
  <c r="I116" i="8" s="1"/>
  <c r="I117" i="8" a="1"/>
  <c r="I117" i="8" s="1"/>
  <c r="I118" i="8" a="1"/>
  <c r="I118" i="8" s="1"/>
  <c r="I119" i="8" a="1"/>
  <c r="I119" i="8" s="1"/>
  <c r="I120" i="8" a="1"/>
  <c r="I120" i="8" s="1"/>
  <c r="I121" i="8" a="1"/>
  <c r="I121" i="8" s="1"/>
  <c r="I122" i="8" a="1"/>
  <c r="I122" i="8" s="1"/>
  <c r="I123" i="8" a="1"/>
  <c r="I123" i="8" s="1"/>
  <c r="I124" i="8" a="1"/>
  <c r="I124" i="8" s="1"/>
  <c r="I125" i="8" a="1"/>
  <c r="I125" i="8" s="1"/>
  <c r="I126" i="8" a="1"/>
  <c r="I126" i="8" s="1"/>
  <c r="I127" i="8" a="1"/>
  <c r="I127" i="8" s="1"/>
  <c r="I128" i="8" a="1"/>
  <c r="I128" i="8" s="1"/>
  <c r="I129" i="8" a="1"/>
  <c r="I129" i="8" s="1"/>
  <c r="I130" i="8" a="1"/>
  <c r="I130" i="8" s="1"/>
  <c r="I131" i="8" a="1"/>
  <c r="I131" i="8" s="1"/>
  <c r="I132" i="8" a="1"/>
  <c r="I132" i="8" s="1"/>
  <c r="I133" i="8" a="1"/>
  <c r="I133" i="8" s="1"/>
  <c r="I134" i="8" a="1"/>
  <c r="I134" i="8" s="1"/>
  <c r="I135" i="8" a="1"/>
  <c r="I135" i="8" s="1"/>
  <c r="I136" i="8" a="1"/>
  <c r="I136" i="8" s="1"/>
  <c r="I137" i="8" a="1"/>
  <c r="I137" i="8" s="1"/>
  <c r="I138" i="8" a="1"/>
  <c r="I138" i="8" s="1"/>
  <c r="I139" i="8" a="1"/>
  <c r="I139" i="8" s="1"/>
  <c r="I140" i="8" a="1"/>
  <c r="I140" i="8" s="1"/>
  <c r="I141" i="8" a="1"/>
  <c r="I141" i="8" s="1"/>
  <c r="I142" i="8" a="1"/>
  <c r="I142" i="8" s="1"/>
  <c r="I143" i="8" a="1"/>
  <c r="I143" i="8" s="1"/>
  <c r="I144" i="8" a="1"/>
  <c r="I144" i="8" s="1"/>
  <c r="I145" i="8" a="1"/>
  <c r="I145" i="8" s="1"/>
  <c r="I146" i="8" a="1"/>
  <c r="I146" i="8" s="1"/>
  <c r="I147" i="8" a="1"/>
  <c r="I147" i="8" s="1"/>
  <c r="I148" i="8" a="1"/>
  <c r="I148" i="8" s="1"/>
  <c r="I149" i="8" a="1"/>
  <c r="I149" i="8" s="1"/>
  <c r="I150" i="8" a="1"/>
  <c r="I150" i="8" s="1"/>
  <c r="I151" i="8" a="1"/>
  <c r="I151" i="8" s="1"/>
  <c r="I152" i="8" a="1"/>
  <c r="I152" i="8" s="1"/>
  <c r="I153" i="8" a="1"/>
  <c r="I153" i="8" s="1"/>
  <c r="I154" i="8" a="1"/>
  <c r="I154" i="8" s="1"/>
  <c r="I155" i="8" a="1"/>
  <c r="I155" i="8" s="1"/>
  <c r="I156" i="8" a="1"/>
  <c r="I156" i="8" s="1"/>
  <c r="I157" i="8" a="1"/>
  <c r="I157" i="8" s="1"/>
  <c r="I158" i="8" a="1"/>
  <c r="I158" i="8" s="1"/>
  <c r="I159" i="8" a="1"/>
  <c r="I159" i="8" s="1"/>
  <c r="I160" i="8" a="1"/>
  <c r="I160" i="8" s="1"/>
  <c r="I161" i="8" a="1"/>
  <c r="I161" i="8" s="1"/>
  <c r="I162" i="8" a="1"/>
  <c r="I162" i="8" s="1"/>
  <c r="I163" i="8" a="1"/>
  <c r="I163" i="8" s="1"/>
  <c r="I164" i="8" a="1"/>
  <c r="I164" i="8" s="1"/>
  <c r="I165" i="8" a="1"/>
  <c r="I165" i="8" s="1"/>
  <c r="I166" i="8" a="1"/>
  <c r="I166" i="8" s="1"/>
  <c r="I167" i="8" a="1"/>
  <c r="I167" i="8" s="1"/>
  <c r="I168" i="8" a="1"/>
  <c r="I168" i="8" s="1"/>
  <c r="I169" i="8" a="1"/>
  <c r="I169" i="8" s="1"/>
  <c r="I170" i="8" a="1"/>
  <c r="I170" i="8" s="1"/>
  <c r="I171" i="8" a="1"/>
  <c r="I171" i="8" s="1"/>
  <c r="I172" i="8" a="1"/>
  <c r="I172" i="8" s="1"/>
  <c r="I173" i="8" a="1"/>
  <c r="I173" i="8" s="1"/>
  <c r="I174" i="8" a="1"/>
  <c r="I174" i="8" s="1"/>
  <c r="I175" i="8" a="1"/>
  <c r="I175" i="8" s="1"/>
  <c r="I176" i="8" a="1"/>
  <c r="I176" i="8" s="1"/>
  <c r="I177" i="8" a="1"/>
  <c r="I177" i="8" s="1"/>
  <c r="I178" i="8" a="1"/>
  <c r="I178" i="8" s="1"/>
  <c r="I179" i="8" a="1"/>
  <c r="I179" i="8" s="1"/>
  <c r="I180" i="8" a="1"/>
  <c r="I180" i="8" s="1"/>
  <c r="I181" i="8" a="1"/>
  <c r="I181" i="8" s="1"/>
  <c r="I182" i="8" a="1"/>
  <c r="I182" i="8" s="1"/>
  <c r="I183" i="8" a="1"/>
  <c r="I183" i="8" s="1"/>
  <c r="I184" i="8" a="1"/>
  <c r="I184" i="8" s="1"/>
  <c r="I185" i="8" a="1"/>
  <c r="I185" i="8" s="1"/>
  <c r="I186" i="8" a="1"/>
  <c r="I186" i="8" s="1"/>
  <c r="I187" i="8" a="1"/>
  <c r="I187" i="8" s="1"/>
  <c r="I188" i="8" a="1"/>
  <c r="I188" i="8" s="1"/>
  <c r="I189" i="8" a="1"/>
  <c r="I189" i="8" s="1"/>
  <c r="I190" i="8" a="1"/>
  <c r="I190" i="8" s="1"/>
  <c r="I191" i="8" a="1"/>
  <c r="I191" i="8" s="1"/>
  <c r="I192" i="8" a="1"/>
  <c r="I192" i="8" s="1"/>
  <c r="I193" i="8" a="1"/>
  <c r="I193" i="8" s="1"/>
  <c r="I194" i="8" a="1"/>
  <c r="I194" i="8" s="1"/>
  <c r="I195" i="8" a="1"/>
  <c r="I195" i="8" s="1"/>
  <c r="I196" i="8" a="1"/>
  <c r="I196" i="8" s="1"/>
  <c r="I197" i="8" a="1"/>
  <c r="I197" i="8" s="1"/>
  <c r="I198" i="8" a="1"/>
  <c r="I198" i="8" s="1"/>
  <c r="I199" i="8" a="1"/>
  <c r="I199" i="8" s="1"/>
  <c r="I200" i="8" a="1"/>
  <c r="I200" i="8" s="1"/>
  <c r="I201" i="8" a="1"/>
  <c r="I201" i="8" s="1"/>
  <c r="I202" i="8" a="1"/>
  <c r="I202" i="8" s="1"/>
  <c r="I203" i="8" a="1"/>
  <c r="I203" i="8" s="1"/>
  <c r="I204" i="8" a="1"/>
  <c r="I204" i="8" s="1"/>
  <c r="I205" i="8" a="1"/>
  <c r="I205" i="8" s="1"/>
  <c r="I206" i="8" a="1"/>
  <c r="I206" i="8" s="1"/>
  <c r="I207" i="8" a="1"/>
  <c r="I207" i="8" s="1"/>
  <c r="I208" i="8" a="1"/>
  <c r="I208" i="8" s="1"/>
  <c r="I209" i="8" a="1"/>
  <c r="I209" i="8" s="1"/>
  <c r="I210" i="8" a="1"/>
  <c r="I210" i="8" s="1"/>
  <c r="I211" i="8" a="1"/>
  <c r="I211" i="8" s="1"/>
  <c r="I212" i="8" a="1"/>
  <c r="I212" i="8" s="1"/>
  <c r="I213" i="8" a="1"/>
  <c r="I213" i="8" s="1"/>
  <c r="I214" i="8" a="1"/>
  <c r="I214" i="8" s="1"/>
  <c r="I215" i="8" a="1"/>
  <c r="I215" i="8" s="1"/>
  <c r="I216" i="8" a="1"/>
  <c r="I216" i="8" s="1"/>
  <c r="I217" i="8" a="1"/>
  <c r="I217" i="8" s="1"/>
  <c r="I218" i="8" a="1"/>
  <c r="I218" i="8" s="1"/>
  <c r="I219" i="8" a="1"/>
  <c r="I219" i="8" s="1"/>
  <c r="I220" i="8" a="1"/>
  <c r="I220" i="8" s="1"/>
  <c r="I221" i="8" a="1"/>
  <c r="I221" i="8" s="1"/>
  <c r="I222" i="8" a="1"/>
  <c r="I222" i="8" s="1"/>
  <c r="I223" i="8" a="1"/>
  <c r="I223" i="8" s="1"/>
  <c r="I224" i="8" a="1"/>
  <c r="I224" i="8" s="1"/>
  <c r="I225" i="8" a="1"/>
  <c r="I225" i="8" s="1"/>
  <c r="I226" i="8" a="1"/>
  <c r="I226" i="8" s="1"/>
  <c r="I227" i="8" a="1"/>
  <c r="I227" i="8" s="1"/>
  <c r="I228" i="8" a="1"/>
  <c r="I228" i="8" s="1"/>
  <c r="I229" i="8" a="1"/>
  <c r="I229" i="8" s="1"/>
  <c r="I230" i="8" a="1"/>
  <c r="I230" i="8" s="1"/>
  <c r="I231" i="8" a="1"/>
  <c r="I231" i="8" s="1"/>
  <c r="I232" i="8" a="1"/>
  <c r="I232" i="8" s="1"/>
  <c r="I233" i="8" a="1"/>
  <c r="I233" i="8" s="1"/>
  <c r="I234" i="8" a="1"/>
  <c r="I234" i="8" s="1"/>
  <c r="I235" i="8" a="1"/>
  <c r="I235" i="8" s="1"/>
  <c r="I236" i="8" a="1"/>
  <c r="I236" i="8" s="1"/>
  <c r="I237" i="8" a="1"/>
  <c r="I237" i="8" s="1"/>
  <c r="I238" i="8" a="1"/>
  <c r="I238" i="8" s="1"/>
  <c r="I239" i="8" a="1"/>
  <c r="I239" i="8" s="1"/>
  <c r="I240" i="8" a="1"/>
  <c r="I240" i="8" s="1"/>
  <c r="I241" i="8" a="1"/>
  <c r="I241" i="8" s="1"/>
  <c r="I242" i="8" a="1"/>
  <c r="I242" i="8" s="1"/>
  <c r="I243" i="8" a="1"/>
  <c r="I243" i="8" s="1"/>
  <c r="I244" i="8" a="1"/>
  <c r="I244" i="8" s="1"/>
  <c r="I245" i="8" a="1"/>
  <c r="I245" i="8" s="1"/>
  <c r="I246" i="8" a="1"/>
  <c r="I246" i="8" s="1"/>
  <c r="I247" i="8" a="1"/>
  <c r="I247" i="8" s="1"/>
  <c r="I248" i="8" a="1"/>
  <c r="I248" i="8" s="1"/>
  <c r="I249" i="8" a="1"/>
  <c r="I249" i="8" s="1"/>
  <c r="I250" i="8" a="1"/>
  <c r="I250" i="8" s="1"/>
  <c r="I251" i="8" a="1"/>
  <c r="I251" i="8" s="1"/>
  <c r="I12" i="8" a="1"/>
  <c r="I12" i="8" s="1"/>
  <c r="F13" i="8" a="1"/>
  <c r="F13" i="8" s="1"/>
  <c r="F14" i="8" a="1"/>
  <c r="F14" i="8" s="1"/>
  <c r="F15" i="8" a="1"/>
  <c r="F15" i="8" s="1"/>
  <c r="F16" i="8" a="1"/>
  <c r="F16" i="8" s="1"/>
  <c r="F17" i="8" a="1"/>
  <c r="F17" i="8" s="1"/>
  <c r="F18" i="8" a="1"/>
  <c r="F18" i="8" s="1"/>
  <c r="F19" i="8" a="1"/>
  <c r="F19" i="8" s="1"/>
  <c r="F20" i="8" a="1"/>
  <c r="F20" i="8" s="1"/>
  <c r="F21" i="8" a="1"/>
  <c r="F21" i="8" s="1"/>
  <c r="F22" i="8" a="1"/>
  <c r="F22" i="8" s="1"/>
  <c r="F23" i="8" a="1"/>
  <c r="F23" i="8" s="1"/>
  <c r="F24" i="8" a="1"/>
  <c r="F24" i="8" s="1"/>
  <c r="F25" i="8" a="1"/>
  <c r="F25" i="8" s="1"/>
  <c r="F26" i="8" a="1"/>
  <c r="F26" i="8" s="1"/>
  <c r="F27" i="8" a="1"/>
  <c r="F27" i="8" s="1"/>
  <c r="F28" i="8" a="1"/>
  <c r="F28" i="8" s="1"/>
  <c r="F29" i="8" a="1"/>
  <c r="F29" i="8" s="1"/>
  <c r="F30" i="8" a="1"/>
  <c r="F30" i="8" s="1"/>
  <c r="F31" i="8" a="1"/>
  <c r="F31" i="8" s="1"/>
  <c r="F32" i="8" a="1"/>
  <c r="F32" i="8" s="1"/>
  <c r="F33" i="8" a="1"/>
  <c r="F33" i="8" s="1"/>
  <c r="F34" i="8" a="1"/>
  <c r="F34" i="8" s="1"/>
  <c r="F35" i="8" a="1"/>
  <c r="F35" i="8" s="1"/>
  <c r="F36" i="8" a="1"/>
  <c r="F36" i="8" s="1"/>
  <c r="F37" i="8" a="1"/>
  <c r="F37" i="8" s="1"/>
  <c r="F38" i="8" a="1"/>
  <c r="F38" i="8" s="1"/>
  <c r="F39" i="8" a="1"/>
  <c r="F39" i="8" s="1"/>
  <c r="F40" i="8" a="1"/>
  <c r="F40" i="8" s="1"/>
  <c r="F41" i="8" a="1"/>
  <c r="F41" i="8" s="1"/>
  <c r="F42" i="8" a="1"/>
  <c r="F42" i="8" s="1"/>
  <c r="F43" i="8" a="1"/>
  <c r="F43" i="8" s="1"/>
  <c r="F44" i="8" a="1"/>
  <c r="F44" i="8" s="1"/>
  <c r="F45" i="8" a="1"/>
  <c r="F45" i="8" s="1"/>
  <c r="F46" i="8" a="1"/>
  <c r="F46" i="8" s="1"/>
  <c r="F47" i="8" a="1"/>
  <c r="F47" i="8" s="1"/>
  <c r="F48" i="8" a="1"/>
  <c r="F48" i="8" s="1"/>
  <c r="F49" i="8" a="1"/>
  <c r="F49" i="8" s="1"/>
  <c r="F50" i="8" a="1"/>
  <c r="F50" i="8" s="1"/>
  <c r="F51" i="8" a="1"/>
  <c r="F51" i="8" s="1"/>
  <c r="F52" i="8" a="1"/>
  <c r="F52" i="8" s="1"/>
  <c r="F53" i="8" a="1"/>
  <c r="F53" i="8" s="1"/>
  <c r="F54" i="8" a="1"/>
  <c r="F54" i="8" s="1"/>
  <c r="F55" i="8" a="1"/>
  <c r="F55" i="8" s="1"/>
  <c r="F56" i="8" a="1"/>
  <c r="F56" i="8" s="1"/>
  <c r="F57" i="8" a="1"/>
  <c r="F57" i="8" s="1"/>
  <c r="F58" i="8" a="1"/>
  <c r="F58" i="8" s="1"/>
  <c r="F59" i="8" a="1"/>
  <c r="F59" i="8" s="1"/>
  <c r="F60" i="8" a="1"/>
  <c r="F60" i="8" s="1"/>
  <c r="F61" i="8" a="1"/>
  <c r="F61" i="8" s="1"/>
  <c r="F62" i="8" a="1"/>
  <c r="F62" i="8" s="1"/>
  <c r="F63" i="8" a="1"/>
  <c r="F63" i="8" s="1"/>
  <c r="F64" i="8" a="1"/>
  <c r="F64" i="8" s="1"/>
  <c r="F65" i="8" a="1"/>
  <c r="F65" i="8" s="1"/>
  <c r="F66" i="8" a="1"/>
  <c r="F66" i="8" s="1"/>
  <c r="F67" i="8" a="1"/>
  <c r="F67" i="8" s="1"/>
  <c r="F68" i="8" a="1"/>
  <c r="F68" i="8" s="1"/>
  <c r="F69" i="8" a="1"/>
  <c r="F69" i="8" s="1"/>
  <c r="F70" i="8" a="1"/>
  <c r="F70" i="8" s="1"/>
  <c r="F71" i="8" a="1"/>
  <c r="F71" i="8" s="1"/>
  <c r="F72" i="8" a="1"/>
  <c r="F72" i="8" s="1"/>
  <c r="F73" i="8" a="1"/>
  <c r="F73" i="8" s="1"/>
  <c r="F74" i="8" a="1"/>
  <c r="F74" i="8" s="1"/>
  <c r="F75" i="8" a="1"/>
  <c r="F75" i="8" s="1"/>
  <c r="F76" i="8" a="1"/>
  <c r="F76" i="8" s="1"/>
  <c r="F77" i="8" a="1"/>
  <c r="F77" i="8" s="1"/>
  <c r="F78" i="8" a="1"/>
  <c r="F78" i="8" s="1"/>
  <c r="F79" i="8" a="1"/>
  <c r="F79" i="8" s="1"/>
  <c r="F80" i="8" a="1"/>
  <c r="F80" i="8" s="1"/>
  <c r="F81" i="8" a="1"/>
  <c r="F81" i="8" s="1"/>
  <c r="F82" i="8" a="1"/>
  <c r="F82" i="8" s="1"/>
  <c r="F83" i="8" a="1"/>
  <c r="F83" i="8" s="1"/>
  <c r="F84" i="8" a="1"/>
  <c r="F84" i="8" s="1"/>
  <c r="F85" i="8" a="1"/>
  <c r="F85" i="8" s="1"/>
  <c r="F86" i="8" a="1"/>
  <c r="F86" i="8" s="1"/>
  <c r="F87" i="8" a="1"/>
  <c r="F87" i="8" s="1"/>
  <c r="F88" i="8" a="1"/>
  <c r="F88" i="8" s="1"/>
  <c r="F89" i="8" a="1"/>
  <c r="F89" i="8" s="1"/>
  <c r="F90" i="8" a="1"/>
  <c r="F90" i="8" s="1"/>
  <c r="F91" i="8" a="1"/>
  <c r="F91" i="8" s="1"/>
  <c r="F92" i="8" a="1"/>
  <c r="F92" i="8" s="1"/>
  <c r="F93" i="8" a="1"/>
  <c r="F93" i="8" s="1"/>
  <c r="F94" i="8" a="1"/>
  <c r="F94" i="8" s="1"/>
  <c r="F95" i="8" a="1"/>
  <c r="F95" i="8" s="1"/>
  <c r="F96" i="8" a="1"/>
  <c r="F96" i="8" s="1"/>
  <c r="F97" i="8" a="1"/>
  <c r="F97" i="8" s="1"/>
  <c r="F98" i="8" a="1"/>
  <c r="F98" i="8" s="1"/>
  <c r="F99" i="8" a="1"/>
  <c r="F99" i="8" s="1"/>
  <c r="F100" i="8" a="1"/>
  <c r="F100" i="8" s="1"/>
  <c r="F101" i="8" a="1"/>
  <c r="F101" i="8" s="1"/>
  <c r="F102" i="8" a="1"/>
  <c r="F102" i="8" s="1"/>
  <c r="F103" i="8" a="1"/>
  <c r="F103" i="8" s="1"/>
  <c r="F104" i="8" a="1"/>
  <c r="F104" i="8" s="1"/>
  <c r="F105" i="8" a="1"/>
  <c r="F105" i="8" s="1"/>
  <c r="F106" i="8" a="1"/>
  <c r="F106" i="8" s="1"/>
  <c r="F107" i="8" a="1"/>
  <c r="F107" i="8" s="1"/>
  <c r="F108" i="8" a="1"/>
  <c r="F108" i="8" s="1"/>
  <c r="F109" i="8" a="1"/>
  <c r="F109" i="8" s="1"/>
  <c r="F110" i="8" a="1"/>
  <c r="F110" i="8" s="1"/>
  <c r="F111" i="8" a="1"/>
  <c r="F111" i="8" s="1"/>
  <c r="F112" i="8" a="1"/>
  <c r="F112" i="8" s="1"/>
  <c r="F113" i="8" a="1"/>
  <c r="F113" i="8" s="1"/>
  <c r="F114" i="8" a="1"/>
  <c r="F114" i="8" s="1"/>
  <c r="F115" i="8" a="1"/>
  <c r="F115" i="8" s="1"/>
  <c r="F116" i="8" a="1"/>
  <c r="F116" i="8" s="1"/>
  <c r="F117" i="8" a="1"/>
  <c r="F117" i="8" s="1"/>
  <c r="F118" i="8" a="1"/>
  <c r="F118" i="8" s="1"/>
  <c r="F119" i="8" a="1"/>
  <c r="F119" i="8" s="1"/>
  <c r="F120" i="8" a="1"/>
  <c r="F120" i="8" s="1"/>
  <c r="F121" i="8" a="1"/>
  <c r="F121" i="8" s="1"/>
  <c r="F122" i="8" a="1"/>
  <c r="F122" i="8" s="1"/>
  <c r="F123" i="8" a="1"/>
  <c r="F123" i="8" s="1"/>
  <c r="F124" i="8" a="1"/>
  <c r="F124" i="8" s="1"/>
  <c r="F125" i="8" a="1"/>
  <c r="F125" i="8" s="1"/>
  <c r="F126" i="8" a="1"/>
  <c r="F126" i="8" s="1"/>
  <c r="F127" i="8" a="1"/>
  <c r="F127" i="8" s="1"/>
  <c r="F128" i="8" a="1"/>
  <c r="F128" i="8" s="1"/>
  <c r="F129" i="8" a="1"/>
  <c r="F129" i="8" s="1"/>
  <c r="F130" i="8" a="1"/>
  <c r="F130" i="8" s="1"/>
  <c r="F131" i="8" a="1"/>
  <c r="F131" i="8" s="1"/>
  <c r="F132" i="8" a="1"/>
  <c r="F132" i="8" s="1"/>
  <c r="F133" i="8" a="1"/>
  <c r="F133" i="8" s="1"/>
  <c r="F134" i="8" a="1"/>
  <c r="F134" i="8" s="1"/>
  <c r="F135" i="8" a="1"/>
  <c r="F135" i="8" s="1"/>
  <c r="F136" i="8" a="1"/>
  <c r="F136" i="8" s="1"/>
  <c r="F137" i="8" a="1"/>
  <c r="F137" i="8" s="1"/>
  <c r="F138" i="8" a="1"/>
  <c r="F138" i="8" s="1"/>
  <c r="F139" i="8" a="1"/>
  <c r="F139" i="8" s="1"/>
  <c r="F140" i="8" a="1"/>
  <c r="F140" i="8" s="1"/>
  <c r="F141" i="8" a="1"/>
  <c r="F141" i="8" s="1"/>
  <c r="F142" i="8" a="1"/>
  <c r="F142" i="8" s="1"/>
  <c r="F143" i="8" a="1"/>
  <c r="F143" i="8" s="1"/>
  <c r="F144" i="8" a="1"/>
  <c r="F144" i="8" s="1"/>
  <c r="F145" i="8" a="1"/>
  <c r="F145" i="8" s="1"/>
  <c r="F146" i="8" a="1"/>
  <c r="F146" i="8" s="1"/>
  <c r="F147" i="8" a="1"/>
  <c r="F147" i="8" s="1"/>
  <c r="F148" i="8" a="1"/>
  <c r="F148" i="8" s="1"/>
  <c r="F149" i="8" a="1"/>
  <c r="F149" i="8" s="1"/>
  <c r="F150" i="8" a="1"/>
  <c r="F150" i="8" s="1"/>
  <c r="F151" i="8" a="1"/>
  <c r="F151" i="8" s="1"/>
  <c r="F152" i="8" a="1"/>
  <c r="F152" i="8" s="1"/>
  <c r="F153" i="8" a="1"/>
  <c r="F153" i="8" s="1"/>
  <c r="F154" i="8" a="1"/>
  <c r="F154" i="8" s="1"/>
  <c r="F155" i="8" a="1"/>
  <c r="F155" i="8" s="1"/>
  <c r="F156" i="8" a="1"/>
  <c r="F156" i="8" s="1"/>
  <c r="F157" i="8" a="1"/>
  <c r="F157" i="8" s="1"/>
  <c r="F158" i="8" a="1"/>
  <c r="F158" i="8" s="1"/>
  <c r="F159" i="8" a="1"/>
  <c r="F159" i="8" s="1"/>
  <c r="F160" i="8" a="1"/>
  <c r="F160" i="8" s="1"/>
  <c r="F161" i="8" a="1"/>
  <c r="F161" i="8" s="1"/>
  <c r="F162" i="8" a="1"/>
  <c r="F162" i="8" s="1"/>
  <c r="F163" i="8" a="1"/>
  <c r="F163" i="8" s="1"/>
  <c r="F164" i="8" a="1"/>
  <c r="F164" i="8" s="1"/>
  <c r="F165" i="8" a="1"/>
  <c r="F165" i="8" s="1"/>
  <c r="F166" i="8" a="1"/>
  <c r="F166" i="8" s="1"/>
  <c r="F167" i="8" a="1"/>
  <c r="F167" i="8" s="1"/>
  <c r="F168" i="8" a="1"/>
  <c r="F168" i="8" s="1"/>
  <c r="F169" i="8" a="1"/>
  <c r="F169" i="8" s="1"/>
  <c r="F170" i="8" a="1"/>
  <c r="F170" i="8" s="1"/>
  <c r="F171" i="8" a="1"/>
  <c r="F171" i="8" s="1"/>
  <c r="F172" i="8" a="1"/>
  <c r="F172" i="8" s="1"/>
  <c r="F173" i="8" a="1"/>
  <c r="F173" i="8" s="1"/>
  <c r="F174" i="8" a="1"/>
  <c r="F174" i="8" s="1"/>
  <c r="F175" i="8" a="1"/>
  <c r="F175" i="8" s="1"/>
  <c r="F176" i="8" a="1"/>
  <c r="F176" i="8" s="1"/>
  <c r="F177" i="8" a="1"/>
  <c r="F177" i="8" s="1"/>
  <c r="F178" i="8" a="1"/>
  <c r="F178" i="8" s="1"/>
  <c r="F179" i="8" a="1"/>
  <c r="F179" i="8" s="1"/>
  <c r="F180" i="8" a="1"/>
  <c r="F180" i="8" s="1"/>
  <c r="F181" i="8" a="1"/>
  <c r="F181" i="8" s="1"/>
  <c r="F182" i="8" a="1"/>
  <c r="F182" i="8" s="1"/>
  <c r="F183" i="8" a="1"/>
  <c r="F183" i="8" s="1"/>
  <c r="F184" i="8" a="1"/>
  <c r="F184" i="8" s="1"/>
  <c r="F185" i="8" a="1"/>
  <c r="F185" i="8" s="1"/>
  <c r="F186" i="8" a="1"/>
  <c r="F186" i="8" s="1"/>
  <c r="F187" i="8" a="1"/>
  <c r="F187" i="8" s="1"/>
  <c r="F188" i="8" a="1"/>
  <c r="F188" i="8" s="1"/>
  <c r="F189" i="8" a="1"/>
  <c r="F189" i="8" s="1"/>
  <c r="F190" i="8" a="1"/>
  <c r="F190" i="8" s="1"/>
  <c r="F191" i="8" a="1"/>
  <c r="F191" i="8" s="1"/>
  <c r="F192" i="8" a="1"/>
  <c r="F192" i="8" s="1"/>
  <c r="F193" i="8" a="1"/>
  <c r="F193" i="8" s="1"/>
  <c r="F194" i="8" a="1"/>
  <c r="F194" i="8" s="1"/>
  <c r="F195" i="8" a="1"/>
  <c r="F195" i="8" s="1"/>
  <c r="F196" i="8" a="1"/>
  <c r="F196" i="8" s="1"/>
  <c r="F197" i="8" a="1"/>
  <c r="F197" i="8" s="1"/>
  <c r="F198" i="8" a="1"/>
  <c r="F198" i="8" s="1"/>
  <c r="F199" i="8" a="1"/>
  <c r="F199" i="8" s="1"/>
  <c r="F200" i="8" a="1"/>
  <c r="F200" i="8" s="1"/>
  <c r="F201" i="8" a="1"/>
  <c r="F201" i="8" s="1"/>
  <c r="F202" i="8" a="1"/>
  <c r="F202" i="8" s="1"/>
  <c r="F203" i="8" a="1"/>
  <c r="F203" i="8" s="1"/>
  <c r="F204" i="8" a="1"/>
  <c r="F204" i="8" s="1"/>
  <c r="F205" i="8" a="1"/>
  <c r="F205" i="8" s="1"/>
  <c r="F206" i="8" a="1"/>
  <c r="F206" i="8" s="1"/>
  <c r="F207" i="8" a="1"/>
  <c r="F207" i="8" s="1"/>
  <c r="F208" i="8" a="1"/>
  <c r="F208" i="8" s="1"/>
  <c r="F209" i="8" a="1"/>
  <c r="F209" i="8" s="1"/>
  <c r="F210" i="8" a="1"/>
  <c r="F210" i="8" s="1"/>
  <c r="F211" i="8" a="1"/>
  <c r="F211" i="8" s="1"/>
  <c r="F212" i="8" a="1"/>
  <c r="F212" i="8" s="1"/>
  <c r="F213" i="8" a="1"/>
  <c r="F213" i="8" s="1"/>
  <c r="F214" i="8" a="1"/>
  <c r="F214" i="8" s="1"/>
  <c r="F215" i="8" a="1"/>
  <c r="F215" i="8" s="1"/>
  <c r="F216" i="8" a="1"/>
  <c r="F216" i="8" s="1"/>
  <c r="F217" i="8" a="1"/>
  <c r="F217" i="8" s="1"/>
  <c r="F218" i="8" a="1"/>
  <c r="F218" i="8" s="1"/>
  <c r="F219" i="8" a="1"/>
  <c r="F219" i="8" s="1"/>
  <c r="F220" i="8" a="1"/>
  <c r="F220" i="8" s="1"/>
  <c r="F221" i="8" a="1"/>
  <c r="F221" i="8" s="1"/>
  <c r="F222" i="8" a="1"/>
  <c r="F222" i="8" s="1"/>
  <c r="F223" i="8" a="1"/>
  <c r="F223" i="8" s="1"/>
  <c r="F224" i="8" a="1"/>
  <c r="F224" i="8" s="1"/>
  <c r="F225" i="8" a="1"/>
  <c r="F225" i="8" s="1"/>
  <c r="F226" i="8" a="1"/>
  <c r="F226" i="8" s="1"/>
  <c r="F227" i="8" a="1"/>
  <c r="F227" i="8" s="1"/>
  <c r="F228" i="8" a="1"/>
  <c r="F228" i="8" s="1"/>
  <c r="F229" i="8" a="1"/>
  <c r="F229" i="8" s="1"/>
  <c r="F230" i="8" a="1"/>
  <c r="F230" i="8" s="1"/>
  <c r="F231" i="8" a="1"/>
  <c r="F231" i="8" s="1"/>
  <c r="F232" i="8" a="1"/>
  <c r="F232" i="8" s="1"/>
  <c r="F233" i="8" a="1"/>
  <c r="F233" i="8" s="1"/>
  <c r="F234" i="8" a="1"/>
  <c r="F234" i="8" s="1"/>
  <c r="F235" i="8" a="1"/>
  <c r="F235" i="8" s="1"/>
  <c r="F236" i="8" a="1"/>
  <c r="F236" i="8" s="1"/>
  <c r="F237" i="8" a="1"/>
  <c r="F237" i="8" s="1"/>
  <c r="F238" i="8" a="1"/>
  <c r="F238" i="8" s="1"/>
  <c r="F239" i="8" a="1"/>
  <c r="F239" i="8" s="1"/>
  <c r="F240" i="8" a="1"/>
  <c r="F240" i="8" s="1"/>
  <c r="F241" i="8" a="1"/>
  <c r="F241" i="8" s="1"/>
  <c r="F242" i="8" a="1"/>
  <c r="F242" i="8" s="1"/>
  <c r="F243" i="8" a="1"/>
  <c r="F243" i="8" s="1"/>
  <c r="F244" i="8" a="1"/>
  <c r="F244" i="8" s="1"/>
  <c r="F245" i="8" a="1"/>
  <c r="F245" i="8" s="1"/>
  <c r="F246" i="8" a="1"/>
  <c r="F246" i="8" s="1"/>
  <c r="F247" i="8" a="1"/>
  <c r="F247" i="8" s="1"/>
  <c r="F248" i="8" a="1"/>
  <c r="F248" i="8" s="1"/>
  <c r="F249" i="8" a="1"/>
  <c r="F249" i="8" s="1"/>
  <c r="F250" i="8" a="1"/>
  <c r="F250" i="8" s="1"/>
  <c r="F251" i="8" a="1"/>
  <c r="F251" i="8" s="1"/>
  <c r="B13" i="8" a="1"/>
  <c r="B13" i="8" s="1"/>
  <c r="C13" i="8" a="1"/>
  <c r="C13" i="8" s="1"/>
  <c r="C13" i="10" s="1" a="1"/>
  <c r="C13" i="10" s="1"/>
  <c r="D13" i="8" a="1"/>
  <c r="D13" i="8" s="1"/>
  <c r="B14" i="8" a="1"/>
  <c r="B14" i="8" s="1"/>
  <c r="C14" i="8" a="1"/>
  <c r="C14" i="8" s="1"/>
  <c r="C14" i="10" s="1" a="1"/>
  <c r="C14" i="10" s="1"/>
  <c r="D14" i="8" a="1"/>
  <c r="D14" i="8" s="1"/>
  <c r="B15" i="8" a="1"/>
  <c r="B15" i="8" s="1"/>
  <c r="C15" i="8" a="1"/>
  <c r="C15" i="8" s="1"/>
  <c r="C15" i="10" s="1" a="1"/>
  <c r="C15" i="10" s="1"/>
  <c r="D15" i="8" a="1"/>
  <c r="D15" i="8" s="1"/>
  <c r="B16" i="8" a="1"/>
  <c r="B16" i="8" s="1"/>
  <c r="C16" i="8" a="1"/>
  <c r="C16" i="8" s="1"/>
  <c r="C16" i="10" s="1" a="1"/>
  <c r="C16" i="10" s="1"/>
  <c r="D16" i="8" a="1"/>
  <c r="D16" i="8" s="1"/>
  <c r="B17" i="8" a="1"/>
  <c r="B17" i="8" s="1"/>
  <c r="C17" i="8" a="1"/>
  <c r="C17" i="8" s="1"/>
  <c r="C17" i="10" s="1" a="1"/>
  <c r="C17" i="10" s="1"/>
  <c r="D17" i="8" a="1"/>
  <c r="D17" i="8" s="1"/>
  <c r="B18" i="8" a="1"/>
  <c r="B18" i="8" s="1"/>
  <c r="C18" i="8" a="1"/>
  <c r="C18" i="8" s="1"/>
  <c r="C18" i="10" s="1" a="1"/>
  <c r="C18" i="10" s="1"/>
  <c r="D18" i="8" a="1"/>
  <c r="D18" i="8" s="1"/>
  <c r="B19" i="8" a="1"/>
  <c r="B19" i="8" s="1"/>
  <c r="C19" i="8" a="1"/>
  <c r="C19" i="8" s="1"/>
  <c r="C19" i="10" s="1" a="1"/>
  <c r="C19" i="10" s="1"/>
  <c r="D19" i="8" a="1"/>
  <c r="D19" i="8" s="1"/>
  <c r="B20" i="8" a="1"/>
  <c r="B20" i="8" s="1"/>
  <c r="C20" i="8" a="1"/>
  <c r="C20" i="8" s="1"/>
  <c r="C20" i="10" s="1" a="1"/>
  <c r="C20" i="10" s="1"/>
  <c r="D20" i="8" a="1"/>
  <c r="D20" i="8" s="1"/>
  <c r="B21" i="8" a="1"/>
  <c r="B21" i="8" s="1"/>
  <c r="C21" i="8" a="1"/>
  <c r="C21" i="8" s="1"/>
  <c r="C21" i="10" s="1" a="1"/>
  <c r="C21" i="10" s="1"/>
  <c r="D21" i="8" a="1"/>
  <c r="D21" i="8" s="1"/>
  <c r="B22" i="8" a="1"/>
  <c r="B22" i="8" s="1"/>
  <c r="C22" i="8" a="1"/>
  <c r="C22" i="8" s="1"/>
  <c r="C22" i="10" s="1" a="1"/>
  <c r="C22" i="10" s="1"/>
  <c r="D22" i="8" a="1"/>
  <c r="D22" i="8" s="1"/>
  <c r="B23" i="8" a="1"/>
  <c r="B23" i="8" s="1"/>
  <c r="C23" i="8" a="1"/>
  <c r="C23" i="8" s="1"/>
  <c r="C23" i="10" s="1" a="1"/>
  <c r="C23" i="10" s="1"/>
  <c r="D23" i="8" a="1"/>
  <c r="D23" i="8" s="1"/>
  <c r="B24" i="8" a="1"/>
  <c r="B24" i="8" s="1"/>
  <c r="C24" i="8" a="1"/>
  <c r="C24" i="8" s="1"/>
  <c r="C24" i="10" s="1" a="1"/>
  <c r="C24" i="10" s="1"/>
  <c r="D24" i="8" a="1"/>
  <c r="D24" i="8" s="1"/>
  <c r="B25" i="8" a="1"/>
  <c r="B25" i="8" s="1"/>
  <c r="C25" i="8" a="1"/>
  <c r="C25" i="8" s="1"/>
  <c r="C25" i="10" s="1" a="1"/>
  <c r="C25" i="10" s="1"/>
  <c r="D25" i="8" a="1"/>
  <c r="D25" i="8" s="1"/>
  <c r="B26" i="8" a="1"/>
  <c r="B26" i="8" s="1"/>
  <c r="C26" i="8" a="1"/>
  <c r="C26" i="8" s="1"/>
  <c r="C26" i="10" s="1" a="1"/>
  <c r="C26" i="10" s="1"/>
  <c r="D26" i="8" a="1"/>
  <c r="D26" i="8" s="1"/>
  <c r="B27" i="8" a="1"/>
  <c r="B27" i="8" s="1"/>
  <c r="C27" i="8" a="1"/>
  <c r="C27" i="8" s="1"/>
  <c r="C27" i="10" s="1" a="1"/>
  <c r="C27" i="10" s="1"/>
  <c r="D27" i="8" a="1"/>
  <c r="D27" i="8" s="1"/>
  <c r="B28" i="8" a="1"/>
  <c r="B28" i="8" s="1"/>
  <c r="C28" i="8" a="1"/>
  <c r="C28" i="8" s="1"/>
  <c r="C28" i="10" s="1" a="1"/>
  <c r="C28" i="10" s="1"/>
  <c r="D28" i="8" a="1"/>
  <c r="D28" i="8" s="1"/>
  <c r="B29" i="8" a="1"/>
  <c r="B29" i="8" s="1"/>
  <c r="C29" i="8" a="1"/>
  <c r="C29" i="8" s="1"/>
  <c r="C29" i="10" s="1" a="1"/>
  <c r="C29" i="10" s="1"/>
  <c r="D29" i="8" a="1"/>
  <c r="D29" i="8" s="1"/>
  <c r="B30" i="8" a="1"/>
  <c r="B30" i="8" s="1"/>
  <c r="C30" i="8" a="1"/>
  <c r="C30" i="8" s="1"/>
  <c r="C30" i="10" s="1" a="1"/>
  <c r="C30" i="10" s="1"/>
  <c r="D30" i="8" a="1"/>
  <c r="D30" i="8" s="1"/>
  <c r="B31" i="8" a="1"/>
  <c r="B31" i="8" s="1"/>
  <c r="C31" i="8" a="1"/>
  <c r="C31" i="8" s="1"/>
  <c r="C31" i="10" s="1" a="1"/>
  <c r="C31" i="10" s="1"/>
  <c r="D31" i="8" a="1"/>
  <c r="D31" i="8" s="1"/>
  <c r="B32" i="8" a="1"/>
  <c r="B32" i="8" s="1"/>
  <c r="C32" i="8" a="1"/>
  <c r="C32" i="8" s="1"/>
  <c r="C32" i="10" s="1" a="1"/>
  <c r="C32" i="10" s="1"/>
  <c r="D32" i="8" a="1"/>
  <c r="D32" i="8" s="1"/>
  <c r="B33" i="8" a="1"/>
  <c r="B33" i="8" s="1"/>
  <c r="C33" i="8" a="1"/>
  <c r="C33" i="8" s="1"/>
  <c r="C33" i="10" s="1" a="1"/>
  <c r="C33" i="10" s="1"/>
  <c r="D33" i="8" a="1"/>
  <c r="D33" i="8" s="1"/>
  <c r="B34" i="8" a="1"/>
  <c r="B34" i="8" s="1"/>
  <c r="C34" i="8" a="1"/>
  <c r="C34" i="8" s="1"/>
  <c r="C34" i="10" s="1" a="1"/>
  <c r="C34" i="10" s="1"/>
  <c r="D34" i="8" a="1"/>
  <c r="D34" i="8" s="1"/>
  <c r="B35" i="8" a="1"/>
  <c r="B35" i="8" s="1"/>
  <c r="C35" i="8" a="1"/>
  <c r="C35" i="8" s="1"/>
  <c r="C35" i="10" s="1" a="1"/>
  <c r="C35" i="10" s="1"/>
  <c r="D35" i="8" a="1"/>
  <c r="D35" i="8" s="1"/>
  <c r="B36" i="8" a="1"/>
  <c r="B36" i="8" s="1"/>
  <c r="C36" i="8" a="1"/>
  <c r="C36" i="8" s="1"/>
  <c r="C36" i="10" s="1" a="1"/>
  <c r="C36" i="10" s="1"/>
  <c r="D36" i="8" a="1"/>
  <c r="D36" i="8" s="1"/>
  <c r="B37" i="8" a="1"/>
  <c r="B37" i="8" s="1"/>
  <c r="C37" i="8" a="1"/>
  <c r="C37" i="8" s="1"/>
  <c r="C37" i="10" s="1" a="1"/>
  <c r="C37" i="10" s="1"/>
  <c r="D37" i="8" a="1"/>
  <c r="D37" i="8" s="1"/>
  <c r="B38" i="8" a="1"/>
  <c r="B38" i="8" s="1"/>
  <c r="C38" i="8" a="1"/>
  <c r="C38" i="8" s="1"/>
  <c r="C38" i="10" s="1" a="1"/>
  <c r="C38" i="10" s="1"/>
  <c r="D38" i="8" a="1"/>
  <c r="D38" i="8" s="1"/>
  <c r="B39" i="8" a="1"/>
  <c r="B39" i="8" s="1"/>
  <c r="C39" i="8" a="1"/>
  <c r="C39" i="8" s="1"/>
  <c r="C39" i="10" s="1" a="1"/>
  <c r="C39" i="10" s="1"/>
  <c r="D39" i="8" a="1"/>
  <c r="D39" i="8" s="1"/>
  <c r="B40" i="8" a="1"/>
  <c r="B40" i="8" s="1"/>
  <c r="C40" i="8" a="1"/>
  <c r="C40" i="8" s="1"/>
  <c r="C40" i="10" s="1" a="1"/>
  <c r="C40" i="10" s="1"/>
  <c r="D40" i="8" a="1"/>
  <c r="D40" i="8" s="1"/>
  <c r="B41" i="8" a="1"/>
  <c r="B41" i="8" s="1"/>
  <c r="C41" i="8" a="1"/>
  <c r="C41" i="8" s="1"/>
  <c r="C41" i="10" s="1" a="1"/>
  <c r="C41" i="10" s="1"/>
  <c r="D41" i="8" a="1"/>
  <c r="D41" i="8" s="1"/>
  <c r="B42" i="8" a="1"/>
  <c r="B42" i="8" s="1"/>
  <c r="C42" i="8" a="1"/>
  <c r="C42" i="8" s="1"/>
  <c r="C42" i="10" s="1" a="1"/>
  <c r="C42" i="10" s="1"/>
  <c r="D42" i="8" a="1"/>
  <c r="D42" i="8" s="1"/>
  <c r="B43" i="8" a="1"/>
  <c r="B43" i="8" s="1"/>
  <c r="C43" i="8" a="1"/>
  <c r="C43" i="8" s="1"/>
  <c r="C43" i="10" s="1" a="1"/>
  <c r="C43" i="10" s="1"/>
  <c r="D43" i="8" a="1"/>
  <c r="D43" i="8" s="1"/>
  <c r="B44" i="8" a="1"/>
  <c r="B44" i="8" s="1"/>
  <c r="C44" i="8" a="1"/>
  <c r="C44" i="8" s="1"/>
  <c r="C44" i="10" s="1" a="1"/>
  <c r="C44" i="10" s="1"/>
  <c r="D44" i="8" a="1"/>
  <c r="D44" i="8" s="1"/>
  <c r="B45" i="8" a="1"/>
  <c r="B45" i="8" s="1"/>
  <c r="C45" i="8" a="1"/>
  <c r="C45" i="8" s="1"/>
  <c r="C45" i="10" s="1" a="1"/>
  <c r="C45" i="10" s="1"/>
  <c r="D45" i="8" a="1"/>
  <c r="D45" i="8" s="1"/>
  <c r="B46" i="8" a="1"/>
  <c r="B46" i="8" s="1"/>
  <c r="C46" i="8" a="1"/>
  <c r="C46" i="8" s="1"/>
  <c r="C46" i="10" s="1" a="1"/>
  <c r="C46" i="10" s="1"/>
  <c r="D46" i="8" a="1"/>
  <c r="D46" i="8" s="1"/>
  <c r="B47" i="8" a="1"/>
  <c r="B47" i="8" s="1"/>
  <c r="C47" i="8" a="1"/>
  <c r="C47" i="8" s="1"/>
  <c r="C47" i="10" s="1" a="1"/>
  <c r="C47" i="10" s="1"/>
  <c r="D47" i="8" a="1"/>
  <c r="D47" i="8" s="1"/>
  <c r="B48" i="8" a="1"/>
  <c r="B48" i="8" s="1"/>
  <c r="C48" i="8" a="1"/>
  <c r="C48" i="8" s="1"/>
  <c r="C48" i="10" s="1" a="1"/>
  <c r="C48" i="10" s="1"/>
  <c r="D48" i="8" a="1"/>
  <c r="D48" i="8" s="1"/>
  <c r="B49" i="8" a="1"/>
  <c r="B49" i="8" s="1"/>
  <c r="C49" i="8" a="1"/>
  <c r="C49" i="8" s="1"/>
  <c r="C49" i="10" s="1" a="1"/>
  <c r="C49" i="10" s="1"/>
  <c r="D49" i="8" a="1"/>
  <c r="D49" i="8" s="1"/>
  <c r="B50" i="8" a="1"/>
  <c r="B50" i="8" s="1"/>
  <c r="C50" i="8" a="1"/>
  <c r="C50" i="8" s="1"/>
  <c r="C50" i="10" s="1" a="1"/>
  <c r="C50" i="10" s="1"/>
  <c r="D50" i="8" a="1"/>
  <c r="D50" i="8" s="1"/>
  <c r="B51" i="8" a="1"/>
  <c r="B51" i="8" s="1"/>
  <c r="C51" i="8" a="1"/>
  <c r="C51" i="8" s="1"/>
  <c r="C51" i="10" s="1" a="1"/>
  <c r="C51" i="10" s="1"/>
  <c r="D51" i="8" a="1"/>
  <c r="D51" i="8" s="1"/>
  <c r="B52" i="8" a="1"/>
  <c r="B52" i="8" s="1"/>
  <c r="C52" i="8" a="1"/>
  <c r="C52" i="8" s="1"/>
  <c r="C52" i="10" s="1" a="1"/>
  <c r="C52" i="10" s="1"/>
  <c r="D52" i="8" a="1"/>
  <c r="D52" i="8" s="1"/>
  <c r="B53" i="8" a="1"/>
  <c r="B53" i="8" s="1"/>
  <c r="C53" i="8" a="1"/>
  <c r="C53" i="8" s="1"/>
  <c r="C53" i="10" s="1" a="1"/>
  <c r="C53" i="10" s="1"/>
  <c r="D53" i="8" a="1"/>
  <c r="D53" i="8" s="1"/>
  <c r="B54" i="8" a="1"/>
  <c r="B54" i="8" s="1"/>
  <c r="C54" i="8" a="1"/>
  <c r="C54" i="8" s="1"/>
  <c r="C54" i="10" s="1" a="1"/>
  <c r="C54" i="10" s="1"/>
  <c r="D54" i="8" a="1"/>
  <c r="D54" i="8" s="1"/>
  <c r="B55" i="8" a="1"/>
  <c r="B55" i="8" s="1"/>
  <c r="C55" i="8" a="1"/>
  <c r="C55" i="8" s="1"/>
  <c r="C55" i="10" s="1" a="1"/>
  <c r="C55" i="10" s="1"/>
  <c r="D55" i="8" a="1"/>
  <c r="D55" i="8" s="1"/>
  <c r="B56" i="8" a="1"/>
  <c r="B56" i="8" s="1"/>
  <c r="C56" i="8" a="1"/>
  <c r="C56" i="8" s="1"/>
  <c r="C56" i="10" s="1" a="1"/>
  <c r="C56" i="10" s="1"/>
  <c r="D56" i="8" a="1"/>
  <c r="D56" i="8" s="1"/>
  <c r="B57" i="8" a="1"/>
  <c r="B57" i="8" s="1"/>
  <c r="C57" i="8" a="1"/>
  <c r="C57" i="8" s="1"/>
  <c r="C57" i="10" s="1" a="1"/>
  <c r="C57" i="10" s="1"/>
  <c r="D57" i="8" a="1"/>
  <c r="D57" i="8" s="1"/>
  <c r="B58" i="8" a="1"/>
  <c r="B58" i="8" s="1"/>
  <c r="C58" i="8" a="1"/>
  <c r="C58" i="8" s="1"/>
  <c r="C58" i="10" s="1" a="1"/>
  <c r="C58" i="10" s="1"/>
  <c r="D58" i="8" a="1"/>
  <c r="D58" i="8" s="1"/>
  <c r="B59" i="8" a="1"/>
  <c r="B59" i="8" s="1"/>
  <c r="C59" i="8" a="1"/>
  <c r="C59" i="8" s="1"/>
  <c r="C59" i="10" s="1" a="1"/>
  <c r="C59" i="10" s="1"/>
  <c r="D59" i="8" a="1"/>
  <c r="D59" i="8" s="1"/>
  <c r="B60" i="8" a="1"/>
  <c r="B60" i="8" s="1"/>
  <c r="C60" i="8" a="1"/>
  <c r="C60" i="8" s="1"/>
  <c r="C60" i="10" s="1" a="1"/>
  <c r="C60" i="10" s="1"/>
  <c r="D60" i="8" a="1"/>
  <c r="D60" i="8" s="1"/>
  <c r="B61" i="8" a="1"/>
  <c r="B61" i="8" s="1"/>
  <c r="C61" i="8" a="1"/>
  <c r="C61" i="8" s="1"/>
  <c r="C61" i="10" s="1" a="1"/>
  <c r="C61" i="10" s="1"/>
  <c r="D61" i="8" a="1"/>
  <c r="D61" i="8" s="1"/>
  <c r="B62" i="8" a="1"/>
  <c r="B62" i="8" s="1"/>
  <c r="C62" i="8" a="1"/>
  <c r="C62" i="8" s="1"/>
  <c r="C62" i="10" s="1" a="1"/>
  <c r="C62" i="10" s="1"/>
  <c r="D62" i="8" a="1"/>
  <c r="D62" i="8" s="1"/>
  <c r="B63" i="8" a="1"/>
  <c r="B63" i="8" s="1"/>
  <c r="C63" i="8" a="1"/>
  <c r="C63" i="8" s="1"/>
  <c r="C63" i="10" s="1" a="1"/>
  <c r="C63" i="10" s="1"/>
  <c r="D63" i="8" a="1"/>
  <c r="D63" i="8" s="1"/>
  <c r="B64" i="8" a="1"/>
  <c r="B64" i="8" s="1"/>
  <c r="C64" i="8" a="1"/>
  <c r="C64" i="8" s="1"/>
  <c r="C64" i="10" s="1" a="1"/>
  <c r="C64" i="10" s="1"/>
  <c r="D64" i="8" a="1"/>
  <c r="D64" i="8" s="1"/>
  <c r="B65" i="8" a="1"/>
  <c r="B65" i="8" s="1"/>
  <c r="C65" i="8" a="1"/>
  <c r="C65" i="8" s="1"/>
  <c r="C65" i="10" s="1" a="1"/>
  <c r="C65" i="10" s="1"/>
  <c r="D65" i="8" a="1"/>
  <c r="D65" i="8" s="1"/>
  <c r="B66" i="8" a="1"/>
  <c r="B66" i="8" s="1"/>
  <c r="C66" i="8" a="1"/>
  <c r="C66" i="8" s="1"/>
  <c r="C66" i="10" s="1" a="1"/>
  <c r="C66" i="10" s="1"/>
  <c r="D66" i="8" a="1"/>
  <c r="D66" i="8" s="1"/>
  <c r="B67" i="8" a="1"/>
  <c r="B67" i="8" s="1"/>
  <c r="C67" i="8" a="1"/>
  <c r="C67" i="8" s="1"/>
  <c r="C67" i="10" s="1" a="1"/>
  <c r="C67" i="10" s="1"/>
  <c r="D67" i="8" a="1"/>
  <c r="D67" i="8" s="1"/>
  <c r="B68" i="8" a="1"/>
  <c r="B68" i="8" s="1"/>
  <c r="C68" i="8" a="1"/>
  <c r="C68" i="8" s="1"/>
  <c r="C68" i="10" s="1" a="1"/>
  <c r="C68" i="10" s="1"/>
  <c r="D68" i="8" a="1"/>
  <c r="D68" i="8" s="1"/>
  <c r="B69" i="8" a="1"/>
  <c r="B69" i="8" s="1"/>
  <c r="C69" i="8" a="1"/>
  <c r="C69" i="8" s="1"/>
  <c r="C69" i="10" s="1" a="1"/>
  <c r="C69" i="10" s="1"/>
  <c r="D69" i="8" a="1"/>
  <c r="D69" i="8" s="1"/>
  <c r="B70" i="8" a="1"/>
  <c r="B70" i="8" s="1"/>
  <c r="C70" i="8" a="1"/>
  <c r="C70" i="8" s="1"/>
  <c r="C70" i="10" s="1" a="1"/>
  <c r="C70" i="10" s="1"/>
  <c r="D70" i="8" a="1"/>
  <c r="D70" i="8" s="1"/>
  <c r="B71" i="8" a="1"/>
  <c r="B71" i="8" s="1"/>
  <c r="C71" i="8" a="1"/>
  <c r="C71" i="8" s="1"/>
  <c r="C71" i="10" s="1" a="1"/>
  <c r="C71" i="10" s="1"/>
  <c r="D71" i="8" a="1"/>
  <c r="D71" i="8" s="1"/>
  <c r="B72" i="8" a="1"/>
  <c r="B72" i="8" s="1"/>
  <c r="C72" i="8" a="1"/>
  <c r="C72" i="8" s="1"/>
  <c r="C72" i="10" s="1" a="1"/>
  <c r="C72" i="10" s="1"/>
  <c r="D72" i="8" a="1"/>
  <c r="D72" i="8" s="1"/>
  <c r="B73" i="8" a="1"/>
  <c r="B73" i="8" s="1"/>
  <c r="C73" i="8" a="1"/>
  <c r="C73" i="8" s="1"/>
  <c r="C73" i="10" s="1" a="1"/>
  <c r="C73" i="10" s="1"/>
  <c r="D73" i="8" a="1"/>
  <c r="D73" i="8" s="1"/>
  <c r="B74" i="8" a="1"/>
  <c r="B74" i="8" s="1"/>
  <c r="C74" i="8" a="1"/>
  <c r="C74" i="8" s="1"/>
  <c r="C74" i="10" s="1" a="1"/>
  <c r="C74" i="10" s="1"/>
  <c r="D74" i="8" a="1"/>
  <c r="D74" i="8" s="1"/>
  <c r="B75" i="8" a="1"/>
  <c r="B75" i="8" s="1"/>
  <c r="C75" i="8" a="1"/>
  <c r="C75" i="8" s="1"/>
  <c r="C75" i="10" s="1" a="1"/>
  <c r="C75" i="10" s="1"/>
  <c r="D75" i="8" a="1"/>
  <c r="D75" i="8" s="1"/>
  <c r="B76" i="8" a="1"/>
  <c r="B76" i="8" s="1"/>
  <c r="C76" i="8" a="1"/>
  <c r="C76" i="8" s="1"/>
  <c r="C76" i="10" s="1" a="1"/>
  <c r="C76" i="10" s="1"/>
  <c r="D76" i="8" a="1"/>
  <c r="D76" i="8" s="1"/>
  <c r="B77" i="8" a="1"/>
  <c r="B77" i="8" s="1"/>
  <c r="C77" i="8" a="1"/>
  <c r="C77" i="8" s="1"/>
  <c r="C77" i="10" s="1" a="1"/>
  <c r="C77" i="10" s="1"/>
  <c r="D77" i="8" a="1"/>
  <c r="D77" i="8" s="1"/>
  <c r="B78" i="8" a="1"/>
  <c r="B78" i="8" s="1"/>
  <c r="C78" i="8" a="1"/>
  <c r="C78" i="8" s="1"/>
  <c r="C78" i="10" s="1" a="1"/>
  <c r="C78" i="10" s="1"/>
  <c r="D78" i="8" a="1"/>
  <c r="D78" i="8" s="1"/>
  <c r="B79" i="8" a="1"/>
  <c r="B79" i="8" s="1"/>
  <c r="C79" i="8" a="1"/>
  <c r="C79" i="8" s="1"/>
  <c r="C79" i="10" s="1" a="1"/>
  <c r="C79" i="10" s="1"/>
  <c r="D79" i="8" a="1"/>
  <c r="D79" i="8" s="1"/>
  <c r="B80" i="8" a="1"/>
  <c r="B80" i="8" s="1"/>
  <c r="C80" i="8" a="1"/>
  <c r="C80" i="8" s="1"/>
  <c r="C80" i="10" s="1" a="1"/>
  <c r="C80" i="10" s="1"/>
  <c r="D80" i="8" a="1"/>
  <c r="D80" i="8" s="1"/>
  <c r="B81" i="8" a="1"/>
  <c r="B81" i="8" s="1"/>
  <c r="C81" i="8" a="1"/>
  <c r="C81" i="8" s="1"/>
  <c r="C81" i="10" s="1" a="1"/>
  <c r="C81" i="10" s="1"/>
  <c r="D81" i="8" a="1"/>
  <c r="D81" i="8" s="1"/>
  <c r="B82" i="8" a="1"/>
  <c r="B82" i="8" s="1"/>
  <c r="C82" i="8" a="1"/>
  <c r="C82" i="8" s="1"/>
  <c r="C82" i="10" s="1" a="1"/>
  <c r="C82" i="10" s="1"/>
  <c r="D82" i="8" a="1"/>
  <c r="D82" i="8" s="1"/>
  <c r="B83" i="8" a="1"/>
  <c r="B83" i="8" s="1"/>
  <c r="C83" i="8" a="1"/>
  <c r="C83" i="8" s="1"/>
  <c r="C83" i="10" s="1" a="1"/>
  <c r="C83" i="10" s="1"/>
  <c r="D83" i="8" a="1"/>
  <c r="D83" i="8" s="1"/>
  <c r="B84" i="8" a="1"/>
  <c r="B84" i="8" s="1"/>
  <c r="C84" i="8" a="1"/>
  <c r="C84" i="8" s="1"/>
  <c r="C84" i="10" s="1" a="1"/>
  <c r="C84" i="10" s="1"/>
  <c r="D84" i="8" a="1"/>
  <c r="D84" i="8" s="1"/>
  <c r="B85" i="8" a="1"/>
  <c r="B85" i="8" s="1"/>
  <c r="C85" i="8" a="1"/>
  <c r="C85" i="8" s="1"/>
  <c r="C85" i="10" s="1" a="1"/>
  <c r="C85" i="10" s="1"/>
  <c r="D85" i="8" a="1"/>
  <c r="D85" i="8" s="1"/>
  <c r="B86" i="8" a="1"/>
  <c r="B86" i="8" s="1"/>
  <c r="C86" i="8" a="1"/>
  <c r="C86" i="8" s="1"/>
  <c r="C86" i="10" s="1" a="1"/>
  <c r="C86" i="10" s="1"/>
  <c r="D86" i="8" a="1"/>
  <c r="D86" i="8" s="1"/>
  <c r="B87" i="8" a="1"/>
  <c r="B87" i="8" s="1"/>
  <c r="C87" i="8" a="1"/>
  <c r="C87" i="8" s="1"/>
  <c r="C87" i="10" s="1" a="1"/>
  <c r="C87" i="10" s="1"/>
  <c r="D87" i="8" a="1"/>
  <c r="D87" i="8" s="1"/>
  <c r="B88" i="8" a="1"/>
  <c r="B88" i="8" s="1"/>
  <c r="C88" i="8" a="1"/>
  <c r="C88" i="8" s="1"/>
  <c r="C88" i="10" s="1" a="1"/>
  <c r="C88" i="10" s="1"/>
  <c r="D88" i="8" a="1"/>
  <c r="D88" i="8" s="1"/>
  <c r="B89" i="8" a="1"/>
  <c r="B89" i="8" s="1"/>
  <c r="C89" i="8" a="1"/>
  <c r="C89" i="8" s="1"/>
  <c r="C89" i="10" s="1" a="1"/>
  <c r="C89" i="10" s="1"/>
  <c r="D89" i="8" a="1"/>
  <c r="D89" i="8" s="1"/>
  <c r="B90" i="8" a="1"/>
  <c r="B90" i="8" s="1"/>
  <c r="C90" i="8" a="1"/>
  <c r="C90" i="8" s="1"/>
  <c r="C90" i="10" s="1" a="1"/>
  <c r="C90" i="10" s="1"/>
  <c r="D90" i="8" a="1"/>
  <c r="D90" i="8" s="1"/>
  <c r="B91" i="8" a="1"/>
  <c r="B91" i="8" s="1"/>
  <c r="C91" i="8" a="1"/>
  <c r="C91" i="8" s="1"/>
  <c r="C91" i="10" s="1" a="1"/>
  <c r="C91" i="10" s="1"/>
  <c r="D91" i="8" a="1"/>
  <c r="D91" i="8" s="1"/>
  <c r="B92" i="8" a="1"/>
  <c r="B92" i="8" s="1"/>
  <c r="C92" i="8" a="1"/>
  <c r="C92" i="8" s="1"/>
  <c r="C92" i="10" s="1" a="1"/>
  <c r="C92" i="10" s="1"/>
  <c r="D92" i="8" a="1"/>
  <c r="D92" i="8" s="1"/>
  <c r="B93" i="8" a="1"/>
  <c r="B93" i="8" s="1"/>
  <c r="C93" i="8" a="1"/>
  <c r="C93" i="8" s="1"/>
  <c r="C93" i="10" s="1" a="1"/>
  <c r="C93" i="10" s="1"/>
  <c r="D93" i="8" a="1"/>
  <c r="D93" i="8" s="1"/>
  <c r="B94" i="8" a="1"/>
  <c r="B94" i="8" s="1"/>
  <c r="C94" i="8" a="1"/>
  <c r="C94" i="8" s="1"/>
  <c r="C94" i="10" s="1" a="1"/>
  <c r="C94" i="10" s="1"/>
  <c r="D94" i="8" a="1"/>
  <c r="D94" i="8" s="1"/>
  <c r="B95" i="8" a="1"/>
  <c r="B95" i="8" s="1"/>
  <c r="C95" i="8" a="1"/>
  <c r="C95" i="8" s="1"/>
  <c r="C95" i="10" s="1" a="1"/>
  <c r="C95" i="10" s="1"/>
  <c r="D95" i="8" a="1"/>
  <c r="D95" i="8" s="1"/>
  <c r="B96" i="8" a="1"/>
  <c r="B96" i="8" s="1"/>
  <c r="C96" i="8" a="1"/>
  <c r="C96" i="8" s="1"/>
  <c r="C96" i="10" s="1" a="1"/>
  <c r="C96" i="10" s="1"/>
  <c r="D96" i="8" a="1"/>
  <c r="D96" i="8" s="1"/>
  <c r="B97" i="8" a="1"/>
  <c r="B97" i="8" s="1"/>
  <c r="C97" i="8" a="1"/>
  <c r="C97" i="8" s="1"/>
  <c r="C97" i="10" s="1" a="1"/>
  <c r="C97" i="10" s="1"/>
  <c r="D97" i="8" a="1"/>
  <c r="D97" i="8" s="1"/>
  <c r="B98" i="8" a="1"/>
  <c r="B98" i="8" s="1"/>
  <c r="C98" i="8" a="1"/>
  <c r="C98" i="8" s="1"/>
  <c r="C98" i="10" s="1" a="1"/>
  <c r="C98" i="10" s="1"/>
  <c r="D98" i="8" a="1"/>
  <c r="D98" i="8" s="1"/>
  <c r="B99" i="8" a="1"/>
  <c r="B99" i="8" s="1"/>
  <c r="C99" i="8" a="1"/>
  <c r="C99" i="8" s="1"/>
  <c r="C99" i="10" s="1" a="1"/>
  <c r="C99" i="10" s="1"/>
  <c r="D99" i="8" a="1"/>
  <c r="D99" i="8" s="1"/>
  <c r="B100" i="8" a="1"/>
  <c r="B100" i="8" s="1"/>
  <c r="C100" i="8" a="1"/>
  <c r="C100" i="8" s="1"/>
  <c r="C100" i="10" s="1" a="1"/>
  <c r="C100" i="10" s="1"/>
  <c r="D100" i="8" a="1"/>
  <c r="D100" i="8" s="1"/>
  <c r="B101" i="8" a="1"/>
  <c r="B101" i="8" s="1"/>
  <c r="C101" i="8" a="1"/>
  <c r="C101" i="8" s="1"/>
  <c r="C101" i="10" s="1" a="1"/>
  <c r="C101" i="10" s="1"/>
  <c r="D101" i="8" a="1"/>
  <c r="D101" i="8" s="1"/>
  <c r="B102" i="8" a="1"/>
  <c r="B102" i="8" s="1"/>
  <c r="C102" i="8" a="1"/>
  <c r="C102" i="8" s="1"/>
  <c r="C102" i="10" s="1" a="1"/>
  <c r="C102" i="10" s="1"/>
  <c r="D102" i="8" a="1"/>
  <c r="D102" i="8" s="1"/>
  <c r="B103" i="8" a="1"/>
  <c r="B103" i="8" s="1"/>
  <c r="C103" i="8" a="1"/>
  <c r="C103" i="8" s="1"/>
  <c r="C103" i="10" s="1" a="1"/>
  <c r="C103" i="10" s="1"/>
  <c r="D103" i="8" a="1"/>
  <c r="D103" i="8" s="1"/>
  <c r="B104" i="8" a="1"/>
  <c r="B104" i="8" s="1"/>
  <c r="C104" i="8" a="1"/>
  <c r="C104" i="8" s="1"/>
  <c r="C104" i="10" s="1" a="1"/>
  <c r="C104" i="10" s="1"/>
  <c r="D104" i="8" a="1"/>
  <c r="D104" i="8" s="1"/>
  <c r="B105" i="8" a="1"/>
  <c r="B105" i="8" s="1"/>
  <c r="C105" i="8" a="1"/>
  <c r="C105" i="8" s="1"/>
  <c r="C105" i="10" s="1" a="1"/>
  <c r="C105" i="10" s="1"/>
  <c r="D105" i="8" a="1"/>
  <c r="D105" i="8" s="1"/>
  <c r="B106" i="8" a="1"/>
  <c r="B106" i="8" s="1"/>
  <c r="C106" i="8" a="1"/>
  <c r="C106" i="8" s="1"/>
  <c r="C106" i="10" s="1" a="1"/>
  <c r="C106" i="10" s="1"/>
  <c r="D106" i="8" a="1"/>
  <c r="D106" i="8" s="1"/>
  <c r="B107" i="8" a="1"/>
  <c r="B107" i="8" s="1"/>
  <c r="C107" i="8" a="1"/>
  <c r="C107" i="8" s="1"/>
  <c r="C107" i="10" s="1" a="1"/>
  <c r="C107" i="10" s="1"/>
  <c r="D107" i="8" a="1"/>
  <c r="D107" i="8" s="1"/>
  <c r="B108" i="8" a="1"/>
  <c r="B108" i="8" s="1"/>
  <c r="C108" i="8" a="1"/>
  <c r="C108" i="8" s="1"/>
  <c r="C108" i="10" s="1" a="1"/>
  <c r="C108" i="10" s="1"/>
  <c r="D108" i="8" a="1"/>
  <c r="D108" i="8" s="1"/>
  <c r="B109" i="8" a="1"/>
  <c r="B109" i="8" s="1"/>
  <c r="C109" i="8" a="1"/>
  <c r="C109" i="8" s="1"/>
  <c r="C109" i="10" s="1" a="1"/>
  <c r="C109" i="10" s="1"/>
  <c r="D109" i="8" a="1"/>
  <c r="D109" i="8" s="1"/>
  <c r="B110" i="8" a="1"/>
  <c r="B110" i="8" s="1"/>
  <c r="C110" i="8" a="1"/>
  <c r="C110" i="8" s="1"/>
  <c r="C110" i="10" s="1" a="1"/>
  <c r="C110" i="10" s="1"/>
  <c r="D110" i="8" a="1"/>
  <c r="D110" i="8" s="1"/>
  <c r="B111" i="8" a="1"/>
  <c r="B111" i="8" s="1"/>
  <c r="C111" i="8" a="1"/>
  <c r="C111" i="8" s="1"/>
  <c r="C111" i="10" s="1" a="1"/>
  <c r="C111" i="10" s="1"/>
  <c r="D111" i="8" a="1"/>
  <c r="D111" i="8" s="1"/>
  <c r="B112" i="8" a="1"/>
  <c r="B112" i="8" s="1"/>
  <c r="C112" i="8" a="1"/>
  <c r="C112" i="8" s="1"/>
  <c r="C112" i="10" s="1" a="1"/>
  <c r="C112" i="10" s="1"/>
  <c r="D112" i="8" a="1"/>
  <c r="D112" i="8" s="1"/>
  <c r="B113" i="8" a="1"/>
  <c r="B113" i="8" s="1"/>
  <c r="C113" i="8" a="1"/>
  <c r="C113" i="8" s="1"/>
  <c r="C113" i="10" s="1" a="1"/>
  <c r="C113" i="10" s="1"/>
  <c r="D113" i="8" a="1"/>
  <c r="D113" i="8" s="1"/>
  <c r="B114" i="8" a="1"/>
  <c r="B114" i="8" s="1"/>
  <c r="C114" i="8" a="1"/>
  <c r="C114" i="8" s="1"/>
  <c r="C114" i="10" s="1" a="1"/>
  <c r="C114" i="10" s="1"/>
  <c r="D114" i="8" a="1"/>
  <c r="D114" i="8" s="1"/>
  <c r="B115" i="8" a="1"/>
  <c r="B115" i="8" s="1"/>
  <c r="C115" i="8" a="1"/>
  <c r="C115" i="8" s="1"/>
  <c r="C115" i="10" s="1" a="1"/>
  <c r="C115" i="10" s="1"/>
  <c r="D115" i="8" a="1"/>
  <c r="D115" i="8" s="1"/>
  <c r="B116" i="8" a="1"/>
  <c r="B116" i="8" s="1"/>
  <c r="C116" i="8" a="1"/>
  <c r="C116" i="8" s="1"/>
  <c r="C116" i="10" s="1" a="1"/>
  <c r="C116" i="10" s="1"/>
  <c r="D116" i="8" a="1"/>
  <c r="D116" i="8" s="1"/>
  <c r="B117" i="8" a="1"/>
  <c r="B117" i="8" s="1"/>
  <c r="C117" i="8" a="1"/>
  <c r="C117" i="8" s="1"/>
  <c r="C117" i="10" s="1" a="1"/>
  <c r="C117" i="10" s="1"/>
  <c r="D117" i="8" a="1"/>
  <c r="D117" i="8" s="1"/>
  <c r="B118" i="8" a="1"/>
  <c r="B118" i="8" s="1"/>
  <c r="C118" i="8" a="1"/>
  <c r="C118" i="8" s="1"/>
  <c r="C118" i="10" s="1" a="1"/>
  <c r="C118" i="10" s="1"/>
  <c r="D118" i="8" a="1"/>
  <c r="D118" i="8" s="1"/>
  <c r="B119" i="8" a="1"/>
  <c r="B119" i="8" s="1"/>
  <c r="C119" i="8" a="1"/>
  <c r="C119" i="8" s="1"/>
  <c r="C119" i="10" s="1" a="1"/>
  <c r="C119" i="10" s="1"/>
  <c r="D119" i="8" a="1"/>
  <c r="D119" i="8" s="1"/>
  <c r="B120" i="8" a="1"/>
  <c r="B120" i="8" s="1"/>
  <c r="C120" i="8" a="1"/>
  <c r="C120" i="8" s="1"/>
  <c r="C120" i="10" s="1" a="1"/>
  <c r="C120" i="10" s="1"/>
  <c r="D120" i="8" a="1"/>
  <c r="D120" i="8" s="1"/>
  <c r="B121" i="8" a="1"/>
  <c r="B121" i="8" s="1"/>
  <c r="C121" i="8" a="1"/>
  <c r="C121" i="8" s="1"/>
  <c r="C121" i="10" s="1" a="1"/>
  <c r="C121" i="10" s="1"/>
  <c r="D121" i="8" a="1"/>
  <c r="D121" i="8" s="1"/>
  <c r="B122" i="8" a="1"/>
  <c r="B122" i="8" s="1"/>
  <c r="C122" i="8" a="1"/>
  <c r="C122" i="8" s="1"/>
  <c r="C122" i="10" s="1" a="1"/>
  <c r="C122" i="10" s="1"/>
  <c r="D122" i="8" a="1"/>
  <c r="D122" i="8" s="1"/>
  <c r="B123" i="8" a="1"/>
  <c r="B123" i="8" s="1"/>
  <c r="C123" i="8" a="1"/>
  <c r="C123" i="8" s="1"/>
  <c r="C123" i="10" s="1" a="1"/>
  <c r="C123" i="10" s="1"/>
  <c r="D123" i="8" a="1"/>
  <c r="D123" i="8" s="1"/>
  <c r="B124" i="8" a="1"/>
  <c r="B124" i="8" s="1"/>
  <c r="C124" i="8" a="1"/>
  <c r="C124" i="8" s="1"/>
  <c r="C124" i="10" s="1" a="1"/>
  <c r="C124" i="10" s="1"/>
  <c r="D124" i="8" a="1"/>
  <c r="D124" i="8" s="1"/>
  <c r="B125" i="8" a="1"/>
  <c r="B125" i="8" s="1"/>
  <c r="C125" i="8" a="1"/>
  <c r="C125" i="8" s="1"/>
  <c r="C125" i="10" s="1" a="1"/>
  <c r="C125" i="10" s="1"/>
  <c r="D125" i="8" a="1"/>
  <c r="D125" i="8" s="1"/>
  <c r="B126" i="8" a="1"/>
  <c r="B126" i="8" s="1"/>
  <c r="C126" i="8" a="1"/>
  <c r="C126" i="8" s="1"/>
  <c r="C126" i="10" s="1" a="1"/>
  <c r="C126" i="10" s="1"/>
  <c r="D126" i="8" a="1"/>
  <c r="D126" i="8" s="1"/>
  <c r="B127" i="8" a="1"/>
  <c r="B127" i="8" s="1"/>
  <c r="C127" i="8" a="1"/>
  <c r="C127" i="8" s="1"/>
  <c r="C127" i="10" s="1" a="1"/>
  <c r="C127" i="10" s="1"/>
  <c r="D127" i="8" a="1"/>
  <c r="D127" i="8" s="1"/>
  <c r="B128" i="8" a="1"/>
  <c r="B128" i="8" s="1"/>
  <c r="C128" i="8" a="1"/>
  <c r="C128" i="8" s="1"/>
  <c r="C128" i="10" s="1" a="1"/>
  <c r="C128" i="10" s="1"/>
  <c r="D128" i="8" a="1"/>
  <c r="D128" i="8" s="1"/>
  <c r="B129" i="8" a="1"/>
  <c r="B129" i="8" s="1"/>
  <c r="C129" i="8" a="1"/>
  <c r="C129" i="8" s="1"/>
  <c r="C129" i="10" s="1" a="1"/>
  <c r="C129" i="10" s="1"/>
  <c r="D129" i="8" a="1"/>
  <c r="D129" i="8" s="1"/>
  <c r="B130" i="8" a="1"/>
  <c r="B130" i="8" s="1"/>
  <c r="C130" i="8" a="1"/>
  <c r="C130" i="8" s="1"/>
  <c r="C130" i="10" s="1" a="1"/>
  <c r="C130" i="10" s="1"/>
  <c r="D130" i="8" a="1"/>
  <c r="D130" i="8" s="1"/>
  <c r="B131" i="8" a="1"/>
  <c r="B131" i="8" s="1"/>
  <c r="C131" i="8" a="1"/>
  <c r="C131" i="8" s="1"/>
  <c r="C131" i="10" s="1" a="1"/>
  <c r="C131" i="10" s="1"/>
  <c r="D131" i="8" a="1"/>
  <c r="D131" i="8" s="1"/>
  <c r="B132" i="8" a="1"/>
  <c r="B132" i="8" s="1"/>
  <c r="C132" i="8" a="1"/>
  <c r="C132" i="8" s="1"/>
  <c r="C132" i="10" s="1" a="1"/>
  <c r="C132" i="10" s="1"/>
  <c r="D132" i="8" a="1"/>
  <c r="D132" i="8" s="1"/>
  <c r="B133" i="8" a="1"/>
  <c r="B133" i="8" s="1"/>
  <c r="C133" i="8" a="1"/>
  <c r="C133" i="8" s="1"/>
  <c r="C133" i="10" s="1" a="1"/>
  <c r="C133" i="10" s="1"/>
  <c r="D133" i="8" a="1"/>
  <c r="D133" i="8" s="1"/>
  <c r="B134" i="8" a="1"/>
  <c r="B134" i="8" s="1"/>
  <c r="C134" i="8" a="1"/>
  <c r="C134" i="8" s="1"/>
  <c r="C134" i="10" s="1" a="1"/>
  <c r="C134" i="10" s="1"/>
  <c r="D134" i="8" a="1"/>
  <c r="D134" i="8" s="1"/>
  <c r="B135" i="8" a="1"/>
  <c r="B135" i="8" s="1"/>
  <c r="C135" i="8" a="1"/>
  <c r="C135" i="8" s="1"/>
  <c r="C135" i="10" s="1" a="1"/>
  <c r="C135" i="10" s="1"/>
  <c r="D135" i="8" a="1"/>
  <c r="D135" i="8" s="1"/>
  <c r="B136" i="8" a="1"/>
  <c r="B136" i="8" s="1"/>
  <c r="C136" i="8" a="1"/>
  <c r="C136" i="8" s="1"/>
  <c r="C136" i="10" s="1" a="1"/>
  <c r="C136" i="10" s="1"/>
  <c r="D136" i="8" a="1"/>
  <c r="D136" i="8" s="1"/>
  <c r="B137" i="8" a="1"/>
  <c r="B137" i="8" s="1"/>
  <c r="C137" i="8" a="1"/>
  <c r="C137" i="8" s="1"/>
  <c r="C137" i="10" s="1" a="1"/>
  <c r="C137" i="10" s="1"/>
  <c r="D137" i="8" a="1"/>
  <c r="D137" i="8" s="1"/>
  <c r="B138" i="8" a="1"/>
  <c r="B138" i="8" s="1"/>
  <c r="C138" i="8" a="1"/>
  <c r="C138" i="8" s="1"/>
  <c r="C138" i="10" s="1" a="1"/>
  <c r="C138" i="10" s="1"/>
  <c r="D138" i="8" a="1"/>
  <c r="D138" i="8" s="1"/>
  <c r="B139" i="8" a="1"/>
  <c r="B139" i="8" s="1"/>
  <c r="C139" i="8" a="1"/>
  <c r="C139" i="8" s="1"/>
  <c r="C139" i="10" s="1" a="1"/>
  <c r="C139" i="10" s="1"/>
  <c r="D139" i="8" a="1"/>
  <c r="D139" i="8" s="1"/>
  <c r="B140" i="8" a="1"/>
  <c r="B140" i="8" s="1"/>
  <c r="C140" i="8" a="1"/>
  <c r="C140" i="8" s="1"/>
  <c r="C140" i="10" s="1" a="1"/>
  <c r="C140" i="10" s="1"/>
  <c r="D140" i="8" a="1"/>
  <c r="D140" i="8" s="1"/>
  <c r="B141" i="8" a="1"/>
  <c r="B141" i="8" s="1"/>
  <c r="C141" i="8" a="1"/>
  <c r="C141" i="8" s="1"/>
  <c r="C141" i="10" s="1" a="1"/>
  <c r="C141" i="10" s="1"/>
  <c r="D141" i="8" a="1"/>
  <c r="D141" i="8" s="1"/>
  <c r="B142" i="8" a="1"/>
  <c r="B142" i="8" s="1"/>
  <c r="C142" i="8" a="1"/>
  <c r="C142" i="8" s="1"/>
  <c r="C142" i="10" s="1" a="1"/>
  <c r="C142" i="10" s="1"/>
  <c r="D142" i="8" a="1"/>
  <c r="D142" i="8" s="1"/>
  <c r="B143" i="8" a="1"/>
  <c r="B143" i="8" s="1"/>
  <c r="C143" i="8" a="1"/>
  <c r="C143" i="8" s="1"/>
  <c r="C143" i="10" s="1" a="1"/>
  <c r="C143" i="10" s="1"/>
  <c r="D143" i="8" a="1"/>
  <c r="D143" i="8" s="1"/>
  <c r="B144" i="8" a="1"/>
  <c r="B144" i="8" s="1"/>
  <c r="C144" i="8" a="1"/>
  <c r="C144" i="8" s="1"/>
  <c r="C144" i="10" s="1" a="1"/>
  <c r="C144" i="10" s="1"/>
  <c r="D144" i="8" a="1"/>
  <c r="D144" i="8" s="1"/>
  <c r="B145" i="8" a="1"/>
  <c r="B145" i="8" s="1"/>
  <c r="C145" i="8" a="1"/>
  <c r="C145" i="8" s="1"/>
  <c r="C145" i="10" s="1" a="1"/>
  <c r="C145" i="10" s="1"/>
  <c r="D145" i="8" a="1"/>
  <c r="D145" i="8" s="1"/>
  <c r="B146" i="8" a="1"/>
  <c r="B146" i="8" s="1"/>
  <c r="C146" i="8" a="1"/>
  <c r="C146" i="8" s="1"/>
  <c r="C146" i="10" s="1" a="1"/>
  <c r="C146" i="10" s="1"/>
  <c r="D146" i="8" a="1"/>
  <c r="D146" i="8" s="1"/>
  <c r="B147" i="8" a="1"/>
  <c r="B147" i="8" s="1"/>
  <c r="C147" i="8" a="1"/>
  <c r="C147" i="8" s="1"/>
  <c r="C147" i="10" s="1" a="1"/>
  <c r="C147" i="10" s="1"/>
  <c r="D147" i="8" a="1"/>
  <c r="D147" i="8" s="1"/>
  <c r="B148" i="8" a="1"/>
  <c r="B148" i="8" s="1"/>
  <c r="C148" i="8" a="1"/>
  <c r="C148" i="8" s="1"/>
  <c r="C148" i="10" s="1" a="1"/>
  <c r="C148" i="10" s="1"/>
  <c r="D148" i="8" a="1"/>
  <c r="D148" i="8" s="1"/>
  <c r="B149" i="8" a="1"/>
  <c r="B149" i="8" s="1"/>
  <c r="C149" i="8" a="1"/>
  <c r="C149" i="8" s="1"/>
  <c r="C149" i="10" s="1" a="1"/>
  <c r="C149" i="10" s="1"/>
  <c r="D149" i="8" a="1"/>
  <c r="D149" i="8" s="1"/>
  <c r="B150" i="8" a="1"/>
  <c r="B150" i="8" s="1"/>
  <c r="C150" i="8" a="1"/>
  <c r="C150" i="8" s="1"/>
  <c r="C150" i="10" s="1" a="1"/>
  <c r="C150" i="10" s="1"/>
  <c r="D150" i="8" a="1"/>
  <c r="D150" i="8" s="1"/>
  <c r="B151" i="8" a="1"/>
  <c r="B151" i="8" s="1"/>
  <c r="C151" i="8" a="1"/>
  <c r="C151" i="8" s="1"/>
  <c r="C151" i="10" s="1" a="1"/>
  <c r="C151" i="10" s="1"/>
  <c r="D151" i="8" a="1"/>
  <c r="D151" i="8" s="1"/>
  <c r="B152" i="8" a="1"/>
  <c r="B152" i="8" s="1"/>
  <c r="C152" i="8" a="1"/>
  <c r="C152" i="8" s="1"/>
  <c r="C152" i="10" s="1" a="1"/>
  <c r="C152" i="10" s="1"/>
  <c r="D152" i="8" a="1"/>
  <c r="D152" i="8" s="1"/>
  <c r="B153" i="8" a="1"/>
  <c r="B153" i="8" s="1"/>
  <c r="C153" i="8" a="1"/>
  <c r="C153" i="8" s="1"/>
  <c r="C153" i="10" s="1" a="1"/>
  <c r="C153" i="10" s="1"/>
  <c r="D153" i="8" a="1"/>
  <c r="D153" i="8" s="1"/>
  <c r="B154" i="8" a="1"/>
  <c r="B154" i="8" s="1"/>
  <c r="C154" i="8" a="1"/>
  <c r="C154" i="8" s="1"/>
  <c r="C154" i="10" s="1" a="1"/>
  <c r="C154" i="10" s="1"/>
  <c r="D154" i="8" a="1"/>
  <c r="D154" i="8" s="1"/>
  <c r="B155" i="8" a="1"/>
  <c r="B155" i="8" s="1"/>
  <c r="C155" i="8" a="1"/>
  <c r="C155" i="8" s="1"/>
  <c r="C155" i="10" s="1" a="1"/>
  <c r="C155" i="10" s="1"/>
  <c r="D155" i="8" a="1"/>
  <c r="D155" i="8" s="1"/>
  <c r="B156" i="8" a="1"/>
  <c r="B156" i="8" s="1"/>
  <c r="C156" i="8" a="1"/>
  <c r="C156" i="8" s="1"/>
  <c r="C156" i="10" s="1" a="1"/>
  <c r="C156" i="10" s="1"/>
  <c r="D156" i="8" a="1"/>
  <c r="D156" i="8" s="1"/>
  <c r="B157" i="8" a="1"/>
  <c r="B157" i="8" s="1"/>
  <c r="C157" i="8" a="1"/>
  <c r="C157" i="8" s="1"/>
  <c r="C157" i="10" s="1" a="1"/>
  <c r="C157" i="10" s="1"/>
  <c r="D157" i="8" a="1"/>
  <c r="D157" i="8" s="1"/>
  <c r="B158" i="8" a="1"/>
  <c r="B158" i="8" s="1"/>
  <c r="C158" i="8" a="1"/>
  <c r="C158" i="8" s="1"/>
  <c r="C158" i="10" s="1" a="1"/>
  <c r="C158" i="10" s="1"/>
  <c r="D158" i="8" a="1"/>
  <c r="D158" i="8" s="1"/>
  <c r="B159" i="8" a="1"/>
  <c r="B159" i="8" s="1"/>
  <c r="C159" i="8" a="1"/>
  <c r="C159" i="8" s="1"/>
  <c r="C159" i="10" s="1" a="1"/>
  <c r="C159" i="10" s="1"/>
  <c r="D159" i="8" a="1"/>
  <c r="D159" i="8" s="1"/>
  <c r="B160" i="8" a="1"/>
  <c r="B160" i="8" s="1"/>
  <c r="C160" i="8" a="1"/>
  <c r="C160" i="8" s="1"/>
  <c r="C160" i="10" s="1" a="1"/>
  <c r="C160" i="10" s="1"/>
  <c r="D160" i="8" a="1"/>
  <c r="D160" i="8" s="1"/>
  <c r="B161" i="8" a="1"/>
  <c r="B161" i="8" s="1"/>
  <c r="C161" i="8" a="1"/>
  <c r="C161" i="8" s="1"/>
  <c r="C161" i="10" s="1" a="1"/>
  <c r="C161" i="10" s="1"/>
  <c r="D161" i="8" a="1"/>
  <c r="D161" i="8" s="1"/>
  <c r="B162" i="8" a="1"/>
  <c r="B162" i="8" s="1"/>
  <c r="C162" i="8" a="1"/>
  <c r="C162" i="8" s="1"/>
  <c r="C162" i="10" s="1" a="1"/>
  <c r="C162" i="10" s="1"/>
  <c r="D162" i="8" a="1"/>
  <c r="D162" i="8" s="1"/>
  <c r="B163" i="8" a="1"/>
  <c r="B163" i="8" s="1"/>
  <c r="C163" i="8" a="1"/>
  <c r="C163" i="8" s="1"/>
  <c r="C163" i="10" s="1" a="1"/>
  <c r="C163" i="10" s="1"/>
  <c r="D163" i="8" a="1"/>
  <c r="D163" i="8" s="1"/>
  <c r="B164" i="8" a="1"/>
  <c r="B164" i="8" s="1"/>
  <c r="C164" i="8" a="1"/>
  <c r="C164" i="8" s="1"/>
  <c r="C164" i="10" s="1" a="1"/>
  <c r="C164" i="10" s="1"/>
  <c r="D164" i="8" a="1"/>
  <c r="D164" i="8" s="1"/>
  <c r="B165" i="8" a="1"/>
  <c r="B165" i="8" s="1"/>
  <c r="C165" i="8" a="1"/>
  <c r="C165" i="8" s="1"/>
  <c r="C165" i="10" s="1" a="1"/>
  <c r="C165" i="10" s="1"/>
  <c r="D165" i="8" a="1"/>
  <c r="D165" i="8" s="1"/>
  <c r="B166" i="8" a="1"/>
  <c r="B166" i="8" s="1"/>
  <c r="C166" i="8" a="1"/>
  <c r="C166" i="8" s="1"/>
  <c r="C166" i="10" s="1" a="1"/>
  <c r="C166" i="10" s="1"/>
  <c r="D166" i="8" a="1"/>
  <c r="D166" i="8" s="1"/>
  <c r="B167" i="8" a="1"/>
  <c r="B167" i="8" s="1"/>
  <c r="C167" i="8" a="1"/>
  <c r="C167" i="8" s="1"/>
  <c r="C167" i="10" s="1" a="1"/>
  <c r="C167" i="10" s="1"/>
  <c r="D167" i="8" a="1"/>
  <c r="D167" i="8" s="1"/>
  <c r="B168" i="8" a="1"/>
  <c r="B168" i="8" s="1"/>
  <c r="C168" i="8" a="1"/>
  <c r="C168" i="8" s="1"/>
  <c r="C168" i="10" s="1" a="1"/>
  <c r="C168" i="10" s="1"/>
  <c r="D168" i="8" a="1"/>
  <c r="D168" i="8" s="1"/>
  <c r="B169" i="8" a="1"/>
  <c r="B169" i="8" s="1"/>
  <c r="C169" i="8" a="1"/>
  <c r="C169" i="8" s="1"/>
  <c r="C169" i="10" s="1" a="1"/>
  <c r="C169" i="10" s="1"/>
  <c r="D169" i="8" a="1"/>
  <c r="D169" i="8" s="1"/>
  <c r="B170" i="8" a="1"/>
  <c r="B170" i="8" s="1"/>
  <c r="C170" i="8" a="1"/>
  <c r="C170" i="8" s="1"/>
  <c r="C170" i="10" s="1" a="1"/>
  <c r="C170" i="10" s="1"/>
  <c r="D170" i="8" a="1"/>
  <c r="D170" i="8" s="1"/>
  <c r="B171" i="8" a="1"/>
  <c r="B171" i="8" s="1"/>
  <c r="C171" i="8" a="1"/>
  <c r="C171" i="8" s="1"/>
  <c r="C171" i="10" s="1" a="1"/>
  <c r="C171" i="10" s="1"/>
  <c r="D171" i="8" a="1"/>
  <c r="D171" i="8" s="1"/>
  <c r="B172" i="8" a="1"/>
  <c r="B172" i="8" s="1"/>
  <c r="C172" i="8" a="1"/>
  <c r="C172" i="8" s="1"/>
  <c r="C172" i="10" s="1" a="1"/>
  <c r="C172" i="10" s="1"/>
  <c r="D172" i="8" a="1"/>
  <c r="D172" i="8" s="1"/>
  <c r="B173" i="8" a="1"/>
  <c r="B173" i="8" s="1"/>
  <c r="C173" i="8" a="1"/>
  <c r="C173" i="8" s="1"/>
  <c r="C173" i="10" s="1" a="1"/>
  <c r="C173" i="10" s="1"/>
  <c r="D173" i="8" a="1"/>
  <c r="D173" i="8" s="1"/>
  <c r="B174" i="8" a="1"/>
  <c r="B174" i="8" s="1"/>
  <c r="C174" i="8" a="1"/>
  <c r="C174" i="8" s="1"/>
  <c r="C174" i="10" s="1" a="1"/>
  <c r="C174" i="10" s="1"/>
  <c r="D174" i="8" a="1"/>
  <c r="D174" i="8" s="1"/>
  <c r="B175" i="8" a="1"/>
  <c r="B175" i="8" s="1"/>
  <c r="C175" i="8" a="1"/>
  <c r="C175" i="8" s="1"/>
  <c r="C175" i="10" s="1" a="1"/>
  <c r="C175" i="10" s="1"/>
  <c r="D175" i="8" a="1"/>
  <c r="D175" i="8" s="1"/>
  <c r="B176" i="8" a="1"/>
  <c r="B176" i="8" s="1"/>
  <c r="C176" i="8" a="1"/>
  <c r="C176" i="8" s="1"/>
  <c r="C176" i="10" s="1" a="1"/>
  <c r="C176" i="10" s="1"/>
  <c r="D176" i="8" a="1"/>
  <c r="D176" i="8" s="1"/>
  <c r="B177" i="8" a="1"/>
  <c r="B177" i="8" s="1"/>
  <c r="C177" i="8" a="1"/>
  <c r="C177" i="8" s="1"/>
  <c r="C177" i="10" s="1" a="1"/>
  <c r="C177" i="10" s="1"/>
  <c r="D177" i="8" a="1"/>
  <c r="D177" i="8" s="1"/>
  <c r="B178" i="8" a="1"/>
  <c r="B178" i="8" s="1"/>
  <c r="C178" i="8" a="1"/>
  <c r="C178" i="8" s="1"/>
  <c r="C178" i="10" s="1" a="1"/>
  <c r="C178" i="10" s="1"/>
  <c r="D178" i="8" a="1"/>
  <c r="D178" i="8" s="1"/>
  <c r="B179" i="8" a="1"/>
  <c r="B179" i="8" s="1"/>
  <c r="C179" i="8" a="1"/>
  <c r="C179" i="8" s="1"/>
  <c r="C179" i="10" s="1" a="1"/>
  <c r="C179" i="10" s="1"/>
  <c r="D179" i="8" a="1"/>
  <c r="D179" i="8" s="1"/>
  <c r="B180" i="8" a="1"/>
  <c r="B180" i="8" s="1"/>
  <c r="C180" i="8" a="1"/>
  <c r="C180" i="8" s="1"/>
  <c r="C180" i="10" s="1" a="1"/>
  <c r="C180" i="10" s="1"/>
  <c r="D180" i="8" a="1"/>
  <c r="D180" i="8" s="1"/>
  <c r="B181" i="8" a="1"/>
  <c r="B181" i="8" s="1"/>
  <c r="C181" i="8" a="1"/>
  <c r="C181" i="8" s="1"/>
  <c r="C181" i="10" s="1" a="1"/>
  <c r="C181" i="10" s="1"/>
  <c r="D181" i="8" a="1"/>
  <c r="D181" i="8" s="1"/>
  <c r="B182" i="8" a="1"/>
  <c r="B182" i="8" s="1"/>
  <c r="C182" i="8" a="1"/>
  <c r="C182" i="8" s="1"/>
  <c r="C182" i="10" s="1" a="1"/>
  <c r="C182" i="10" s="1"/>
  <c r="D182" i="8" a="1"/>
  <c r="D182" i="8" s="1"/>
  <c r="B183" i="8" a="1"/>
  <c r="B183" i="8" s="1"/>
  <c r="C183" i="8" a="1"/>
  <c r="C183" i="8" s="1"/>
  <c r="C183" i="10" s="1" a="1"/>
  <c r="C183" i="10" s="1"/>
  <c r="D183" i="8" a="1"/>
  <c r="D183" i="8" s="1"/>
  <c r="B184" i="8" a="1"/>
  <c r="B184" i="8" s="1"/>
  <c r="C184" i="8" a="1"/>
  <c r="C184" i="8" s="1"/>
  <c r="C184" i="10" s="1" a="1"/>
  <c r="C184" i="10" s="1"/>
  <c r="D184" i="8" a="1"/>
  <c r="D184" i="8" s="1"/>
  <c r="B185" i="8" a="1"/>
  <c r="B185" i="8" s="1"/>
  <c r="C185" i="8" a="1"/>
  <c r="C185" i="8" s="1"/>
  <c r="C185" i="10" s="1" a="1"/>
  <c r="C185" i="10" s="1"/>
  <c r="D185" i="8" a="1"/>
  <c r="D185" i="8" s="1"/>
  <c r="B186" i="8" a="1"/>
  <c r="B186" i="8" s="1"/>
  <c r="C186" i="8" a="1"/>
  <c r="C186" i="8" s="1"/>
  <c r="C186" i="10" s="1" a="1"/>
  <c r="C186" i="10" s="1"/>
  <c r="D186" i="8" a="1"/>
  <c r="D186" i="8" s="1"/>
  <c r="B187" i="8" a="1"/>
  <c r="B187" i="8" s="1"/>
  <c r="C187" i="8" a="1"/>
  <c r="C187" i="8" s="1"/>
  <c r="C187" i="10" s="1" a="1"/>
  <c r="C187" i="10" s="1"/>
  <c r="D187" i="8" a="1"/>
  <c r="D187" i="8" s="1"/>
  <c r="B188" i="8" a="1"/>
  <c r="B188" i="8" s="1"/>
  <c r="C188" i="8" a="1"/>
  <c r="C188" i="8" s="1"/>
  <c r="C188" i="10" s="1" a="1"/>
  <c r="C188" i="10" s="1"/>
  <c r="D188" i="8" a="1"/>
  <c r="D188" i="8" s="1"/>
  <c r="B189" i="8" a="1"/>
  <c r="B189" i="8" s="1"/>
  <c r="C189" i="8" a="1"/>
  <c r="C189" i="8" s="1"/>
  <c r="C189" i="10" s="1" a="1"/>
  <c r="C189" i="10" s="1"/>
  <c r="D189" i="8" a="1"/>
  <c r="D189" i="8" s="1"/>
  <c r="B190" i="8" a="1"/>
  <c r="B190" i="8" s="1"/>
  <c r="C190" i="8" a="1"/>
  <c r="C190" i="8" s="1"/>
  <c r="C190" i="10" s="1" a="1"/>
  <c r="C190" i="10" s="1"/>
  <c r="D190" i="8" a="1"/>
  <c r="D190" i="8" s="1"/>
  <c r="B191" i="8" a="1"/>
  <c r="B191" i="8" s="1"/>
  <c r="C191" i="8" a="1"/>
  <c r="C191" i="8" s="1"/>
  <c r="C191" i="10" s="1" a="1"/>
  <c r="C191" i="10" s="1"/>
  <c r="D191" i="8" a="1"/>
  <c r="D191" i="8" s="1"/>
  <c r="B192" i="8" a="1"/>
  <c r="B192" i="8" s="1"/>
  <c r="C192" i="8" a="1"/>
  <c r="C192" i="8" s="1"/>
  <c r="C192" i="10" s="1" a="1"/>
  <c r="C192" i="10" s="1"/>
  <c r="D192" i="8" a="1"/>
  <c r="D192" i="8" s="1"/>
  <c r="B193" i="8" a="1"/>
  <c r="B193" i="8" s="1"/>
  <c r="C193" i="8" a="1"/>
  <c r="C193" i="8" s="1"/>
  <c r="C193" i="10" s="1" a="1"/>
  <c r="C193" i="10" s="1"/>
  <c r="D193" i="8" a="1"/>
  <c r="D193" i="8" s="1"/>
  <c r="B194" i="8" a="1"/>
  <c r="B194" i="8" s="1"/>
  <c r="C194" i="8" a="1"/>
  <c r="C194" i="8" s="1"/>
  <c r="C194" i="10" s="1" a="1"/>
  <c r="C194" i="10" s="1"/>
  <c r="D194" i="8" a="1"/>
  <c r="D194" i="8" s="1"/>
  <c r="B195" i="8" a="1"/>
  <c r="B195" i="8" s="1"/>
  <c r="C195" i="8" a="1"/>
  <c r="C195" i="8" s="1"/>
  <c r="C195" i="10" s="1" a="1"/>
  <c r="C195" i="10" s="1"/>
  <c r="D195" i="8" a="1"/>
  <c r="D195" i="8" s="1"/>
  <c r="B196" i="8" a="1"/>
  <c r="B196" i="8" s="1"/>
  <c r="C196" i="8" a="1"/>
  <c r="C196" i="8" s="1"/>
  <c r="C196" i="10" s="1" a="1"/>
  <c r="C196" i="10" s="1"/>
  <c r="D196" i="8" a="1"/>
  <c r="D196" i="8" s="1"/>
  <c r="B197" i="8" a="1"/>
  <c r="B197" i="8" s="1"/>
  <c r="C197" i="8" a="1"/>
  <c r="C197" i="8" s="1"/>
  <c r="C197" i="10" s="1" a="1"/>
  <c r="C197" i="10" s="1"/>
  <c r="D197" i="8" a="1"/>
  <c r="D197" i="8" s="1"/>
  <c r="B198" i="8" a="1"/>
  <c r="B198" i="8" s="1"/>
  <c r="C198" i="8" a="1"/>
  <c r="C198" i="8" s="1"/>
  <c r="C198" i="10" s="1" a="1"/>
  <c r="C198" i="10" s="1"/>
  <c r="D198" i="8" a="1"/>
  <c r="D198" i="8" s="1"/>
  <c r="B199" i="8" a="1"/>
  <c r="B199" i="8" s="1"/>
  <c r="C199" i="8" a="1"/>
  <c r="C199" i="8" s="1"/>
  <c r="C199" i="10" s="1" a="1"/>
  <c r="C199" i="10" s="1"/>
  <c r="D199" i="8" a="1"/>
  <c r="D199" i="8" s="1"/>
  <c r="B200" i="8" a="1"/>
  <c r="B200" i="8" s="1"/>
  <c r="C200" i="8" a="1"/>
  <c r="C200" i="8" s="1"/>
  <c r="C200" i="10" s="1" a="1"/>
  <c r="C200" i="10" s="1"/>
  <c r="D200" i="8" a="1"/>
  <c r="D200" i="8" s="1"/>
  <c r="B201" i="8" a="1"/>
  <c r="B201" i="8" s="1"/>
  <c r="C201" i="8" a="1"/>
  <c r="C201" i="8" s="1"/>
  <c r="C201" i="10" s="1" a="1"/>
  <c r="C201" i="10" s="1"/>
  <c r="D201" i="8" a="1"/>
  <c r="D201" i="8" s="1"/>
  <c r="B202" i="8" a="1"/>
  <c r="B202" i="8" s="1"/>
  <c r="C202" i="8" a="1"/>
  <c r="C202" i="8" s="1"/>
  <c r="C202" i="10" s="1" a="1"/>
  <c r="C202" i="10" s="1"/>
  <c r="D202" i="8" a="1"/>
  <c r="D202" i="8" s="1"/>
  <c r="B203" i="8" a="1"/>
  <c r="B203" i="8" s="1"/>
  <c r="C203" i="8" a="1"/>
  <c r="C203" i="8" s="1"/>
  <c r="C203" i="10" s="1" a="1"/>
  <c r="C203" i="10" s="1"/>
  <c r="D203" i="8" a="1"/>
  <c r="D203" i="8" s="1"/>
  <c r="B204" i="8" a="1"/>
  <c r="B204" i="8" s="1"/>
  <c r="C204" i="8" a="1"/>
  <c r="C204" i="8" s="1"/>
  <c r="C204" i="10" s="1" a="1"/>
  <c r="C204" i="10" s="1"/>
  <c r="D204" i="8" a="1"/>
  <c r="D204" i="8" s="1"/>
  <c r="B205" i="8" a="1"/>
  <c r="B205" i="8" s="1"/>
  <c r="C205" i="8" a="1"/>
  <c r="C205" i="8" s="1"/>
  <c r="C205" i="10" s="1" a="1"/>
  <c r="C205" i="10" s="1"/>
  <c r="D205" i="8" a="1"/>
  <c r="D205" i="8" s="1"/>
  <c r="B206" i="8" a="1"/>
  <c r="B206" i="8" s="1"/>
  <c r="C206" i="8" a="1"/>
  <c r="C206" i="8" s="1"/>
  <c r="C206" i="10" s="1" a="1"/>
  <c r="C206" i="10" s="1"/>
  <c r="D206" i="8" a="1"/>
  <c r="D206" i="8" s="1"/>
  <c r="B207" i="8" a="1"/>
  <c r="B207" i="8" s="1"/>
  <c r="C207" i="8" a="1"/>
  <c r="C207" i="8" s="1"/>
  <c r="C207" i="10" s="1" a="1"/>
  <c r="C207" i="10" s="1"/>
  <c r="D207" i="8" a="1"/>
  <c r="D207" i="8" s="1"/>
  <c r="B208" i="8" a="1"/>
  <c r="B208" i="8" s="1"/>
  <c r="C208" i="8" a="1"/>
  <c r="C208" i="8" s="1"/>
  <c r="C208" i="10" s="1" a="1"/>
  <c r="C208" i="10" s="1"/>
  <c r="D208" i="8" a="1"/>
  <c r="D208" i="8" s="1"/>
  <c r="B209" i="8" a="1"/>
  <c r="B209" i="8" s="1"/>
  <c r="C209" i="8" a="1"/>
  <c r="C209" i="8" s="1"/>
  <c r="C209" i="10" s="1" a="1"/>
  <c r="C209" i="10" s="1"/>
  <c r="D209" i="8" a="1"/>
  <c r="D209" i="8" s="1"/>
  <c r="B210" i="8" a="1"/>
  <c r="B210" i="8" s="1"/>
  <c r="C210" i="8" a="1"/>
  <c r="C210" i="8" s="1"/>
  <c r="C210" i="10" s="1" a="1"/>
  <c r="C210" i="10" s="1"/>
  <c r="D210" i="8" a="1"/>
  <c r="D210" i="8" s="1"/>
  <c r="B211" i="8" a="1"/>
  <c r="B211" i="8" s="1"/>
  <c r="C211" i="8" a="1"/>
  <c r="C211" i="8" s="1"/>
  <c r="C211" i="10" s="1" a="1"/>
  <c r="C211" i="10" s="1"/>
  <c r="D211" i="8" a="1"/>
  <c r="D211" i="8" s="1"/>
  <c r="B212" i="8" a="1"/>
  <c r="B212" i="8" s="1"/>
  <c r="C212" i="8" a="1"/>
  <c r="C212" i="8" s="1"/>
  <c r="C212" i="10" s="1" a="1"/>
  <c r="C212" i="10" s="1"/>
  <c r="D212" i="8" a="1"/>
  <c r="D212" i="8" s="1"/>
  <c r="B213" i="8" a="1"/>
  <c r="B213" i="8" s="1"/>
  <c r="C213" i="8" a="1"/>
  <c r="C213" i="8" s="1"/>
  <c r="C213" i="10" s="1" a="1"/>
  <c r="C213" i="10" s="1"/>
  <c r="D213" i="8" a="1"/>
  <c r="D213" i="8" s="1"/>
  <c r="B214" i="8" a="1"/>
  <c r="B214" i="8" s="1"/>
  <c r="C214" i="8" a="1"/>
  <c r="C214" i="8" s="1"/>
  <c r="C214" i="10" s="1" a="1"/>
  <c r="C214" i="10" s="1"/>
  <c r="D214" i="8" a="1"/>
  <c r="D214" i="8" s="1"/>
  <c r="B215" i="8" a="1"/>
  <c r="B215" i="8" s="1"/>
  <c r="C215" i="8" a="1"/>
  <c r="C215" i="8" s="1"/>
  <c r="C215" i="10" s="1" a="1"/>
  <c r="C215" i="10" s="1"/>
  <c r="D215" i="8" a="1"/>
  <c r="D215" i="8" s="1"/>
  <c r="B216" i="8" a="1"/>
  <c r="B216" i="8" s="1"/>
  <c r="C216" i="8" a="1"/>
  <c r="C216" i="8" s="1"/>
  <c r="C216" i="10" s="1" a="1"/>
  <c r="C216" i="10" s="1"/>
  <c r="D216" i="8" a="1"/>
  <c r="D216" i="8" s="1"/>
  <c r="B217" i="8" a="1"/>
  <c r="B217" i="8" s="1"/>
  <c r="C217" i="8" a="1"/>
  <c r="C217" i="8" s="1"/>
  <c r="C217" i="10" s="1" a="1"/>
  <c r="C217" i="10" s="1"/>
  <c r="D217" i="8" a="1"/>
  <c r="D217" i="8" s="1"/>
  <c r="B218" i="8" a="1"/>
  <c r="B218" i="8" s="1"/>
  <c r="C218" i="8" a="1"/>
  <c r="C218" i="8" s="1"/>
  <c r="C218" i="10" s="1" a="1"/>
  <c r="C218" i="10" s="1"/>
  <c r="D218" i="8" a="1"/>
  <c r="D218" i="8" s="1"/>
  <c r="B219" i="8" a="1"/>
  <c r="B219" i="8" s="1"/>
  <c r="C219" i="8" a="1"/>
  <c r="C219" i="8" s="1"/>
  <c r="C219" i="10" s="1" a="1"/>
  <c r="C219" i="10" s="1"/>
  <c r="D219" i="8" a="1"/>
  <c r="D219" i="8" s="1"/>
  <c r="B220" i="8" a="1"/>
  <c r="B220" i="8" s="1"/>
  <c r="C220" i="8" a="1"/>
  <c r="C220" i="8" s="1"/>
  <c r="C220" i="10" s="1" a="1"/>
  <c r="C220" i="10" s="1"/>
  <c r="D220" i="8" a="1"/>
  <c r="D220" i="8" s="1"/>
  <c r="B221" i="8" a="1"/>
  <c r="B221" i="8" s="1"/>
  <c r="C221" i="8" a="1"/>
  <c r="C221" i="8" s="1"/>
  <c r="C221" i="10" s="1" a="1"/>
  <c r="C221" i="10" s="1"/>
  <c r="D221" i="8" a="1"/>
  <c r="D221" i="8" s="1"/>
  <c r="B222" i="8" a="1"/>
  <c r="B222" i="8" s="1"/>
  <c r="C222" i="8" a="1"/>
  <c r="C222" i="8" s="1"/>
  <c r="C222" i="10" s="1" a="1"/>
  <c r="C222" i="10" s="1"/>
  <c r="D222" i="8" a="1"/>
  <c r="D222" i="8" s="1"/>
  <c r="B223" i="8" a="1"/>
  <c r="B223" i="8" s="1"/>
  <c r="C223" i="8" a="1"/>
  <c r="C223" i="8" s="1"/>
  <c r="C223" i="10" s="1" a="1"/>
  <c r="C223" i="10" s="1"/>
  <c r="D223" i="8" a="1"/>
  <c r="D223" i="8" s="1"/>
  <c r="B224" i="8" a="1"/>
  <c r="B224" i="8" s="1"/>
  <c r="C224" i="8" a="1"/>
  <c r="C224" i="8" s="1"/>
  <c r="C224" i="10" s="1" a="1"/>
  <c r="C224" i="10" s="1"/>
  <c r="D224" i="8" a="1"/>
  <c r="D224" i="8" s="1"/>
  <c r="B225" i="8" a="1"/>
  <c r="B225" i="8" s="1"/>
  <c r="C225" i="8" a="1"/>
  <c r="C225" i="8" s="1"/>
  <c r="C225" i="10" s="1" a="1"/>
  <c r="C225" i="10" s="1"/>
  <c r="D225" i="8" a="1"/>
  <c r="D225" i="8" s="1"/>
  <c r="B226" i="8" a="1"/>
  <c r="B226" i="8" s="1"/>
  <c r="C226" i="8" a="1"/>
  <c r="C226" i="8" s="1"/>
  <c r="C226" i="10" s="1" a="1"/>
  <c r="C226" i="10" s="1"/>
  <c r="D226" i="8" a="1"/>
  <c r="D226" i="8" s="1"/>
  <c r="B227" i="8" a="1"/>
  <c r="B227" i="8" s="1"/>
  <c r="C227" i="8" a="1"/>
  <c r="C227" i="8" s="1"/>
  <c r="C227" i="10" s="1" a="1"/>
  <c r="C227" i="10" s="1"/>
  <c r="D227" i="8" a="1"/>
  <c r="D227" i="8" s="1"/>
  <c r="B228" i="8" a="1"/>
  <c r="B228" i="8" s="1"/>
  <c r="C228" i="8" a="1"/>
  <c r="C228" i="8" s="1"/>
  <c r="C228" i="10" s="1" a="1"/>
  <c r="C228" i="10" s="1"/>
  <c r="D228" i="8" a="1"/>
  <c r="D228" i="8" s="1"/>
  <c r="B229" i="8" a="1"/>
  <c r="B229" i="8" s="1"/>
  <c r="C229" i="8" a="1"/>
  <c r="C229" i="8" s="1"/>
  <c r="C229" i="10" s="1" a="1"/>
  <c r="C229" i="10" s="1"/>
  <c r="D229" i="8" a="1"/>
  <c r="D229" i="8" s="1"/>
  <c r="B230" i="8" a="1"/>
  <c r="B230" i="8" s="1"/>
  <c r="C230" i="8" a="1"/>
  <c r="C230" i="8" s="1"/>
  <c r="C230" i="10" s="1" a="1"/>
  <c r="C230" i="10" s="1"/>
  <c r="D230" i="8" a="1"/>
  <c r="D230" i="8" s="1"/>
  <c r="B231" i="8" a="1"/>
  <c r="B231" i="8" s="1"/>
  <c r="C231" i="8" a="1"/>
  <c r="C231" i="8" s="1"/>
  <c r="C231" i="10" s="1" a="1"/>
  <c r="C231" i="10" s="1"/>
  <c r="D231" i="8" a="1"/>
  <c r="D231" i="8" s="1"/>
  <c r="B232" i="8" a="1"/>
  <c r="B232" i="8" s="1"/>
  <c r="C232" i="8" a="1"/>
  <c r="C232" i="8" s="1"/>
  <c r="C232" i="10" s="1" a="1"/>
  <c r="C232" i="10" s="1"/>
  <c r="D232" i="8" a="1"/>
  <c r="D232" i="8" s="1"/>
  <c r="B233" i="8" a="1"/>
  <c r="B233" i="8" s="1"/>
  <c r="C233" i="8" a="1"/>
  <c r="C233" i="8" s="1"/>
  <c r="C233" i="10" s="1" a="1"/>
  <c r="C233" i="10" s="1"/>
  <c r="D233" i="8" a="1"/>
  <c r="D233" i="8" s="1"/>
  <c r="B234" i="8" a="1"/>
  <c r="B234" i="8" s="1"/>
  <c r="C234" i="8" a="1"/>
  <c r="C234" i="8" s="1"/>
  <c r="C234" i="10" s="1" a="1"/>
  <c r="C234" i="10" s="1"/>
  <c r="D234" i="8" a="1"/>
  <c r="D234" i="8" s="1"/>
  <c r="B235" i="8" a="1"/>
  <c r="B235" i="8" s="1"/>
  <c r="C235" i="8" a="1"/>
  <c r="C235" i="8" s="1"/>
  <c r="C235" i="10" s="1" a="1"/>
  <c r="C235" i="10" s="1"/>
  <c r="D235" i="8" a="1"/>
  <c r="D235" i="8" s="1"/>
  <c r="B236" i="8" a="1"/>
  <c r="B236" i="8" s="1"/>
  <c r="C236" i="8" a="1"/>
  <c r="C236" i="8" s="1"/>
  <c r="C236" i="10" s="1" a="1"/>
  <c r="C236" i="10" s="1"/>
  <c r="D236" i="8" a="1"/>
  <c r="D236" i="8" s="1"/>
  <c r="B237" i="8" a="1"/>
  <c r="B237" i="8" s="1"/>
  <c r="C237" i="8" a="1"/>
  <c r="C237" i="8" s="1"/>
  <c r="C237" i="10" s="1" a="1"/>
  <c r="C237" i="10" s="1"/>
  <c r="D237" i="8" a="1"/>
  <c r="D237" i="8" s="1"/>
  <c r="B238" i="8" a="1"/>
  <c r="B238" i="8" s="1"/>
  <c r="C238" i="8" a="1"/>
  <c r="C238" i="8" s="1"/>
  <c r="C238" i="10" s="1" a="1"/>
  <c r="C238" i="10" s="1"/>
  <c r="D238" i="8" a="1"/>
  <c r="D238" i="8" s="1"/>
  <c r="B239" i="8" a="1"/>
  <c r="B239" i="8" s="1"/>
  <c r="C239" i="8" a="1"/>
  <c r="C239" i="8" s="1"/>
  <c r="C239" i="10" s="1" a="1"/>
  <c r="C239" i="10" s="1"/>
  <c r="D239" i="8" a="1"/>
  <c r="D239" i="8" s="1"/>
  <c r="B240" i="8" a="1"/>
  <c r="B240" i="8" s="1"/>
  <c r="C240" i="8" a="1"/>
  <c r="C240" i="8" s="1"/>
  <c r="C240" i="10" s="1" a="1"/>
  <c r="C240" i="10" s="1"/>
  <c r="D240" i="8" a="1"/>
  <c r="D240" i="8" s="1"/>
  <c r="B241" i="8" a="1"/>
  <c r="B241" i="8" s="1"/>
  <c r="C241" i="8" a="1"/>
  <c r="C241" i="8" s="1"/>
  <c r="C241" i="10" s="1" a="1"/>
  <c r="C241" i="10" s="1"/>
  <c r="D241" i="8" a="1"/>
  <c r="D241" i="8" s="1"/>
  <c r="B242" i="8" a="1"/>
  <c r="B242" i="8" s="1"/>
  <c r="C242" i="8" a="1"/>
  <c r="C242" i="8" s="1"/>
  <c r="C242" i="10" s="1" a="1"/>
  <c r="C242" i="10" s="1"/>
  <c r="D242" i="8" a="1"/>
  <c r="D242" i="8" s="1"/>
  <c r="B243" i="8" a="1"/>
  <c r="B243" i="8" s="1"/>
  <c r="C243" i="8" a="1"/>
  <c r="C243" i="8" s="1"/>
  <c r="C243" i="10" s="1" a="1"/>
  <c r="C243" i="10" s="1"/>
  <c r="D243" i="8" a="1"/>
  <c r="D243" i="8" s="1"/>
  <c r="B244" i="8" a="1"/>
  <c r="B244" i="8" s="1"/>
  <c r="C244" i="8" a="1"/>
  <c r="C244" i="8" s="1"/>
  <c r="C244" i="10" s="1" a="1"/>
  <c r="C244" i="10" s="1"/>
  <c r="D244" i="8" a="1"/>
  <c r="D244" i="8" s="1"/>
  <c r="B245" i="8" a="1"/>
  <c r="B245" i="8" s="1"/>
  <c r="C245" i="8" a="1"/>
  <c r="C245" i="8" s="1"/>
  <c r="C245" i="10" s="1" a="1"/>
  <c r="C245" i="10" s="1"/>
  <c r="D245" i="8" a="1"/>
  <c r="D245" i="8" s="1"/>
  <c r="B246" i="8" a="1"/>
  <c r="B246" i="8" s="1"/>
  <c r="C246" i="8" a="1"/>
  <c r="C246" i="8" s="1"/>
  <c r="C246" i="10" s="1" a="1"/>
  <c r="C246" i="10" s="1"/>
  <c r="D246" i="8" a="1"/>
  <c r="D246" i="8" s="1"/>
  <c r="B247" i="8" a="1"/>
  <c r="B247" i="8" s="1"/>
  <c r="C247" i="8" a="1"/>
  <c r="C247" i="8" s="1"/>
  <c r="C247" i="10" s="1" a="1"/>
  <c r="C247" i="10" s="1"/>
  <c r="D247" i="8" a="1"/>
  <c r="D247" i="8" s="1"/>
  <c r="B248" i="8" a="1"/>
  <c r="B248" i="8" s="1"/>
  <c r="C248" i="8" a="1"/>
  <c r="C248" i="8" s="1"/>
  <c r="C248" i="10" s="1" a="1"/>
  <c r="C248" i="10" s="1"/>
  <c r="D248" i="8" a="1"/>
  <c r="D248" i="8" s="1"/>
  <c r="B249" i="8" a="1"/>
  <c r="B249" i="8" s="1"/>
  <c r="C249" i="8" a="1"/>
  <c r="C249" i="8" s="1"/>
  <c r="C249" i="10" s="1" a="1"/>
  <c r="C249" i="10" s="1"/>
  <c r="D249" i="8" a="1"/>
  <c r="D249" i="8" s="1"/>
  <c r="B250" i="8" a="1"/>
  <c r="B250" i="8" s="1"/>
  <c r="C250" i="8" a="1"/>
  <c r="C250" i="8" s="1"/>
  <c r="C250" i="10" s="1" a="1"/>
  <c r="C250" i="10" s="1"/>
  <c r="D250" i="8" a="1"/>
  <c r="D250" i="8" s="1"/>
  <c r="B251" i="8" a="1"/>
  <c r="B251" i="8" s="1"/>
  <c r="C251" i="8" a="1"/>
  <c r="C251" i="8" s="1"/>
  <c r="C251" i="10" s="1" a="1"/>
  <c r="C251" i="10" s="1"/>
  <c r="D251" i="8" a="1"/>
  <c r="D251" i="8" s="1"/>
  <c r="U13" i="8" a="1"/>
  <c r="U13" i="8" s="1"/>
  <c r="U13" i="10" s="1" a="1"/>
  <c r="U13" i="10" s="1"/>
  <c r="U14" i="8" a="1"/>
  <c r="U14" i="8" s="1"/>
  <c r="U14" i="10" s="1" a="1"/>
  <c r="U14" i="10" s="1"/>
  <c r="U15" i="8" a="1"/>
  <c r="U15" i="8" s="1"/>
  <c r="U15" i="10" s="1" a="1"/>
  <c r="U15" i="10" s="1"/>
  <c r="U16" i="8" a="1"/>
  <c r="U16" i="8" s="1"/>
  <c r="U16" i="10" s="1" a="1"/>
  <c r="U16" i="10" s="1"/>
  <c r="U17" i="8" a="1"/>
  <c r="U17" i="8" s="1"/>
  <c r="U17" i="10" s="1" a="1"/>
  <c r="U17" i="10" s="1"/>
  <c r="U18" i="8" a="1"/>
  <c r="U18" i="8" s="1"/>
  <c r="U18" i="10" s="1" a="1"/>
  <c r="U18" i="10" s="1"/>
  <c r="U19" i="8" a="1"/>
  <c r="U19" i="8" s="1"/>
  <c r="U19" i="10" s="1" a="1"/>
  <c r="U19" i="10" s="1"/>
  <c r="U20" i="8" a="1"/>
  <c r="U20" i="8" s="1"/>
  <c r="U20" i="10" s="1" a="1"/>
  <c r="U20" i="10" s="1"/>
  <c r="U21" i="8" a="1"/>
  <c r="U21" i="8" s="1"/>
  <c r="U21" i="10" s="1" a="1"/>
  <c r="U21" i="10" s="1"/>
  <c r="U22" i="8" a="1"/>
  <c r="U22" i="8" s="1"/>
  <c r="U22" i="10" s="1" a="1"/>
  <c r="U22" i="10" s="1"/>
  <c r="U23" i="8" a="1"/>
  <c r="U23" i="8" s="1"/>
  <c r="U23" i="10" s="1" a="1"/>
  <c r="U23" i="10" s="1"/>
  <c r="U24" i="8" a="1"/>
  <c r="U24" i="8" s="1"/>
  <c r="U24" i="10" s="1" a="1"/>
  <c r="U24" i="10" s="1"/>
  <c r="U25" i="8" a="1"/>
  <c r="U25" i="8" s="1"/>
  <c r="U25" i="10" s="1" a="1"/>
  <c r="U25" i="10" s="1"/>
  <c r="U26" i="8" a="1"/>
  <c r="U26" i="8" s="1"/>
  <c r="U26" i="10" s="1" a="1"/>
  <c r="U26" i="10" s="1"/>
  <c r="U27" i="8" a="1"/>
  <c r="U27" i="8" s="1"/>
  <c r="U27" i="10" s="1" a="1"/>
  <c r="U27" i="10" s="1"/>
  <c r="U28" i="8" a="1"/>
  <c r="U28" i="8" s="1"/>
  <c r="U28" i="10" s="1" a="1"/>
  <c r="U28" i="10" s="1"/>
  <c r="U29" i="8" a="1"/>
  <c r="U29" i="8" s="1"/>
  <c r="U29" i="10" s="1" a="1"/>
  <c r="U29" i="10" s="1"/>
  <c r="U30" i="8" a="1"/>
  <c r="U30" i="8" s="1"/>
  <c r="U30" i="10" s="1" a="1"/>
  <c r="U30" i="10" s="1"/>
  <c r="U31" i="8" a="1"/>
  <c r="U31" i="8" s="1"/>
  <c r="U31" i="10" s="1" a="1"/>
  <c r="U31" i="10" s="1"/>
  <c r="U32" i="8" a="1"/>
  <c r="U32" i="8" s="1"/>
  <c r="U32" i="10" s="1" a="1"/>
  <c r="U32" i="10" s="1"/>
  <c r="U33" i="8" a="1"/>
  <c r="U33" i="8" s="1"/>
  <c r="U33" i="10" s="1" a="1"/>
  <c r="U33" i="10" s="1"/>
  <c r="U34" i="8" a="1"/>
  <c r="U34" i="8" s="1"/>
  <c r="U34" i="10" s="1" a="1"/>
  <c r="U34" i="10" s="1"/>
  <c r="U35" i="8" a="1"/>
  <c r="U35" i="8" s="1"/>
  <c r="U35" i="10" s="1" a="1"/>
  <c r="U35" i="10" s="1"/>
  <c r="U36" i="8" a="1"/>
  <c r="U36" i="8" s="1"/>
  <c r="U36" i="10" s="1" a="1"/>
  <c r="U36" i="10" s="1"/>
  <c r="U37" i="8" a="1"/>
  <c r="U37" i="8" s="1"/>
  <c r="U37" i="10" s="1" a="1"/>
  <c r="U37" i="10" s="1"/>
  <c r="U38" i="8" a="1"/>
  <c r="U38" i="8" s="1"/>
  <c r="U38" i="10" s="1" a="1"/>
  <c r="U38" i="10" s="1"/>
  <c r="U39" i="8" a="1"/>
  <c r="U39" i="8" s="1"/>
  <c r="U39" i="10" s="1" a="1"/>
  <c r="U39" i="10" s="1"/>
  <c r="U40" i="8" a="1"/>
  <c r="U40" i="8" s="1"/>
  <c r="U40" i="10" s="1" a="1"/>
  <c r="U40" i="10" s="1"/>
  <c r="U41" i="8" a="1"/>
  <c r="U41" i="8" s="1"/>
  <c r="U41" i="10" s="1" a="1"/>
  <c r="U41" i="10" s="1"/>
  <c r="U42" i="8" a="1"/>
  <c r="U42" i="8" s="1"/>
  <c r="U42" i="10" s="1" a="1"/>
  <c r="U42" i="10" s="1"/>
  <c r="U43" i="8" a="1"/>
  <c r="U43" i="8" s="1"/>
  <c r="U43" i="10" s="1" a="1"/>
  <c r="U43" i="10" s="1"/>
  <c r="U44" i="8" a="1"/>
  <c r="U44" i="8" s="1"/>
  <c r="U44" i="10" s="1" a="1"/>
  <c r="U44" i="10" s="1"/>
  <c r="U45" i="8" a="1"/>
  <c r="U45" i="8" s="1"/>
  <c r="U45" i="10" s="1" a="1"/>
  <c r="U45" i="10" s="1"/>
  <c r="U46" i="8" a="1"/>
  <c r="U46" i="8" s="1"/>
  <c r="U46" i="10" s="1" a="1"/>
  <c r="U46" i="10" s="1"/>
  <c r="U47" i="8" a="1"/>
  <c r="U47" i="8" s="1"/>
  <c r="U47" i="10" s="1" a="1"/>
  <c r="U47" i="10" s="1"/>
  <c r="U48" i="8" a="1"/>
  <c r="U48" i="8" s="1"/>
  <c r="U48" i="10" s="1" a="1"/>
  <c r="U48" i="10" s="1"/>
  <c r="U49" i="8" a="1"/>
  <c r="U49" i="8" s="1"/>
  <c r="U49" i="10" s="1" a="1"/>
  <c r="U49" i="10" s="1"/>
  <c r="U50" i="8" a="1"/>
  <c r="U50" i="8" s="1"/>
  <c r="U50" i="10" s="1" a="1"/>
  <c r="U50" i="10" s="1"/>
  <c r="U51" i="8" a="1"/>
  <c r="U51" i="8" s="1"/>
  <c r="U51" i="10" s="1" a="1"/>
  <c r="U51" i="10" s="1"/>
  <c r="U52" i="8" a="1"/>
  <c r="U52" i="8" s="1"/>
  <c r="U52" i="10" s="1" a="1"/>
  <c r="U52" i="10" s="1"/>
  <c r="U53" i="8" a="1"/>
  <c r="U53" i="8" s="1"/>
  <c r="U53" i="10" s="1" a="1"/>
  <c r="U53" i="10" s="1"/>
  <c r="U54" i="8" a="1"/>
  <c r="U54" i="8" s="1"/>
  <c r="U54" i="10" s="1" a="1"/>
  <c r="U54" i="10" s="1"/>
  <c r="U55" i="8" a="1"/>
  <c r="U55" i="8" s="1"/>
  <c r="U55" i="10" s="1" a="1"/>
  <c r="U55" i="10" s="1"/>
  <c r="U56" i="8" a="1"/>
  <c r="U56" i="8" s="1"/>
  <c r="U56" i="10" s="1" a="1"/>
  <c r="U56" i="10" s="1"/>
  <c r="U57" i="8" a="1"/>
  <c r="U57" i="8" s="1"/>
  <c r="U57" i="10" s="1" a="1"/>
  <c r="U57" i="10" s="1"/>
  <c r="U58" i="8" a="1"/>
  <c r="U58" i="8" s="1"/>
  <c r="U58" i="10" s="1" a="1"/>
  <c r="U58" i="10" s="1"/>
  <c r="U59" i="8" a="1"/>
  <c r="U59" i="8" s="1"/>
  <c r="U59" i="10" s="1" a="1"/>
  <c r="U59" i="10" s="1"/>
  <c r="U60" i="8" a="1"/>
  <c r="U60" i="8" s="1"/>
  <c r="U60" i="10" s="1" a="1"/>
  <c r="U60" i="10" s="1"/>
  <c r="U61" i="8" a="1"/>
  <c r="U61" i="8" s="1"/>
  <c r="U61" i="10" s="1" a="1"/>
  <c r="U61" i="10" s="1"/>
  <c r="U62" i="8" a="1"/>
  <c r="U62" i="8" s="1"/>
  <c r="U62" i="10" s="1" a="1"/>
  <c r="U62" i="10" s="1"/>
  <c r="U63" i="8" a="1"/>
  <c r="U63" i="8" s="1"/>
  <c r="U63" i="10" s="1" a="1"/>
  <c r="U63" i="10" s="1"/>
  <c r="U64" i="8" a="1"/>
  <c r="U64" i="8" s="1"/>
  <c r="U64" i="10" s="1" a="1"/>
  <c r="U64" i="10" s="1"/>
  <c r="U65" i="8" a="1"/>
  <c r="U65" i="8" s="1"/>
  <c r="U65" i="10" s="1" a="1"/>
  <c r="U65" i="10" s="1"/>
  <c r="U66" i="8" a="1"/>
  <c r="U66" i="8" s="1"/>
  <c r="U66" i="10" s="1" a="1"/>
  <c r="U66" i="10" s="1"/>
  <c r="U67" i="8" a="1"/>
  <c r="U67" i="8" s="1"/>
  <c r="U67" i="10" s="1" a="1"/>
  <c r="U67" i="10" s="1"/>
  <c r="U68" i="8" a="1"/>
  <c r="U68" i="8" s="1"/>
  <c r="U68" i="10" s="1" a="1"/>
  <c r="U68" i="10" s="1"/>
  <c r="U69" i="8" a="1"/>
  <c r="U69" i="8" s="1"/>
  <c r="U69" i="10" s="1" a="1"/>
  <c r="U69" i="10" s="1"/>
  <c r="U70" i="8" a="1"/>
  <c r="U70" i="8" s="1"/>
  <c r="U70" i="10" s="1" a="1"/>
  <c r="U70" i="10" s="1"/>
  <c r="U71" i="8" a="1"/>
  <c r="U71" i="8" s="1"/>
  <c r="U71" i="10" s="1" a="1"/>
  <c r="U71" i="10" s="1"/>
  <c r="U72" i="8" a="1"/>
  <c r="U72" i="8" s="1"/>
  <c r="U72" i="10" s="1" a="1"/>
  <c r="U72" i="10" s="1"/>
  <c r="U73" i="8" a="1"/>
  <c r="U73" i="8" s="1"/>
  <c r="U73" i="10" s="1" a="1"/>
  <c r="U73" i="10" s="1"/>
  <c r="U74" i="8" a="1"/>
  <c r="U74" i="8" s="1"/>
  <c r="U74" i="10" s="1" a="1"/>
  <c r="U74" i="10" s="1"/>
  <c r="U75" i="8" a="1"/>
  <c r="U75" i="8" s="1"/>
  <c r="U75" i="10" s="1" a="1"/>
  <c r="U75" i="10" s="1"/>
  <c r="U76" i="8" a="1"/>
  <c r="U76" i="8" s="1"/>
  <c r="U76" i="10" s="1" a="1"/>
  <c r="U76" i="10" s="1"/>
  <c r="U77" i="8" a="1"/>
  <c r="U77" i="8" s="1"/>
  <c r="U77" i="10" s="1" a="1"/>
  <c r="U77" i="10" s="1"/>
  <c r="U78" i="8" a="1"/>
  <c r="U78" i="8" s="1"/>
  <c r="U78" i="10" s="1" a="1"/>
  <c r="U78" i="10" s="1"/>
  <c r="U79" i="8" a="1"/>
  <c r="U79" i="8" s="1"/>
  <c r="U79" i="10" s="1" a="1"/>
  <c r="U79" i="10" s="1"/>
  <c r="U80" i="8" a="1"/>
  <c r="U80" i="8" s="1"/>
  <c r="U80" i="10" s="1" a="1"/>
  <c r="U80" i="10" s="1"/>
  <c r="U81" i="8" a="1"/>
  <c r="U81" i="8" s="1"/>
  <c r="U81" i="10" s="1" a="1"/>
  <c r="U81" i="10" s="1"/>
  <c r="U82" i="8" a="1"/>
  <c r="U82" i="8" s="1"/>
  <c r="U82" i="10" s="1" a="1"/>
  <c r="U82" i="10" s="1"/>
  <c r="U83" i="8" a="1"/>
  <c r="U83" i="8" s="1"/>
  <c r="U83" i="10" s="1" a="1"/>
  <c r="U83" i="10" s="1"/>
  <c r="U84" i="8" a="1"/>
  <c r="U84" i="8" s="1"/>
  <c r="U84" i="10" s="1" a="1"/>
  <c r="U84" i="10" s="1"/>
  <c r="U85" i="8" a="1"/>
  <c r="U85" i="8" s="1"/>
  <c r="U85" i="10" s="1" a="1"/>
  <c r="U85" i="10" s="1"/>
  <c r="U86" i="8" a="1"/>
  <c r="U86" i="8" s="1"/>
  <c r="U86" i="10" s="1" a="1"/>
  <c r="U86" i="10" s="1"/>
  <c r="U87" i="8" a="1"/>
  <c r="U87" i="8" s="1"/>
  <c r="U87" i="10" s="1" a="1"/>
  <c r="U87" i="10" s="1"/>
  <c r="U88" i="8" a="1"/>
  <c r="U88" i="8" s="1"/>
  <c r="U88" i="10" s="1" a="1"/>
  <c r="U88" i="10" s="1"/>
  <c r="U89" i="8" a="1"/>
  <c r="U89" i="8" s="1"/>
  <c r="U89" i="10" s="1" a="1"/>
  <c r="U89" i="10" s="1"/>
  <c r="U90" i="8" a="1"/>
  <c r="U90" i="8" s="1"/>
  <c r="U90" i="10" s="1" a="1"/>
  <c r="U90" i="10" s="1"/>
  <c r="U91" i="8" a="1"/>
  <c r="U91" i="8" s="1"/>
  <c r="U91" i="10" s="1" a="1"/>
  <c r="U91" i="10" s="1"/>
  <c r="U92" i="8" a="1"/>
  <c r="U92" i="8" s="1"/>
  <c r="U92" i="10" s="1" a="1"/>
  <c r="U92" i="10" s="1"/>
  <c r="U93" i="8" a="1"/>
  <c r="U93" i="8" s="1"/>
  <c r="U93" i="10" s="1" a="1"/>
  <c r="U93" i="10" s="1"/>
  <c r="U94" i="8" a="1"/>
  <c r="U94" i="8" s="1"/>
  <c r="U94" i="10" s="1" a="1"/>
  <c r="U94" i="10" s="1"/>
  <c r="U95" i="8" a="1"/>
  <c r="U95" i="8" s="1"/>
  <c r="U95" i="10" s="1" a="1"/>
  <c r="U95" i="10" s="1"/>
  <c r="U96" i="8" a="1"/>
  <c r="U96" i="8" s="1"/>
  <c r="U96" i="10" s="1" a="1"/>
  <c r="U96" i="10" s="1"/>
  <c r="U97" i="8" a="1"/>
  <c r="U97" i="8" s="1"/>
  <c r="U97" i="10" s="1" a="1"/>
  <c r="U97" i="10" s="1"/>
  <c r="U98" i="8" a="1"/>
  <c r="U98" i="8" s="1"/>
  <c r="U98" i="10" s="1" a="1"/>
  <c r="U98" i="10" s="1"/>
  <c r="U99" i="8" a="1"/>
  <c r="U99" i="8" s="1"/>
  <c r="U99" i="10" s="1" a="1"/>
  <c r="U99" i="10" s="1"/>
  <c r="U100" i="8" a="1"/>
  <c r="U100" i="8" s="1"/>
  <c r="U100" i="10" s="1" a="1"/>
  <c r="U100" i="10" s="1"/>
  <c r="U101" i="8" a="1"/>
  <c r="U101" i="8" s="1"/>
  <c r="U101" i="10" s="1" a="1"/>
  <c r="U101" i="10" s="1"/>
  <c r="U102" i="8" a="1"/>
  <c r="U102" i="8" s="1"/>
  <c r="U102" i="10" s="1" a="1"/>
  <c r="U102" i="10" s="1"/>
  <c r="U103" i="8" a="1"/>
  <c r="U103" i="8" s="1"/>
  <c r="U103" i="10" s="1" a="1"/>
  <c r="U103" i="10" s="1"/>
  <c r="U104" i="8" a="1"/>
  <c r="U104" i="8" s="1"/>
  <c r="U104" i="10" s="1" a="1"/>
  <c r="U104" i="10" s="1"/>
  <c r="U105" i="8" a="1"/>
  <c r="U105" i="8" s="1"/>
  <c r="U105" i="10" s="1" a="1"/>
  <c r="U105" i="10" s="1"/>
  <c r="U106" i="8" a="1"/>
  <c r="U106" i="8" s="1"/>
  <c r="U106" i="10" s="1" a="1"/>
  <c r="U106" i="10" s="1"/>
  <c r="U107" i="8" a="1"/>
  <c r="U107" i="8" s="1"/>
  <c r="U107" i="10" s="1" a="1"/>
  <c r="U107" i="10" s="1"/>
  <c r="U108" i="8" a="1"/>
  <c r="U108" i="8" s="1"/>
  <c r="U108" i="10" s="1" a="1"/>
  <c r="U108" i="10" s="1"/>
  <c r="U109" i="8" a="1"/>
  <c r="U109" i="8" s="1"/>
  <c r="U109" i="10" s="1" a="1"/>
  <c r="U109" i="10" s="1"/>
  <c r="U110" i="8" a="1"/>
  <c r="U110" i="8" s="1"/>
  <c r="U110" i="10" s="1" a="1"/>
  <c r="U110" i="10" s="1"/>
  <c r="U111" i="8" a="1"/>
  <c r="U111" i="8" s="1"/>
  <c r="U111" i="10" s="1" a="1"/>
  <c r="U111" i="10" s="1"/>
  <c r="U112" i="8" a="1"/>
  <c r="U112" i="8" s="1"/>
  <c r="U112" i="10" s="1" a="1"/>
  <c r="U112" i="10" s="1"/>
  <c r="U113" i="8" a="1"/>
  <c r="U113" i="8" s="1"/>
  <c r="U113" i="10" s="1" a="1"/>
  <c r="U113" i="10" s="1"/>
  <c r="U114" i="8" a="1"/>
  <c r="U114" i="8" s="1"/>
  <c r="U114" i="10" s="1" a="1"/>
  <c r="U114" i="10" s="1"/>
  <c r="U115" i="8" a="1"/>
  <c r="U115" i="8" s="1"/>
  <c r="U115" i="10" s="1" a="1"/>
  <c r="U115" i="10" s="1"/>
  <c r="U116" i="8" a="1"/>
  <c r="U116" i="8" s="1"/>
  <c r="U116" i="10" s="1" a="1"/>
  <c r="U116" i="10" s="1"/>
  <c r="U117" i="8" a="1"/>
  <c r="U117" i="8" s="1"/>
  <c r="U117" i="10" s="1" a="1"/>
  <c r="U117" i="10" s="1"/>
  <c r="U118" i="8" a="1"/>
  <c r="U118" i="8" s="1"/>
  <c r="U118" i="10" s="1" a="1"/>
  <c r="U118" i="10" s="1"/>
  <c r="U119" i="8" a="1"/>
  <c r="U119" i="8" s="1"/>
  <c r="U119" i="10" s="1" a="1"/>
  <c r="U119" i="10" s="1"/>
  <c r="U120" i="8" a="1"/>
  <c r="U120" i="8" s="1"/>
  <c r="U120" i="10" s="1" a="1"/>
  <c r="U120" i="10" s="1"/>
  <c r="U121" i="8" a="1"/>
  <c r="U121" i="8" s="1"/>
  <c r="U121" i="10" s="1" a="1"/>
  <c r="U121" i="10" s="1"/>
  <c r="U122" i="8" a="1"/>
  <c r="U122" i="8" s="1"/>
  <c r="U122" i="10" s="1" a="1"/>
  <c r="U122" i="10" s="1"/>
  <c r="U123" i="8" a="1"/>
  <c r="U123" i="8" s="1"/>
  <c r="U123" i="10" s="1" a="1"/>
  <c r="U123" i="10" s="1"/>
  <c r="U124" i="8" a="1"/>
  <c r="U124" i="8" s="1"/>
  <c r="U124" i="10" s="1" a="1"/>
  <c r="U124" i="10" s="1"/>
  <c r="U125" i="8" a="1"/>
  <c r="U125" i="8" s="1"/>
  <c r="U125" i="10" s="1" a="1"/>
  <c r="U125" i="10" s="1"/>
  <c r="U126" i="8" a="1"/>
  <c r="U126" i="8" s="1"/>
  <c r="U126" i="10" s="1" a="1"/>
  <c r="U126" i="10" s="1"/>
  <c r="U127" i="8" a="1"/>
  <c r="U127" i="8" s="1"/>
  <c r="U127" i="10" s="1" a="1"/>
  <c r="U127" i="10" s="1"/>
  <c r="U128" i="8" a="1"/>
  <c r="U128" i="8" s="1"/>
  <c r="U128" i="10" s="1" a="1"/>
  <c r="U128" i="10" s="1"/>
  <c r="U129" i="8" a="1"/>
  <c r="U129" i="8" s="1"/>
  <c r="U129" i="10" s="1" a="1"/>
  <c r="U129" i="10" s="1"/>
  <c r="U130" i="8" a="1"/>
  <c r="U130" i="8" s="1"/>
  <c r="U130" i="10" s="1" a="1"/>
  <c r="U130" i="10" s="1"/>
  <c r="U131" i="8" a="1"/>
  <c r="U131" i="8" s="1"/>
  <c r="U131" i="10" s="1" a="1"/>
  <c r="U131" i="10" s="1"/>
  <c r="U132" i="8" a="1"/>
  <c r="U132" i="8" s="1"/>
  <c r="U132" i="10" s="1" a="1"/>
  <c r="U132" i="10" s="1"/>
  <c r="U133" i="8" a="1"/>
  <c r="U133" i="8" s="1"/>
  <c r="U133" i="10" s="1" a="1"/>
  <c r="U133" i="10" s="1"/>
  <c r="U134" i="8" a="1"/>
  <c r="U134" i="8" s="1"/>
  <c r="U134" i="10" s="1" a="1"/>
  <c r="U134" i="10" s="1"/>
  <c r="U135" i="8" a="1"/>
  <c r="U135" i="8" s="1"/>
  <c r="U135" i="10" s="1" a="1"/>
  <c r="U135" i="10" s="1"/>
  <c r="U136" i="8" a="1"/>
  <c r="U136" i="8" s="1"/>
  <c r="U136" i="10" s="1" a="1"/>
  <c r="U136" i="10" s="1"/>
  <c r="U137" i="8" a="1"/>
  <c r="U137" i="8" s="1"/>
  <c r="U137" i="10" s="1" a="1"/>
  <c r="U137" i="10" s="1"/>
  <c r="U138" i="8" a="1"/>
  <c r="U138" i="8" s="1"/>
  <c r="U138" i="10" s="1" a="1"/>
  <c r="U138" i="10" s="1"/>
  <c r="U139" i="8" a="1"/>
  <c r="U139" i="8" s="1"/>
  <c r="U139" i="10" s="1" a="1"/>
  <c r="U139" i="10" s="1"/>
  <c r="U140" i="8" a="1"/>
  <c r="U140" i="8" s="1"/>
  <c r="U140" i="10" s="1" a="1"/>
  <c r="U140" i="10" s="1"/>
  <c r="U141" i="8" a="1"/>
  <c r="U141" i="8" s="1"/>
  <c r="U141" i="10" s="1" a="1"/>
  <c r="U141" i="10" s="1"/>
  <c r="U142" i="8" a="1"/>
  <c r="U142" i="8" s="1"/>
  <c r="U142" i="10" s="1" a="1"/>
  <c r="U142" i="10" s="1"/>
  <c r="U143" i="8" a="1"/>
  <c r="U143" i="8" s="1"/>
  <c r="U143" i="10" s="1" a="1"/>
  <c r="U143" i="10" s="1"/>
  <c r="U144" i="8" a="1"/>
  <c r="U144" i="8" s="1"/>
  <c r="U144" i="10" s="1" a="1"/>
  <c r="U144" i="10" s="1"/>
  <c r="U145" i="8" a="1"/>
  <c r="U145" i="8" s="1"/>
  <c r="U145" i="10" s="1" a="1"/>
  <c r="U145" i="10" s="1"/>
  <c r="U146" i="8" a="1"/>
  <c r="U146" i="8" s="1"/>
  <c r="U146" i="10" s="1" a="1"/>
  <c r="U146" i="10" s="1"/>
  <c r="U147" i="8" a="1"/>
  <c r="U147" i="8" s="1"/>
  <c r="U147" i="10" s="1" a="1"/>
  <c r="U147" i="10" s="1"/>
  <c r="U148" i="8" a="1"/>
  <c r="U148" i="8" s="1"/>
  <c r="U148" i="10" s="1" a="1"/>
  <c r="U148" i="10" s="1"/>
  <c r="U149" i="8" a="1"/>
  <c r="U149" i="8" s="1"/>
  <c r="U149" i="10" s="1" a="1"/>
  <c r="U149" i="10" s="1"/>
  <c r="U150" i="8" a="1"/>
  <c r="U150" i="8" s="1"/>
  <c r="U150" i="10" s="1" a="1"/>
  <c r="U150" i="10" s="1"/>
  <c r="U151" i="8" a="1"/>
  <c r="U151" i="8" s="1"/>
  <c r="U151" i="10" s="1" a="1"/>
  <c r="U151" i="10" s="1"/>
  <c r="U152" i="8" a="1"/>
  <c r="U152" i="8" s="1"/>
  <c r="U152" i="10" s="1" a="1"/>
  <c r="U152" i="10" s="1"/>
  <c r="U153" i="8" a="1"/>
  <c r="U153" i="8" s="1"/>
  <c r="U153" i="10" s="1" a="1"/>
  <c r="U153" i="10" s="1"/>
  <c r="U154" i="8" a="1"/>
  <c r="U154" i="8" s="1"/>
  <c r="U154" i="10" s="1" a="1"/>
  <c r="U154" i="10" s="1"/>
  <c r="U155" i="8" a="1"/>
  <c r="U155" i="8" s="1"/>
  <c r="U155" i="10" s="1" a="1"/>
  <c r="U155" i="10" s="1"/>
  <c r="U156" i="8" a="1"/>
  <c r="U156" i="8" s="1"/>
  <c r="U156" i="10" s="1" a="1"/>
  <c r="U156" i="10" s="1"/>
  <c r="U157" i="8" a="1"/>
  <c r="U157" i="8" s="1"/>
  <c r="U157" i="10" s="1" a="1"/>
  <c r="U157" i="10" s="1"/>
  <c r="U158" i="8" a="1"/>
  <c r="U158" i="8" s="1"/>
  <c r="U158" i="10" s="1" a="1"/>
  <c r="U158" i="10" s="1"/>
  <c r="U159" i="8" a="1"/>
  <c r="U159" i="8" s="1"/>
  <c r="U159" i="10" s="1" a="1"/>
  <c r="U159" i="10" s="1"/>
  <c r="U160" i="8" a="1"/>
  <c r="U160" i="8" s="1"/>
  <c r="U160" i="10" s="1" a="1"/>
  <c r="U160" i="10" s="1"/>
  <c r="U161" i="8" a="1"/>
  <c r="U161" i="8" s="1"/>
  <c r="U161" i="10" s="1" a="1"/>
  <c r="U161" i="10" s="1"/>
  <c r="U162" i="8" a="1"/>
  <c r="U162" i="8" s="1"/>
  <c r="U162" i="10" s="1" a="1"/>
  <c r="U162" i="10" s="1"/>
  <c r="U163" i="8" a="1"/>
  <c r="U163" i="8" s="1"/>
  <c r="U163" i="10" s="1" a="1"/>
  <c r="U163" i="10" s="1"/>
  <c r="U164" i="8" a="1"/>
  <c r="U164" i="8" s="1"/>
  <c r="U164" i="10" s="1" a="1"/>
  <c r="U164" i="10" s="1"/>
  <c r="U165" i="8" a="1"/>
  <c r="U165" i="8" s="1"/>
  <c r="U165" i="10" s="1" a="1"/>
  <c r="U165" i="10" s="1"/>
  <c r="U166" i="8" a="1"/>
  <c r="U166" i="8" s="1"/>
  <c r="U166" i="10" s="1" a="1"/>
  <c r="U166" i="10" s="1"/>
  <c r="U167" i="8" a="1"/>
  <c r="U167" i="8" s="1"/>
  <c r="U167" i="10" s="1" a="1"/>
  <c r="U167" i="10" s="1"/>
  <c r="U168" i="8" a="1"/>
  <c r="U168" i="8" s="1"/>
  <c r="U168" i="10" s="1" a="1"/>
  <c r="U168" i="10" s="1"/>
  <c r="U169" i="8" a="1"/>
  <c r="U169" i="8" s="1"/>
  <c r="U169" i="10" s="1" a="1"/>
  <c r="U169" i="10" s="1"/>
  <c r="U170" i="8" a="1"/>
  <c r="U170" i="8" s="1"/>
  <c r="U170" i="10" s="1" a="1"/>
  <c r="U170" i="10" s="1"/>
  <c r="U171" i="8" a="1"/>
  <c r="U171" i="8" s="1"/>
  <c r="U171" i="10" s="1" a="1"/>
  <c r="U171" i="10" s="1"/>
  <c r="U172" i="8" a="1"/>
  <c r="U172" i="8" s="1"/>
  <c r="U172" i="10" s="1" a="1"/>
  <c r="U172" i="10" s="1"/>
  <c r="U173" i="8" a="1"/>
  <c r="U173" i="8" s="1"/>
  <c r="U173" i="10" s="1" a="1"/>
  <c r="U173" i="10" s="1"/>
  <c r="U174" i="8" a="1"/>
  <c r="U174" i="8" s="1"/>
  <c r="U174" i="10" s="1" a="1"/>
  <c r="U174" i="10" s="1"/>
  <c r="U175" i="8" a="1"/>
  <c r="U175" i="8" s="1"/>
  <c r="U175" i="10" s="1" a="1"/>
  <c r="U175" i="10" s="1"/>
  <c r="U176" i="8" a="1"/>
  <c r="U176" i="8" s="1"/>
  <c r="U176" i="10" s="1" a="1"/>
  <c r="U176" i="10" s="1"/>
  <c r="U177" i="8" a="1"/>
  <c r="U177" i="8" s="1"/>
  <c r="U177" i="10" s="1" a="1"/>
  <c r="U177" i="10" s="1"/>
  <c r="U178" i="8" a="1"/>
  <c r="U178" i="8" s="1"/>
  <c r="U178" i="10" s="1" a="1"/>
  <c r="U178" i="10" s="1"/>
  <c r="U179" i="8" a="1"/>
  <c r="U179" i="8" s="1"/>
  <c r="U179" i="10" s="1" a="1"/>
  <c r="U179" i="10" s="1"/>
  <c r="U180" i="8" a="1"/>
  <c r="U180" i="8" s="1"/>
  <c r="U180" i="10" s="1" a="1"/>
  <c r="U180" i="10" s="1"/>
  <c r="U181" i="8" a="1"/>
  <c r="U181" i="8" s="1"/>
  <c r="U181" i="10" s="1" a="1"/>
  <c r="U181" i="10" s="1"/>
  <c r="U182" i="8" a="1"/>
  <c r="U182" i="8" s="1"/>
  <c r="U182" i="10" s="1" a="1"/>
  <c r="U182" i="10" s="1"/>
  <c r="U183" i="8" a="1"/>
  <c r="U183" i="8" s="1"/>
  <c r="U183" i="10" s="1" a="1"/>
  <c r="U183" i="10" s="1"/>
  <c r="U184" i="8" a="1"/>
  <c r="U184" i="8" s="1"/>
  <c r="U184" i="10" s="1" a="1"/>
  <c r="U184" i="10" s="1"/>
  <c r="U185" i="8" a="1"/>
  <c r="U185" i="8" s="1"/>
  <c r="U185" i="10" s="1" a="1"/>
  <c r="U185" i="10" s="1"/>
  <c r="U186" i="8" a="1"/>
  <c r="U186" i="8" s="1"/>
  <c r="U186" i="10" s="1" a="1"/>
  <c r="U186" i="10" s="1"/>
  <c r="U187" i="8" a="1"/>
  <c r="U187" i="8" s="1"/>
  <c r="U187" i="10" s="1" a="1"/>
  <c r="U187" i="10" s="1"/>
  <c r="U188" i="8" a="1"/>
  <c r="U188" i="8" s="1"/>
  <c r="U188" i="10" s="1" a="1"/>
  <c r="U188" i="10" s="1"/>
  <c r="U189" i="8" a="1"/>
  <c r="U189" i="8" s="1"/>
  <c r="U189" i="10" s="1" a="1"/>
  <c r="U189" i="10" s="1"/>
  <c r="U190" i="8" a="1"/>
  <c r="U190" i="8" s="1"/>
  <c r="U190" i="10" s="1" a="1"/>
  <c r="U190" i="10" s="1"/>
  <c r="U191" i="8" a="1"/>
  <c r="U191" i="8" s="1"/>
  <c r="U191" i="10" s="1" a="1"/>
  <c r="U191" i="10" s="1"/>
  <c r="U192" i="8" a="1"/>
  <c r="U192" i="8" s="1"/>
  <c r="U192" i="10" s="1" a="1"/>
  <c r="U192" i="10" s="1"/>
  <c r="U193" i="8" a="1"/>
  <c r="U193" i="8" s="1"/>
  <c r="U193" i="10" s="1" a="1"/>
  <c r="U193" i="10" s="1"/>
  <c r="U194" i="8" a="1"/>
  <c r="U194" i="8" s="1"/>
  <c r="U194" i="10" s="1" a="1"/>
  <c r="U194" i="10" s="1"/>
  <c r="U195" i="8" a="1"/>
  <c r="U195" i="8" s="1"/>
  <c r="U195" i="10" s="1" a="1"/>
  <c r="U195" i="10" s="1"/>
  <c r="U196" i="8" a="1"/>
  <c r="U196" i="8" s="1"/>
  <c r="U196" i="10" s="1" a="1"/>
  <c r="U196" i="10" s="1"/>
  <c r="U197" i="8" a="1"/>
  <c r="U197" i="8" s="1"/>
  <c r="U197" i="10" s="1" a="1"/>
  <c r="U197" i="10" s="1"/>
  <c r="U198" i="8" a="1"/>
  <c r="U198" i="8" s="1"/>
  <c r="U198" i="10" s="1" a="1"/>
  <c r="U198" i="10" s="1"/>
  <c r="U199" i="8" a="1"/>
  <c r="U199" i="8" s="1"/>
  <c r="U199" i="10" s="1" a="1"/>
  <c r="U199" i="10" s="1"/>
  <c r="U200" i="8" a="1"/>
  <c r="U200" i="8" s="1"/>
  <c r="U200" i="10" s="1" a="1"/>
  <c r="U200" i="10" s="1"/>
  <c r="U201" i="8" a="1"/>
  <c r="U201" i="8" s="1"/>
  <c r="U201" i="10" s="1" a="1"/>
  <c r="U201" i="10" s="1"/>
  <c r="U202" i="8" a="1"/>
  <c r="U202" i="8" s="1"/>
  <c r="U202" i="10" s="1" a="1"/>
  <c r="U202" i="10" s="1"/>
  <c r="U203" i="8" a="1"/>
  <c r="U203" i="8" s="1"/>
  <c r="U203" i="10" s="1" a="1"/>
  <c r="U203" i="10" s="1"/>
  <c r="U204" i="8" a="1"/>
  <c r="U204" i="8" s="1"/>
  <c r="U204" i="10" s="1" a="1"/>
  <c r="U204" i="10" s="1"/>
  <c r="U205" i="8" a="1"/>
  <c r="U205" i="8" s="1"/>
  <c r="U205" i="10" s="1" a="1"/>
  <c r="U205" i="10" s="1"/>
  <c r="U206" i="8" a="1"/>
  <c r="U206" i="8" s="1"/>
  <c r="U206" i="10" s="1" a="1"/>
  <c r="U206" i="10" s="1"/>
  <c r="U207" i="8" a="1"/>
  <c r="U207" i="8" s="1"/>
  <c r="U207" i="10" s="1" a="1"/>
  <c r="U207" i="10" s="1"/>
  <c r="U208" i="8" a="1"/>
  <c r="U208" i="8" s="1"/>
  <c r="U208" i="10" s="1" a="1"/>
  <c r="U208" i="10" s="1"/>
  <c r="U209" i="8" a="1"/>
  <c r="U209" i="8" s="1"/>
  <c r="U209" i="10" s="1" a="1"/>
  <c r="U209" i="10" s="1"/>
  <c r="U210" i="8" a="1"/>
  <c r="U210" i="8" s="1"/>
  <c r="U210" i="10" s="1" a="1"/>
  <c r="U210" i="10" s="1"/>
  <c r="U211" i="8" a="1"/>
  <c r="U211" i="8" s="1"/>
  <c r="U211" i="10" s="1" a="1"/>
  <c r="U211" i="10" s="1"/>
  <c r="U212" i="8" a="1"/>
  <c r="U212" i="8" s="1"/>
  <c r="U212" i="10" s="1" a="1"/>
  <c r="U212" i="10" s="1"/>
  <c r="U213" i="8" a="1"/>
  <c r="U213" i="8" s="1"/>
  <c r="U213" i="10" s="1" a="1"/>
  <c r="U213" i="10" s="1"/>
  <c r="U214" i="8" a="1"/>
  <c r="U214" i="8" s="1"/>
  <c r="U214" i="10" s="1" a="1"/>
  <c r="U214" i="10" s="1"/>
  <c r="U215" i="8" a="1"/>
  <c r="U215" i="8" s="1"/>
  <c r="U215" i="10" s="1" a="1"/>
  <c r="U215" i="10" s="1"/>
  <c r="U216" i="8" a="1"/>
  <c r="U216" i="8" s="1"/>
  <c r="U216" i="10" s="1" a="1"/>
  <c r="U216" i="10" s="1"/>
  <c r="U217" i="8" a="1"/>
  <c r="U217" i="8" s="1"/>
  <c r="U217" i="10" s="1" a="1"/>
  <c r="U217" i="10" s="1"/>
  <c r="U218" i="8" a="1"/>
  <c r="U218" i="8" s="1"/>
  <c r="U218" i="10" s="1" a="1"/>
  <c r="U218" i="10" s="1"/>
  <c r="U219" i="8" a="1"/>
  <c r="U219" i="8" s="1"/>
  <c r="U219" i="10" s="1" a="1"/>
  <c r="U219" i="10" s="1"/>
  <c r="U220" i="8" a="1"/>
  <c r="U220" i="8" s="1"/>
  <c r="U220" i="10" s="1" a="1"/>
  <c r="U220" i="10" s="1"/>
  <c r="U221" i="8" a="1"/>
  <c r="U221" i="8" s="1"/>
  <c r="U221" i="10" s="1" a="1"/>
  <c r="U221" i="10" s="1"/>
  <c r="U222" i="8" a="1"/>
  <c r="U222" i="8" s="1"/>
  <c r="U222" i="10" s="1" a="1"/>
  <c r="U222" i="10" s="1"/>
  <c r="U223" i="8" a="1"/>
  <c r="U223" i="8" s="1"/>
  <c r="U223" i="10" s="1" a="1"/>
  <c r="U223" i="10" s="1"/>
  <c r="U224" i="8" a="1"/>
  <c r="U224" i="8" s="1"/>
  <c r="U224" i="10" s="1" a="1"/>
  <c r="U224" i="10" s="1"/>
  <c r="U225" i="8" a="1"/>
  <c r="U225" i="8" s="1"/>
  <c r="U225" i="10" s="1" a="1"/>
  <c r="U225" i="10" s="1"/>
  <c r="U226" i="8" a="1"/>
  <c r="U226" i="8" s="1"/>
  <c r="U226" i="10" s="1" a="1"/>
  <c r="U226" i="10" s="1"/>
  <c r="U227" i="8" a="1"/>
  <c r="U227" i="8" s="1"/>
  <c r="U227" i="10" s="1" a="1"/>
  <c r="U227" i="10" s="1"/>
  <c r="U228" i="8" a="1"/>
  <c r="U228" i="8" s="1"/>
  <c r="U228" i="10" s="1" a="1"/>
  <c r="U228" i="10" s="1"/>
  <c r="U229" i="8" a="1"/>
  <c r="U229" i="8" s="1"/>
  <c r="U229" i="10" s="1" a="1"/>
  <c r="U229" i="10" s="1"/>
  <c r="U230" i="8" a="1"/>
  <c r="U230" i="8" s="1"/>
  <c r="U230" i="10" s="1" a="1"/>
  <c r="U230" i="10" s="1"/>
  <c r="U231" i="8" a="1"/>
  <c r="U231" i="8" s="1"/>
  <c r="U231" i="10" s="1" a="1"/>
  <c r="U231" i="10" s="1"/>
  <c r="U232" i="8" a="1"/>
  <c r="U232" i="8" s="1"/>
  <c r="U232" i="10" s="1" a="1"/>
  <c r="U232" i="10" s="1"/>
  <c r="U233" i="8" a="1"/>
  <c r="U233" i="8" s="1"/>
  <c r="U233" i="10" s="1" a="1"/>
  <c r="U233" i="10" s="1"/>
  <c r="U234" i="8" a="1"/>
  <c r="U234" i="8" s="1"/>
  <c r="U234" i="10" s="1" a="1"/>
  <c r="U234" i="10" s="1"/>
  <c r="U235" i="8" a="1"/>
  <c r="U235" i="8" s="1"/>
  <c r="U235" i="10" s="1" a="1"/>
  <c r="U235" i="10" s="1"/>
  <c r="U236" i="8" a="1"/>
  <c r="U236" i="8" s="1"/>
  <c r="U236" i="10" s="1" a="1"/>
  <c r="U236" i="10" s="1"/>
  <c r="U237" i="8" a="1"/>
  <c r="U237" i="8" s="1"/>
  <c r="U237" i="10" s="1" a="1"/>
  <c r="U237" i="10" s="1"/>
  <c r="U238" i="8" a="1"/>
  <c r="U238" i="8" s="1"/>
  <c r="U238" i="10" s="1" a="1"/>
  <c r="U238" i="10" s="1"/>
  <c r="U239" i="8" a="1"/>
  <c r="U239" i="8" s="1"/>
  <c r="U239" i="10" s="1" a="1"/>
  <c r="U239" i="10" s="1"/>
  <c r="U240" i="8" a="1"/>
  <c r="U240" i="8" s="1"/>
  <c r="U240" i="10" s="1" a="1"/>
  <c r="U240" i="10" s="1"/>
  <c r="U241" i="8" a="1"/>
  <c r="U241" i="8" s="1"/>
  <c r="U241" i="10" s="1" a="1"/>
  <c r="U241" i="10" s="1"/>
  <c r="U242" i="8" a="1"/>
  <c r="U242" i="8" s="1"/>
  <c r="U242" i="10" s="1" a="1"/>
  <c r="U242" i="10" s="1"/>
  <c r="U243" i="8" a="1"/>
  <c r="U243" i="8" s="1"/>
  <c r="U243" i="10" s="1" a="1"/>
  <c r="U243" i="10" s="1"/>
  <c r="U244" i="8" a="1"/>
  <c r="U244" i="8" s="1"/>
  <c r="U244" i="10" s="1" a="1"/>
  <c r="U244" i="10" s="1"/>
  <c r="U245" i="8" a="1"/>
  <c r="U245" i="8" s="1"/>
  <c r="U245" i="10" s="1" a="1"/>
  <c r="U245" i="10" s="1"/>
  <c r="U246" i="8" a="1"/>
  <c r="U246" i="8" s="1"/>
  <c r="U246" i="10" s="1" a="1"/>
  <c r="U246" i="10" s="1"/>
  <c r="U247" i="8" a="1"/>
  <c r="U247" i="8" s="1"/>
  <c r="U247" i="10" s="1" a="1"/>
  <c r="U247" i="10" s="1"/>
  <c r="U248" i="8" a="1"/>
  <c r="U248" i="8" s="1"/>
  <c r="U248" i="10" s="1" a="1"/>
  <c r="U248" i="10" s="1"/>
  <c r="U249" i="8" a="1"/>
  <c r="U249" i="8" s="1"/>
  <c r="U249" i="10" s="1" a="1"/>
  <c r="U249" i="10" s="1"/>
  <c r="U250" i="8" a="1"/>
  <c r="U250" i="8" s="1"/>
  <c r="U250" i="10" s="1" a="1"/>
  <c r="U250" i="10" s="1"/>
  <c r="U251" i="8" a="1"/>
  <c r="U251" i="8" s="1"/>
  <c r="U251" i="10" s="1" a="1"/>
  <c r="U251" i="10" s="1"/>
  <c r="U12" i="8" a="1"/>
  <c r="U12" i="8" s="1"/>
  <c r="U12" i="10" s="1" a="1"/>
  <c r="U12" i="10" s="1"/>
  <c r="F12" i="8" a="1"/>
  <c r="F12" i="8" s="1"/>
  <c r="D12" i="8" a="1"/>
  <c r="D12" i="8" s="1"/>
  <c r="C12" i="8" a="1"/>
  <c r="C12" i="8" s="1"/>
  <c r="C12" i="10" s="1" a="1"/>
  <c r="C12" i="10" s="1"/>
  <c r="B12" i="8" a="1"/>
  <c r="B12" i="8" s="1"/>
  <c r="O13" i="8" l="1" a="1"/>
  <c r="O13" i="8" s="1"/>
  <c r="O14" i="8" a="1"/>
  <c r="O14" i="8" s="1"/>
  <c r="O15" i="8" a="1"/>
  <c r="O15" i="8" s="1"/>
  <c r="O16" i="8" a="1"/>
  <c r="O16" i="8" s="1"/>
  <c r="O17" i="8" a="1"/>
  <c r="O17" i="8" s="1"/>
  <c r="O18" i="8" a="1"/>
  <c r="O18" i="8" s="1"/>
  <c r="O19" i="8" a="1"/>
  <c r="O19" i="8" s="1"/>
  <c r="O20" i="8" a="1"/>
  <c r="O20" i="8" s="1"/>
  <c r="O21" i="8" a="1"/>
  <c r="O21" i="8" s="1"/>
  <c r="O22" i="8" a="1"/>
  <c r="O22" i="8" s="1"/>
  <c r="O23" i="8" a="1"/>
  <c r="O23" i="8" s="1"/>
  <c r="O24" i="8" a="1"/>
  <c r="O24" i="8" s="1"/>
  <c r="O25" i="8" a="1"/>
  <c r="O25" i="8" s="1"/>
  <c r="O26" i="8" a="1"/>
  <c r="O26" i="8" s="1"/>
  <c r="O27" i="8" a="1"/>
  <c r="O27" i="8" s="1"/>
  <c r="O28" i="8" a="1"/>
  <c r="O28" i="8" s="1"/>
  <c r="O29" i="8" a="1"/>
  <c r="O29" i="8" s="1"/>
  <c r="O30" i="8" a="1"/>
  <c r="O30" i="8" s="1"/>
  <c r="O31" i="8" a="1"/>
  <c r="O31" i="8" s="1"/>
  <c r="O32" i="8" a="1"/>
  <c r="O32" i="8" s="1"/>
  <c r="O33" i="8" a="1"/>
  <c r="O33" i="8" s="1"/>
  <c r="O34" i="8" a="1"/>
  <c r="O34" i="8" s="1"/>
  <c r="O35" i="8" a="1"/>
  <c r="O35" i="8" s="1"/>
  <c r="O36" i="8" a="1"/>
  <c r="O36" i="8" s="1"/>
  <c r="O37" i="8" a="1"/>
  <c r="O37" i="8" s="1"/>
  <c r="O38" i="8" a="1"/>
  <c r="O38" i="8" s="1"/>
  <c r="O39" i="8" a="1"/>
  <c r="O39" i="8" s="1"/>
  <c r="O40" i="8" a="1"/>
  <c r="O40" i="8" s="1"/>
  <c r="O41" i="8" a="1"/>
  <c r="O41" i="8" s="1"/>
  <c r="O42" i="8" a="1"/>
  <c r="O42" i="8" s="1"/>
  <c r="O43" i="8" a="1"/>
  <c r="O43" i="8" s="1"/>
  <c r="O44" i="8" a="1"/>
  <c r="O44" i="8" s="1"/>
  <c r="O45" i="8" a="1"/>
  <c r="O45" i="8" s="1"/>
  <c r="O46" i="8" a="1"/>
  <c r="O46" i="8" s="1"/>
  <c r="O47" i="8" a="1"/>
  <c r="O47" i="8" s="1"/>
  <c r="O48" i="8" a="1"/>
  <c r="O48" i="8" s="1"/>
  <c r="O49" i="8" a="1"/>
  <c r="O49" i="8" s="1"/>
  <c r="O50" i="8" a="1"/>
  <c r="O50" i="8" s="1"/>
  <c r="O51" i="8" a="1"/>
  <c r="O51" i="8" s="1"/>
  <c r="O52" i="8" a="1"/>
  <c r="O52" i="8" s="1"/>
  <c r="O53" i="8" a="1"/>
  <c r="O53" i="8" s="1"/>
  <c r="O54" i="8" a="1"/>
  <c r="O54" i="8" s="1"/>
  <c r="O55" i="8" a="1"/>
  <c r="O55" i="8" s="1"/>
  <c r="O56" i="8" a="1"/>
  <c r="O56" i="8" s="1"/>
  <c r="O57" i="8" a="1"/>
  <c r="O57" i="8" s="1"/>
  <c r="O58" i="8" a="1"/>
  <c r="O58" i="8" s="1"/>
  <c r="O59" i="8" a="1"/>
  <c r="O59" i="8" s="1"/>
  <c r="O60" i="8" a="1"/>
  <c r="O60" i="8" s="1"/>
  <c r="O61" i="8" a="1"/>
  <c r="O61" i="8" s="1"/>
  <c r="O62" i="8" a="1"/>
  <c r="O62" i="8" s="1"/>
  <c r="O63" i="8" a="1"/>
  <c r="O63" i="8" s="1"/>
  <c r="O64" i="8" a="1"/>
  <c r="O64" i="8" s="1"/>
  <c r="O65" i="8" a="1"/>
  <c r="O65" i="8" s="1"/>
  <c r="O66" i="8" a="1"/>
  <c r="O66" i="8" s="1"/>
  <c r="O67" i="8" a="1"/>
  <c r="O67" i="8" s="1"/>
  <c r="O68" i="8" a="1"/>
  <c r="O68" i="8" s="1"/>
  <c r="O69" i="8" a="1"/>
  <c r="O69" i="8" s="1"/>
  <c r="O70" i="8" a="1"/>
  <c r="O70" i="8" s="1"/>
  <c r="O71" i="8" a="1"/>
  <c r="O71" i="8" s="1"/>
  <c r="O72" i="8" a="1"/>
  <c r="O72" i="8" s="1"/>
  <c r="O73" i="8" a="1"/>
  <c r="O73" i="8" s="1"/>
  <c r="O74" i="8" a="1"/>
  <c r="O74" i="8" s="1"/>
  <c r="O75" i="8" a="1"/>
  <c r="O75" i="8" s="1"/>
  <c r="O76" i="8" a="1"/>
  <c r="O76" i="8" s="1"/>
  <c r="O77" i="8" a="1"/>
  <c r="O77" i="8" s="1"/>
  <c r="O78" i="8" a="1"/>
  <c r="O78" i="8" s="1"/>
  <c r="O79" i="8" a="1"/>
  <c r="O79" i="8" s="1"/>
  <c r="O80" i="8" a="1"/>
  <c r="O80" i="8" s="1"/>
  <c r="O81" i="8" a="1"/>
  <c r="O81" i="8" s="1"/>
  <c r="O82" i="8" a="1"/>
  <c r="O82" i="8" s="1"/>
  <c r="O83" i="8" a="1"/>
  <c r="O83" i="8" s="1"/>
  <c r="O84" i="8" a="1"/>
  <c r="O84" i="8" s="1"/>
  <c r="O85" i="8" a="1"/>
  <c r="O85" i="8" s="1"/>
  <c r="O86" i="8" a="1"/>
  <c r="O86" i="8" s="1"/>
  <c r="O87" i="8" a="1"/>
  <c r="O87" i="8" s="1"/>
  <c r="O88" i="8" a="1"/>
  <c r="O88" i="8" s="1"/>
  <c r="O89" i="8" a="1"/>
  <c r="O89" i="8" s="1"/>
  <c r="O90" i="8" a="1"/>
  <c r="O90" i="8" s="1"/>
  <c r="O91" i="8" a="1"/>
  <c r="O91" i="8" s="1"/>
  <c r="O92" i="8" a="1"/>
  <c r="O92" i="8" s="1"/>
  <c r="O93" i="8" a="1"/>
  <c r="O93" i="8" s="1"/>
  <c r="O94" i="8" a="1"/>
  <c r="O94" i="8" s="1"/>
  <c r="O95" i="8" a="1"/>
  <c r="O95" i="8" s="1"/>
  <c r="O96" i="8" a="1"/>
  <c r="O96" i="8" s="1"/>
  <c r="O97" i="8" a="1"/>
  <c r="O97" i="8" s="1"/>
  <c r="O98" i="8" a="1"/>
  <c r="O98" i="8" s="1"/>
  <c r="O99" i="8" a="1"/>
  <c r="O99" i="8" s="1"/>
  <c r="O100" i="8" a="1"/>
  <c r="O100" i="8" s="1"/>
  <c r="O101" i="8" a="1"/>
  <c r="O101" i="8" s="1"/>
  <c r="O102" i="8" a="1"/>
  <c r="O102" i="8" s="1"/>
  <c r="O103" i="8" a="1"/>
  <c r="O103" i="8" s="1"/>
  <c r="O104" i="8" a="1"/>
  <c r="O104" i="8" s="1"/>
  <c r="O105" i="8" a="1"/>
  <c r="O105" i="8" s="1"/>
  <c r="O106" i="8" a="1"/>
  <c r="O106" i="8" s="1"/>
  <c r="O107" i="8" a="1"/>
  <c r="O107" i="8" s="1"/>
  <c r="O108" i="8" a="1"/>
  <c r="O108" i="8" s="1"/>
  <c r="O109" i="8" a="1"/>
  <c r="O109" i="8" s="1"/>
  <c r="O110" i="8" a="1"/>
  <c r="O110" i="8" s="1"/>
  <c r="O111" i="8" a="1"/>
  <c r="O111" i="8" s="1"/>
  <c r="O112" i="8" a="1"/>
  <c r="O112" i="8" s="1"/>
  <c r="O113" i="8" a="1"/>
  <c r="O113" i="8" s="1"/>
  <c r="O114" i="8" a="1"/>
  <c r="O114" i="8" s="1"/>
  <c r="O115" i="8" a="1"/>
  <c r="O115" i="8" s="1"/>
  <c r="O116" i="8" a="1"/>
  <c r="O116" i="8" s="1"/>
  <c r="O117" i="8" a="1"/>
  <c r="O117" i="8" s="1"/>
  <c r="O118" i="8" a="1"/>
  <c r="O118" i="8" s="1"/>
  <c r="O119" i="8" a="1"/>
  <c r="O119" i="8" s="1"/>
  <c r="O120" i="8" a="1"/>
  <c r="O120" i="8" s="1"/>
  <c r="O121" i="8" a="1"/>
  <c r="O121" i="8" s="1"/>
  <c r="O122" i="8" a="1"/>
  <c r="O122" i="8" s="1"/>
  <c r="O123" i="8" a="1"/>
  <c r="O123" i="8" s="1"/>
  <c r="O124" i="8" a="1"/>
  <c r="O124" i="8" s="1"/>
  <c r="O125" i="8" a="1"/>
  <c r="O125" i="8" s="1"/>
  <c r="O126" i="8" a="1"/>
  <c r="O126" i="8" s="1"/>
  <c r="O127" i="8" a="1"/>
  <c r="O127" i="8" s="1"/>
  <c r="O128" i="8" a="1"/>
  <c r="O128" i="8" s="1"/>
  <c r="O129" i="8" a="1"/>
  <c r="O129" i="8" s="1"/>
  <c r="O130" i="8" a="1"/>
  <c r="O130" i="8" s="1"/>
  <c r="O131" i="8" a="1"/>
  <c r="O131" i="8" s="1"/>
  <c r="O132" i="8" a="1"/>
  <c r="O132" i="8" s="1"/>
  <c r="O133" i="8" a="1"/>
  <c r="O133" i="8" s="1"/>
  <c r="O134" i="8" a="1"/>
  <c r="O134" i="8" s="1"/>
  <c r="O135" i="8" a="1"/>
  <c r="O135" i="8" s="1"/>
  <c r="O136" i="8" a="1"/>
  <c r="O136" i="8" s="1"/>
  <c r="O137" i="8" a="1"/>
  <c r="O137" i="8" s="1"/>
  <c r="O138" i="8" a="1"/>
  <c r="O138" i="8" s="1"/>
  <c r="O139" i="8" a="1"/>
  <c r="O139" i="8" s="1"/>
  <c r="O140" i="8" a="1"/>
  <c r="O140" i="8" s="1"/>
  <c r="O141" i="8" a="1"/>
  <c r="O141" i="8" s="1"/>
  <c r="O142" i="8" a="1"/>
  <c r="O142" i="8" s="1"/>
  <c r="O143" i="8" a="1"/>
  <c r="O143" i="8" s="1"/>
  <c r="O144" i="8" a="1"/>
  <c r="O144" i="8" s="1"/>
  <c r="O145" i="8" a="1"/>
  <c r="O145" i="8" s="1"/>
  <c r="O146" i="8" a="1"/>
  <c r="O146" i="8" s="1"/>
  <c r="O147" i="8" a="1"/>
  <c r="O147" i="8" s="1"/>
  <c r="O148" i="8" a="1"/>
  <c r="O148" i="8" s="1"/>
  <c r="O149" i="8" a="1"/>
  <c r="O149" i="8" s="1"/>
  <c r="O150" i="8" a="1"/>
  <c r="O150" i="8" s="1"/>
  <c r="O151" i="8" a="1"/>
  <c r="O151" i="8" s="1"/>
  <c r="O152" i="8" a="1"/>
  <c r="O152" i="8" s="1"/>
  <c r="O153" i="8" a="1"/>
  <c r="O153" i="8" s="1"/>
  <c r="O154" i="8" a="1"/>
  <c r="O154" i="8" s="1"/>
  <c r="O155" i="8" a="1"/>
  <c r="O155" i="8" s="1"/>
  <c r="O156" i="8" a="1"/>
  <c r="O156" i="8" s="1"/>
  <c r="O157" i="8" a="1"/>
  <c r="O157" i="8" s="1"/>
  <c r="O158" i="8" a="1"/>
  <c r="O158" i="8" s="1"/>
  <c r="O159" i="8" a="1"/>
  <c r="O159" i="8" s="1"/>
  <c r="O160" i="8" a="1"/>
  <c r="O160" i="8" s="1"/>
  <c r="O161" i="8" a="1"/>
  <c r="O161" i="8" s="1"/>
  <c r="O162" i="8" a="1"/>
  <c r="O162" i="8" s="1"/>
  <c r="O163" i="8" a="1"/>
  <c r="O163" i="8" s="1"/>
  <c r="O164" i="8" a="1"/>
  <c r="O164" i="8" s="1"/>
  <c r="O165" i="8" a="1"/>
  <c r="O165" i="8" s="1"/>
  <c r="O166" i="8" a="1"/>
  <c r="O166" i="8" s="1"/>
  <c r="O167" i="8" a="1"/>
  <c r="O167" i="8" s="1"/>
  <c r="O168" i="8" a="1"/>
  <c r="O168" i="8" s="1"/>
  <c r="O169" i="8" a="1"/>
  <c r="O169" i="8" s="1"/>
  <c r="O170" i="8" a="1"/>
  <c r="O170" i="8" s="1"/>
  <c r="O171" i="8" a="1"/>
  <c r="O171" i="8" s="1"/>
  <c r="O172" i="8" a="1"/>
  <c r="O172" i="8" s="1"/>
  <c r="O173" i="8" a="1"/>
  <c r="O173" i="8" s="1"/>
  <c r="O174" i="8" a="1"/>
  <c r="O174" i="8" s="1"/>
  <c r="O175" i="8" a="1"/>
  <c r="O175" i="8" s="1"/>
  <c r="O176" i="8" a="1"/>
  <c r="O176" i="8" s="1"/>
  <c r="O177" i="8" a="1"/>
  <c r="O177" i="8" s="1"/>
  <c r="O178" i="8" a="1"/>
  <c r="O178" i="8" s="1"/>
  <c r="O179" i="8" a="1"/>
  <c r="O179" i="8" s="1"/>
  <c r="O180" i="8" a="1"/>
  <c r="O180" i="8" s="1"/>
  <c r="O181" i="8" a="1"/>
  <c r="O181" i="8" s="1"/>
  <c r="O182" i="8" a="1"/>
  <c r="O182" i="8" s="1"/>
  <c r="O183" i="8" a="1"/>
  <c r="O183" i="8" s="1"/>
  <c r="O184" i="8" a="1"/>
  <c r="O184" i="8" s="1"/>
  <c r="O185" i="8" a="1"/>
  <c r="O185" i="8" s="1"/>
  <c r="O186" i="8" a="1"/>
  <c r="O186" i="8" s="1"/>
  <c r="O187" i="8" a="1"/>
  <c r="O187" i="8" s="1"/>
  <c r="O188" i="8" a="1"/>
  <c r="O188" i="8" s="1"/>
  <c r="O189" i="8" a="1"/>
  <c r="O189" i="8" s="1"/>
  <c r="O190" i="8" a="1"/>
  <c r="O190" i="8" s="1"/>
  <c r="O191" i="8" a="1"/>
  <c r="O191" i="8" s="1"/>
  <c r="O192" i="8" a="1"/>
  <c r="O192" i="8" s="1"/>
  <c r="O193" i="8" a="1"/>
  <c r="O193" i="8" s="1"/>
  <c r="O194" i="8" a="1"/>
  <c r="O194" i="8" s="1"/>
  <c r="O195" i="8" a="1"/>
  <c r="O195" i="8" s="1"/>
  <c r="O196" i="8" a="1"/>
  <c r="O196" i="8" s="1"/>
  <c r="O197" i="8" a="1"/>
  <c r="O197" i="8" s="1"/>
  <c r="O198" i="8" a="1"/>
  <c r="O198" i="8" s="1"/>
  <c r="O199" i="8" a="1"/>
  <c r="O199" i="8" s="1"/>
  <c r="O200" i="8" a="1"/>
  <c r="O200" i="8" s="1"/>
  <c r="O201" i="8" a="1"/>
  <c r="O201" i="8" s="1"/>
  <c r="O202" i="8" a="1"/>
  <c r="O202" i="8" s="1"/>
  <c r="O203" i="8" a="1"/>
  <c r="O203" i="8" s="1"/>
  <c r="O204" i="8" a="1"/>
  <c r="O204" i="8" s="1"/>
  <c r="O205" i="8" a="1"/>
  <c r="O205" i="8" s="1"/>
  <c r="O206" i="8" a="1"/>
  <c r="O206" i="8" s="1"/>
  <c r="O207" i="8" a="1"/>
  <c r="O207" i="8" s="1"/>
  <c r="O208" i="8" a="1"/>
  <c r="O208" i="8" s="1"/>
  <c r="O209" i="8" a="1"/>
  <c r="O209" i="8" s="1"/>
  <c r="O210" i="8" a="1"/>
  <c r="O210" i="8" s="1"/>
  <c r="O211" i="8" a="1"/>
  <c r="O211" i="8" s="1"/>
  <c r="O212" i="8" a="1"/>
  <c r="O212" i="8" s="1"/>
  <c r="O213" i="8" a="1"/>
  <c r="O213" i="8" s="1"/>
  <c r="O214" i="8" a="1"/>
  <c r="O214" i="8" s="1"/>
  <c r="O215" i="8" a="1"/>
  <c r="O215" i="8" s="1"/>
  <c r="O216" i="8" a="1"/>
  <c r="O216" i="8" s="1"/>
  <c r="O217" i="8" a="1"/>
  <c r="O217" i="8" s="1"/>
  <c r="O218" i="8" a="1"/>
  <c r="O218" i="8" s="1"/>
  <c r="O219" i="8" a="1"/>
  <c r="O219" i="8" s="1"/>
  <c r="O220" i="8" a="1"/>
  <c r="O220" i="8" s="1"/>
  <c r="O221" i="8" a="1"/>
  <c r="O221" i="8" s="1"/>
  <c r="O222" i="8" a="1"/>
  <c r="O222" i="8" s="1"/>
  <c r="O223" i="8" a="1"/>
  <c r="O223" i="8" s="1"/>
  <c r="O224" i="8" a="1"/>
  <c r="O224" i="8" s="1"/>
  <c r="O225" i="8" a="1"/>
  <c r="O225" i="8" s="1"/>
  <c r="O226" i="8" a="1"/>
  <c r="O226" i="8" s="1"/>
  <c r="O227" i="8" a="1"/>
  <c r="O227" i="8" s="1"/>
  <c r="O228" i="8" a="1"/>
  <c r="O228" i="8" s="1"/>
  <c r="O229" i="8" a="1"/>
  <c r="O229" i="8" s="1"/>
  <c r="O230" i="8" a="1"/>
  <c r="O230" i="8" s="1"/>
  <c r="O231" i="8" a="1"/>
  <c r="O231" i="8" s="1"/>
  <c r="O232" i="8" a="1"/>
  <c r="O232" i="8" s="1"/>
  <c r="O233" i="8" a="1"/>
  <c r="O233" i="8" s="1"/>
  <c r="O234" i="8" a="1"/>
  <c r="O234" i="8" s="1"/>
  <c r="O235" i="8" a="1"/>
  <c r="O235" i="8" s="1"/>
  <c r="O236" i="8" a="1"/>
  <c r="O236" i="8" s="1"/>
  <c r="O237" i="8" a="1"/>
  <c r="O237" i="8" s="1"/>
  <c r="O238" i="8" a="1"/>
  <c r="O238" i="8" s="1"/>
  <c r="O239" i="8" a="1"/>
  <c r="O239" i="8" s="1"/>
  <c r="O240" i="8" a="1"/>
  <c r="O240" i="8" s="1"/>
  <c r="O241" i="8" a="1"/>
  <c r="O241" i="8" s="1"/>
  <c r="O242" i="8" a="1"/>
  <c r="O242" i="8" s="1"/>
  <c r="O243" i="8" a="1"/>
  <c r="O243" i="8" s="1"/>
  <c r="O244" i="8" a="1"/>
  <c r="O244" i="8" s="1"/>
  <c r="O245" i="8" a="1"/>
  <c r="O245" i="8" s="1"/>
  <c r="O246" i="8" a="1"/>
  <c r="O246" i="8" s="1"/>
  <c r="O247" i="8" a="1"/>
  <c r="O247" i="8" s="1"/>
  <c r="O248" i="8" a="1"/>
  <c r="O248" i="8" s="1"/>
  <c r="O249" i="8" a="1"/>
  <c r="O249" i="8" s="1"/>
  <c r="O250" i="8" a="1"/>
  <c r="O250" i="8" s="1"/>
  <c r="O251" i="8" a="1"/>
  <c r="O251" i="8" s="1"/>
  <c r="G13" i="8" a="1"/>
  <c r="G13" i="8" s="1"/>
  <c r="H13" i="8" a="1"/>
  <c r="H13" i="8" s="1"/>
  <c r="G14" i="8" a="1"/>
  <c r="G14" i="8" s="1"/>
  <c r="H14" i="8" a="1"/>
  <c r="H14" i="8" s="1"/>
  <c r="G15" i="8" a="1"/>
  <c r="G15" i="8" s="1"/>
  <c r="H15" i="8" a="1"/>
  <c r="H15" i="8" s="1"/>
  <c r="G16" i="8" a="1"/>
  <c r="G16" i="8" s="1"/>
  <c r="H16" i="8" a="1"/>
  <c r="H16" i="8" s="1"/>
  <c r="G17" i="8" a="1"/>
  <c r="G17" i="8" s="1"/>
  <c r="H17" i="8" a="1"/>
  <c r="H17" i="8" s="1"/>
  <c r="G18" i="8" a="1"/>
  <c r="G18" i="8" s="1"/>
  <c r="H18" i="8" a="1"/>
  <c r="H18" i="8" s="1"/>
  <c r="G19" i="8" a="1"/>
  <c r="G19" i="8" s="1"/>
  <c r="H19" i="8" a="1"/>
  <c r="H19" i="8" s="1"/>
  <c r="G20" i="8" a="1"/>
  <c r="G20" i="8" s="1"/>
  <c r="H20" i="8" a="1"/>
  <c r="H20" i="8" s="1"/>
  <c r="G21" i="8" a="1"/>
  <c r="G21" i="8" s="1"/>
  <c r="H21" i="8" a="1"/>
  <c r="H21" i="8" s="1"/>
  <c r="G22" i="8" a="1"/>
  <c r="G22" i="8" s="1"/>
  <c r="H22" i="8" a="1"/>
  <c r="H22" i="8" s="1"/>
  <c r="G23" i="8" a="1"/>
  <c r="G23" i="8" s="1"/>
  <c r="H23" i="8" a="1"/>
  <c r="H23" i="8" s="1"/>
  <c r="G24" i="8" a="1"/>
  <c r="G24" i="8" s="1"/>
  <c r="H24" i="8" a="1"/>
  <c r="H24" i="8" s="1"/>
  <c r="G25" i="8" a="1"/>
  <c r="G25" i="8" s="1"/>
  <c r="H25" i="8" a="1"/>
  <c r="H25" i="8" s="1"/>
  <c r="G26" i="8" a="1"/>
  <c r="G26" i="8" s="1"/>
  <c r="H26" i="8" a="1"/>
  <c r="H26" i="8" s="1"/>
  <c r="G27" i="8" a="1"/>
  <c r="G27" i="8" s="1"/>
  <c r="H27" i="8" a="1"/>
  <c r="H27" i="8" s="1"/>
  <c r="G28" i="8" a="1"/>
  <c r="G28" i="8" s="1"/>
  <c r="H28" i="8" a="1"/>
  <c r="H28" i="8" s="1"/>
  <c r="G29" i="8" a="1"/>
  <c r="G29" i="8" s="1"/>
  <c r="H29" i="8" a="1"/>
  <c r="H29" i="8" s="1"/>
  <c r="G30" i="8" a="1"/>
  <c r="G30" i="8" s="1"/>
  <c r="H30" i="8" a="1"/>
  <c r="H30" i="8" s="1"/>
  <c r="G31" i="8" a="1"/>
  <c r="G31" i="8" s="1"/>
  <c r="H31" i="8" a="1"/>
  <c r="H31" i="8" s="1"/>
  <c r="G32" i="8" a="1"/>
  <c r="G32" i="8" s="1"/>
  <c r="H32" i="8" a="1"/>
  <c r="H32" i="8" s="1"/>
  <c r="G33" i="8" a="1"/>
  <c r="G33" i="8" s="1"/>
  <c r="H33" i="8" a="1"/>
  <c r="H33" i="8" s="1"/>
  <c r="G34" i="8" a="1"/>
  <c r="G34" i="8" s="1"/>
  <c r="H34" i="8" a="1"/>
  <c r="H34" i="8" s="1"/>
  <c r="G35" i="8" a="1"/>
  <c r="G35" i="8" s="1"/>
  <c r="H35" i="8" a="1"/>
  <c r="H35" i="8" s="1"/>
  <c r="G36" i="8" a="1"/>
  <c r="G36" i="8" s="1"/>
  <c r="H36" i="8" a="1"/>
  <c r="H36" i="8" s="1"/>
  <c r="G37" i="8" a="1"/>
  <c r="G37" i="8" s="1"/>
  <c r="H37" i="8" a="1"/>
  <c r="H37" i="8" s="1"/>
  <c r="G38" i="8" a="1"/>
  <c r="G38" i="8" s="1"/>
  <c r="H38" i="8" a="1"/>
  <c r="H38" i="8" s="1"/>
  <c r="G39" i="8" a="1"/>
  <c r="G39" i="8" s="1"/>
  <c r="H39" i="8" a="1"/>
  <c r="H39" i="8" s="1"/>
  <c r="G40" i="8" a="1"/>
  <c r="G40" i="8" s="1"/>
  <c r="H40" i="8" a="1"/>
  <c r="H40" i="8" s="1"/>
  <c r="G41" i="8" a="1"/>
  <c r="G41" i="8" s="1"/>
  <c r="H41" i="8" a="1"/>
  <c r="H41" i="8" s="1"/>
  <c r="G42" i="8" a="1"/>
  <c r="G42" i="8" s="1"/>
  <c r="H42" i="8" a="1"/>
  <c r="H42" i="8" s="1"/>
  <c r="G43" i="8" a="1"/>
  <c r="G43" i="8" s="1"/>
  <c r="H43" i="8" a="1"/>
  <c r="H43" i="8" s="1"/>
  <c r="G44" i="8" a="1"/>
  <c r="G44" i="8" s="1"/>
  <c r="H44" i="8" a="1"/>
  <c r="H44" i="8" s="1"/>
  <c r="G45" i="8" a="1"/>
  <c r="G45" i="8" s="1"/>
  <c r="H45" i="8" a="1"/>
  <c r="H45" i="8" s="1"/>
  <c r="G46" i="8" a="1"/>
  <c r="G46" i="8" s="1"/>
  <c r="H46" i="8" a="1"/>
  <c r="H46" i="8" s="1"/>
  <c r="G47" i="8" a="1"/>
  <c r="G47" i="8" s="1"/>
  <c r="H47" i="8" a="1"/>
  <c r="H47" i="8" s="1"/>
  <c r="G48" i="8" a="1"/>
  <c r="G48" i="8" s="1"/>
  <c r="H48" i="8" a="1"/>
  <c r="H48" i="8" s="1"/>
  <c r="G49" i="8" a="1"/>
  <c r="G49" i="8" s="1"/>
  <c r="H49" i="8" a="1"/>
  <c r="H49" i="8" s="1"/>
  <c r="G50" i="8" a="1"/>
  <c r="G50" i="8" s="1"/>
  <c r="H50" i="8" a="1"/>
  <c r="H50" i="8" s="1"/>
  <c r="G51" i="8" a="1"/>
  <c r="G51" i="8" s="1"/>
  <c r="H51" i="8" a="1"/>
  <c r="H51" i="8" s="1"/>
  <c r="G52" i="8" a="1"/>
  <c r="G52" i="8" s="1"/>
  <c r="H52" i="8" a="1"/>
  <c r="H52" i="8" s="1"/>
  <c r="G53" i="8" a="1"/>
  <c r="G53" i="8" s="1"/>
  <c r="H53" i="8" a="1"/>
  <c r="H53" i="8" s="1"/>
  <c r="G54" i="8" a="1"/>
  <c r="G54" i="8" s="1"/>
  <c r="H54" i="8" a="1"/>
  <c r="H54" i="8" s="1"/>
  <c r="G55" i="8" a="1"/>
  <c r="G55" i="8" s="1"/>
  <c r="H55" i="8" a="1"/>
  <c r="H55" i="8" s="1"/>
  <c r="G56" i="8" a="1"/>
  <c r="G56" i="8" s="1"/>
  <c r="H56" i="8" a="1"/>
  <c r="H56" i="8" s="1"/>
  <c r="G57" i="8" a="1"/>
  <c r="G57" i="8" s="1"/>
  <c r="H57" i="8" a="1"/>
  <c r="H57" i="8" s="1"/>
  <c r="G58" i="8" a="1"/>
  <c r="G58" i="8" s="1"/>
  <c r="H58" i="8" a="1"/>
  <c r="H58" i="8" s="1"/>
  <c r="G59" i="8" a="1"/>
  <c r="G59" i="8" s="1"/>
  <c r="H59" i="8" a="1"/>
  <c r="H59" i="8" s="1"/>
  <c r="G60" i="8" a="1"/>
  <c r="G60" i="8" s="1"/>
  <c r="H60" i="8" a="1"/>
  <c r="H60" i="8" s="1"/>
  <c r="G61" i="8" a="1"/>
  <c r="G61" i="8" s="1"/>
  <c r="H61" i="8" a="1"/>
  <c r="H61" i="8" s="1"/>
  <c r="G62" i="8" a="1"/>
  <c r="G62" i="8" s="1"/>
  <c r="H62" i="8" a="1"/>
  <c r="H62" i="8" s="1"/>
  <c r="G63" i="8" a="1"/>
  <c r="G63" i="8" s="1"/>
  <c r="H63" i="8" a="1"/>
  <c r="H63" i="8" s="1"/>
  <c r="G64" i="8" a="1"/>
  <c r="G64" i="8" s="1"/>
  <c r="H64" i="8" a="1"/>
  <c r="H64" i="8" s="1"/>
  <c r="G65" i="8" a="1"/>
  <c r="G65" i="8" s="1"/>
  <c r="H65" i="8" a="1"/>
  <c r="H65" i="8" s="1"/>
  <c r="G66" i="8" a="1"/>
  <c r="G66" i="8" s="1"/>
  <c r="H66" i="8" a="1"/>
  <c r="H66" i="8" s="1"/>
  <c r="G67" i="8" a="1"/>
  <c r="G67" i="8" s="1"/>
  <c r="H67" i="8" a="1"/>
  <c r="H67" i="8" s="1"/>
  <c r="G68" i="8" a="1"/>
  <c r="G68" i="8" s="1"/>
  <c r="H68" i="8" a="1"/>
  <c r="H68" i="8" s="1"/>
  <c r="G69" i="8" a="1"/>
  <c r="G69" i="8" s="1"/>
  <c r="H69" i="8" a="1"/>
  <c r="H69" i="8" s="1"/>
  <c r="G70" i="8" a="1"/>
  <c r="G70" i="8" s="1"/>
  <c r="H70" i="8" a="1"/>
  <c r="H70" i="8" s="1"/>
  <c r="G71" i="8" a="1"/>
  <c r="G71" i="8" s="1"/>
  <c r="H71" i="8" a="1"/>
  <c r="H71" i="8" s="1"/>
  <c r="G72" i="8" a="1"/>
  <c r="G72" i="8" s="1"/>
  <c r="H72" i="8" a="1"/>
  <c r="H72" i="8" s="1"/>
  <c r="G73" i="8" a="1"/>
  <c r="G73" i="8" s="1"/>
  <c r="H73" i="8" a="1"/>
  <c r="H73" i="8" s="1"/>
  <c r="G74" i="8" a="1"/>
  <c r="G74" i="8" s="1"/>
  <c r="H74" i="8" a="1"/>
  <c r="H74" i="8" s="1"/>
  <c r="G75" i="8" a="1"/>
  <c r="G75" i="8" s="1"/>
  <c r="H75" i="8" a="1"/>
  <c r="H75" i="8" s="1"/>
  <c r="G76" i="8" a="1"/>
  <c r="G76" i="8" s="1"/>
  <c r="H76" i="8" a="1"/>
  <c r="H76" i="8" s="1"/>
  <c r="G77" i="8" a="1"/>
  <c r="G77" i="8" s="1"/>
  <c r="H77" i="8" a="1"/>
  <c r="H77" i="8" s="1"/>
  <c r="G78" i="8" a="1"/>
  <c r="G78" i="8" s="1"/>
  <c r="H78" i="8" a="1"/>
  <c r="H78" i="8" s="1"/>
  <c r="G79" i="8" a="1"/>
  <c r="G79" i="8" s="1"/>
  <c r="H79" i="8" a="1"/>
  <c r="H79" i="8" s="1"/>
  <c r="G80" i="8" a="1"/>
  <c r="G80" i="8" s="1"/>
  <c r="H80" i="8" a="1"/>
  <c r="H80" i="8" s="1"/>
  <c r="G81" i="8" a="1"/>
  <c r="G81" i="8" s="1"/>
  <c r="H81" i="8" a="1"/>
  <c r="H81" i="8" s="1"/>
  <c r="G82" i="8" a="1"/>
  <c r="G82" i="8" s="1"/>
  <c r="H82" i="8" a="1"/>
  <c r="H82" i="8" s="1"/>
  <c r="G83" i="8" a="1"/>
  <c r="G83" i="8" s="1"/>
  <c r="H83" i="8" a="1"/>
  <c r="H83" i="8" s="1"/>
  <c r="G84" i="8" a="1"/>
  <c r="G84" i="8" s="1"/>
  <c r="H84" i="8" a="1"/>
  <c r="H84" i="8" s="1"/>
  <c r="G85" i="8" a="1"/>
  <c r="G85" i="8" s="1"/>
  <c r="H85" i="8" a="1"/>
  <c r="H85" i="8" s="1"/>
  <c r="G86" i="8" a="1"/>
  <c r="G86" i="8" s="1"/>
  <c r="H86" i="8" a="1"/>
  <c r="H86" i="8" s="1"/>
  <c r="G87" i="8" a="1"/>
  <c r="G87" i="8" s="1"/>
  <c r="H87" i="8" a="1"/>
  <c r="H87" i="8" s="1"/>
  <c r="G88" i="8" a="1"/>
  <c r="G88" i="8" s="1"/>
  <c r="H88" i="8" a="1"/>
  <c r="H88" i="8" s="1"/>
  <c r="G89" i="8" a="1"/>
  <c r="G89" i="8" s="1"/>
  <c r="H89" i="8" a="1"/>
  <c r="H89" i="8" s="1"/>
  <c r="G90" i="8" a="1"/>
  <c r="G90" i="8" s="1"/>
  <c r="H90" i="8" a="1"/>
  <c r="H90" i="8" s="1"/>
  <c r="G91" i="8" a="1"/>
  <c r="G91" i="8" s="1"/>
  <c r="H91" i="8" a="1"/>
  <c r="H91" i="8" s="1"/>
  <c r="G92" i="8" a="1"/>
  <c r="G92" i="8" s="1"/>
  <c r="H92" i="8" a="1"/>
  <c r="H92" i="8" s="1"/>
  <c r="G93" i="8" a="1"/>
  <c r="G93" i="8" s="1"/>
  <c r="H93" i="8" a="1"/>
  <c r="H93" i="8" s="1"/>
  <c r="G94" i="8" a="1"/>
  <c r="G94" i="8" s="1"/>
  <c r="H94" i="8" a="1"/>
  <c r="H94" i="8" s="1"/>
  <c r="G95" i="8" a="1"/>
  <c r="G95" i="8" s="1"/>
  <c r="H95" i="8" a="1"/>
  <c r="H95" i="8" s="1"/>
  <c r="G96" i="8" a="1"/>
  <c r="G96" i="8" s="1"/>
  <c r="H96" i="8" a="1"/>
  <c r="H96" i="8" s="1"/>
  <c r="G97" i="8" a="1"/>
  <c r="G97" i="8" s="1"/>
  <c r="H97" i="8" a="1"/>
  <c r="H97" i="8" s="1"/>
  <c r="G98" i="8" a="1"/>
  <c r="G98" i="8" s="1"/>
  <c r="H98" i="8" a="1"/>
  <c r="H98" i="8" s="1"/>
  <c r="G99" i="8" a="1"/>
  <c r="G99" i="8" s="1"/>
  <c r="H99" i="8" a="1"/>
  <c r="H99" i="8" s="1"/>
  <c r="G100" i="8" a="1"/>
  <c r="G100" i="8" s="1"/>
  <c r="H100" i="8" a="1"/>
  <c r="H100" i="8" s="1"/>
  <c r="G101" i="8" a="1"/>
  <c r="G101" i="8" s="1"/>
  <c r="H101" i="8" a="1"/>
  <c r="H101" i="8" s="1"/>
  <c r="G102" i="8" a="1"/>
  <c r="G102" i="8" s="1"/>
  <c r="H102" i="8" a="1"/>
  <c r="H102" i="8" s="1"/>
  <c r="G103" i="8" a="1"/>
  <c r="G103" i="8" s="1"/>
  <c r="H103" i="8" a="1"/>
  <c r="H103" i="8" s="1"/>
  <c r="G104" i="8" a="1"/>
  <c r="G104" i="8" s="1"/>
  <c r="H104" i="8" a="1"/>
  <c r="H104" i="8" s="1"/>
  <c r="G105" i="8" a="1"/>
  <c r="G105" i="8" s="1"/>
  <c r="H105" i="8" a="1"/>
  <c r="H105" i="8" s="1"/>
  <c r="G106" i="8" a="1"/>
  <c r="G106" i="8" s="1"/>
  <c r="H106" i="8" a="1"/>
  <c r="H106" i="8" s="1"/>
  <c r="G107" i="8" a="1"/>
  <c r="G107" i="8" s="1"/>
  <c r="H107" i="8" a="1"/>
  <c r="H107" i="8" s="1"/>
  <c r="G108" i="8" a="1"/>
  <c r="G108" i="8" s="1"/>
  <c r="H108" i="8" a="1"/>
  <c r="H108" i="8" s="1"/>
  <c r="G109" i="8" a="1"/>
  <c r="G109" i="8" s="1"/>
  <c r="H109" i="8" a="1"/>
  <c r="H109" i="8" s="1"/>
  <c r="G110" i="8" a="1"/>
  <c r="G110" i="8" s="1"/>
  <c r="H110" i="8" a="1"/>
  <c r="H110" i="8" s="1"/>
  <c r="G111" i="8" a="1"/>
  <c r="G111" i="8" s="1"/>
  <c r="H111" i="8" a="1"/>
  <c r="H111" i="8" s="1"/>
  <c r="G112" i="8" a="1"/>
  <c r="G112" i="8" s="1"/>
  <c r="H112" i="8" a="1"/>
  <c r="H112" i="8" s="1"/>
  <c r="G113" i="8" a="1"/>
  <c r="G113" i="8" s="1"/>
  <c r="H113" i="8" a="1"/>
  <c r="H113" i="8" s="1"/>
  <c r="G114" i="8" a="1"/>
  <c r="G114" i="8" s="1"/>
  <c r="H114" i="8" a="1"/>
  <c r="H114" i="8" s="1"/>
  <c r="G115" i="8" a="1"/>
  <c r="G115" i="8" s="1"/>
  <c r="H115" i="8" a="1"/>
  <c r="H115" i="8" s="1"/>
  <c r="G116" i="8" a="1"/>
  <c r="G116" i="8" s="1"/>
  <c r="H116" i="8" a="1"/>
  <c r="H116" i="8" s="1"/>
  <c r="G117" i="8" a="1"/>
  <c r="G117" i="8" s="1"/>
  <c r="H117" i="8" a="1"/>
  <c r="H117" i="8" s="1"/>
  <c r="G118" i="8" a="1"/>
  <c r="G118" i="8" s="1"/>
  <c r="H118" i="8" a="1"/>
  <c r="H118" i="8" s="1"/>
  <c r="G119" i="8" a="1"/>
  <c r="G119" i="8" s="1"/>
  <c r="H119" i="8" a="1"/>
  <c r="H119" i="8" s="1"/>
  <c r="G120" i="8" a="1"/>
  <c r="G120" i="8" s="1"/>
  <c r="H120" i="8" a="1"/>
  <c r="H120" i="8" s="1"/>
  <c r="G121" i="8" a="1"/>
  <c r="G121" i="8" s="1"/>
  <c r="H121" i="8" a="1"/>
  <c r="H121" i="8" s="1"/>
  <c r="G122" i="8" a="1"/>
  <c r="G122" i="8" s="1"/>
  <c r="H122" i="8" a="1"/>
  <c r="H122" i="8" s="1"/>
  <c r="G123" i="8" a="1"/>
  <c r="G123" i="8" s="1"/>
  <c r="H123" i="8" a="1"/>
  <c r="H123" i="8" s="1"/>
  <c r="G124" i="8" a="1"/>
  <c r="G124" i="8" s="1"/>
  <c r="H124" i="8" a="1"/>
  <c r="H124" i="8" s="1"/>
  <c r="G125" i="8" a="1"/>
  <c r="G125" i="8" s="1"/>
  <c r="H125" i="8" a="1"/>
  <c r="H125" i="8" s="1"/>
  <c r="G126" i="8" a="1"/>
  <c r="G126" i="8" s="1"/>
  <c r="H126" i="8" a="1"/>
  <c r="H126" i="8" s="1"/>
  <c r="G127" i="8" a="1"/>
  <c r="G127" i="8" s="1"/>
  <c r="H127" i="8" a="1"/>
  <c r="H127" i="8" s="1"/>
  <c r="G128" i="8" a="1"/>
  <c r="G128" i="8" s="1"/>
  <c r="H128" i="8" a="1"/>
  <c r="H128" i="8" s="1"/>
  <c r="G129" i="8" a="1"/>
  <c r="G129" i="8" s="1"/>
  <c r="H129" i="8" a="1"/>
  <c r="H129" i="8" s="1"/>
  <c r="G130" i="8" a="1"/>
  <c r="G130" i="8" s="1"/>
  <c r="H130" i="8" a="1"/>
  <c r="H130" i="8" s="1"/>
  <c r="G131" i="8" a="1"/>
  <c r="G131" i="8" s="1"/>
  <c r="H131" i="8" a="1"/>
  <c r="H131" i="8" s="1"/>
  <c r="G132" i="8" a="1"/>
  <c r="G132" i="8" s="1"/>
  <c r="H132" i="8" a="1"/>
  <c r="H132" i="8" s="1"/>
  <c r="G133" i="8" a="1"/>
  <c r="G133" i="8" s="1"/>
  <c r="H133" i="8" a="1"/>
  <c r="H133" i="8" s="1"/>
  <c r="G134" i="8" a="1"/>
  <c r="G134" i="8" s="1"/>
  <c r="H134" i="8" a="1"/>
  <c r="H134" i="8" s="1"/>
  <c r="G135" i="8" a="1"/>
  <c r="G135" i="8" s="1"/>
  <c r="H135" i="8" a="1"/>
  <c r="H135" i="8" s="1"/>
  <c r="G136" i="8" a="1"/>
  <c r="G136" i="8" s="1"/>
  <c r="H136" i="8" a="1"/>
  <c r="H136" i="8" s="1"/>
  <c r="G137" i="8" a="1"/>
  <c r="G137" i="8" s="1"/>
  <c r="H137" i="8" a="1"/>
  <c r="H137" i="8" s="1"/>
  <c r="G138" i="8" a="1"/>
  <c r="G138" i="8" s="1"/>
  <c r="H138" i="8" a="1"/>
  <c r="H138" i="8" s="1"/>
  <c r="G139" i="8" a="1"/>
  <c r="G139" i="8" s="1"/>
  <c r="H139" i="8" a="1"/>
  <c r="H139" i="8" s="1"/>
  <c r="G140" i="8" a="1"/>
  <c r="G140" i="8" s="1"/>
  <c r="H140" i="8" a="1"/>
  <c r="H140" i="8" s="1"/>
  <c r="G141" i="8" a="1"/>
  <c r="G141" i="8" s="1"/>
  <c r="H141" i="8" a="1"/>
  <c r="H141" i="8" s="1"/>
  <c r="G142" i="8" a="1"/>
  <c r="G142" i="8" s="1"/>
  <c r="H142" i="8" a="1"/>
  <c r="H142" i="8" s="1"/>
  <c r="G143" i="8" a="1"/>
  <c r="G143" i="8" s="1"/>
  <c r="H143" i="8" a="1"/>
  <c r="H143" i="8" s="1"/>
  <c r="G144" i="8" a="1"/>
  <c r="G144" i="8" s="1"/>
  <c r="H144" i="8" a="1"/>
  <c r="H144" i="8" s="1"/>
  <c r="G145" i="8" a="1"/>
  <c r="G145" i="8" s="1"/>
  <c r="H145" i="8" a="1"/>
  <c r="H145" i="8" s="1"/>
  <c r="G146" i="8" a="1"/>
  <c r="G146" i="8" s="1"/>
  <c r="H146" i="8" a="1"/>
  <c r="H146" i="8" s="1"/>
  <c r="G147" i="8" a="1"/>
  <c r="G147" i="8" s="1"/>
  <c r="H147" i="8" a="1"/>
  <c r="H147" i="8" s="1"/>
  <c r="G148" i="8" a="1"/>
  <c r="G148" i="8" s="1"/>
  <c r="H148" i="8" a="1"/>
  <c r="H148" i="8" s="1"/>
  <c r="G149" i="8" a="1"/>
  <c r="G149" i="8" s="1"/>
  <c r="H149" i="8" a="1"/>
  <c r="H149" i="8" s="1"/>
  <c r="G150" i="8" a="1"/>
  <c r="G150" i="8" s="1"/>
  <c r="H150" i="8" a="1"/>
  <c r="H150" i="8" s="1"/>
  <c r="G151" i="8" a="1"/>
  <c r="G151" i="8" s="1"/>
  <c r="H151" i="8" a="1"/>
  <c r="H151" i="8" s="1"/>
  <c r="G152" i="8" a="1"/>
  <c r="G152" i="8" s="1"/>
  <c r="H152" i="8" a="1"/>
  <c r="H152" i="8" s="1"/>
  <c r="G153" i="8" a="1"/>
  <c r="G153" i="8" s="1"/>
  <c r="H153" i="8" a="1"/>
  <c r="H153" i="8" s="1"/>
  <c r="G154" i="8" a="1"/>
  <c r="G154" i="8" s="1"/>
  <c r="H154" i="8" a="1"/>
  <c r="H154" i="8" s="1"/>
  <c r="G155" i="8" a="1"/>
  <c r="G155" i="8" s="1"/>
  <c r="H155" i="8" a="1"/>
  <c r="H155" i="8" s="1"/>
  <c r="G156" i="8" a="1"/>
  <c r="G156" i="8" s="1"/>
  <c r="H156" i="8" a="1"/>
  <c r="H156" i="8" s="1"/>
  <c r="G157" i="8" a="1"/>
  <c r="G157" i="8" s="1"/>
  <c r="H157" i="8" a="1"/>
  <c r="H157" i="8" s="1"/>
  <c r="G158" i="8" a="1"/>
  <c r="G158" i="8" s="1"/>
  <c r="H158" i="8" a="1"/>
  <c r="H158" i="8" s="1"/>
  <c r="G159" i="8" a="1"/>
  <c r="G159" i="8" s="1"/>
  <c r="H159" i="8" a="1"/>
  <c r="H159" i="8" s="1"/>
  <c r="G160" i="8" a="1"/>
  <c r="G160" i="8" s="1"/>
  <c r="H160" i="8" a="1"/>
  <c r="H160" i="8" s="1"/>
  <c r="G161" i="8" a="1"/>
  <c r="G161" i="8" s="1"/>
  <c r="H161" i="8" a="1"/>
  <c r="H161" i="8" s="1"/>
  <c r="G162" i="8" a="1"/>
  <c r="G162" i="8" s="1"/>
  <c r="H162" i="8" a="1"/>
  <c r="H162" i="8" s="1"/>
  <c r="G163" i="8" a="1"/>
  <c r="G163" i="8" s="1"/>
  <c r="H163" i="8" a="1"/>
  <c r="H163" i="8" s="1"/>
  <c r="G164" i="8" a="1"/>
  <c r="G164" i="8" s="1"/>
  <c r="H164" i="8" a="1"/>
  <c r="H164" i="8" s="1"/>
  <c r="G165" i="8" a="1"/>
  <c r="G165" i="8" s="1"/>
  <c r="H165" i="8" a="1"/>
  <c r="H165" i="8" s="1"/>
  <c r="G166" i="8" a="1"/>
  <c r="G166" i="8" s="1"/>
  <c r="H166" i="8" a="1"/>
  <c r="H166" i="8" s="1"/>
  <c r="G167" i="8" a="1"/>
  <c r="G167" i="8" s="1"/>
  <c r="H167" i="8" a="1"/>
  <c r="H167" i="8" s="1"/>
  <c r="G168" i="8" a="1"/>
  <c r="G168" i="8" s="1"/>
  <c r="H168" i="8" a="1"/>
  <c r="H168" i="8" s="1"/>
  <c r="G169" i="8" a="1"/>
  <c r="G169" i="8" s="1"/>
  <c r="H169" i="8" a="1"/>
  <c r="H169" i="8" s="1"/>
  <c r="G170" i="8" a="1"/>
  <c r="G170" i="8" s="1"/>
  <c r="H170" i="8" a="1"/>
  <c r="H170" i="8" s="1"/>
  <c r="G171" i="8" a="1"/>
  <c r="G171" i="8" s="1"/>
  <c r="H171" i="8" a="1"/>
  <c r="H171" i="8" s="1"/>
  <c r="G172" i="8" a="1"/>
  <c r="G172" i="8" s="1"/>
  <c r="H172" i="8" a="1"/>
  <c r="H172" i="8" s="1"/>
  <c r="G173" i="8" a="1"/>
  <c r="G173" i="8" s="1"/>
  <c r="H173" i="8" a="1"/>
  <c r="H173" i="8" s="1"/>
  <c r="G174" i="8" a="1"/>
  <c r="G174" i="8" s="1"/>
  <c r="H174" i="8" a="1"/>
  <c r="H174" i="8" s="1"/>
  <c r="G175" i="8" a="1"/>
  <c r="G175" i="8" s="1"/>
  <c r="H175" i="8" a="1"/>
  <c r="H175" i="8" s="1"/>
  <c r="G176" i="8" a="1"/>
  <c r="G176" i="8" s="1"/>
  <c r="H176" i="8" a="1"/>
  <c r="H176" i="8" s="1"/>
  <c r="G177" i="8" a="1"/>
  <c r="G177" i="8" s="1"/>
  <c r="H177" i="8" a="1"/>
  <c r="H177" i="8" s="1"/>
  <c r="G178" i="8" a="1"/>
  <c r="G178" i="8" s="1"/>
  <c r="H178" i="8" a="1"/>
  <c r="H178" i="8" s="1"/>
  <c r="G179" i="8" a="1"/>
  <c r="G179" i="8" s="1"/>
  <c r="H179" i="8" a="1"/>
  <c r="H179" i="8" s="1"/>
  <c r="G180" i="8" a="1"/>
  <c r="G180" i="8" s="1"/>
  <c r="H180" i="8" a="1"/>
  <c r="H180" i="8" s="1"/>
  <c r="G181" i="8" a="1"/>
  <c r="G181" i="8" s="1"/>
  <c r="H181" i="8" a="1"/>
  <c r="H181" i="8" s="1"/>
  <c r="G182" i="8" a="1"/>
  <c r="G182" i="8" s="1"/>
  <c r="H182" i="8" a="1"/>
  <c r="H182" i="8" s="1"/>
  <c r="G183" i="8" a="1"/>
  <c r="G183" i="8" s="1"/>
  <c r="H183" i="8" a="1"/>
  <c r="H183" i="8" s="1"/>
  <c r="G184" i="8" a="1"/>
  <c r="G184" i="8" s="1"/>
  <c r="H184" i="8" a="1"/>
  <c r="H184" i="8" s="1"/>
  <c r="G185" i="8" a="1"/>
  <c r="G185" i="8" s="1"/>
  <c r="H185" i="8" a="1"/>
  <c r="H185" i="8" s="1"/>
  <c r="G186" i="8" a="1"/>
  <c r="G186" i="8" s="1"/>
  <c r="H186" i="8" a="1"/>
  <c r="H186" i="8" s="1"/>
  <c r="G187" i="8" a="1"/>
  <c r="G187" i="8" s="1"/>
  <c r="H187" i="8" a="1"/>
  <c r="H187" i="8" s="1"/>
  <c r="G188" i="8" a="1"/>
  <c r="G188" i="8" s="1"/>
  <c r="H188" i="8" a="1"/>
  <c r="H188" i="8" s="1"/>
  <c r="G189" i="8" a="1"/>
  <c r="G189" i="8" s="1"/>
  <c r="H189" i="8" a="1"/>
  <c r="H189" i="8" s="1"/>
  <c r="G190" i="8" a="1"/>
  <c r="G190" i="8" s="1"/>
  <c r="H190" i="8" a="1"/>
  <c r="H190" i="8" s="1"/>
  <c r="G191" i="8" a="1"/>
  <c r="G191" i="8" s="1"/>
  <c r="H191" i="8" a="1"/>
  <c r="H191" i="8" s="1"/>
  <c r="G192" i="8" a="1"/>
  <c r="G192" i="8" s="1"/>
  <c r="H192" i="8" a="1"/>
  <c r="H192" i="8" s="1"/>
  <c r="G193" i="8" a="1"/>
  <c r="G193" i="8" s="1"/>
  <c r="H193" i="8" a="1"/>
  <c r="H193" i="8" s="1"/>
  <c r="G194" i="8" a="1"/>
  <c r="G194" i="8" s="1"/>
  <c r="H194" i="8" a="1"/>
  <c r="H194" i="8" s="1"/>
  <c r="G195" i="8" a="1"/>
  <c r="G195" i="8" s="1"/>
  <c r="H195" i="8" a="1"/>
  <c r="H195" i="8" s="1"/>
  <c r="G196" i="8" a="1"/>
  <c r="G196" i="8" s="1"/>
  <c r="H196" i="8" a="1"/>
  <c r="H196" i="8" s="1"/>
  <c r="G197" i="8" a="1"/>
  <c r="G197" i="8" s="1"/>
  <c r="H197" i="8" a="1"/>
  <c r="H197" i="8" s="1"/>
  <c r="G198" i="8" a="1"/>
  <c r="G198" i="8" s="1"/>
  <c r="H198" i="8" a="1"/>
  <c r="H198" i="8" s="1"/>
  <c r="G199" i="8" a="1"/>
  <c r="G199" i="8" s="1"/>
  <c r="H199" i="8" a="1"/>
  <c r="H199" i="8" s="1"/>
  <c r="G200" i="8" a="1"/>
  <c r="G200" i="8" s="1"/>
  <c r="H200" i="8" a="1"/>
  <c r="H200" i="8" s="1"/>
  <c r="G201" i="8" a="1"/>
  <c r="G201" i="8" s="1"/>
  <c r="H201" i="8" a="1"/>
  <c r="H201" i="8" s="1"/>
  <c r="G202" i="8" a="1"/>
  <c r="G202" i="8" s="1"/>
  <c r="H202" i="8" a="1"/>
  <c r="H202" i="8" s="1"/>
  <c r="G203" i="8" a="1"/>
  <c r="G203" i="8" s="1"/>
  <c r="H203" i="8" a="1"/>
  <c r="H203" i="8" s="1"/>
  <c r="G204" i="8" a="1"/>
  <c r="G204" i="8" s="1"/>
  <c r="H204" i="8" a="1"/>
  <c r="H204" i="8" s="1"/>
  <c r="G205" i="8" a="1"/>
  <c r="G205" i="8" s="1"/>
  <c r="H205" i="8" a="1"/>
  <c r="H205" i="8" s="1"/>
  <c r="G206" i="8" a="1"/>
  <c r="G206" i="8" s="1"/>
  <c r="H206" i="8" a="1"/>
  <c r="H206" i="8" s="1"/>
  <c r="G207" i="8" a="1"/>
  <c r="G207" i="8" s="1"/>
  <c r="H207" i="8" a="1"/>
  <c r="H207" i="8" s="1"/>
  <c r="G208" i="8" a="1"/>
  <c r="G208" i="8" s="1"/>
  <c r="H208" i="8" a="1"/>
  <c r="H208" i="8" s="1"/>
  <c r="G209" i="8" a="1"/>
  <c r="G209" i="8" s="1"/>
  <c r="H209" i="8" a="1"/>
  <c r="H209" i="8" s="1"/>
  <c r="G210" i="8" a="1"/>
  <c r="G210" i="8" s="1"/>
  <c r="H210" i="8" a="1"/>
  <c r="H210" i="8" s="1"/>
  <c r="G211" i="8" a="1"/>
  <c r="G211" i="8" s="1"/>
  <c r="H211" i="8" a="1"/>
  <c r="H211" i="8" s="1"/>
  <c r="G212" i="8" a="1"/>
  <c r="G212" i="8" s="1"/>
  <c r="H212" i="8" a="1"/>
  <c r="H212" i="8" s="1"/>
  <c r="G213" i="8" a="1"/>
  <c r="G213" i="8" s="1"/>
  <c r="H213" i="8" a="1"/>
  <c r="H213" i="8" s="1"/>
  <c r="G214" i="8" a="1"/>
  <c r="G214" i="8" s="1"/>
  <c r="H214" i="8" a="1"/>
  <c r="H214" i="8" s="1"/>
  <c r="G215" i="8" a="1"/>
  <c r="G215" i="8" s="1"/>
  <c r="H215" i="8" a="1"/>
  <c r="H215" i="8" s="1"/>
  <c r="G216" i="8" a="1"/>
  <c r="G216" i="8" s="1"/>
  <c r="H216" i="8" a="1"/>
  <c r="H216" i="8" s="1"/>
  <c r="G217" i="8" a="1"/>
  <c r="G217" i="8" s="1"/>
  <c r="H217" i="8" a="1"/>
  <c r="H217" i="8" s="1"/>
  <c r="G218" i="8" a="1"/>
  <c r="G218" i="8" s="1"/>
  <c r="H218" i="8" a="1"/>
  <c r="H218" i="8" s="1"/>
  <c r="G219" i="8" a="1"/>
  <c r="G219" i="8" s="1"/>
  <c r="H219" i="8" a="1"/>
  <c r="H219" i="8" s="1"/>
  <c r="G220" i="8" a="1"/>
  <c r="G220" i="8" s="1"/>
  <c r="H220" i="8" a="1"/>
  <c r="H220" i="8" s="1"/>
  <c r="G221" i="8" a="1"/>
  <c r="G221" i="8" s="1"/>
  <c r="H221" i="8" a="1"/>
  <c r="H221" i="8" s="1"/>
  <c r="G222" i="8" a="1"/>
  <c r="G222" i="8" s="1"/>
  <c r="H222" i="8" a="1"/>
  <c r="H222" i="8" s="1"/>
  <c r="G223" i="8" a="1"/>
  <c r="G223" i="8" s="1"/>
  <c r="H223" i="8" a="1"/>
  <c r="H223" i="8" s="1"/>
  <c r="G224" i="8" a="1"/>
  <c r="G224" i="8" s="1"/>
  <c r="H224" i="8" a="1"/>
  <c r="H224" i="8" s="1"/>
  <c r="G225" i="8" a="1"/>
  <c r="G225" i="8" s="1"/>
  <c r="H225" i="8" a="1"/>
  <c r="H225" i="8" s="1"/>
  <c r="G226" i="8" a="1"/>
  <c r="G226" i="8" s="1"/>
  <c r="H226" i="8" a="1"/>
  <c r="H226" i="8" s="1"/>
  <c r="G227" i="8" a="1"/>
  <c r="G227" i="8" s="1"/>
  <c r="H227" i="8" a="1"/>
  <c r="H227" i="8" s="1"/>
  <c r="G228" i="8" a="1"/>
  <c r="G228" i="8" s="1"/>
  <c r="H228" i="8" a="1"/>
  <c r="H228" i="8" s="1"/>
  <c r="G229" i="8" a="1"/>
  <c r="G229" i="8" s="1"/>
  <c r="H229" i="8" a="1"/>
  <c r="H229" i="8" s="1"/>
  <c r="G230" i="8" a="1"/>
  <c r="G230" i="8" s="1"/>
  <c r="H230" i="8" a="1"/>
  <c r="H230" i="8" s="1"/>
  <c r="G231" i="8" a="1"/>
  <c r="G231" i="8" s="1"/>
  <c r="H231" i="8" a="1"/>
  <c r="H231" i="8" s="1"/>
  <c r="G232" i="8" a="1"/>
  <c r="G232" i="8" s="1"/>
  <c r="H232" i="8" a="1"/>
  <c r="H232" i="8" s="1"/>
  <c r="G233" i="8" a="1"/>
  <c r="G233" i="8" s="1"/>
  <c r="H233" i="8" a="1"/>
  <c r="H233" i="8" s="1"/>
  <c r="G234" i="8" a="1"/>
  <c r="G234" i="8" s="1"/>
  <c r="H234" i="8" a="1"/>
  <c r="H234" i="8" s="1"/>
  <c r="G235" i="8" a="1"/>
  <c r="G235" i="8" s="1"/>
  <c r="H235" i="8" a="1"/>
  <c r="H235" i="8" s="1"/>
  <c r="G236" i="8" a="1"/>
  <c r="G236" i="8" s="1"/>
  <c r="H236" i="8" a="1"/>
  <c r="H236" i="8" s="1"/>
  <c r="G237" i="8" a="1"/>
  <c r="G237" i="8" s="1"/>
  <c r="H237" i="8" a="1"/>
  <c r="H237" i="8" s="1"/>
  <c r="G238" i="8" a="1"/>
  <c r="G238" i="8" s="1"/>
  <c r="H238" i="8" a="1"/>
  <c r="H238" i="8" s="1"/>
  <c r="G239" i="8" a="1"/>
  <c r="G239" i="8" s="1"/>
  <c r="H239" i="8" a="1"/>
  <c r="H239" i="8" s="1"/>
  <c r="G240" i="8" a="1"/>
  <c r="G240" i="8" s="1"/>
  <c r="H240" i="8" a="1"/>
  <c r="H240" i="8" s="1"/>
  <c r="G241" i="8" a="1"/>
  <c r="G241" i="8" s="1"/>
  <c r="H241" i="8" a="1"/>
  <c r="H241" i="8" s="1"/>
  <c r="G242" i="8" a="1"/>
  <c r="G242" i="8" s="1"/>
  <c r="H242" i="8" a="1"/>
  <c r="H242" i="8" s="1"/>
  <c r="G243" i="8" a="1"/>
  <c r="G243" i="8" s="1"/>
  <c r="H243" i="8" a="1"/>
  <c r="H243" i="8" s="1"/>
  <c r="G244" i="8" a="1"/>
  <c r="G244" i="8" s="1"/>
  <c r="H244" i="8" a="1"/>
  <c r="H244" i="8" s="1"/>
  <c r="G245" i="8" a="1"/>
  <c r="G245" i="8" s="1"/>
  <c r="H245" i="8" a="1"/>
  <c r="H245" i="8" s="1"/>
  <c r="G246" i="8" a="1"/>
  <c r="G246" i="8" s="1"/>
  <c r="H246" i="8" a="1"/>
  <c r="H246" i="8" s="1"/>
  <c r="G247" i="8" a="1"/>
  <c r="G247" i="8" s="1"/>
  <c r="H247" i="8" a="1"/>
  <c r="H247" i="8" s="1"/>
  <c r="G248" i="8" a="1"/>
  <c r="G248" i="8" s="1"/>
  <c r="H248" i="8" a="1"/>
  <c r="H248" i="8" s="1"/>
  <c r="G249" i="8" a="1"/>
  <c r="G249" i="8" s="1"/>
  <c r="H249" i="8" a="1"/>
  <c r="H249" i="8" s="1"/>
  <c r="G250" i="8" a="1"/>
  <c r="G250" i="8" s="1"/>
  <c r="H250" i="8" a="1"/>
  <c r="H250" i="8" s="1"/>
  <c r="G251" i="8" a="1"/>
  <c r="G251" i="8" s="1"/>
  <c r="H251" i="8" a="1"/>
  <c r="H251" i="8" s="1"/>
  <c r="H12" i="8" a="1"/>
  <c r="H12" i="8" s="1"/>
  <c r="G12" i="8" a="1"/>
  <c r="G12" i="8" s="1"/>
  <c r="P13" i="8" a="1"/>
  <c r="P13" i="8" s="1"/>
  <c r="P13" i="10" s="1" a="1"/>
  <c r="P13" i="10" s="1"/>
  <c r="Q13" i="8" a="1"/>
  <c r="Q13" i="8" s="1"/>
  <c r="P14" i="8" a="1"/>
  <c r="P14" i="8" s="1"/>
  <c r="P14" i="10" s="1" a="1"/>
  <c r="P14" i="10" s="1"/>
  <c r="Q14" i="8" a="1"/>
  <c r="Q14" i="8" s="1"/>
  <c r="P15" i="8" a="1"/>
  <c r="P15" i="8" s="1"/>
  <c r="P15" i="10" s="1" a="1"/>
  <c r="P15" i="10" s="1"/>
  <c r="Q15" i="8" a="1"/>
  <c r="Q15" i="8" s="1"/>
  <c r="P16" i="8" a="1"/>
  <c r="P16" i="8" s="1"/>
  <c r="P16" i="10" s="1" a="1"/>
  <c r="P16" i="10" s="1"/>
  <c r="Q16" i="8" a="1"/>
  <c r="Q16" i="8" s="1"/>
  <c r="P17" i="8" a="1"/>
  <c r="P17" i="8" s="1"/>
  <c r="P17" i="10" s="1" a="1"/>
  <c r="P17" i="10" s="1"/>
  <c r="Q17" i="8" a="1"/>
  <c r="Q17" i="8" s="1"/>
  <c r="P18" i="8" a="1"/>
  <c r="P18" i="8" s="1"/>
  <c r="P18" i="10" s="1" a="1"/>
  <c r="P18" i="10" s="1"/>
  <c r="Q18" i="8" a="1"/>
  <c r="Q18" i="8" s="1"/>
  <c r="P19" i="8" a="1"/>
  <c r="P19" i="8" s="1"/>
  <c r="P19" i="10" s="1" a="1"/>
  <c r="P19" i="10" s="1"/>
  <c r="Q19" i="8" a="1"/>
  <c r="Q19" i="8" s="1"/>
  <c r="P20" i="8" a="1"/>
  <c r="P20" i="8" s="1"/>
  <c r="P20" i="10" s="1" a="1"/>
  <c r="P20" i="10" s="1"/>
  <c r="Q20" i="8" a="1"/>
  <c r="Q20" i="8" s="1"/>
  <c r="P21" i="8" a="1"/>
  <c r="P21" i="8" s="1"/>
  <c r="P21" i="10" s="1" a="1"/>
  <c r="P21" i="10" s="1"/>
  <c r="Q21" i="8" a="1"/>
  <c r="Q21" i="8" s="1"/>
  <c r="P22" i="8" a="1"/>
  <c r="P22" i="8" s="1"/>
  <c r="P22" i="10" s="1" a="1"/>
  <c r="P22" i="10" s="1"/>
  <c r="Q22" i="8" a="1"/>
  <c r="Q22" i="8" s="1"/>
  <c r="P23" i="8" a="1"/>
  <c r="P23" i="8" s="1"/>
  <c r="P23" i="10" s="1" a="1"/>
  <c r="P23" i="10" s="1"/>
  <c r="Q23" i="8" a="1"/>
  <c r="Q23" i="8" s="1"/>
  <c r="P24" i="8" a="1"/>
  <c r="P24" i="8" s="1"/>
  <c r="P24" i="10" s="1" a="1"/>
  <c r="P24" i="10" s="1"/>
  <c r="Q24" i="8" a="1"/>
  <c r="Q24" i="8" s="1"/>
  <c r="P25" i="8" a="1"/>
  <c r="P25" i="8" s="1"/>
  <c r="P25" i="10" s="1" a="1"/>
  <c r="P25" i="10" s="1"/>
  <c r="Q25" i="8" a="1"/>
  <c r="Q25" i="8" s="1"/>
  <c r="P26" i="8" a="1"/>
  <c r="P26" i="8" s="1"/>
  <c r="P26" i="10" s="1" a="1"/>
  <c r="P26" i="10" s="1"/>
  <c r="Q26" i="8" a="1"/>
  <c r="Q26" i="8" s="1"/>
  <c r="P27" i="8" a="1"/>
  <c r="P27" i="8" s="1"/>
  <c r="P27" i="10" s="1" a="1"/>
  <c r="P27" i="10" s="1"/>
  <c r="Q27" i="8" a="1"/>
  <c r="Q27" i="8" s="1"/>
  <c r="P28" i="8" a="1"/>
  <c r="P28" i="8" s="1"/>
  <c r="P28" i="10" s="1" a="1"/>
  <c r="P28" i="10" s="1"/>
  <c r="Q28" i="8" a="1"/>
  <c r="Q28" i="8" s="1"/>
  <c r="P29" i="8" a="1"/>
  <c r="P29" i="8" s="1"/>
  <c r="P29" i="10" s="1" a="1"/>
  <c r="P29" i="10" s="1"/>
  <c r="Q29" i="8" a="1"/>
  <c r="Q29" i="8" s="1"/>
  <c r="P30" i="8" a="1"/>
  <c r="P30" i="8" s="1"/>
  <c r="P30" i="10" s="1" a="1"/>
  <c r="P30" i="10" s="1"/>
  <c r="Q30" i="8" a="1"/>
  <c r="Q30" i="8" s="1"/>
  <c r="P31" i="8" a="1"/>
  <c r="P31" i="8" s="1"/>
  <c r="P31" i="10" s="1" a="1"/>
  <c r="P31" i="10" s="1"/>
  <c r="Q31" i="8" a="1"/>
  <c r="Q31" i="8" s="1"/>
  <c r="P32" i="8" a="1"/>
  <c r="P32" i="8" s="1"/>
  <c r="P32" i="10" s="1" a="1"/>
  <c r="P32" i="10" s="1"/>
  <c r="Q32" i="8" a="1"/>
  <c r="Q32" i="8" s="1"/>
  <c r="P33" i="8" a="1"/>
  <c r="P33" i="8" s="1"/>
  <c r="P33" i="10" s="1" a="1"/>
  <c r="P33" i="10" s="1"/>
  <c r="Q33" i="8" a="1"/>
  <c r="Q33" i="8" s="1"/>
  <c r="P34" i="8" a="1"/>
  <c r="P34" i="8" s="1"/>
  <c r="P34" i="10" s="1" a="1"/>
  <c r="P34" i="10" s="1"/>
  <c r="Q34" i="8" a="1"/>
  <c r="Q34" i="8" s="1"/>
  <c r="P35" i="8" a="1"/>
  <c r="P35" i="8" s="1"/>
  <c r="P35" i="10" s="1" a="1"/>
  <c r="P35" i="10" s="1"/>
  <c r="Q35" i="8" a="1"/>
  <c r="Q35" i="8" s="1"/>
  <c r="P36" i="8" a="1"/>
  <c r="P36" i="8" s="1"/>
  <c r="P36" i="10" s="1" a="1"/>
  <c r="P36" i="10" s="1"/>
  <c r="Q36" i="8" a="1"/>
  <c r="Q36" i="8" s="1"/>
  <c r="P37" i="8" a="1"/>
  <c r="P37" i="8" s="1"/>
  <c r="P37" i="10" s="1" a="1"/>
  <c r="P37" i="10" s="1"/>
  <c r="Q37" i="8" a="1"/>
  <c r="Q37" i="8" s="1"/>
  <c r="P38" i="8" a="1"/>
  <c r="P38" i="8" s="1"/>
  <c r="P38" i="10" s="1" a="1"/>
  <c r="P38" i="10" s="1"/>
  <c r="Q38" i="8" a="1"/>
  <c r="Q38" i="8" s="1"/>
  <c r="P39" i="8" a="1"/>
  <c r="P39" i="8" s="1"/>
  <c r="P39" i="10" s="1" a="1"/>
  <c r="P39" i="10" s="1"/>
  <c r="Q39" i="8" a="1"/>
  <c r="Q39" i="8" s="1"/>
  <c r="P40" i="8" a="1"/>
  <c r="P40" i="8" s="1"/>
  <c r="P40" i="10" s="1" a="1"/>
  <c r="P40" i="10" s="1"/>
  <c r="Q40" i="8" a="1"/>
  <c r="Q40" i="8" s="1"/>
  <c r="P41" i="8" a="1"/>
  <c r="P41" i="8" s="1"/>
  <c r="P41" i="10" s="1" a="1"/>
  <c r="P41" i="10" s="1"/>
  <c r="Q41" i="8" a="1"/>
  <c r="Q41" i="8" s="1"/>
  <c r="P42" i="8" a="1"/>
  <c r="P42" i="8" s="1"/>
  <c r="P42" i="10" s="1" a="1"/>
  <c r="P42" i="10" s="1"/>
  <c r="Q42" i="8" a="1"/>
  <c r="Q42" i="8" s="1"/>
  <c r="P43" i="8" a="1"/>
  <c r="P43" i="8" s="1"/>
  <c r="P43" i="10" s="1" a="1"/>
  <c r="P43" i="10" s="1"/>
  <c r="Q43" i="8" a="1"/>
  <c r="Q43" i="8" s="1"/>
  <c r="P44" i="8" a="1"/>
  <c r="P44" i="8" s="1"/>
  <c r="P44" i="10" s="1" a="1"/>
  <c r="P44" i="10" s="1"/>
  <c r="Q44" i="8" a="1"/>
  <c r="Q44" i="8" s="1"/>
  <c r="P45" i="8" a="1"/>
  <c r="P45" i="8" s="1"/>
  <c r="P45" i="10" s="1" a="1"/>
  <c r="P45" i="10" s="1"/>
  <c r="Q45" i="8" a="1"/>
  <c r="Q45" i="8" s="1"/>
  <c r="P46" i="8" a="1"/>
  <c r="P46" i="8" s="1"/>
  <c r="P46" i="10" s="1" a="1"/>
  <c r="P46" i="10" s="1"/>
  <c r="Q46" i="8" a="1"/>
  <c r="Q46" i="8" s="1"/>
  <c r="P47" i="8" a="1"/>
  <c r="P47" i="8" s="1"/>
  <c r="P47" i="10" s="1" a="1"/>
  <c r="P47" i="10" s="1"/>
  <c r="Q47" i="8" a="1"/>
  <c r="Q47" i="8" s="1"/>
  <c r="P48" i="8" a="1"/>
  <c r="P48" i="8" s="1"/>
  <c r="P48" i="10" s="1" a="1"/>
  <c r="P48" i="10" s="1"/>
  <c r="Q48" i="8" a="1"/>
  <c r="Q48" i="8" s="1"/>
  <c r="P49" i="8" a="1"/>
  <c r="P49" i="8" s="1"/>
  <c r="P49" i="10" s="1" a="1"/>
  <c r="P49" i="10" s="1"/>
  <c r="Q49" i="8" a="1"/>
  <c r="Q49" i="8" s="1"/>
  <c r="P50" i="8" a="1"/>
  <c r="P50" i="8" s="1"/>
  <c r="P50" i="10" s="1" a="1"/>
  <c r="P50" i="10" s="1"/>
  <c r="Q50" i="8" a="1"/>
  <c r="Q50" i="8" s="1"/>
  <c r="P51" i="8" a="1"/>
  <c r="P51" i="8" s="1"/>
  <c r="P51" i="10" s="1" a="1"/>
  <c r="P51" i="10" s="1"/>
  <c r="Q51" i="8" a="1"/>
  <c r="Q51" i="8" s="1"/>
  <c r="P52" i="8" a="1"/>
  <c r="P52" i="8" s="1"/>
  <c r="P52" i="10" s="1" a="1"/>
  <c r="P52" i="10" s="1"/>
  <c r="Q52" i="8" a="1"/>
  <c r="Q52" i="8" s="1"/>
  <c r="P53" i="8" a="1"/>
  <c r="P53" i="8" s="1"/>
  <c r="P53" i="10" s="1" a="1"/>
  <c r="P53" i="10" s="1"/>
  <c r="Q53" i="8" a="1"/>
  <c r="Q53" i="8" s="1"/>
  <c r="P54" i="8" a="1"/>
  <c r="P54" i="8" s="1"/>
  <c r="P54" i="10" s="1" a="1"/>
  <c r="P54" i="10" s="1"/>
  <c r="Q54" i="8" a="1"/>
  <c r="Q54" i="8" s="1"/>
  <c r="P55" i="8" a="1"/>
  <c r="P55" i="8" s="1"/>
  <c r="P55" i="10" s="1" a="1"/>
  <c r="P55" i="10" s="1"/>
  <c r="Q55" i="8" a="1"/>
  <c r="Q55" i="8" s="1"/>
  <c r="P56" i="8" a="1"/>
  <c r="P56" i="8" s="1"/>
  <c r="P56" i="10" s="1" a="1"/>
  <c r="P56" i="10" s="1"/>
  <c r="Q56" i="8" a="1"/>
  <c r="Q56" i="8" s="1"/>
  <c r="P57" i="8" a="1"/>
  <c r="P57" i="8" s="1"/>
  <c r="P57" i="10" s="1" a="1"/>
  <c r="P57" i="10" s="1"/>
  <c r="Q57" i="8" a="1"/>
  <c r="Q57" i="8" s="1"/>
  <c r="P58" i="8" a="1"/>
  <c r="P58" i="8" s="1"/>
  <c r="P58" i="10" s="1" a="1"/>
  <c r="P58" i="10" s="1"/>
  <c r="Q58" i="8" a="1"/>
  <c r="Q58" i="8" s="1"/>
  <c r="P59" i="8" a="1"/>
  <c r="P59" i="8" s="1"/>
  <c r="P59" i="10" s="1" a="1"/>
  <c r="P59" i="10" s="1"/>
  <c r="Q59" i="8" a="1"/>
  <c r="Q59" i="8" s="1"/>
  <c r="P60" i="8" a="1"/>
  <c r="P60" i="8" s="1"/>
  <c r="P60" i="10" s="1" a="1"/>
  <c r="P60" i="10" s="1"/>
  <c r="Q60" i="8" a="1"/>
  <c r="Q60" i="8" s="1"/>
  <c r="P61" i="8" a="1"/>
  <c r="P61" i="8" s="1"/>
  <c r="P61" i="10" s="1" a="1"/>
  <c r="P61" i="10" s="1"/>
  <c r="Q61" i="8" a="1"/>
  <c r="Q61" i="8" s="1"/>
  <c r="P62" i="8" a="1"/>
  <c r="P62" i="8" s="1"/>
  <c r="P62" i="10" s="1" a="1"/>
  <c r="P62" i="10" s="1"/>
  <c r="Q62" i="8" a="1"/>
  <c r="Q62" i="8" s="1"/>
  <c r="P63" i="8" a="1"/>
  <c r="P63" i="8" s="1"/>
  <c r="P63" i="10" s="1" a="1"/>
  <c r="P63" i="10" s="1"/>
  <c r="Q63" i="8" a="1"/>
  <c r="Q63" i="8" s="1"/>
  <c r="P64" i="8" a="1"/>
  <c r="P64" i="8" s="1"/>
  <c r="P64" i="10" s="1" a="1"/>
  <c r="P64" i="10" s="1"/>
  <c r="Q64" i="8" a="1"/>
  <c r="Q64" i="8" s="1"/>
  <c r="P65" i="8" a="1"/>
  <c r="P65" i="8" s="1"/>
  <c r="P65" i="10" s="1" a="1"/>
  <c r="P65" i="10" s="1"/>
  <c r="Q65" i="8" a="1"/>
  <c r="Q65" i="8" s="1"/>
  <c r="P66" i="8" a="1"/>
  <c r="P66" i="8" s="1"/>
  <c r="P66" i="10" s="1" a="1"/>
  <c r="P66" i="10" s="1"/>
  <c r="Q66" i="8" a="1"/>
  <c r="Q66" i="8" s="1"/>
  <c r="P67" i="8" a="1"/>
  <c r="P67" i="8" s="1"/>
  <c r="P67" i="10" s="1" a="1"/>
  <c r="P67" i="10" s="1"/>
  <c r="Q67" i="8" a="1"/>
  <c r="Q67" i="8" s="1"/>
  <c r="P68" i="8" a="1"/>
  <c r="P68" i="8" s="1"/>
  <c r="P68" i="10" s="1" a="1"/>
  <c r="P68" i="10" s="1"/>
  <c r="Q68" i="8" a="1"/>
  <c r="Q68" i="8" s="1"/>
  <c r="P69" i="8" a="1"/>
  <c r="P69" i="8" s="1"/>
  <c r="P69" i="10" s="1" a="1"/>
  <c r="P69" i="10" s="1"/>
  <c r="Q69" i="8" a="1"/>
  <c r="Q69" i="8" s="1"/>
  <c r="P70" i="8" a="1"/>
  <c r="P70" i="8" s="1"/>
  <c r="P70" i="10" s="1" a="1"/>
  <c r="P70" i="10" s="1"/>
  <c r="Q70" i="8" a="1"/>
  <c r="Q70" i="8" s="1"/>
  <c r="P71" i="8" a="1"/>
  <c r="P71" i="8" s="1"/>
  <c r="P71" i="10" s="1" a="1"/>
  <c r="P71" i="10" s="1"/>
  <c r="Q71" i="8" a="1"/>
  <c r="Q71" i="8" s="1"/>
  <c r="P72" i="8" a="1"/>
  <c r="P72" i="8" s="1"/>
  <c r="P72" i="10" s="1" a="1"/>
  <c r="P72" i="10" s="1"/>
  <c r="Q72" i="8" a="1"/>
  <c r="Q72" i="8" s="1"/>
  <c r="P73" i="8" a="1"/>
  <c r="P73" i="8" s="1"/>
  <c r="P73" i="10" s="1" a="1"/>
  <c r="P73" i="10" s="1"/>
  <c r="Q73" i="8" a="1"/>
  <c r="Q73" i="8" s="1"/>
  <c r="P74" i="8" a="1"/>
  <c r="P74" i="8" s="1"/>
  <c r="P74" i="10" s="1" a="1"/>
  <c r="P74" i="10" s="1"/>
  <c r="Q74" i="8" a="1"/>
  <c r="Q74" i="8" s="1"/>
  <c r="P75" i="8" a="1"/>
  <c r="P75" i="8" s="1"/>
  <c r="P75" i="10" s="1" a="1"/>
  <c r="P75" i="10" s="1"/>
  <c r="Q75" i="8" a="1"/>
  <c r="Q75" i="8" s="1"/>
  <c r="P76" i="8" a="1"/>
  <c r="P76" i="8" s="1"/>
  <c r="P76" i="10" s="1" a="1"/>
  <c r="P76" i="10" s="1"/>
  <c r="Q76" i="8" a="1"/>
  <c r="Q76" i="8" s="1"/>
  <c r="P77" i="8" a="1"/>
  <c r="P77" i="8" s="1"/>
  <c r="P77" i="10" s="1" a="1"/>
  <c r="P77" i="10" s="1"/>
  <c r="Q77" i="8" a="1"/>
  <c r="Q77" i="8" s="1"/>
  <c r="P78" i="8" a="1"/>
  <c r="P78" i="8" s="1"/>
  <c r="P78" i="10" s="1" a="1"/>
  <c r="P78" i="10" s="1"/>
  <c r="Q78" i="8" a="1"/>
  <c r="Q78" i="8" s="1"/>
  <c r="P79" i="8" a="1"/>
  <c r="P79" i="8" s="1"/>
  <c r="P79" i="10" s="1" a="1"/>
  <c r="P79" i="10" s="1"/>
  <c r="Q79" i="8" a="1"/>
  <c r="Q79" i="8" s="1"/>
  <c r="P80" i="8" a="1"/>
  <c r="P80" i="8" s="1"/>
  <c r="P80" i="10" s="1" a="1"/>
  <c r="P80" i="10" s="1"/>
  <c r="Q80" i="8" a="1"/>
  <c r="Q80" i="8" s="1"/>
  <c r="P81" i="8" a="1"/>
  <c r="P81" i="8" s="1"/>
  <c r="P81" i="10" s="1" a="1"/>
  <c r="P81" i="10" s="1"/>
  <c r="Q81" i="8" a="1"/>
  <c r="Q81" i="8" s="1"/>
  <c r="P82" i="8" a="1"/>
  <c r="P82" i="8" s="1"/>
  <c r="P82" i="10" s="1" a="1"/>
  <c r="P82" i="10" s="1"/>
  <c r="Q82" i="8" a="1"/>
  <c r="Q82" i="8" s="1"/>
  <c r="P83" i="8" a="1"/>
  <c r="P83" i="8" s="1"/>
  <c r="P83" i="10" s="1" a="1"/>
  <c r="P83" i="10" s="1"/>
  <c r="Q83" i="8" a="1"/>
  <c r="Q83" i="8" s="1"/>
  <c r="P84" i="8" a="1"/>
  <c r="P84" i="8" s="1"/>
  <c r="P84" i="10" s="1" a="1"/>
  <c r="P84" i="10" s="1"/>
  <c r="Q84" i="8" a="1"/>
  <c r="Q84" i="8" s="1"/>
  <c r="P85" i="8" a="1"/>
  <c r="P85" i="8" s="1"/>
  <c r="P85" i="10" s="1" a="1"/>
  <c r="P85" i="10" s="1"/>
  <c r="Q85" i="8" a="1"/>
  <c r="Q85" i="8" s="1"/>
  <c r="P86" i="8" a="1"/>
  <c r="P86" i="8" s="1"/>
  <c r="P86" i="10" s="1" a="1"/>
  <c r="P86" i="10" s="1"/>
  <c r="Q86" i="8" a="1"/>
  <c r="Q86" i="8" s="1"/>
  <c r="P87" i="8" a="1"/>
  <c r="P87" i="8" s="1"/>
  <c r="P87" i="10" s="1" a="1"/>
  <c r="P87" i="10" s="1"/>
  <c r="Q87" i="8" a="1"/>
  <c r="Q87" i="8" s="1"/>
  <c r="P88" i="8" a="1"/>
  <c r="P88" i="8" s="1"/>
  <c r="P88" i="10" s="1" a="1"/>
  <c r="P88" i="10" s="1"/>
  <c r="Q88" i="8" a="1"/>
  <c r="Q88" i="8" s="1"/>
  <c r="P89" i="8" a="1"/>
  <c r="P89" i="8" s="1"/>
  <c r="P89" i="10" s="1" a="1"/>
  <c r="P89" i="10" s="1"/>
  <c r="Q89" i="8" a="1"/>
  <c r="Q89" i="8" s="1"/>
  <c r="P90" i="8" a="1"/>
  <c r="P90" i="8" s="1"/>
  <c r="P90" i="10" s="1" a="1"/>
  <c r="P90" i="10" s="1"/>
  <c r="Q90" i="8" a="1"/>
  <c r="Q90" i="8" s="1"/>
  <c r="P91" i="8" a="1"/>
  <c r="P91" i="8" s="1"/>
  <c r="P91" i="10" s="1" a="1"/>
  <c r="P91" i="10" s="1"/>
  <c r="Q91" i="8" a="1"/>
  <c r="Q91" i="8" s="1"/>
  <c r="P92" i="8" a="1"/>
  <c r="P92" i="8" s="1"/>
  <c r="P92" i="10" s="1" a="1"/>
  <c r="P92" i="10" s="1"/>
  <c r="Q92" i="8" a="1"/>
  <c r="Q92" i="8" s="1"/>
  <c r="P93" i="8" a="1"/>
  <c r="P93" i="8" s="1"/>
  <c r="P93" i="10" s="1" a="1"/>
  <c r="P93" i="10" s="1"/>
  <c r="Q93" i="8" a="1"/>
  <c r="Q93" i="8" s="1"/>
  <c r="P94" i="8" a="1"/>
  <c r="P94" i="8" s="1"/>
  <c r="P94" i="10" s="1" a="1"/>
  <c r="P94" i="10" s="1"/>
  <c r="Q94" i="8" a="1"/>
  <c r="Q94" i="8" s="1"/>
  <c r="P95" i="8" a="1"/>
  <c r="P95" i="8" s="1"/>
  <c r="P95" i="10" s="1" a="1"/>
  <c r="P95" i="10" s="1"/>
  <c r="Q95" i="8" a="1"/>
  <c r="Q95" i="8" s="1"/>
  <c r="P96" i="8" a="1"/>
  <c r="P96" i="8" s="1"/>
  <c r="P96" i="10" s="1" a="1"/>
  <c r="P96" i="10" s="1"/>
  <c r="Q96" i="8" a="1"/>
  <c r="Q96" i="8" s="1"/>
  <c r="P97" i="8" a="1"/>
  <c r="P97" i="8" s="1"/>
  <c r="P97" i="10" s="1" a="1"/>
  <c r="P97" i="10" s="1"/>
  <c r="Q97" i="8" a="1"/>
  <c r="Q97" i="8" s="1"/>
  <c r="P98" i="8" a="1"/>
  <c r="P98" i="8" s="1"/>
  <c r="P98" i="10" s="1" a="1"/>
  <c r="P98" i="10" s="1"/>
  <c r="Q98" i="8" a="1"/>
  <c r="Q98" i="8" s="1"/>
  <c r="P99" i="8" a="1"/>
  <c r="P99" i="8" s="1"/>
  <c r="P99" i="10" s="1" a="1"/>
  <c r="P99" i="10" s="1"/>
  <c r="Q99" i="8" a="1"/>
  <c r="Q99" i="8" s="1"/>
  <c r="P100" i="8" a="1"/>
  <c r="P100" i="8" s="1"/>
  <c r="P100" i="10" s="1" a="1"/>
  <c r="P100" i="10" s="1"/>
  <c r="Q100" i="8" a="1"/>
  <c r="Q100" i="8" s="1"/>
  <c r="P101" i="8" a="1"/>
  <c r="P101" i="8" s="1"/>
  <c r="P101" i="10" s="1" a="1"/>
  <c r="P101" i="10" s="1"/>
  <c r="Q101" i="8" a="1"/>
  <c r="Q101" i="8" s="1"/>
  <c r="P102" i="8" a="1"/>
  <c r="P102" i="8" s="1"/>
  <c r="P102" i="10" s="1" a="1"/>
  <c r="P102" i="10" s="1"/>
  <c r="Q102" i="8" a="1"/>
  <c r="Q102" i="8" s="1"/>
  <c r="P103" i="8" a="1"/>
  <c r="P103" i="8" s="1"/>
  <c r="P103" i="10" s="1" a="1"/>
  <c r="P103" i="10" s="1"/>
  <c r="Q103" i="8" a="1"/>
  <c r="Q103" i="8" s="1"/>
  <c r="P104" i="8" a="1"/>
  <c r="P104" i="8" s="1"/>
  <c r="P104" i="10" s="1" a="1"/>
  <c r="P104" i="10" s="1"/>
  <c r="Q104" i="8" a="1"/>
  <c r="Q104" i="8" s="1"/>
  <c r="P105" i="8" a="1"/>
  <c r="P105" i="8" s="1"/>
  <c r="P105" i="10" s="1" a="1"/>
  <c r="P105" i="10" s="1"/>
  <c r="Q105" i="8" a="1"/>
  <c r="Q105" i="8" s="1"/>
  <c r="P106" i="8" a="1"/>
  <c r="P106" i="8" s="1"/>
  <c r="P106" i="10" s="1" a="1"/>
  <c r="P106" i="10" s="1"/>
  <c r="Q106" i="8" a="1"/>
  <c r="Q106" i="8" s="1"/>
  <c r="P107" i="8" a="1"/>
  <c r="P107" i="8" s="1"/>
  <c r="P107" i="10" s="1" a="1"/>
  <c r="P107" i="10" s="1"/>
  <c r="Q107" i="8" a="1"/>
  <c r="Q107" i="8" s="1"/>
  <c r="P108" i="8" a="1"/>
  <c r="P108" i="8" s="1"/>
  <c r="P108" i="10" s="1" a="1"/>
  <c r="P108" i="10" s="1"/>
  <c r="Q108" i="8" a="1"/>
  <c r="Q108" i="8" s="1"/>
  <c r="P109" i="8" a="1"/>
  <c r="P109" i="8" s="1"/>
  <c r="P109" i="10" s="1" a="1"/>
  <c r="P109" i="10" s="1"/>
  <c r="Q109" i="8" a="1"/>
  <c r="Q109" i="8" s="1"/>
  <c r="P110" i="8" a="1"/>
  <c r="P110" i="8" s="1"/>
  <c r="P110" i="10" s="1" a="1"/>
  <c r="P110" i="10" s="1"/>
  <c r="Q110" i="8" a="1"/>
  <c r="Q110" i="8" s="1"/>
  <c r="P111" i="8" a="1"/>
  <c r="P111" i="8" s="1"/>
  <c r="P111" i="10" s="1" a="1"/>
  <c r="P111" i="10" s="1"/>
  <c r="Q111" i="8" a="1"/>
  <c r="Q111" i="8" s="1"/>
  <c r="P112" i="8" a="1"/>
  <c r="P112" i="8" s="1"/>
  <c r="P112" i="10" s="1" a="1"/>
  <c r="P112" i="10" s="1"/>
  <c r="Q112" i="8" a="1"/>
  <c r="Q112" i="8" s="1"/>
  <c r="P113" i="8" a="1"/>
  <c r="P113" i="8" s="1"/>
  <c r="P113" i="10" s="1" a="1"/>
  <c r="P113" i="10" s="1"/>
  <c r="Q113" i="8" a="1"/>
  <c r="Q113" i="8" s="1"/>
  <c r="P114" i="8" a="1"/>
  <c r="P114" i="8" s="1"/>
  <c r="P114" i="10" s="1" a="1"/>
  <c r="P114" i="10" s="1"/>
  <c r="Q114" i="8" a="1"/>
  <c r="Q114" i="8" s="1"/>
  <c r="P115" i="8" a="1"/>
  <c r="P115" i="8" s="1"/>
  <c r="P115" i="10" s="1" a="1"/>
  <c r="P115" i="10" s="1"/>
  <c r="Q115" i="8" a="1"/>
  <c r="Q115" i="8" s="1"/>
  <c r="P116" i="8" a="1"/>
  <c r="P116" i="8" s="1"/>
  <c r="P116" i="10" s="1" a="1"/>
  <c r="P116" i="10" s="1"/>
  <c r="Q116" i="8" a="1"/>
  <c r="Q116" i="8" s="1"/>
  <c r="P117" i="8" a="1"/>
  <c r="P117" i="8" s="1"/>
  <c r="P117" i="10" s="1" a="1"/>
  <c r="P117" i="10" s="1"/>
  <c r="Q117" i="8" a="1"/>
  <c r="Q117" i="8" s="1"/>
  <c r="P118" i="8" a="1"/>
  <c r="P118" i="8" s="1"/>
  <c r="P118" i="10" s="1" a="1"/>
  <c r="P118" i="10" s="1"/>
  <c r="Q118" i="8" a="1"/>
  <c r="Q118" i="8" s="1"/>
  <c r="P119" i="8" a="1"/>
  <c r="P119" i="8" s="1"/>
  <c r="P119" i="10" s="1" a="1"/>
  <c r="P119" i="10" s="1"/>
  <c r="Q119" i="8" a="1"/>
  <c r="Q119" i="8" s="1"/>
  <c r="P120" i="8" a="1"/>
  <c r="P120" i="8" s="1"/>
  <c r="P120" i="10" s="1" a="1"/>
  <c r="P120" i="10" s="1"/>
  <c r="Q120" i="8" a="1"/>
  <c r="Q120" i="8" s="1"/>
  <c r="P121" i="8" a="1"/>
  <c r="P121" i="8" s="1"/>
  <c r="P121" i="10" s="1" a="1"/>
  <c r="P121" i="10" s="1"/>
  <c r="Q121" i="8" a="1"/>
  <c r="Q121" i="8" s="1"/>
  <c r="P122" i="8" a="1"/>
  <c r="P122" i="8" s="1"/>
  <c r="P122" i="10" s="1" a="1"/>
  <c r="P122" i="10" s="1"/>
  <c r="Q122" i="8" a="1"/>
  <c r="Q122" i="8" s="1"/>
  <c r="P123" i="8" a="1"/>
  <c r="P123" i="8" s="1"/>
  <c r="P123" i="10" s="1" a="1"/>
  <c r="P123" i="10" s="1"/>
  <c r="Q123" i="8" a="1"/>
  <c r="Q123" i="8" s="1"/>
  <c r="P124" i="8" a="1"/>
  <c r="P124" i="8" s="1"/>
  <c r="P124" i="10" s="1" a="1"/>
  <c r="P124" i="10" s="1"/>
  <c r="Q124" i="8" a="1"/>
  <c r="Q124" i="8" s="1"/>
  <c r="P125" i="8" a="1"/>
  <c r="P125" i="8" s="1"/>
  <c r="P125" i="10" s="1" a="1"/>
  <c r="P125" i="10" s="1"/>
  <c r="Q125" i="8" a="1"/>
  <c r="Q125" i="8" s="1"/>
  <c r="P126" i="8" a="1"/>
  <c r="P126" i="8" s="1"/>
  <c r="P126" i="10" s="1" a="1"/>
  <c r="P126" i="10" s="1"/>
  <c r="Q126" i="8" a="1"/>
  <c r="Q126" i="8" s="1"/>
  <c r="P127" i="8" a="1"/>
  <c r="P127" i="8" s="1"/>
  <c r="P127" i="10" s="1" a="1"/>
  <c r="P127" i="10" s="1"/>
  <c r="Q127" i="8" a="1"/>
  <c r="Q127" i="8" s="1"/>
  <c r="P128" i="8" a="1"/>
  <c r="P128" i="8" s="1"/>
  <c r="P128" i="10" s="1" a="1"/>
  <c r="P128" i="10" s="1"/>
  <c r="Q128" i="8" a="1"/>
  <c r="Q128" i="8" s="1"/>
  <c r="P129" i="8" a="1"/>
  <c r="P129" i="8" s="1"/>
  <c r="P129" i="10" s="1" a="1"/>
  <c r="P129" i="10" s="1"/>
  <c r="Q129" i="8" a="1"/>
  <c r="Q129" i="8" s="1"/>
  <c r="P130" i="8" a="1"/>
  <c r="P130" i="8" s="1"/>
  <c r="P130" i="10" s="1" a="1"/>
  <c r="P130" i="10" s="1"/>
  <c r="Q130" i="8" a="1"/>
  <c r="Q130" i="8" s="1"/>
  <c r="P131" i="8" a="1"/>
  <c r="P131" i="8" s="1"/>
  <c r="P131" i="10" s="1" a="1"/>
  <c r="P131" i="10" s="1"/>
  <c r="Q131" i="8" a="1"/>
  <c r="Q131" i="8" s="1"/>
  <c r="P132" i="8" a="1"/>
  <c r="P132" i="8" s="1"/>
  <c r="P132" i="10" s="1" a="1"/>
  <c r="P132" i="10" s="1"/>
  <c r="Q132" i="8" a="1"/>
  <c r="Q132" i="8" s="1"/>
  <c r="P133" i="8" a="1"/>
  <c r="P133" i="8" s="1"/>
  <c r="P133" i="10" s="1" a="1"/>
  <c r="P133" i="10" s="1"/>
  <c r="Q133" i="8" a="1"/>
  <c r="Q133" i="8" s="1"/>
  <c r="P134" i="8" a="1"/>
  <c r="P134" i="8" s="1"/>
  <c r="P134" i="10" s="1" a="1"/>
  <c r="P134" i="10" s="1"/>
  <c r="Q134" i="8" a="1"/>
  <c r="Q134" i="8" s="1"/>
  <c r="P135" i="8" a="1"/>
  <c r="P135" i="8" s="1"/>
  <c r="P135" i="10" s="1" a="1"/>
  <c r="P135" i="10" s="1"/>
  <c r="Q135" i="8" a="1"/>
  <c r="Q135" i="8" s="1"/>
  <c r="P136" i="8" a="1"/>
  <c r="P136" i="8" s="1"/>
  <c r="P136" i="10" s="1" a="1"/>
  <c r="P136" i="10" s="1"/>
  <c r="Q136" i="8" a="1"/>
  <c r="Q136" i="8" s="1"/>
  <c r="P137" i="8" a="1"/>
  <c r="P137" i="8" s="1"/>
  <c r="P137" i="10" s="1" a="1"/>
  <c r="P137" i="10" s="1"/>
  <c r="Q137" i="8" a="1"/>
  <c r="Q137" i="8" s="1"/>
  <c r="P138" i="8" a="1"/>
  <c r="P138" i="8" s="1"/>
  <c r="P138" i="10" s="1" a="1"/>
  <c r="P138" i="10" s="1"/>
  <c r="Q138" i="8" a="1"/>
  <c r="Q138" i="8" s="1"/>
  <c r="P139" i="8" a="1"/>
  <c r="P139" i="8" s="1"/>
  <c r="P139" i="10" s="1" a="1"/>
  <c r="P139" i="10" s="1"/>
  <c r="Q139" i="8" a="1"/>
  <c r="Q139" i="8" s="1"/>
  <c r="P140" i="8" a="1"/>
  <c r="P140" i="8" s="1"/>
  <c r="P140" i="10" s="1" a="1"/>
  <c r="P140" i="10" s="1"/>
  <c r="Q140" i="8" a="1"/>
  <c r="Q140" i="8" s="1"/>
  <c r="P141" i="8" a="1"/>
  <c r="P141" i="8" s="1"/>
  <c r="P141" i="10" s="1" a="1"/>
  <c r="P141" i="10" s="1"/>
  <c r="Q141" i="8" a="1"/>
  <c r="Q141" i="8" s="1"/>
  <c r="P142" i="8" a="1"/>
  <c r="P142" i="8" s="1"/>
  <c r="P142" i="10" s="1" a="1"/>
  <c r="P142" i="10" s="1"/>
  <c r="Q142" i="8" a="1"/>
  <c r="Q142" i="8" s="1"/>
  <c r="P143" i="8" a="1"/>
  <c r="P143" i="8" s="1"/>
  <c r="P143" i="10" s="1" a="1"/>
  <c r="P143" i="10" s="1"/>
  <c r="Q143" i="8" a="1"/>
  <c r="Q143" i="8" s="1"/>
  <c r="P144" i="8" a="1"/>
  <c r="P144" i="8" s="1"/>
  <c r="P144" i="10" s="1" a="1"/>
  <c r="P144" i="10" s="1"/>
  <c r="Q144" i="8" a="1"/>
  <c r="Q144" i="8" s="1"/>
  <c r="P145" i="8" a="1"/>
  <c r="P145" i="8" s="1"/>
  <c r="P145" i="10" s="1" a="1"/>
  <c r="P145" i="10" s="1"/>
  <c r="Q145" i="8" a="1"/>
  <c r="Q145" i="8" s="1"/>
  <c r="P146" i="8" a="1"/>
  <c r="P146" i="8" s="1"/>
  <c r="P146" i="10" s="1" a="1"/>
  <c r="P146" i="10" s="1"/>
  <c r="Q146" i="8" a="1"/>
  <c r="Q146" i="8" s="1"/>
  <c r="P147" i="8" a="1"/>
  <c r="P147" i="8" s="1"/>
  <c r="P147" i="10" s="1" a="1"/>
  <c r="P147" i="10" s="1"/>
  <c r="Q147" i="8" a="1"/>
  <c r="Q147" i="8" s="1"/>
  <c r="P148" i="8" a="1"/>
  <c r="P148" i="8" s="1"/>
  <c r="P148" i="10" s="1" a="1"/>
  <c r="P148" i="10" s="1"/>
  <c r="Q148" i="8" a="1"/>
  <c r="Q148" i="8" s="1"/>
  <c r="P149" i="8" a="1"/>
  <c r="P149" i="8" s="1"/>
  <c r="P149" i="10" s="1" a="1"/>
  <c r="P149" i="10" s="1"/>
  <c r="Q149" i="8" a="1"/>
  <c r="Q149" i="8" s="1"/>
  <c r="P150" i="8" a="1"/>
  <c r="P150" i="8" s="1"/>
  <c r="P150" i="10" s="1" a="1"/>
  <c r="P150" i="10" s="1"/>
  <c r="Q150" i="8" a="1"/>
  <c r="Q150" i="8" s="1"/>
  <c r="P151" i="8" a="1"/>
  <c r="P151" i="8" s="1"/>
  <c r="P151" i="10" s="1" a="1"/>
  <c r="P151" i="10" s="1"/>
  <c r="Q151" i="8" a="1"/>
  <c r="Q151" i="8" s="1"/>
  <c r="P152" i="8" a="1"/>
  <c r="P152" i="8" s="1"/>
  <c r="P152" i="10" s="1" a="1"/>
  <c r="P152" i="10" s="1"/>
  <c r="Q152" i="8" a="1"/>
  <c r="Q152" i="8" s="1"/>
  <c r="P153" i="8" a="1"/>
  <c r="P153" i="8" s="1"/>
  <c r="P153" i="10" s="1" a="1"/>
  <c r="P153" i="10" s="1"/>
  <c r="Q153" i="8" a="1"/>
  <c r="Q153" i="8" s="1"/>
  <c r="P154" i="8" a="1"/>
  <c r="P154" i="8" s="1"/>
  <c r="P154" i="10" s="1" a="1"/>
  <c r="P154" i="10" s="1"/>
  <c r="Q154" i="8" a="1"/>
  <c r="Q154" i="8" s="1"/>
  <c r="P155" i="8" a="1"/>
  <c r="P155" i="8" s="1"/>
  <c r="P155" i="10" s="1" a="1"/>
  <c r="P155" i="10" s="1"/>
  <c r="Q155" i="8" a="1"/>
  <c r="Q155" i="8" s="1"/>
  <c r="P156" i="8" a="1"/>
  <c r="P156" i="8" s="1"/>
  <c r="P156" i="10" s="1" a="1"/>
  <c r="P156" i="10" s="1"/>
  <c r="Q156" i="8" a="1"/>
  <c r="Q156" i="8" s="1"/>
  <c r="P157" i="8" a="1"/>
  <c r="P157" i="8" s="1"/>
  <c r="P157" i="10" s="1" a="1"/>
  <c r="P157" i="10" s="1"/>
  <c r="Q157" i="8" a="1"/>
  <c r="Q157" i="8" s="1"/>
  <c r="P158" i="8" a="1"/>
  <c r="P158" i="8" s="1"/>
  <c r="P158" i="10" s="1" a="1"/>
  <c r="P158" i="10" s="1"/>
  <c r="Q158" i="8" a="1"/>
  <c r="Q158" i="8" s="1"/>
  <c r="P159" i="8" a="1"/>
  <c r="P159" i="8" s="1"/>
  <c r="P159" i="10" s="1" a="1"/>
  <c r="P159" i="10" s="1"/>
  <c r="Q159" i="8" a="1"/>
  <c r="Q159" i="8" s="1"/>
  <c r="P160" i="8" a="1"/>
  <c r="P160" i="8" s="1"/>
  <c r="P160" i="10" s="1" a="1"/>
  <c r="P160" i="10" s="1"/>
  <c r="Q160" i="8" a="1"/>
  <c r="Q160" i="8" s="1"/>
  <c r="P161" i="8" a="1"/>
  <c r="P161" i="8" s="1"/>
  <c r="P161" i="10" s="1" a="1"/>
  <c r="P161" i="10" s="1"/>
  <c r="Q161" i="8" a="1"/>
  <c r="Q161" i="8" s="1"/>
  <c r="P162" i="8" a="1"/>
  <c r="P162" i="8" s="1"/>
  <c r="P162" i="10" s="1" a="1"/>
  <c r="P162" i="10" s="1"/>
  <c r="Q162" i="8" a="1"/>
  <c r="Q162" i="8" s="1"/>
  <c r="P163" i="8" a="1"/>
  <c r="P163" i="8" s="1"/>
  <c r="P163" i="10" s="1" a="1"/>
  <c r="P163" i="10" s="1"/>
  <c r="Q163" i="8" a="1"/>
  <c r="Q163" i="8" s="1"/>
  <c r="P164" i="8" a="1"/>
  <c r="P164" i="8" s="1"/>
  <c r="P164" i="10" s="1" a="1"/>
  <c r="P164" i="10" s="1"/>
  <c r="Q164" i="8" a="1"/>
  <c r="Q164" i="8" s="1"/>
  <c r="P165" i="8" a="1"/>
  <c r="P165" i="8" s="1"/>
  <c r="P165" i="10" s="1" a="1"/>
  <c r="P165" i="10" s="1"/>
  <c r="Q165" i="8" a="1"/>
  <c r="Q165" i="8" s="1"/>
  <c r="P166" i="8" a="1"/>
  <c r="P166" i="8" s="1"/>
  <c r="P166" i="10" s="1" a="1"/>
  <c r="P166" i="10" s="1"/>
  <c r="Q166" i="8" a="1"/>
  <c r="Q166" i="8" s="1"/>
  <c r="P167" i="8" a="1"/>
  <c r="P167" i="8" s="1"/>
  <c r="P167" i="10" s="1" a="1"/>
  <c r="P167" i="10" s="1"/>
  <c r="Q167" i="8" a="1"/>
  <c r="Q167" i="8" s="1"/>
  <c r="P168" i="8" a="1"/>
  <c r="P168" i="8" s="1"/>
  <c r="P168" i="10" s="1" a="1"/>
  <c r="P168" i="10" s="1"/>
  <c r="Q168" i="8" a="1"/>
  <c r="Q168" i="8" s="1"/>
  <c r="P169" i="8" a="1"/>
  <c r="P169" i="8" s="1"/>
  <c r="P169" i="10" s="1" a="1"/>
  <c r="P169" i="10" s="1"/>
  <c r="Q169" i="8" a="1"/>
  <c r="Q169" i="8" s="1"/>
  <c r="P170" i="8" a="1"/>
  <c r="P170" i="8" s="1"/>
  <c r="P170" i="10" s="1" a="1"/>
  <c r="P170" i="10" s="1"/>
  <c r="Q170" i="8" a="1"/>
  <c r="Q170" i="8" s="1"/>
  <c r="P171" i="8" a="1"/>
  <c r="P171" i="8" s="1"/>
  <c r="P171" i="10" s="1" a="1"/>
  <c r="P171" i="10" s="1"/>
  <c r="Q171" i="8" a="1"/>
  <c r="Q171" i="8" s="1"/>
  <c r="P172" i="8" a="1"/>
  <c r="P172" i="8" s="1"/>
  <c r="P172" i="10" s="1" a="1"/>
  <c r="P172" i="10" s="1"/>
  <c r="Q172" i="8" a="1"/>
  <c r="Q172" i="8" s="1"/>
  <c r="P173" i="8" a="1"/>
  <c r="P173" i="8" s="1"/>
  <c r="P173" i="10" s="1" a="1"/>
  <c r="P173" i="10" s="1"/>
  <c r="Q173" i="8" a="1"/>
  <c r="Q173" i="8" s="1"/>
  <c r="P174" i="8" a="1"/>
  <c r="P174" i="8" s="1"/>
  <c r="P174" i="10" s="1" a="1"/>
  <c r="P174" i="10" s="1"/>
  <c r="Q174" i="8" a="1"/>
  <c r="Q174" i="8" s="1"/>
  <c r="P175" i="8" a="1"/>
  <c r="P175" i="8" s="1"/>
  <c r="P175" i="10" s="1" a="1"/>
  <c r="P175" i="10" s="1"/>
  <c r="Q175" i="8" a="1"/>
  <c r="Q175" i="8" s="1"/>
  <c r="P176" i="8" a="1"/>
  <c r="P176" i="8" s="1"/>
  <c r="P176" i="10" s="1" a="1"/>
  <c r="P176" i="10" s="1"/>
  <c r="Q176" i="8" a="1"/>
  <c r="Q176" i="8" s="1"/>
  <c r="P177" i="8" a="1"/>
  <c r="P177" i="8" s="1"/>
  <c r="P177" i="10" s="1" a="1"/>
  <c r="P177" i="10" s="1"/>
  <c r="Q177" i="8" a="1"/>
  <c r="Q177" i="8" s="1"/>
  <c r="P178" i="8" a="1"/>
  <c r="P178" i="8" s="1"/>
  <c r="P178" i="10" s="1" a="1"/>
  <c r="P178" i="10" s="1"/>
  <c r="Q178" i="8" a="1"/>
  <c r="Q178" i="8" s="1"/>
  <c r="P179" i="8" a="1"/>
  <c r="P179" i="8" s="1"/>
  <c r="P179" i="10" s="1" a="1"/>
  <c r="P179" i="10" s="1"/>
  <c r="Q179" i="8" a="1"/>
  <c r="Q179" i="8" s="1"/>
  <c r="P180" i="8" a="1"/>
  <c r="P180" i="8" s="1"/>
  <c r="P180" i="10" s="1" a="1"/>
  <c r="P180" i="10" s="1"/>
  <c r="Q180" i="8" a="1"/>
  <c r="Q180" i="8" s="1"/>
  <c r="P181" i="8" a="1"/>
  <c r="P181" i="8" s="1"/>
  <c r="P181" i="10" s="1" a="1"/>
  <c r="P181" i="10" s="1"/>
  <c r="Q181" i="8" a="1"/>
  <c r="Q181" i="8" s="1"/>
  <c r="P182" i="8" a="1"/>
  <c r="P182" i="8" s="1"/>
  <c r="P182" i="10" s="1" a="1"/>
  <c r="P182" i="10" s="1"/>
  <c r="Q182" i="8" a="1"/>
  <c r="Q182" i="8" s="1"/>
  <c r="P183" i="8" a="1"/>
  <c r="P183" i="8" s="1"/>
  <c r="P183" i="10" s="1" a="1"/>
  <c r="P183" i="10" s="1"/>
  <c r="Q183" i="8" a="1"/>
  <c r="Q183" i="8" s="1"/>
  <c r="P184" i="8" a="1"/>
  <c r="P184" i="8" s="1"/>
  <c r="P184" i="10" s="1" a="1"/>
  <c r="P184" i="10" s="1"/>
  <c r="Q184" i="8" a="1"/>
  <c r="Q184" i="8" s="1"/>
  <c r="P185" i="8" a="1"/>
  <c r="P185" i="8" s="1"/>
  <c r="P185" i="10" s="1" a="1"/>
  <c r="P185" i="10" s="1"/>
  <c r="Q185" i="8" a="1"/>
  <c r="Q185" i="8" s="1"/>
  <c r="P186" i="8" a="1"/>
  <c r="P186" i="8" s="1"/>
  <c r="P186" i="10" s="1" a="1"/>
  <c r="P186" i="10" s="1"/>
  <c r="Q186" i="8" a="1"/>
  <c r="Q186" i="8" s="1"/>
  <c r="P187" i="8" a="1"/>
  <c r="P187" i="8" s="1"/>
  <c r="P187" i="10" s="1" a="1"/>
  <c r="P187" i="10" s="1"/>
  <c r="Q187" i="8" a="1"/>
  <c r="Q187" i="8" s="1"/>
  <c r="P188" i="8" a="1"/>
  <c r="P188" i="8" s="1"/>
  <c r="P188" i="10" s="1" a="1"/>
  <c r="P188" i="10" s="1"/>
  <c r="Q188" i="8" a="1"/>
  <c r="Q188" i="8" s="1"/>
  <c r="P189" i="8" a="1"/>
  <c r="P189" i="8" s="1"/>
  <c r="P189" i="10" s="1" a="1"/>
  <c r="P189" i="10" s="1"/>
  <c r="Q189" i="8" a="1"/>
  <c r="Q189" i="8" s="1"/>
  <c r="P190" i="8" a="1"/>
  <c r="P190" i="8" s="1"/>
  <c r="P190" i="10" s="1" a="1"/>
  <c r="P190" i="10" s="1"/>
  <c r="Q190" i="8" a="1"/>
  <c r="Q190" i="8" s="1"/>
  <c r="P191" i="8" a="1"/>
  <c r="P191" i="8" s="1"/>
  <c r="P191" i="10" s="1" a="1"/>
  <c r="P191" i="10" s="1"/>
  <c r="Q191" i="8" a="1"/>
  <c r="Q191" i="8" s="1"/>
  <c r="P192" i="8" a="1"/>
  <c r="P192" i="8" s="1"/>
  <c r="P192" i="10" s="1" a="1"/>
  <c r="P192" i="10" s="1"/>
  <c r="Q192" i="8" a="1"/>
  <c r="Q192" i="8" s="1"/>
  <c r="P193" i="8" a="1"/>
  <c r="P193" i="8" s="1"/>
  <c r="P193" i="10" s="1" a="1"/>
  <c r="P193" i="10" s="1"/>
  <c r="Q193" i="8" a="1"/>
  <c r="Q193" i="8" s="1"/>
  <c r="P194" i="8" a="1"/>
  <c r="P194" i="8" s="1"/>
  <c r="P194" i="10" s="1" a="1"/>
  <c r="P194" i="10" s="1"/>
  <c r="Q194" i="8" a="1"/>
  <c r="Q194" i="8" s="1"/>
  <c r="P195" i="8" a="1"/>
  <c r="P195" i="8" s="1"/>
  <c r="P195" i="10" s="1" a="1"/>
  <c r="P195" i="10" s="1"/>
  <c r="Q195" i="8" a="1"/>
  <c r="Q195" i="8" s="1"/>
  <c r="P196" i="8" a="1"/>
  <c r="P196" i="8" s="1"/>
  <c r="P196" i="10" s="1" a="1"/>
  <c r="P196" i="10" s="1"/>
  <c r="Q196" i="8" a="1"/>
  <c r="Q196" i="8" s="1"/>
  <c r="P197" i="8" a="1"/>
  <c r="P197" i="8" s="1"/>
  <c r="P197" i="10" s="1" a="1"/>
  <c r="P197" i="10" s="1"/>
  <c r="Q197" i="8" a="1"/>
  <c r="Q197" i="8" s="1"/>
  <c r="P198" i="8" a="1"/>
  <c r="P198" i="8" s="1"/>
  <c r="P198" i="10" s="1" a="1"/>
  <c r="P198" i="10" s="1"/>
  <c r="Q198" i="8" a="1"/>
  <c r="Q198" i="8" s="1"/>
  <c r="P199" i="8" a="1"/>
  <c r="P199" i="8" s="1"/>
  <c r="P199" i="10" s="1" a="1"/>
  <c r="P199" i="10" s="1"/>
  <c r="Q199" i="8" a="1"/>
  <c r="Q199" i="8" s="1"/>
  <c r="P200" i="8" a="1"/>
  <c r="P200" i="8" s="1"/>
  <c r="P200" i="10" s="1" a="1"/>
  <c r="P200" i="10" s="1"/>
  <c r="Q200" i="8" a="1"/>
  <c r="Q200" i="8" s="1"/>
  <c r="P201" i="8" a="1"/>
  <c r="P201" i="8" s="1"/>
  <c r="P201" i="10" s="1" a="1"/>
  <c r="P201" i="10" s="1"/>
  <c r="Q201" i="8" a="1"/>
  <c r="Q201" i="8" s="1"/>
  <c r="P202" i="8" a="1"/>
  <c r="P202" i="8" s="1"/>
  <c r="P202" i="10" s="1" a="1"/>
  <c r="P202" i="10" s="1"/>
  <c r="Q202" i="8" a="1"/>
  <c r="Q202" i="8" s="1"/>
  <c r="P203" i="8" a="1"/>
  <c r="P203" i="8" s="1"/>
  <c r="P203" i="10" s="1" a="1"/>
  <c r="P203" i="10" s="1"/>
  <c r="Q203" i="8" a="1"/>
  <c r="Q203" i="8" s="1"/>
  <c r="P204" i="8" a="1"/>
  <c r="P204" i="8" s="1"/>
  <c r="P204" i="10" s="1" a="1"/>
  <c r="P204" i="10" s="1"/>
  <c r="Q204" i="8" a="1"/>
  <c r="Q204" i="8" s="1"/>
  <c r="P205" i="8" a="1"/>
  <c r="P205" i="8" s="1"/>
  <c r="P205" i="10" s="1" a="1"/>
  <c r="P205" i="10" s="1"/>
  <c r="Q205" i="8" a="1"/>
  <c r="Q205" i="8" s="1"/>
  <c r="P206" i="8" a="1"/>
  <c r="P206" i="8" s="1"/>
  <c r="P206" i="10" s="1" a="1"/>
  <c r="P206" i="10" s="1"/>
  <c r="Q206" i="8" a="1"/>
  <c r="Q206" i="8" s="1"/>
  <c r="P207" i="8" a="1"/>
  <c r="P207" i="8" s="1"/>
  <c r="P207" i="10" s="1" a="1"/>
  <c r="P207" i="10" s="1"/>
  <c r="Q207" i="8" a="1"/>
  <c r="Q207" i="8" s="1"/>
  <c r="P208" i="8" a="1"/>
  <c r="P208" i="8" s="1"/>
  <c r="P208" i="10" s="1" a="1"/>
  <c r="P208" i="10" s="1"/>
  <c r="Q208" i="8" a="1"/>
  <c r="Q208" i="8" s="1"/>
  <c r="P209" i="8" a="1"/>
  <c r="P209" i="8" s="1"/>
  <c r="P209" i="10" s="1" a="1"/>
  <c r="P209" i="10" s="1"/>
  <c r="Q209" i="8" a="1"/>
  <c r="Q209" i="8" s="1"/>
  <c r="P210" i="8" a="1"/>
  <c r="P210" i="8" s="1"/>
  <c r="P210" i="10" s="1" a="1"/>
  <c r="P210" i="10" s="1"/>
  <c r="Q210" i="8" a="1"/>
  <c r="Q210" i="8" s="1"/>
  <c r="P211" i="8" a="1"/>
  <c r="P211" i="8" s="1"/>
  <c r="P211" i="10" s="1" a="1"/>
  <c r="P211" i="10" s="1"/>
  <c r="Q211" i="8" a="1"/>
  <c r="Q211" i="8" s="1"/>
  <c r="P212" i="8" a="1"/>
  <c r="P212" i="8" s="1"/>
  <c r="P212" i="10" s="1" a="1"/>
  <c r="P212" i="10" s="1"/>
  <c r="Q212" i="8" a="1"/>
  <c r="Q212" i="8" s="1"/>
  <c r="P213" i="8" a="1"/>
  <c r="P213" i="8" s="1"/>
  <c r="P213" i="10" s="1" a="1"/>
  <c r="P213" i="10" s="1"/>
  <c r="Q213" i="8" a="1"/>
  <c r="Q213" i="8" s="1"/>
  <c r="P214" i="8" a="1"/>
  <c r="P214" i="8" s="1"/>
  <c r="P214" i="10" s="1" a="1"/>
  <c r="P214" i="10" s="1"/>
  <c r="Q214" i="8" a="1"/>
  <c r="Q214" i="8" s="1"/>
  <c r="P215" i="8" a="1"/>
  <c r="P215" i="8" s="1"/>
  <c r="P215" i="10" s="1" a="1"/>
  <c r="P215" i="10" s="1"/>
  <c r="Q215" i="8" a="1"/>
  <c r="Q215" i="8" s="1"/>
  <c r="P216" i="8" a="1"/>
  <c r="P216" i="8" s="1"/>
  <c r="P216" i="10" s="1" a="1"/>
  <c r="P216" i="10" s="1"/>
  <c r="Q216" i="8" a="1"/>
  <c r="Q216" i="8" s="1"/>
  <c r="P217" i="8" a="1"/>
  <c r="P217" i="8" s="1"/>
  <c r="P217" i="10" s="1" a="1"/>
  <c r="P217" i="10" s="1"/>
  <c r="Q217" i="8" a="1"/>
  <c r="Q217" i="8" s="1"/>
  <c r="P218" i="8" a="1"/>
  <c r="P218" i="8" s="1"/>
  <c r="P218" i="10" s="1" a="1"/>
  <c r="P218" i="10" s="1"/>
  <c r="Q218" i="8" a="1"/>
  <c r="Q218" i="8" s="1"/>
  <c r="P219" i="8" a="1"/>
  <c r="P219" i="8" s="1"/>
  <c r="P219" i="10" s="1" a="1"/>
  <c r="P219" i="10" s="1"/>
  <c r="Q219" i="8" a="1"/>
  <c r="Q219" i="8" s="1"/>
  <c r="P220" i="8" a="1"/>
  <c r="P220" i="8" s="1"/>
  <c r="P220" i="10" s="1" a="1"/>
  <c r="P220" i="10" s="1"/>
  <c r="Q220" i="8" a="1"/>
  <c r="Q220" i="8" s="1"/>
  <c r="P221" i="8" a="1"/>
  <c r="P221" i="8" s="1"/>
  <c r="P221" i="10" s="1" a="1"/>
  <c r="P221" i="10" s="1"/>
  <c r="Q221" i="8" a="1"/>
  <c r="Q221" i="8" s="1"/>
  <c r="P222" i="8" a="1"/>
  <c r="P222" i="8" s="1"/>
  <c r="P222" i="10" s="1" a="1"/>
  <c r="P222" i="10" s="1"/>
  <c r="Q222" i="8" a="1"/>
  <c r="Q222" i="8" s="1"/>
  <c r="P223" i="8" a="1"/>
  <c r="P223" i="8" s="1"/>
  <c r="P223" i="10" s="1" a="1"/>
  <c r="P223" i="10" s="1"/>
  <c r="Q223" i="8" a="1"/>
  <c r="Q223" i="8" s="1"/>
  <c r="P224" i="8" a="1"/>
  <c r="P224" i="8" s="1"/>
  <c r="P224" i="10" s="1" a="1"/>
  <c r="P224" i="10" s="1"/>
  <c r="Q224" i="8" a="1"/>
  <c r="Q224" i="8" s="1"/>
  <c r="P225" i="8" a="1"/>
  <c r="P225" i="8" s="1"/>
  <c r="P225" i="10" s="1" a="1"/>
  <c r="P225" i="10" s="1"/>
  <c r="Q225" i="8" a="1"/>
  <c r="Q225" i="8" s="1"/>
  <c r="P226" i="8" a="1"/>
  <c r="P226" i="8" s="1"/>
  <c r="P226" i="10" s="1" a="1"/>
  <c r="P226" i="10" s="1"/>
  <c r="Q226" i="8" a="1"/>
  <c r="Q226" i="8" s="1"/>
  <c r="P227" i="8" a="1"/>
  <c r="P227" i="8" s="1"/>
  <c r="P227" i="10" s="1" a="1"/>
  <c r="P227" i="10" s="1"/>
  <c r="Q227" i="8" a="1"/>
  <c r="Q227" i="8" s="1"/>
  <c r="P228" i="8" a="1"/>
  <c r="P228" i="8" s="1"/>
  <c r="P228" i="10" s="1" a="1"/>
  <c r="P228" i="10" s="1"/>
  <c r="Q228" i="8" a="1"/>
  <c r="Q228" i="8" s="1"/>
  <c r="P229" i="8" a="1"/>
  <c r="P229" i="8" s="1"/>
  <c r="P229" i="10" s="1" a="1"/>
  <c r="P229" i="10" s="1"/>
  <c r="Q229" i="8" a="1"/>
  <c r="Q229" i="8" s="1"/>
  <c r="P230" i="8" a="1"/>
  <c r="P230" i="8" s="1"/>
  <c r="P230" i="10" s="1" a="1"/>
  <c r="P230" i="10" s="1"/>
  <c r="Q230" i="8" a="1"/>
  <c r="Q230" i="8" s="1"/>
  <c r="P231" i="8" a="1"/>
  <c r="P231" i="8" s="1"/>
  <c r="P231" i="10" s="1" a="1"/>
  <c r="P231" i="10" s="1"/>
  <c r="Q231" i="8" a="1"/>
  <c r="Q231" i="8" s="1"/>
  <c r="P232" i="8" a="1"/>
  <c r="P232" i="8" s="1"/>
  <c r="P232" i="10" s="1" a="1"/>
  <c r="P232" i="10" s="1"/>
  <c r="Q232" i="8" a="1"/>
  <c r="Q232" i="8" s="1"/>
  <c r="P233" i="8" a="1"/>
  <c r="P233" i="8" s="1"/>
  <c r="P233" i="10" s="1" a="1"/>
  <c r="P233" i="10" s="1"/>
  <c r="Q233" i="8" a="1"/>
  <c r="Q233" i="8" s="1"/>
  <c r="P234" i="8" a="1"/>
  <c r="P234" i="8" s="1"/>
  <c r="P234" i="10" s="1" a="1"/>
  <c r="P234" i="10" s="1"/>
  <c r="Q234" i="8" a="1"/>
  <c r="Q234" i="8" s="1"/>
  <c r="P235" i="8" a="1"/>
  <c r="P235" i="8" s="1"/>
  <c r="P235" i="10" s="1" a="1"/>
  <c r="P235" i="10" s="1"/>
  <c r="Q235" i="8" a="1"/>
  <c r="Q235" i="8" s="1"/>
  <c r="P236" i="8" a="1"/>
  <c r="P236" i="8" s="1"/>
  <c r="P236" i="10" s="1" a="1"/>
  <c r="P236" i="10" s="1"/>
  <c r="Q236" i="8" a="1"/>
  <c r="Q236" i="8" s="1"/>
  <c r="P237" i="8" a="1"/>
  <c r="P237" i="8" s="1"/>
  <c r="P237" i="10" s="1" a="1"/>
  <c r="P237" i="10" s="1"/>
  <c r="Q237" i="8" a="1"/>
  <c r="Q237" i="8" s="1"/>
  <c r="P238" i="8" a="1"/>
  <c r="P238" i="8" s="1"/>
  <c r="P238" i="10" s="1" a="1"/>
  <c r="P238" i="10" s="1"/>
  <c r="Q238" i="8" a="1"/>
  <c r="Q238" i="8" s="1"/>
  <c r="P239" i="8" a="1"/>
  <c r="P239" i="8" s="1"/>
  <c r="P239" i="10" s="1" a="1"/>
  <c r="P239" i="10" s="1"/>
  <c r="Q239" i="8" a="1"/>
  <c r="Q239" i="8" s="1"/>
  <c r="P240" i="8" a="1"/>
  <c r="P240" i="8" s="1"/>
  <c r="P240" i="10" s="1" a="1"/>
  <c r="P240" i="10" s="1"/>
  <c r="Q240" i="8" a="1"/>
  <c r="Q240" i="8" s="1"/>
  <c r="P241" i="8" a="1"/>
  <c r="P241" i="8" s="1"/>
  <c r="P241" i="10" s="1" a="1"/>
  <c r="P241" i="10" s="1"/>
  <c r="Q241" i="8" a="1"/>
  <c r="Q241" i="8" s="1"/>
  <c r="P242" i="8" a="1"/>
  <c r="P242" i="8" s="1"/>
  <c r="P242" i="10" s="1" a="1"/>
  <c r="P242" i="10" s="1"/>
  <c r="Q242" i="8" a="1"/>
  <c r="Q242" i="8" s="1"/>
  <c r="P243" i="8" a="1"/>
  <c r="P243" i="8" s="1"/>
  <c r="P243" i="10" s="1" a="1"/>
  <c r="P243" i="10" s="1"/>
  <c r="Q243" i="8" a="1"/>
  <c r="Q243" i="8" s="1"/>
  <c r="P244" i="8" a="1"/>
  <c r="P244" i="8" s="1"/>
  <c r="P244" i="10" s="1" a="1"/>
  <c r="P244" i="10" s="1"/>
  <c r="Q244" i="8" a="1"/>
  <c r="Q244" i="8" s="1"/>
  <c r="P245" i="8" a="1"/>
  <c r="P245" i="8" s="1"/>
  <c r="P245" i="10" s="1" a="1"/>
  <c r="P245" i="10" s="1"/>
  <c r="Q245" i="8" a="1"/>
  <c r="Q245" i="8" s="1"/>
  <c r="P246" i="8" a="1"/>
  <c r="P246" i="8" s="1"/>
  <c r="P246" i="10" s="1" a="1"/>
  <c r="P246" i="10" s="1"/>
  <c r="Q246" i="8" a="1"/>
  <c r="Q246" i="8" s="1"/>
  <c r="P247" i="8" a="1"/>
  <c r="P247" i="8" s="1"/>
  <c r="P247" i="10" s="1" a="1"/>
  <c r="P247" i="10" s="1"/>
  <c r="Q247" i="8" a="1"/>
  <c r="Q247" i="8" s="1"/>
  <c r="P248" i="8" a="1"/>
  <c r="P248" i="8" s="1"/>
  <c r="P248" i="10" s="1" a="1"/>
  <c r="P248" i="10" s="1"/>
  <c r="Q248" i="8" a="1"/>
  <c r="Q248" i="8" s="1"/>
  <c r="P249" i="8" a="1"/>
  <c r="P249" i="8" s="1"/>
  <c r="P249" i="10" s="1" a="1"/>
  <c r="P249" i="10" s="1"/>
  <c r="Q249" i="8" a="1"/>
  <c r="Q249" i="8" s="1"/>
  <c r="P250" i="8" a="1"/>
  <c r="P250" i="8" s="1"/>
  <c r="P250" i="10" s="1" a="1"/>
  <c r="P250" i="10" s="1"/>
  <c r="Q250" i="8" a="1"/>
  <c r="Q250" i="8" s="1"/>
  <c r="P251" i="8" a="1"/>
  <c r="P251" i="8" s="1"/>
  <c r="P251" i="10" s="1" a="1"/>
  <c r="P251" i="10" s="1"/>
  <c r="Q251" i="8" a="1"/>
  <c r="Q251" i="8" s="1"/>
  <c r="J13" i="8" a="1"/>
  <c r="J13" i="8" s="1"/>
  <c r="J14" i="8" a="1"/>
  <c r="J14" i="8" s="1"/>
  <c r="J15" i="8" a="1"/>
  <c r="J15" i="8" s="1"/>
  <c r="J16" i="8" a="1"/>
  <c r="J16" i="8" s="1"/>
  <c r="J17" i="8" a="1"/>
  <c r="J17" i="8" s="1"/>
  <c r="J18" i="8" a="1"/>
  <c r="J18" i="8" s="1"/>
  <c r="J19" i="8" a="1"/>
  <c r="J19" i="8" s="1"/>
  <c r="J20" i="8" a="1"/>
  <c r="J20" i="8" s="1"/>
  <c r="J21" i="8" a="1"/>
  <c r="J21" i="8" s="1"/>
  <c r="J22" i="8" a="1"/>
  <c r="J22" i="8" s="1"/>
  <c r="J23" i="8" a="1"/>
  <c r="J23" i="8" s="1"/>
  <c r="J24" i="8" a="1"/>
  <c r="J24" i="8" s="1"/>
  <c r="J25" i="8" a="1"/>
  <c r="J25" i="8" s="1"/>
  <c r="J26" i="8" a="1"/>
  <c r="J26" i="8" s="1"/>
  <c r="J27" i="8" a="1"/>
  <c r="J27" i="8" s="1"/>
  <c r="J28" i="8" a="1"/>
  <c r="J28" i="8" s="1"/>
  <c r="J29" i="8" a="1"/>
  <c r="J29" i="8" s="1"/>
  <c r="J30" i="8" a="1"/>
  <c r="J30" i="8" s="1"/>
  <c r="J31" i="8" a="1"/>
  <c r="J31" i="8" s="1"/>
  <c r="J32" i="8" a="1"/>
  <c r="J32" i="8" s="1"/>
  <c r="J33" i="8" a="1"/>
  <c r="J33" i="8" s="1"/>
  <c r="J34" i="8" a="1"/>
  <c r="J34" i="8" s="1"/>
  <c r="J35" i="8" a="1"/>
  <c r="J35" i="8" s="1"/>
  <c r="J36" i="8" a="1"/>
  <c r="J36" i="8" s="1"/>
  <c r="J37" i="8" a="1"/>
  <c r="J37" i="8" s="1"/>
  <c r="J38" i="8" a="1"/>
  <c r="J38" i="8" s="1"/>
  <c r="J39" i="8" a="1"/>
  <c r="J39" i="8" s="1"/>
  <c r="J40" i="8" a="1"/>
  <c r="J40" i="8" s="1"/>
  <c r="J41" i="8" a="1"/>
  <c r="J41" i="8" s="1"/>
  <c r="J42" i="8" a="1"/>
  <c r="J42" i="8" s="1"/>
  <c r="J43" i="8" a="1"/>
  <c r="J43" i="8" s="1"/>
  <c r="J44" i="8" a="1"/>
  <c r="J44" i="8" s="1"/>
  <c r="J45" i="8" a="1"/>
  <c r="J45" i="8" s="1"/>
  <c r="J46" i="8" a="1"/>
  <c r="J46" i="8" s="1"/>
  <c r="J47" i="8" a="1"/>
  <c r="J47" i="8" s="1"/>
  <c r="J48" i="8" a="1"/>
  <c r="J48" i="8" s="1"/>
  <c r="J49" i="8" a="1"/>
  <c r="J49" i="8" s="1"/>
  <c r="J50" i="8" a="1"/>
  <c r="J50" i="8" s="1"/>
  <c r="J51" i="8" a="1"/>
  <c r="J51" i="8" s="1"/>
  <c r="J52" i="8" a="1"/>
  <c r="J52" i="8" s="1"/>
  <c r="J53" i="8" a="1"/>
  <c r="J53" i="8" s="1"/>
  <c r="J54" i="8" a="1"/>
  <c r="J54" i="8" s="1"/>
  <c r="J55" i="8" a="1"/>
  <c r="J55" i="8" s="1"/>
  <c r="J56" i="8" a="1"/>
  <c r="J56" i="8" s="1"/>
  <c r="J57" i="8" a="1"/>
  <c r="J57" i="8" s="1"/>
  <c r="J58" i="8" a="1"/>
  <c r="J58" i="8" s="1"/>
  <c r="J59" i="8" a="1"/>
  <c r="J59" i="8" s="1"/>
  <c r="J60" i="8" a="1"/>
  <c r="J60" i="8" s="1"/>
  <c r="J61" i="8" a="1"/>
  <c r="J61" i="8" s="1"/>
  <c r="J62" i="8" a="1"/>
  <c r="J62" i="8" s="1"/>
  <c r="J63" i="8" a="1"/>
  <c r="J63" i="8" s="1"/>
  <c r="J64" i="8" a="1"/>
  <c r="J64" i="8" s="1"/>
  <c r="J65" i="8" a="1"/>
  <c r="J65" i="8" s="1"/>
  <c r="J66" i="8" a="1"/>
  <c r="J66" i="8" s="1"/>
  <c r="J67" i="8" a="1"/>
  <c r="J67" i="8" s="1"/>
  <c r="J68" i="8" a="1"/>
  <c r="J68" i="8" s="1"/>
  <c r="J69" i="8" a="1"/>
  <c r="J69" i="8" s="1"/>
  <c r="J70" i="8" a="1"/>
  <c r="J70" i="8" s="1"/>
  <c r="J71" i="8" a="1"/>
  <c r="J71" i="8" s="1"/>
  <c r="J72" i="8" a="1"/>
  <c r="J72" i="8" s="1"/>
  <c r="J73" i="8" a="1"/>
  <c r="J73" i="8" s="1"/>
  <c r="J74" i="8" a="1"/>
  <c r="J74" i="8" s="1"/>
  <c r="J75" i="8" a="1"/>
  <c r="J75" i="8" s="1"/>
  <c r="J76" i="8" a="1"/>
  <c r="J76" i="8" s="1"/>
  <c r="J77" i="8" a="1"/>
  <c r="J77" i="8" s="1"/>
  <c r="J78" i="8" a="1"/>
  <c r="J78" i="8" s="1"/>
  <c r="J79" i="8" a="1"/>
  <c r="J79" i="8" s="1"/>
  <c r="J80" i="8" a="1"/>
  <c r="J80" i="8" s="1"/>
  <c r="J81" i="8" a="1"/>
  <c r="J81" i="8" s="1"/>
  <c r="J82" i="8" a="1"/>
  <c r="J82" i="8" s="1"/>
  <c r="J83" i="8" a="1"/>
  <c r="J83" i="8" s="1"/>
  <c r="J84" i="8" a="1"/>
  <c r="J84" i="8" s="1"/>
  <c r="J85" i="8" a="1"/>
  <c r="J85" i="8" s="1"/>
  <c r="J86" i="8" a="1"/>
  <c r="J86" i="8" s="1"/>
  <c r="J87" i="8" a="1"/>
  <c r="J87" i="8" s="1"/>
  <c r="J88" i="8" a="1"/>
  <c r="J88" i="8" s="1"/>
  <c r="J89" i="8" a="1"/>
  <c r="J89" i="8" s="1"/>
  <c r="J90" i="8" a="1"/>
  <c r="J90" i="8" s="1"/>
  <c r="J91" i="8" a="1"/>
  <c r="J91" i="8" s="1"/>
  <c r="J92" i="8" a="1"/>
  <c r="J92" i="8" s="1"/>
  <c r="J93" i="8" a="1"/>
  <c r="J93" i="8" s="1"/>
  <c r="J94" i="8" a="1"/>
  <c r="J94" i="8" s="1"/>
  <c r="J95" i="8" a="1"/>
  <c r="J95" i="8" s="1"/>
  <c r="J96" i="8" a="1"/>
  <c r="J96" i="8" s="1"/>
  <c r="J97" i="8" a="1"/>
  <c r="J97" i="8" s="1"/>
  <c r="J98" i="8" a="1"/>
  <c r="J98" i="8" s="1"/>
  <c r="J99" i="8" a="1"/>
  <c r="J99" i="8" s="1"/>
  <c r="J100" i="8" a="1"/>
  <c r="J100" i="8" s="1"/>
  <c r="J101" i="8" a="1"/>
  <c r="J101" i="8" s="1"/>
  <c r="J102" i="8" a="1"/>
  <c r="J102" i="8" s="1"/>
  <c r="J103" i="8" a="1"/>
  <c r="J103" i="8" s="1"/>
  <c r="J104" i="8" a="1"/>
  <c r="J104" i="8" s="1"/>
  <c r="J105" i="8" a="1"/>
  <c r="J105" i="8" s="1"/>
  <c r="J106" i="8" a="1"/>
  <c r="J106" i="8" s="1"/>
  <c r="J107" i="8" a="1"/>
  <c r="J107" i="8" s="1"/>
  <c r="J108" i="8" a="1"/>
  <c r="J108" i="8" s="1"/>
  <c r="J109" i="8" a="1"/>
  <c r="J109" i="8" s="1"/>
  <c r="J110" i="8" a="1"/>
  <c r="J110" i="8" s="1"/>
  <c r="J111" i="8" a="1"/>
  <c r="J111" i="8" s="1"/>
  <c r="J112" i="8" a="1"/>
  <c r="J112" i="8" s="1"/>
  <c r="J113" i="8" a="1"/>
  <c r="J113" i="8" s="1"/>
  <c r="J114" i="8" a="1"/>
  <c r="J114" i="8" s="1"/>
  <c r="J115" i="8" a="1"/>
  <c r="J115" i="8" s="1"/>
  <c r="J116" i="8" a="1"/>
  <c r="J116" i="8" s="1"/>
  <c r="J117" i="8" a="1"/>
  <c r="J117" i="8" s="1"/>
  <c r="J118" i="8" a="1"/>
  <c r="J118" i="8" s="1"/>
  <c r="J119" i="8" a="1"/>
  <c r="J119" i="8" s="1"/>
  <c r="J120" i="8" a="1"/>
  <c r="J120" i="8" s="1"/>
  <c r="J121" i="8" a="1"/>
  <c r="J121" i="8" s="1"/>
  <c r="J122" i="8" a="1"/>
  <c r="J122" i="8" s="1"/>
  <c r="J123" i="8" a="1"/>
  <c r="J123" i="8" s="1"/>
  <c r="J124" i="8" a="1"/>
  <c r="J124" i="8" s="1"/>
  <c r="J125" i="8" a="1"/>
  <c r="J125" i="8" s="1"/>
  <c r="J126" i="8" a="1"/>
  <c r="J126" i="8" s="1"/>
  <c r="J127" i="8" a="1"/>
  <c r="J127" i="8" s="1"/>
  <c r="J128" i="8" a="1"/>
  <c r="J128" i="8" s="1"/>
  <c r="J129" i="8" a="1"/>
  <c r="J129" i="8" s="1"/>
  <c r="J130" i="8" a="1"/>
  <c r="J130" i="8" s="1"/>
  <c r="J131" i="8" a="1"/>
  <c r="J131" i="8" s="1"/>
  <c r="J132" i="8" a="1"/>
  <c r="J132" i="8" s="1"/>
  <c r="J133" i="8" a="1"/>
  <c r="J133" i="8" s="1"/>
  <c r="J134" i="8" a="1"/>
  <c r="J134" i="8" s="1"/>
  <c r="J135" i="8" a="1"/>
  <c r="J135" i="8" s="1"/>
  <c r="J136" i="8" a="1"/>
  <c r="J136" i="8" s="1"/>
  <c r="J137" i="8" a="1"/>
  <c r="J137" i="8" s="1"/>
  <c r="J138" i="8" a="1"/>
  <c r="J138" i="8" s="1"/>
  <c r="J139" i="8" a="1"/>
  <c r="J139" i="8" s="1"/>
  <c r="J140" i="8" a="1"/>
  <c r="J140" i="8" s="1"/>
  <c r="J141" i="8" a="1"/>
  <c r="J141" i="8" s="1"/>
  <c r="J142" i="8" a="1"/>
  <c r="J142" i="8" s="1"/>
  <c r="J143" i="8" a="1"/>
  <c r="J143" i="8" s="1"/>
  <c r="J144" i="8" a="1"/>
  <c r="J144" i="8" s="1"/>
  <c r="J145" i="8" a="1"/>
  <c r="J145" i="8" s="1"/>
  <c r="J146" i="8" a="1"/>
  <c r="J146" i="8" s="1"/>
  <c r="J147" i="8" a="1"/>
  <c r="J147" i="8" s="1"/>
  <c r="J148" i="8" a="1"/>
  <c r="J148" i="8" s="1"/>
  <c r="J149" i="8" a="1"/>
  <c r="J149" i="8" s="1"/>
  <c r="J150" i="8" a="1"/>
  <c r="J150" i="8" s="1"/>
  <c r="J151" i="8" a="1"/>
  <c r="J151" i="8" s="1"/>
  <c r="J152" i="8" a="1"/>
  <c r="J152" i="8" s="1"/>
  <c r="J153" i="8" a="1"/>
  <c r="J153" i="8" s="1"/>
  <c r="J154" i="8" a="1"/>
  <c r="J154" i="8" s="1"/>
  <c r="J155" i="8" a="1"/>
  <c r="J155" i="8" s="1"/>
  <c r="J156" i="8" a="1"/>
  <c r="J156" i="8" s="1"/>
  <c r="J157" i="8" a="1"/>
  <c r="J157" i="8" s="1"/>
  <c r="J158" i="8" a="1"/>
  <c r="J158" i="8" s="1"/>
  <c r="J159" i="8" a="1"/>
  <c r="J159" i="8" s="1"/>
  <c r="J160" i="8" a="1"/>
  <c r="J160" i="8" s="1"/>
  <c r="J161" i="8" a="1"/>
  <c r="J161" i="8" s="1"/>
  <c r="J162" i="8" a="1"/>
  <c r="J162" i="8" s="1"/>
  <c r="J163" i="8" a="1"/>
  <c r="J163" i="8" s="1"/>
  <c r="J164" i="8" a="1"/>
  <c r="J164" i="8" s="1"/>
  <c r="J165" i="8" a="1"/>
  <c r="J165" i="8" s="1"/>
  <c r="J166" i="8" a="1"/>
  <c r="J166" i="8" s="1"/>
  <c r="J167" i="8" a="1"/>
  <c r="J167" i="8" s="1"/>
  <c r="J168" i="8" a="1"/>
  <c r="J168" i="8" s="1"/>
  <c r="J169" i="8" a="1"/>
  <c r="J169" i="8" s="1"/>
  <c r="J170" i="8" a="1"/>
  <c r="J170" i="8" s="1"/>
  <c r="J171" i="8" a="1"/>
  <c r="J171" i="8" s="1"/>
  <c r="J172" i="8" a="1"/>
  <c r="J172" i="8" s="1"/>
  <c r="J173" i="8" a="1"/>
  <c r="J173" i="8" s="1"/>
  <c r="J174" i="8" a="1"/>
  <c r="J174" i="8" s="1"/>
  <c r="J175" i="8" a="1"/>
  <c r="J175" i="8" s="1"/>
  <c r="J176" i="8" a="1"/>
  <c r="J176" i="8" s="1"/>
  <c r="J177" i="8" a="1"/>
  <c r="J177" i="8" s="1"/>
  <c r="J178" i="8" a="1"/>
  <c r="J178" i="8" s="1"/>
  <c r="J179" i="8" a="1"/>
  <c r="J179" i="8" s="1"/>
  <c r="J180" i="8" a="1"/>
  <c r="J180" i="8" s="1"/>
  <c r="J181" i="8" a="1"/>
  <c r="J181" i="8" s="1"/>
  <c r="J182" i="8" a="1"/>
  <c r="J182" i="8" s="1"/>
  <c r="J183" i="8" a="1"/>
  <c r="J183" i="8" s="1"/>
  <c r="J184" i="8" a="1"/>
  <c r="J184" i="8" s="1"/>
  <c r="J185" i="8" a="1"/>
  <c r="J185" i="8" s="1"/>
  <c r="J186" i="8" a="1"/>
  <c r="J186" i="8" s="1"/>
  <c r="J187" i="8" a="1"/>
  <c r="J187" i="8" s="1"/>
  <c r="J188" i="8" a="1"/>
  <c r="J188" i="8" s="1"/>
  <c r="J189" i="8" a="1"/>
  <c r="J189" i="8" s="1"/>
  <c r="J190" i="8" a="1"/>
  <c r="J190" i="8" s="1"/>
  <c r="J191" i="8" a="1"/>
  <c r="J191" i="8" s="1"/>
  <c r="J192" i="8" a="1"/>
  <c r="J192" i="8" s="1"/>
  <c r="J193" i="8" a="1"/>
  <c r="J193" i="8" s="1"/>
  <c r="J194" i="8" a="1"/>
  <c r="J194" i="8" s="1"/>
  <c r="J195" i="8" a="1"/>
  <c r="J195" i="8" s="1"/>
  <c r="J196" i="8" a="1"/>
  <c r="J196" i="8" s="1"/>
  <c r="J197" i="8" a="1"/>
  <c r="J197" i="8" s="1"/>
  <c r="J198" i="8" a="1"/>
  <c r="J198" i="8" s="1"/>
  <c r="J199" i="8" a="1"/>
  <c r="J199" i="8" s="1"/>
  <c r="J200" i="8" a="1"/>
  <c r="J200" i="8" s="1"/>
  <c r="J201" i="8" a="1"/>
  <c r="J201" i="8" s="1"/>
  <c r="J202" i="8" a="1"/>
  <c r="J202" i="8" s="1"/>
  <c r="J203" i="8" a="1"/>
  <c r="J203" i="8" s="1"/>
  <c r="J204" i="8" a="1"/>
  <c r="J204" i="8" s="1"/>
  <c r="J205" i="8" a="1"/>
  <c r="J205" i="8" s="1"/>
  <c r="J206" i="8" a="1"/>
  <c r="J206" i="8" s="1"/>
  <c r="J207" i="8" a="1"/>
  <c r="J207" i="8" s="1"/>
  <c r="J208" i="8" a="1"/>
  <c r="J208" i="8" s="1"/>
  <c r="J209" i="8" a="1"/>
  <c r="J209" i="8" s="1"/>
  <c r="J210" i="8" a="1"/>
  <c r="J210" i="8" s="1"/>
  <c r="J211" i="8" a="1"/>
  <c r="J211" i="8" s="1"/>
  <c r="J212" i="8" a="1"/>
  <c r="J212" i="8" s="1"/>
  <c r="J213" i="8" a="1"/>
  <c r="J213" i="8" s="1"/>
  <c r="J214" i="8" a="1"/>
  <c r="J214" i="8" s="1"/>
  <c r="J215" i="8" a="1"/>
  <c r="J215" i="8" s="1"/>
  <c r="J216" i="8" a="1"/>
  <c r="J216" i="8" s="1"/>
  <c r="J217" i="8" a="1"/>
  <c r="J217" i="8" s="1"/>
  <c r="J218" i="8" a="1"/>
  <c r="J218" i="8" s="1"/>
  <c r="J219" i="8" a="1"/>
  <c r="J219" i="8" s="1"/>
  <c r="J220" i="8" a="1"/>
  <c r="J220" i="8" s="1"/>
  <c r="J221" i="8" a="1"/>
  <c r="J221" i="8" s="1"/>
  <c r="J222" i="8" a="1"/>
  <c r="J222" i="8" s="1"/>
  <c r="J223" i="8" a="1"/>
  <c r="J223" i="8" s="1"/>
  <c r="J224" i="8" a="1"/>
  <c r="J224" i="8" s="1"/>
  <c r="J225" i="8" a="1"/>
  <c r="J225" i="8" s="1"/>
  <c r="J226" i="8" a="1"/>
  <c r="J226" i="8" s="1"/>
  <c r="J227" i="8" a="1"/>
  <c r="J227" i="8" s="1"/>
  <c r="J228" i="8" a="1"/>
  <c r="J228" i="8" s="1"/>
  <c r="J229" i="8" a="1"/>
  <c r="J229" i="8" s="1"/>
  <c r="J230" i="8" a="1"/>
  <c r="J230" i="8" s="1"/>
  <c r="J231" i="8" a="1"/>
  <c r="J231" i="8" s="1"/>
  <c r="J232" i="8" a="1"/>
  <c r="J232" i="8" s="1"/>
  <c r="J233" i="8" a="1"/>
  <c r="J233" i="8" s="1"/>
  <c r="J234" i="8" a="1"/>
  <c r="J234" i="8" s="1"/>
  <c r="J235" i="8" a="1"/>
  <c r="J235" i="8" s="1"/>
  <c r="J236" i="8" a="1"/>
  <c r="J236" i="8" s="1"/>
  <c r="J237" i="8" a="1"/>
  <c r="J237" i="8" s="1"/>
  <c r="J238" i="8" a="1"/>
  <c r="J238" i="8" s="1"/>
  <c r="J239" i="8" a="1"/>
  <c r="J239" i="8" s="1"/>
  <c r="J240" i="8" a="1"/>
  <c r="J240" i="8" s="1"/>
  <c r="J241" i="8" a="1"/>
  <c r="J241" i="8" s="1"/>
  <c r="J242" i="8" a="1"/>
  <c r="J242" i="8" s="1"/>
  <c r="J243" i="8" a="1"/>
  <c r="J243" i="8" s="1"/>
  <c r="J244" i="8" a="1"/>
  <c r="J244" i="8" s="1"/>
  <c r="J245" i="8" a="1"/>
  <c r="J245" i="8" s="1"/>
  <c r="J246" i="8" a="1"/>
  <c r="J246" i="8" s="1"/>
  <c r="J247" i="8" a="1"/>
  <c r="J247" i="8" s="1"/>
  <c r="J248" i="8" a="1"/>
  <c r="J248" i="8" s="1"/>
  <c r="J249" i="8" a="1"/>
  <c r="J249" i="8" s="1"/>
  <c r="J250" i="8" a="1"/>
  <c r="J250" i="8" s="1"/>
  <c r="J251" i="8" a="1"/>
  <c r="J251" i="8" s="1"/>
  <c r="J12" i="8" a="1"/>
  <c r="J12" i="8" s="1"/>
  <c r="E13" i="8" a="1"/>
  <c r="E13" i="8" s="1"/>
  <c r="E14" i="8" a="1"/>
  <c r="E14" i="8" s="1"/>
  <c r="E15" i="8" a="1"/>
  <c r="E15" i="8" s="1"/>
  <c r="E16" i="8" a="1"/>
  <c r="E16" i="8" s="1"/>
  <c r="E17" i="8" a="1"/>
  <c r="E17" i="8" s="1"/>
  <c r="E18" i="8" a="1"/>
  <c r="E18" i="8" s="1"/>
  <c r="E19" i="8" a="1"/>
  <c r="E19" i="8" s="1"/>
  <c r="E20" i="8" a="1"/>
  <c r="E20" i="8" s="1"/>
  <c r="E21" i="8" a="1"/>
  <c r="E21" i="8" s="1"/>
  <c r="E22" i="8" a="1"/>
  <c r="E22" i="8" s="1"/>
  <c r="E23" i="8" a="1"/>
  <c r="E23" i="8" s="1"/>
  <c r="E24" i="8" a="1"/>
  <c r="E24" i="8" s="1"/>
  <c r="E25" i="8" a="1"/>
  <c r="E25" i="8" s="1"/>
  <c r="E26" i="8" a="1"/>
  <c r="E26" i="8" s="1"/>
  <c r="E27" i="8" a="1"/>
  <c r="E27" i="8" s="1"/>
  <c r="E28" i="8" a="1"/>
  <c r="E28" i="8" s="1"/>
  <c r="E29" i="8" a="1"/>
  <c r="E29" i="8" s="1"/>
  <c r="E30" i="8" a="1"/>
  <c r="E30" i="8" s="1"/>
  <c r="E31" i="8" a="1"/>
  <c r="E31" i="8" s="1"/>
  <c r="E32" i="8" a="1"/>
  <c r="E32" i="8" s="1"/>
  <c r="E33" i="8" a="1"/>
  <c r="E33" i="8" s="1"/>
  <c r="E34" i="8" a="1"/>
  <c r="E34" i="8" s="1"/>
  <c r="E35" i="8" a="1"/>
  <c r="E35" i="8" s="1"/>
  <c r="E36" i="8" a="1"/>
  <c r="E36" i="8" s="1"/>
  <c r="E37" i="8" a="1"/>
  <c r="E37" i="8" s="1"/>
  <c r="E38" i="8" a="1"/>
  <c r="E38" i="8" s="1"/>
  <c r="E39" i="8" a="1"/>
  <c r="E39" i="8" s="1"/>
  <c r="E40" i="8" a="1"/>
  <c r="E40" i="8" s="1"/>
  <c r="E41" i="8" a="1"/>
  <c r="E41" i="8" s="1"/>
  <c r="E42" i="8" a="1"/>
  <c r="E42" i="8" s="1"/>
  <c r="E43" i="8" a="1"/>
  <c r="E43" i="8" s="1"/>
  <c r="E44" i="8" a="1"/>
  <c r="E44" i="8" s="1"/>
  <c r="E45" i="8" a="1"/>
  <c r="E45" i="8" s="1"/>
  <c r="E46" i="8" a="1"/>
  <c r="E46" i="8" s="1"/>
  <c r="E47" i="8" a="1"/>
  <c r="E47" i="8" s="1"/>
  <c r="E48" i="8" a="1"/>
  <c r="E48" i="8" s="1"/>
  <c r="E49" i="8" a="1"/>
  <c r="E49" i="8" s="1"/>
  <c r="E50" i="8" a="1"/>
  <c r="E50" i="8" s="1"/>
  <c r="E51" i="8" a="1"/>
  <c r="E51" i="8" s="1"/>
  <c r="E52" i="8" a="1"/>
  <c r="E52" i="8" s="1"/>
  <c r="E53" i="8" a="1"/>
  <c r="E53" i="8" s="1"/>
  <c r="E54" i="8" a="1"/>
  <c r="E54" i="8" s="1"/>
  <c r="E55" i="8" a="1"/>
  <c r="E55" i="8" s="1"/>
  <c r="E56" i="8" a="1"/>
  <c r="E56" i="8" s="1"/>
  <c r="E57" i="8" a="1"/>
  <c r="E57" i="8" s="1"/>
  <c r="E58" i="8" a="1"/>
  <c r="E58" i="8" s="1"/>
  <c r="E59" i="8" a="1"/>
  <c r="E59" i="8" s="1"/>
  <c r="E60" i="8" a="1"/>
  <c r="E60" i="8" s="1"/>
  <c r="E61" i="8" a="1"/>
  <c r="E61" i="8" s="1"/>
  <c r="E62" i="8" a="1"/>
  <c r="E62" i="8" s="1"/>
  <c r="E63" i="8" a="1"/>
  <c r="E63" i="8" s="1"/>
  <c r="E64" i="8" a="1"/>
  <c r="E64" i="8" s="1"/>
  <c r="E65" i="8" a="1"/>
  <c r="E65" i="8" s="1"/>
  <c r="E66" i="8" a="1"/>
  <c r="E66" i="8" s="1"/>
  <c r="E67" i="8" a="1"/>
  <c r="E67" i="8" s="1"/>
  <c r="E68" i="8" a="1"/>
  <c r="E68" i="8" s="1"/>
  <c r="E69" i="8" a="1"/>
  <c r="E69" i="8" s="1"/>
  <c r="E70" i="8" a="1"/>
  <c r="E70" i="8" s="1"/>
  <c r="E71" i="8" a="1"/>
  <c r="E71" i="8" s="1"/>
  <c r="E72" i="8" a="1"/>
  <c r="E72" i="8" s="1"/>
  <c r="E73" i="8" a="1"/>
  <c r="E73" i="8" s="1"/>
  <c r="E74" i="8" a="1"/>
  <c r="E74" i="8" s="1"/>
  <c r="E75" i="8" a="1"/>
  <c r="E75" i="8" s="1"/>
  <c r="E76" i="8" a="1"/>
  <c r="E76" i="8" s="1"/>
  <c r="E77" i="8" a="1"/>
  <c r="E77" i="8" s="1"/>
  <c r="E78" i="8" a="1"/>
  <c r="E78" i="8" s="1"/>
  <c r="E79" i="8" a="1"/>
  <c r="E79" i="8" s="1"/>
  <c r="E80" i="8" a="1"/>
  <c r="E80" i="8" s="1"/>
  <c r="E81" i="8" a="1"/>
  <c r="E81" i="8" s="1"/>
  <c r="E82" i="8" a="1"/>
  <c r="E82" i="8" s="1"/>
  <c r="E83" i="8" a="1"/>
  <c r="E83" i="8" s="1"/>
  <c r="E84" i="8" a="1"/>
  <c r="E84" i="8" s="1"/>
  <c r="E85" i="8" a="1"/>
  <c r="E85" i="8" s="1"/>
  <c r="E86" i="8" a="1"/>
  <c r="E86" i="8" s="1"/>
  <c r="E87" i="8" a="1"/>
  <c r="E87" i="8" s="1"/>
  <c r="E88" i="8" a="1"/>
  <c r="E88" i="8" s="1"/>
  <c r="E89" i="8" a="1"/>
  <c r="E89" i="8" s="1"/>
  <c r="E90" i="8" a="1"/>
  <c r="E90" i="8" s="1"/>
  <c r="E91" i="8" a="1"/>
  <c r="E91" i="8" s="1"/>
  <c r="E92" i="8" a="1"/>
  <c r="E92" i="8" s="1"/>
  <c r="E93" i="8" a="1"/>
  <c r="E93" i="8" s="1"/>
  <c r="E94" i="8" a="1"/>
  <c r="E94" i="8" s="1"/>
  <c r="E95" i="8" a="1"/>
  <c r="E95" i="8" s="1"/>
  <c r="E96" i="8" a="1"/>
  <c r="E96" i="8" s="1"/>
  <c r="E97" i="8" a="1"/>
  <c r="E97" i="8" s="1"/>
  <c r="E98" i="8" a="1"/>
  <c r="E98" i="8" s="1"/>
  <c r="E99" i="8" a="1"/>
  <c r="E99" i="8" s="1"/>
  <c r="E100" i="8" a="1"/>
  <c r="E100" i="8" s="1"/>
  <c r="E101" i="8" a="1"/>
  <c r="E101" i="8" s="1"/>
  <c r="E102" i="8" a="1"/>
  <c r="E102" i="8" s="1"/>
  <c r="E103" i="8" a="1"/>
  <c r="E103" i="8" s="1"/>
  <c r="E104" i="8" a="1"/>
  <c r="E104" i="8" s="1"/>
  <c r="E105" i="8" a="1"/>
  <c r="E105" i="8" s="1"/>
  <c r="E106" i="8" a="1"/>
  <c r="E106" i="8" s="1"/>
  <c r="E107" i="8" a="1"/>
  <c r="E107" i="8" s="1"/>
  <c r="E108" i="8" a="1"/>
  <c r="E108" i="8" s="1"/>
  <c r="E109" i="8" a="1"/>
  <c r="E109" i="8" s="1"/>
  <c r="E110" i="8" a="1"/>
  <c r="E110" i="8" s="1"/>
  <c r="E111" i="8" a="1"/>
  <c r="E111" i="8" s="1"/>
  <c r="E112" i="8" a="1"/>
  <c r="E112" i="8" s="1"/>
  <c r="E113" i="8" a="1"/>
  <c r="E113" i="8" s="1"/>
  <c r="E114" i="8" a="1"/>
  <c r="E114" i="8" s="1"/>
  <c r="E115" i="8" a="1"/>
  <c r="E115" i="8" s="1"/>
  <c r="E116" i="8" a="1"/>
  <c r="E116" i="8" s="1"/>
  <c r="E117" i="8" a="1"/>
  <c r="E117" i="8" s="1"/>
  <c r="E118" i="8" a="1"/>
  <c r="E118" i="8" s="1"/>
  <c r="E119" i="8" a="1"/>
  <c r="E119" i="8" s="1"/>
  <c r="E120" i="8" a="1"/>
  <c r="E120" i="8" s="1"/>
  <c r="E121" i="8" a="1"/>
  <c r="E121" i="8" s="1"/>
  <c r="E122" i="8" a="1"/>
  <c r="E122" i="8" s="1"/>
  <c r="E123" i="8" a="1"/>
  <c r="E123" i="8" s="1"/>
  <c r="E124" i="8" a="1"/>
  <c r="E124" i="8" s="1"/>
  <c r="E125" i="8" a="1"/>
  <c r="E125" i="8" s="1"/>
  <c r="E126" i="8" a="1"/>
  <c r="E126" i="8" s="1"/>
  <c r="E127" i="8" a="1"/>
  <c r="E127" i="8" s="1"/>
  <c r="E128" i="8" a="1"/>
  <c r="E128" i="8" s="1"/>
  <c r="E129" i="8" a="1"/>
  <c r="E129" i="8" s="1"/>
  <c r="E130" i="8" a="1"/>
  <c r="E130" i="8" s="1"/>
  <c r="E131" i="8" a="1"/>
  <c r="E131" i="8" s="1"/>
  <c r="E132" i="8" a="1"/>
  <c r="E132" i="8" s="1"/>
  <c r="E133" i="8" a="1"/>
  <c r="E133" i="8" s="1"/>
  <c r="E134" i="8" a="1"/>
  <c r="E134" i="8" s="1"/>
  <c r="E135" i="8" a="1"/>
  <c r="E135" i="8" s="1"/>
  <c r="E136" i="8" a="1"/>
  <c r="E136" i="8" s="1"/>
  <c r="E137" i="8" a="1"/>
  <c r="E137" i="8" s="1"/>
  <c r="E138" i="8" a="1"/>
  <c r="E138" i="8" s="1"/>
  <c r="E139" i="8" a="1"/>
  <c r="E139" i="8" s="1"/>
  <c r="E140" i="8" a="1"/>
  <c r="E140" i="8" s="1"/>
  <c r="E141" i="8" a="1"/>
  <c r="E141" i="8" s="1"/>
  <c r="E142" i="8" a="1"/>
  <c r="E142" i="8" s="1"/>
  <c r="E143" i="8" a="1"/>
  <c r="E143" i="8" s="1"/>
  <c r="E144" i="8" a="1"/>
  <c r="E144" i="8" s="1"/>
  <c r="E145" i="8" a="1"/>
  <c r="E145" i="8" s="1"/>
  <c r="E146" i="8" a="1"/>
  <c r="E146" i="8" s="1"/>
  <c r="E147" i="8" a="1"/>
  <c r="E147" i="8" s="1"/>
  <c r="E148" i="8" a="1"/>
  <c r="E148" i="8" s="1"/>
  <c r="E149" i="8" a="1"/>
  <c r="E149" i="8" s="1"/>
  <c r="E150" i="8" a="1"/>
  <c r="E150" i="8" s="1"/>
  <c r="E151" i="8" a="1"/>
  <c r="E151" i="8" s="1"/>
  <c r="E152" i="8" a="1"/>
  <c r="E152" i="8" s="1"/>
  <c r="E153" i="8" a="1"/>
  <c r="E153" i="8" s="1"/>
  <c r="E154" i="8" a="1"/>
  <c r="E154" i="8" s="1"/>
  <c r="E155" i="8" a="1"/>
  <c r="E155" i="8" s="1"/>
  <c r="E156" i="8" a="1"/>
  <c r="E156" i="8" s="1"/>
  <c r="E157" i="8" a="1"/>
  <c r="E157" i="8" s="1"/>
  <c r="E158" i="8" a="1"/>
  <c r="E158" i="8" s="1"/>
  <c r="E159" i="8" a="1"/>
  <c r="E159" i="8" s="1"/>
  <c r="E160" i="8" a="1"/>
  <c r="E160" i="8" s="1"/>
  <c r="E161" i="8" a="1"/>
  <c r="E161" i="8" s="1"/>
  <c r="E162" i="8" a="1"/>
  <c r="E162" i="8" s="1"/>
  <c r="E163" i="8" a="1"/>
  <c r="E163" i="8" s="1"/>
  <c r="E164" i="8" a="1"/>
  <c r="E164" i="8" s="1"/>
  <c r="E165" i="8" a="1"/>
  <c r="E165" i="8" s="1"/>
  <c r="E166" i="8" a="1"/>
  <c r="E166" i="8" s="1"/>
  <c r="E167" i="8" a="1"/>
  <c r="E167" i="8" s="1"/>
  <c r="E168" i="8" a="1"/>
  <c r="E168" i="8" s="1"/>
  <c r="E169" i="8" a="1"/>
  <c r="E169" i="8" s="1"/>
  <c r="E170" i="8" a="1"/>
  <c r="E170" i="8" s="1"/>
  <c r="E171" i="8" a="1"/>
  <c r="E171" i="8" s="1"/>
  <c r="E172" i="8" a="1"/>
  <c r="E172" i="8" s="1"/>
  <c r="E173" i="8" a="1"/>
  <c r="E173" i="8" s="1"/>
  <c r="E174" i="8" a="1"/>
  <c r="E174" i="8" s="1"/>
  <c r="E175" i="8" a="1"/>
  <c r="E175" i="8" s="1"/>
  <c r="E176" i="8" a="1"/>
  <c r="E176" i="8" s="1"/>
  <c r="E177" i="8" a="1"/>
  <c r="E177" i="8" s="1"/>
  <c r="E178" i="8" a="1"/>
  <c r="E178" i="8" s="1"/>
  <c r="E179" i="8" a="1"/>
  <c r="E179" i="8" s="1"/>
  <c r="E180" i="8" a="1"/>
  <c r="E180" i="8" s="1"/>
  <c r="E181" i="8" a="1"/>
  <c r="E181" i="8" s="1"/>
  <c r="E182" i="8" a="1"/>
  <c r="E182" i="8" s="1"/>
  <c r="E183" i="8" a="1"/>
  <c r="E183" i="8" s="1"/>
  <c r="E184" i="8" a="1"/>
  <c r="E184" i="8" s="1"/>
  <c r="E185" i="8" a="1"/>
  <c r="E185" i="8" s="1"/>
  <c r="E186" i="8" a="1"/>
  <c r="E186" i="8" s="1"/>
  <c r="E187" i="8" a="1"/>
  <c r="E187" i="8" s="1"/>
  <c r="E188" i="8" a="1"/>
  <c r="E188" i="8" s="1"/>
  <c r="E189" i="8" a="1"/>
  <c r="E189" i="8" s="1"/>
  <c r="E190" i="8" a="1"/>
  <c r="E190" i="8" s="1"/>
  <c r="E191" i="8" a="1"/>
  <c r="E191" i="8" s="1"/>
  <c r="E192" i="8" a="1"/>
  <c r="E192" i="8" s="1"/>
  <c r="E193" i="8" a="1"/>
  <c r="E193" i="8" s="1"/>
  <c r="E194" i="8" a="1"/>
  <c r="E194" i="8" s="1"/>
  <c r="E195" i="8" a="1"/>
  <c r="E195" i="8" s="1"/>
  <c r="E196" i="8" a="1"/>
  <c r="E196" i="8" s="1"/>
  <c r="E197" i="8" a="1"/>
  <c r="E197" i="8" s="1"/>
  <c r="E198" i="8" a="1"/>
  <c r="E198" i="8" s="1"/>
  <c r="E199" i="8" a="1"/>
  <c r="E199" i="8" s="1"/>
  <c r="E200" i="8" a="1"/>
  <c r="E200" i="8" s="1"/>
  <c r="E201" i="8" a="1"/>
  <c r="E201" i="8" s="1"/>
  <c r="E202" i="8" a="1"/>
  <c r="E202" i="8" s="1"/>
  <c r="E203" i="8" a="1"/>
  <c r="E203" i="8" s="1"/>
  <c r="E204" i="8" a="1"/>
  <c r="E204" i="8" s="1"/>
  <c r="E205" i="8" a="1"/>
  <c r="E205" i="8" s="1"/>
  <c r="E206" i="8" a="1"/>
  <c r="E206" i="8" s="1"/>
  <c r="E207" i="8" a="1"/>
  <c r="E207" i="8" s="1"/>
  <c r="E208" i="8" a="1"/>
  <c r="E208" i="8" s="1"/>
  <c r="E209" i="8" a="1"/>
  <c r="E209" i="8" s="1"/>
  <c r="E210" i="8" a="1"/>
  <c r="E210" i="8" s="1"/>
  <c r="E211" i="8" a="1"/>
  <c r="E211" i="8" s="1"/>
  <c r="E212" i="8" a="1"/>
  <c r="E212" i="8" s="1"/>
  <c r="E213" i="8" a="1"/>
  <c r="E213" i="8" s="1"/>
  <c r="E214" i="8" a="1"/>
  <c r="E214" i="8" s="1"/>
  <c r="E215" i="8" a="1"/>
  <c r="E215" i="8" s="1"/>
  <c r="E216" i="8" a="1"/>
  <c r="E216" i="8" s="1"/>
  <c r="E217" i="8" a="1"/>
  <c r="E217" i="8" s="1"/>
  <c r="E218" i="8" a="1"/>
  <c r="E218" i="8" s="1"/>
  <c r="E219" i="8" a="1"/>
  <c r="E219" i="8" s="1"/>
  <c r="E220" i="8" a="1"/>
  <c r="E220" i="8" s="1"/>
  <c r="E221" i="8" a="1"/>
  <c r="E221" i="8" s="1"/>
  <c r="E222" i="8" a="1"/>
  <c r="E222" i="8" s="1"/>
  <c r="E223" i="8" a="1"/>
  <c r="E223" i="8" s="1"/>
  <c r="E224" i="8" a="1"/>
  <c r="E224" i="8" s="1"/>
  <c r="E225" i="8" a="1"/>
  <c r="E225" i="8" s="1"/>
  <c r="E226" i="8" a="1"/>
  <c r="E226" i="8" s="1"/>
  <c r="E227" i="8" a="1"/>
  <c r="E227" i="8" s="1"/>
  <c r="E228" i="8" a="1"/>
  <c r="E228" i="8" s="1"/>
  <c r="E229" i="8" a="1"/>
  <c r="E229" i="8" s="1"/>
  <c r="E230" i="8" a="1"/>
  <c r="E230" i="8" s="1"/>
  <c r="E231" i="8" a="1"/>
  <c r="E231" i="8" s="1"/>
  <c r="E232" i="8" a="1"/>
  <c r="E232" i="8" s="1"/>
  <c r="E233" i="8" a="1"/>
  <c r="E233" i="8" s="1"/>
  <c r="E234" i="8" a="1"/>
  <c r="E234" i="8" s="1"/>
  <c r="E235" i="8" a="1"/>
  <c r="E235" i="8" s="1"/>
  <c r="E236" i="8" a="1"/>
  <c r="E236" i="8" s="1"/>
  <c r="E237" i="8" a="1"/>
  <c r="E237" i="8" s="1"/>
  <c r="E238" i="8" a="1"/>
  <c r="E238" i="8" s="1"/>
  <c r="E239" i="8" a="1"/>
  <c r="E239" i="8" s="1"/>
  <c r="E240" i="8" a="1"/>
  <c r="E240" i="8" s="1"/>
  <c r="E241" i="8" a="1"/>
  <c r="E241" i="8" s="1"/>
  <c r="E242" i="8" a="1"/>
  <c r="E242" i="8" s="1"/>
  <c r="E243" i="8" a="1"/>
  <c r="E243" i="8" s="1"/>
  <c r="E244" i="8" a="1"/>
  <c r="E244" i="8" s="1"/>
  <c r="E245" i="8" a="1"/>
  <c r="E245" i="8" s="1"/>
  <c r="E246" i="8" a="1"/>
  <c r="E246" i="8" s="1"/>
  <c r="E247" i="8" a="1"/>
  <c r="E247" i="8" s="1"/>
  <c r="E248" i="8" a="1"/>
  <c r="E248" i="8" s="1"/>
  <c r="E249" i="8" a="1"/>
  <c r="E249" i="8" s="1"/>
  <c r="E250" i="8" a="1"/>
  <c r="E250" i="8" s="1"/>
  <c r="E251" i="8" a="1"/>
  <c r="E251" i="8" s="1"/>
  <c r="Q12" i="8" a="1"/>
  <c r="P12" i="8" a="1"/>
  <c r="E12" i="8" a="1"/>
  <c r="E12" i="8" l="1"/>
  <c r="Q12" i="8"/>
  <c r="P12" i="8"/>
  <c r="P12" i="10" s="1" a="1"/>
  <c r="P12" i="10" s="1"/>
  <c r="X12" i="8" l="1" a="1"/>
  <c r="X12" i="8" s="1"/>
  <c r="W13" i="8" a="1"/>
  <c r="W13" i="8" s="1"/>
  <c r="W14" i="8" a="1"/>
  <c r="W14" i="8" s="1"/>
  <c r="W15" i="8" a="1"/>
  <c r="W15" i="8" s="1"/>
  <c r="W16" i="8" a="1"/>
  <c r="W16" i="8" s="1"/>
  <c r="W17" i="8" a="1"/>
  <c r="W17" i="8" s="1"/>
  <c r="W18" i="8" a="1"/>
  <c r="W18" i="8" s="1"/>
  <c r="W19" i="8" a="1"/>
  <c r="W19" i="8" s="1"/>
  <c r="W20" i="8" a="1"/>
  <c r="W20" i="8" s="1"/>
  <c r="W21" i="8" a="1"/>
  <c r="W21" i="8" s="1"/>
  <c r="W22" i="8" a="1"/>
  <c r="W22" i="8" s="1"/>
  <c r="W23" i="8" a="1"/>
  <c r="W23" i="8" s="1"/>
  <c r="W24" i="8" a="1"/>
  <c r="W24" i="8" s="1"/>
  <c r="W25" i="8" a="1"/>
  <c r="W25" i="8" s="1"/>
  <c r="W26" i="8" a="1"/>
  <c r="W26" i="8" s="1"/>
  <c r="W27" i="8" a="1"/>
  <c r="W27" i="8" s="1"/>
  <c r="W28" i="8" a="1"/>
  <c r="W28" i="8" s="1"/>
  <c r="W29" i="8" a="1"/>
  <c r="W29" i="8" s="1"/>
  <c r="W30" i="8" a="1"/>
  <c r="W30" i="8" s="1"/>
  <c r="W31" i="8" a="1"/>
  <c r="W31" i="8" s="1"/>
  <c r="W32" i="8" a="1"/>
  <c r="W32" i="8" s="1"/>
  <c r="W33" i="8" a="1"/>
  <c r="W33" i="8" s="1"/>
  <c r="W34" i="8" a="1"/>
  <c r="W34" i="8" s="1"/>
  <c r="W35" i="8" a="1"/>
  <c r="W35" i="8" s="1"/>
  <c r="W36" i="8" a="1"/>
  <c r="W36" i="8" s="1"/>
  <c r="W37" i="8" a="1"/>
  <c r="W37" i="8" s="1"/>
  <c r="W38" i="8" a="1"/>
  <c r="W38" i="8" s="1"/>
  <c r="W39" i="8" a="1"/>
  <c r="W39" i="8" s="1"/>
  <c r="W40" i="8" a="1"/>
  <c r="W40" i="8" s="1"/>
  <c r="W41" i="8" a="1"/>
  <c r="W41" i="8" s="1"/>
  <c r="W42" i="8" a="1"/>
  <c r="W42" i="8" s="1"/>
  <c r="W43" i="8" a="1"/>
  <c r="W43" i="8" s="1"/>
  <c r="W44" i="8" a="1"/>
  <c r="W44" i="8" s="1"/>
  <c r="W45" i="8" a="1"/>
  <c r="W45" i="8" s="1"/>
  <c r="W46" i="8" a="1"/>
  <c r="W46" i="8" s="1"/>
  <c r="W47" i="8" a="1"/>
  <c r="W47" i="8" s="1"/>
  <c r="W48" i="8" a="1"/>
  <c r="W48" i="8" s="1"/>
  <c r="W49" i="8" a="1"/>
  <c r="W49" i="8" s="1"/>
  <c r="W50" i="8" a="1"/>
  <c r="W50" i="8" s="1"/>
  <c r="W51" i="8" a="1"/>
  <c r="W51" i="8" s="1"/>
  <c r="W52" i="8" a="1"/>
  <c r="W52" i="8" s="1"/>
  <c r="W53" i="8" a="1"/>
  <c r="W53" i="8" s="1"/>
  <c r="W54" i="8" a="1"/>
  <c r="W54" i="8" s="1"/>
  <c r="W55" i="8" a="1"/>
  <c r="W55" i="8" s="1"/>
  <c r="W56" i="8" a="1"/>
  <c r="W56" i="8" s="1"/>
  <c r="W57" i="8" a="1"/>
  <c r="W57" i="8" s="1"/>
  <c r="W58" i="8" a="1"/>
  <c r="W58" i="8" s="1"/>
  <c r="W59" i="8" a="1"/>
  <c r="W59" i="8" s="1"/>
  <c r="W60" i="8" a="1"/>
  <c r="W60" i="8" s="1"/>
  <c r="W61" i="8" a="1"/>
  <c r="W61" i="8" s="1"/>
  <c r="W62" i="8" a="1"/>
  <c r="W62" i="8" s="1"/>
  <c r="W63" i="8" a="1"/>
  <c r="W63" i="8" s="1"/>
  <c r="W64" i="8" a="1"/>
  <c r="W64" i="8" s="1"/>
  <c r="W65" i="8" a="1"/>
  <c r="W65" i="8" s="1"/>
  <c r="W66" i="8" a="1"/>
  <c r="W66" i="8" s="1"/>
  <c r="W67" i="8" a="1"/>
  <c r="W67" i="8" s="1"/>
  <c r="W68" i="8" a="1"/>
  <c r="W68" i="8" s="1"/>
  <c r="W69" i="8" a="1"/>
  <c r="W69" i="8" s="1"/>
  <c r="W70" i="8" a="1"/>
  <c r="W70" i="8" s="1"/>
  <c r="W71" i="8" a="1"/>
  <c r="W71" i="8" s="1"/>
  <c r="W72" i="8" a="1"/>
  <c r="W72" i="8" s="1"/>
  <c r="W73" i="8" a="1"/>
  <c r="W73" i="8" s="1"/>
  <c r="W74" i="8" a="1"/>
  <c r="W74" i="8" s="1"/>
  <c r="W75" i="8" a="1"/>
  <c r="W75" i="8" s="1"/>
  <c r="W76" i="8" a="1"/>
  <c r="W76" i="8" s="1"/>
  <c r="W77" i="8" a="1"/>
  <c r="W77" i="8" s="1"/>
  <c r="W78" i="8" a="1"/>
  <c r="W78" i="8" s="1"/>
  <c r="W79" i="8" a="1"/>
  <c r="W79" i="8" s="1"/>
  <c r="W80" i="8" a="1"/>
  <c r="W80" i="8" s="1"/>
  <c r="W81" i="8" a="1"/>
  <c r="W81" i="8" s="1"/>
  <c r="W82" i="8" a="1"/>
  <c r="W82" i="8" s="1"/>
  <c r="W83" i="8" a="1"/>
  <c r="W83" i="8" s="1"/>
  <c r="W84" i="8" a="1"/>
  <c r="W84" i="8" s="1"/>
  <c r="W85" i="8" a="1"/>
  <c r="W85" i="8" s="1"/>
  <c r="W86" i="8" a="1"/>
  <c r="W86" i="8" s="1"/>
  <c r="W87" i="8" a="1"/>
  <c r="W87" i="8" s="1"/>
  <c r="W88" i="8" a="1"/>
  <c r="W88" i="8" s="1"/>
  <c r="W89" i="8" a="1"/>
  <c r="W89" i="8" s="1"/>
  <c r="W90" i="8" a="1"/>
  <c r="W90" i="8" s="1"/>
  <c r="W91" i="8" a="1"/>
  <c r="W91" i="8" s="1"/>
  <c r="W92" i="8" a="1"/>
  <c r="W92" i="8" s="1"/>
  <c r="W93" i="8" a="1"/>
  <c r="W93" i="8" s="1"/>
  <c r="W94" i="8" a="1"/>
  <c r="W94" i="8" s="1"/>
  <c r="W95" i="8" a="1"/>
  <c r="W95" i="8" s="1"/>
  <c r="W96" i="8" a="1"/>
  <c r="W96" i="8" s="1"/>
  <c r="W97" i="8" a="1"/>
  <c r="W97" i="8" s="1"/>
  <c r="W98" i="8" a="1"/>
  <c r="W98" i="8" s="1"/>
  <c r="W99" i="8" a="1"/>
  <c r="W99" i="8" s="1"/>
  <c r="W100" i="8" a="1"/>
  <c r="W100" i="8" s="1"/>
  <c r="W101" i="8" a="1"/>
  <c r="W101" i="8" s="1"/>
  <c r="W102" i="8" a="1"/>
  <c r="W102" i="8" s="1"/>
  <c r="W103" i="8" a="1"/>
  <c r="W103" i="8" s="1"/>
  <c r="W104" i="8" a="1"/>
  <c r="W104" i="8" s="1"/>
  <c r="W105" i="8" a="1"/>
  <c r="W105" i="8" s="1"/>
  <c r="W106" i="8" a="1"/>
  <c r="W106" i="8" s="1"/>
  <c r="W107" i="8" a="1"/>
  <c r="W107" i="8" s="1"/>
  <c r="W108" i="8" a="1"/>
  <c r="W108" i="8" s="1"/>
  <c r="W109" i="8" a="1"/>
  <c r="W109" i="8" s="1"/>
  <c r="W110" i="8" a="1"/>
  <c r="W110" i="8" s="1"/>
  <c r="W111" i="8" a="1"/>
  <c r="W111" i="8" s="1"/>
  <c r="W112" i="8" a="1"/>
  <c r="W112" i="8" s="1"/>
  <c r="W113" i="8" a="1"/>
  <c r="W113" i="8" s="1"/>
  <c r="W114" i="8" a="1"/>
  <c r="W114" i="8" s="1"/>
  <c r="W115" i="8" a="1"/>
  <c r="W115" i="8" s="1"/>
  <c r="W116" i="8" a="1"/>
  <c r="W116" i="8" s="1"/>
  <c r="W117" i="8" a="1"/>
  <c r="W117" i="8" s="1"/>
  <c r="W118" i="8" a="1"/>
  <c r="W118" i="8" s="1"/>
  <c r="W119" i="8" a="1"/>
  <c r="W119" i="8" s="1"/>
  <c r="W120" i="8" a="1"/>
  <c r="W120" i="8" s="1"/>
  <c r="W121" i="8" a="1"/>
  <c r="W121" i="8" s="1"/>
  <c r="W122" i="8" a="1"/>
  <c r="W122" i="8" s="1"/>
  <c r="W123" i="8" a="1"/>
  <c r="W123" i="8" s="1"/>
  <c r="W124" i="8" a="1"/>
  <c r="W124" i="8" s="1"/>
  <c r="W125" i="8" a="1"/>
  <c r="W125" i="8" s="1"/>
  <c r="W126" i="8" a="1"/>
  <c r="W126" i="8" s="1"/>
  <c r="W127" i="8" a="1"/>
  <c r="W127" i="8" s="1"/>
  <c r="W128" i="8" a="1"/>
  <c r="W128" i="8" s="1"/>
  <c r="W129" i="8" a="1"/>
  <c r="W129" i="8" s="1"/>
  <c r="W130" i="8" a="1"/>
  <c r="W130" i="8" s="1"/>
  <c r="W131" i="8" a="1"/>
  <c r="W131" i="8" s="1"/>
  <c r="W132" i="8" a="1"/>
  <c r="W132" i="8" s="1"/>
  <c r="W133" i="8" a="1"/>
  <c r="W133" i="8" s="1"/>
  <c r="W134" i="8" a="1"/>
  <c r="W134" i="8" s="1"/>
  <c r="W135" i="8" a="1"/>
  <c r="W135" i="8" s="1"/>
  <c r="W136" i="8" a="1"/>
  <c r="W136" i="8" s="1"/>
  <c r="W137" i="8" a="1"/>
  <c r="W137" i="8" s="1"/>
  <c r="W138" i="8" a="1"/>
  <c r="W138" i="8" s="1"/>
  <c r="W139" i="8" a="1"/>
  <c r="W139" i="8" s="1"/>
  <c r="W140" i="8" a="1"/>
  <c r="W140" i="8" s="1"/>
  <c r="W141" i="8" a="1"/>
  <c r="W141" i="8" s="1"/>
  <c r="W142" i="8" a="1"/>
  <c r="W142" i="8" s="1"/>
  <c r="W143" i="8" a="1"/>
  <c r="W143" i="8" s="1"/>
  <c r="W144" i="8" a="1"/>
  <c r="W144" i="8" s="1"/>
  <c r="W145" i="8" a="1"/>
  <c r="W145" i="8" s="1"/>
  <c r="W146" i="8" a="1"/>
  <c r="W146" i="8" s="1"/>
  <c r="W147" i="8" a="1"/>
  <c r="W147" i="8" s="1"/>
  <c r="W148" i="8" a="1"/>
  <c r="W148" i="8" s="1"/>
  <c r="W149" i="8" a="1"/>
  <c r="W149" i="8" s="1"/>
  <c r="W150" i="8" a="1"/>
  <c r="W150" i="8" s="1"/>
  <c r="W151" i="8" a="1"/>
  <c r="W151" i="8" s="1"/>
  <c r="W152" i="8" a="1"/>
  <c r="W152" i="8" s="1"/>
  <c r="W153" i="8" a="1"/>
  <c r="W153" i="8" s="1"/>
  <c r="W154" i="8" a="1"/>
  <c r="W154" i="8" s="1"/>
  <c r="W155" i="8" a="1"/>
  <c r="W155" i="8" s="1"/>
  <c r="W156" i="8" a="1"/>
  <c r="W156" i="8" s="1"/>
  <c r="W157" i="8" a="1"/>
  <c r="W157" i="8" s="1"/>
  <c r="W158" i="8" a="1"/>
  <c r="W158" i="8" s="1"/>
  <c r="W159" i="8" a="1"/>
  <c r="W159" i="8" s="1"/>
  <c r="W160" i="8" a="1"/>
  <c r="W160" i="8" s="1"/>
  <c r="W161" i="8" a="1"/>
  <c r="W161" i="8" s="1"/>
  <c r="W162" i="8" a="1"/>
  <c r="W162" i="8" s="1"/>
  <c r="W163" i="8" a="1"/>
  <c r="W163" i="8" s="1"/>
  <c r="W164" i="8" a="1"/>
  <c r="W164" i="8" s="1"/>
  <c r="W165" i="8" a="1"/>
  <c r="W165" i="8" s="1"/>
  <c r="W166" i="8" a="1"/>
  <c r="W166" i="8" s="1"/>
  <c r="W167" i="8" a="1"/>
  <c r="W167" i="8" s="1"/>
  <c r="W168" i="8" a="1"/>
  <c r="W168" i="8" s="1"/>
  <c r="W169" i="8" a="1"/>
  <c r="W169" i="8" s="1"/>
  <c r="W170" i="8" a="1"/>
  <c r="W170" i="8" s="1"/>
  <c r="W171" i="8" a="1"/>
  <c r="W171" i="8" s="1"/>
  <c r="W172" i="8" a="1"/>
  <c r="W172" i="8" s="1"/>
  <c r="W173" i="8" a="1"/>
  <c r="W173" i="8" s="1"/>
  <c r="W174" i="8" a="1"/>
  <c r="W174" i="8" s="1"/>
  <c r="W175" i="8" a="1"/>
  <c r="W175" i="8" s="1"/>
  <c r="W176" i="8" a="1"/>
  <c r="W176" i="8" s="1"/>
  <c r="W177" i="8" a="1"/>
  <c r="W177" i="8" s="1"/>
  <c r="W178" i="8" a="1"/>
  <c r="W178" i="8" s="1"/>
  <c r="W179" i="8" a="1"/>
  <c r="W179" i="8" s="1"/>
  <c r="W180" i="8" a="1"/>
  <c r="W180" i="8" s="1"/>
  <c r="W181" i="8" a="1"/>
  <c r="W181" i="8" s="1"/>
  <c r="W182" i="8" a="1"/>
  <c r="W182" i="8" s="1"/>
  <c r="W183" i="8" a="1"/>
  <c r="W183" i="8" s="1"/>
  <c r="W184" i="8" a="1"/>
  <c r="W184" i="8" s="1"/>
  <c r="W185" i="8" a="1"/>
  <c r="W185" i="8" s="1"/>
  <c r="W186" i="8" a="1"/>
  <c r="W186" i="8" s="1"/>
  <c r="W187" i="8" a="1"/>
  <c r="W187" i="8" s="1"/>
  <c r="W188" i="8" a="1"/>
  <c r="W188" i="8" s="1"/>
  <c r="W189" i="8" a="1"/>
  <c r="W189" i="8" s="1"/>
  <c r="W190" i="8" a="1"/>
  <c r="W190" i="8" s="1"/>
  <c r="W191" i="8" a="1"/>
  <c r="W191" i="8" s="1"/>
  <c r="W192" i="8" a="1"/>
  <c r="W192" i="8" s="1"/>
  <c r="W193" i="8" a="1"/>
  <c r="W193" i="8" s="1"/>
  <c r="W194" i="8" a="1"/>
  <c r="W194" i="8" s="1"/>
  <c r="W195" i="8" a="1"/>
  <c r="W195" i="8" s="1"/>
  <c r="W196" i="8" a="1"/>
  <c r="W196" i="8" s="1"/>
  <c r="W197" i="8" a="1"/>
  <c r="W197" i="8" s="1"/>
  <c r="W198" i="8" a="1"/>
  <c r="W198" i="8" s="1"/>
  <c r="W199" i="8" a="1"/>
  <c r="W199" i="8" s="1"/>
  <c r="W200" i="8" a="1"/>
  <c r="W200" i="8" s="1"/>
  <c r="W201" i="8" a="1"/>
  <c r="W201" i="8" s="1"/>
  <c r="W202" i="8" a="1"/>
  <c r="W202" i="8" s="1"/>
  <c r="W203" i="8" a="1"/>
  <c r="W203" i="8" s="1"/>
  <c r="W204" i="8" a="1"/>
  <c r="W204" i="8" s="1"/>
  <c r="W205" i="8" a="1"/>
  <c r="W205" i="8" s="1"/>
  <c r="W206" i="8" a="1"/>
  <c r="W206" i="8" s="1"/>
  <c r="W207" i="8" a="1"/>
  <c r="W207" i="8" s="1"/>
  <c r="W208" i="8" a="1"/>
  <c r="W208" i="8" s="1"/>
  <c r="W209" i="8" a="1"/>
  <c r="W209" i="8" s="1"/>
  <c r="W210" i="8" a="1"/>
  <c r="W210" i="8" s="1"/>
  <c r="W211" i="8" a="1"/>
  <c r="W211" i="8" s="1"/>
  <c r="W212" i="8" a="1"/>
  <c r="W212" i="8" s="1"/>
  <c r="W213" i="8" a="1"/>
  <c r="W213" i="8" s="1"/>
  <c r="W214" i="8" a="1"/>
  <c r="W214" i="8" s="1"/>
  <c r="W215" i="8" a="1"/>
  <c r="W215" i="8" s="1"/>
  <c r="W216" i="8" a="1"/>
  <c r="W216" i="8" s="1"/>
  <c r="W217" i="8" a="1"/>
  <c r="W217" i="8" s="1"/>
  <c r="W218" i="8" a="1"/>
  <c r="W218" i="8" s="1"/>
  <c r="W219" i="8" a="1"/>
  <c r="W219" i="8" s="1"/>
  <c r="W220" i="8" a="1"/>
  <c r="W220" i="8" s="1"/>
  <c r="W221" i="8" a="1"/>
  <c r="W221" i="8" s="1"/>
  <c r="W222" i="8" a="1"/>
  <c r="W222" i="8" s="1"/>
  <c r="W223" i="8" a="1"/>
  <c r="W223" i="8" s="1"/>
  <c r="W224" i="8" a="1"/>
  <c r="W224" i="8" s="1"/>
  <c r="W225" i="8" a="1"/>
  <c r="W225" i="8" s="1"/>
  <c r="W226" i="8" a="1"/>
  <c r="W226" i="8" s="1"/>
  <c r="W227" i="8" a="1"/>
  <c r="W227" i="8" s="1"/>
  <c r="W228" i="8" a="1"/>
  <c r="W228" i="8" s="1"/>
  <c r="W229" i="8" a="1"/>
  <c r="W229" i="8" s="1"/>
  <c r="W230" i="8" a="1"/>
  <c r="W230" i="8" s="1"/>
  <c r="W231" i="8" a="1"/>
  <c r="W231" i="8" s="1"/>
  <c r="W232" i="8" a="1"/>
  <c r="W232" i="8" s="1"/>
  <c r="W233" i="8" a="1"/>
  <c r="W233" i="8" s="1"/>
  <c r="W234" i="8" a="1"/>
  <c r="W234" i="8" s="1"/>
  <c r="W235" i="8" a="1"/>
  <c r="W235" i="8" s="1"/>
  <c r="W236" i="8" a="1"/>
  <c r="W236" i="8" s="1"/>
  <c r="W237" i="8" a="1"/>
  <c r="W237" i="8" s="1"/>
  <c r="W238" i="8" a="1"/>
  <c r="W238" i="8" s="1"/>
  <c r="W239" i="8" a="1"/>
  <c r="W239" i="8" s="1"/>
  <c r="W240" i="8" a="1"/>
  <c r="W240" i="8" s="1"/>
  <c r="W241" i="8" a="1"/>
  <c r="W241" i="8" s="1"/>
  <c r="W242" i="8" a="1"/>
  <c r="W242" i="8" s="1"/>
  <c r="W243" i="8" a="1"/>
  <c r="W243" i="8" s="1"/>
  <c r="W244" i="8" a="1"/>
  <c r="W244" i="8" s="1"/>
  <c r="W245" i="8" a="1"/>
  <c r="W245" i="8" s="1"/>
  <c r="W246" i="8" a="1"/>
  <c r="W246" i="8" s="1"/>
  <c r="W247" i="8" a="1"/>
  <c r="W247" i="8" s="1"/>
  <c r="W248" i="8" a="1"/>
  <c r="W248" i="8" s="1"/>
  <c r="W249" i="8" a="1"/>
  <c r="W249" i="8" s="1"/>
  <c r="W250" i="8" a="1"/>
  <c r="W250" i="8" s="1"/>
  <c r="W251" i="8" a="1"/>
  <c r="W251" i="8" s="1"/>
  <c r="V13" i="8" a="1"/>
  <c r="V13" i="8" s="1"/>
  <c r="V13" i="10" s="1" a="1"/>
  <c r="V13" i="10" s="1"/>
  <c r="V14" i="8" a="1"/>
  <c r="V14" i="8" s="1"/>
  <c r="V14" i="10" s="1" a="1"/>
  <c r="V14" i="10" s="1"/>
  <c r="V15" i="8" a="1"/>
  <c r="V15" i="8" s="1"/>
  <c r="V15" i="10" s="1" a="1"/>
  <c r="V15" i="10" s="1"/>
  <c r="V16" i="8" a="1"/>
  <c r="V16" i="8" s="1"/>
  <c r="V16" i="10" s="1" a="1"/>
  <c r="V16" i="10" s="1"/>
  <c r="V17" i="8" a="1"/>
  <c r="V17" i="8" s="1"/>
  <c r="V17" i="10" s="1" a="1"/>
  <c r="V17" i="10" s="1"/>
  <c r="V18" i="8" a="1"/>
  <c r="V18" i="8" s="1"/>
  <c r="V18" i="10" s="1" a="1"/>
  <c r="V18" i="10" s="1"/>
  <c r="V19" i="8" a="1"/>
  <c r="V19" i="8" s="1"/>
  <c r="V19" i="10" s="1" a="1"/>
  <c r="V19" i="10" s="1"/>
  <c r="V20" i="8" a="1"/>
  <c r="V20" i="8" s="1"/>
  <c r="V20" i="10" s="1" a="1"/>
  <c r="V20" i="10" s="1"/>
  <c r="V21" i="8" a="1"/>
  <c r="V21" i="8" s="1"/>
  <c r="V21" i="10" s="1" a="1"/>
  <c r="V21" i="10" s="1"/>
  <c r="V22" i="8" a="1"/>
  <c r="V22" i="8" s="1"/>
  <c r="V22" i="10" s="1" a="1"/>
  <c r="V22" i="10" s="1"/>
  <c r="V23" i="8" a="1"/>
  <c r="V23" i="8" s="1"/>
  <c r="V23" i="10" s="1" a="1"/>
  <c r="V23" i="10" s="1"/>
  <c r="V24" i="8" a="1"/>
  <c r="V24" i="8" s="1"/>
  <c r="V24" i="10" s="1" a="1"/>
  <c r="V24" i="10" s="1"/>
  <c r="V25" i="8" a="1"/>
  <c r="V25" i="8" s="1"/>
  <c r="V25" i="10" s="1" a="1"/>
  <c r="V25" i="10" s="1"/>
  <c r="V26" i="8" a="1"/>
  <c r="V26" i="8" s="1"/>
  <c r="V26" i="10" s="1" a="1"/>
  <c r="V26" i="10" s="1"/>
  <c r="V27" i="8" a="1"/>
  <c r="V27" i="8" s="1"/>
  <c r="V27" i="10" s="1" a="1"/>
  <c r="V27" i="10" s="1"/>
  <c r="V28" i="8" a="1"/>
  <c r="V28" i="8" s="1"/>
  <c r="V28" i="10" s="1" a="1"/>
  <c r="V28" i="10" s="1"/>
  <c r="V29" i="8" a="1"/>
  <c r="V29" i="8" s="1"/>
  <c r="V29" i="10" s="1" a="1"/>
  <c r="V29" i="10" s="1"/>
  <c r="V30" i="8" a="1"/>
  <c r="V30" i="8" s="1"/>
  <c r="V30" i="10" s="1" a="1"/>
  <c r="V30" i="10" s="1"/>
  <c r="V31" i="8" a="1"/>
  <c r="V31" i="8" s="1"/>
  <c r="V31" i="10" s="1" a="1"/>
  <c r="V31" i="10" s="1"/>
  <c r="V32" i="8" a="1"/>
  <c r="V32" i="8" s="1"/>
  <c r="V32" i="10" s="1" a="1"/>
  <c r="V32" i="10" s="1"/>
  <c r="V33" i="8" a="1"/>
  <c r="V33" i="8" s="1"/>
  <c r="V33" i="10" s="1" a="1"/>
  <c r="V33" i="10" s="1"/>
  <c r="V34" i="8" a="1"/>
  <c r="V34" i="8" s="1"/>
  <c r="V34" i="10" s="1" a="1"/>
  <c r="V34" i="10" s="1"/>
  <c r="V35" i="8" a="1"/>
  <c r="V35" i="8" s="1"/>
  <c r="V35" i="10" s="1" a="1"/>
  <c r="V35" i="10" s="1"/>
  <c r="V36" i="8" a="1"/>
  <c r="V36" i="8" s="1"/>
  <c r="V36" i="10" s="1" a="1"/>
  <c r="V36" i="10" s="1"/>
  <c r="V37" i="8" a="1"/>
  <c r="V37" i="8" s="1"/>
  <c r="V37" i="10" s="1" a="1"/>
  <c r="V37" i="10" s="1"/>
  <c r="V38" i="8" a="1"/>
  <c r="V38" i="8" s="1"/>
  <c r="V38" i="10" s="1" a="1"/>
  <c r="V38" i="10" s="1"/>
  <c r="V39" i="8" a="1"/>
  <c r="V39" i="8" s="1"/>
  <c r="V39" i="10" s="1" a="1"/>
  <c r="V39" i="10" s="1"/>
  <c r="V40" i="8" a="1"/>
  <c r="V40" i="8" s="1"/>
  <c r="V40" i="10" s="1" a="1"/>
  <c r="V40" i="10" s="1"/>
  <c r="V41" i="8" a="1"/>
  <c r="V41" i="8" s="1"/>
  <c r="V41" i="10" s="1" a="1"/>
  <c r="V41" i="10" s="1"/>
  <c r="V42" i="8" a="1"/>
  <c r="V42" i="8" s="1"/>
  <c r="V42" i="10" s="1" a="1"/>
  <c r="V42" i="10" s="1"/>
  <c r="V43" i="8" a="1"/>
  <c r="V43" i="8" s="1"/>
  <c r="V43" i="10" s="1" a="1"/>
  <c r="V43" i="10" s="1"/>
  <c r="V44" i="8" a="1"/>
  <c r="V44" i="8" s="1"/>
  <c r="V44" i="10" s="1" a="1"/>
  <c r="V44" i="10" s="1"/>
  <c r="V45" i="8" a="1"/>
  <c r="V45" i="8" s="1"/>
  <c r="V45" i="10" s="1" a="1"/>
  <c r="V45" i="10" s="1"/>
  <c r="V46" i="8" a="1"/>
  <c r="V46" i="8" s="1"/>
  <c r="V46" i="10" s="1" a="1"/>
  <c r="V46" i="10" s="1"/>
  <c r="V47" i="8" a="1"/>
  <c r="V47" i="8" s="1"/>
  <c r="V47" i="10" s="1" a="1"/>
  <c r="V47" i="10" s="1"/>
  <c r="V48" i="8" a="1"/>
  <c r="V48" i="8" s="1"/>
  <c r="V48" i="10" s="1" a="1"/>
  <c r="V48" i="10" s="1"/>
  <c r="V49" i="8" a="1"/>
  <c r="V49" i="8" s="1"/>
  <c r="V49" i="10" s="1" a="1"/>
  <c r="V49" i="10" s="1"/>
  <c r="V50" i="8" a="1"/>
  <c r="V50" i="8" s="1"/>
  <c r="V50" i="10" s="1" a="1"/>
  <c r="V50" i="10" s="1"/>
  <c r="V51" i="8" a="1"/>
  <c r="V51" i="8" s="1"/>
  <c r="V51" i="10" s="1" a="1"/>
  <c r="V51" i="10" s="1"/>
  <c r="V52" i="8" a="1"/>
  <c r="V52" i="8" s="1"/>
  <c r="V52" i="10" s="1" a="1"/>
  <c r="V52" i="10" s="1"/>
  <c r="V53" i="8" a="1"/>
  <c r="V53" i="8" s="1"/>
  <c r="V53" i="10" s="1" a="1"/>
  <c r="V53" i="10" s="1"/>
  <c r="V54" i="8" a="1"/>
  <c r="V54" i="8" s="1"/>
  <c r="V54" i="10" s="1" a="1"/>
  <c r="V54" i="10" s="1"/>
  <c r="V55" i="8" a="1"/>
  <c r="V55" i="8" s="1"/>
  <c r="V55" i="10" s="1" a="1"/>
  <c r="V55" i="10" s="1"/>
  <c r="V56" i="8" a="1"/>
  <c r="V56" i="8" s="1"/>
  <c r="V56" i="10" s="1" a="1"/>
  <c r="V56" i="10" s="1"/>
  <c r="V57" i="8" a="1"/>
  <c r="V57" i="8" s="1"/>
  <c r="V57" i="10" s="1" a="1"/>
  <c r="V57" i="10" s="1"/>
  <c r="V58" i="8" a="1"/>
  <c r="V58" i="8" s="1"/>
  <c r="V58" i="10" s="1" a="1"/>
  <c r="V58" i="10" s="1"/>
  <c r="V59" i="8" a="1"/>
  <c r="V59" i="8" s="1"/>
  <c r="V59" i="10" s="1" a="1"/>
  <c r="V59" i="10" s="1"/>
  <c r="V60" i="8" a="1"/>
  <c r="V60" i="8" s="1"/>
  <c r="V60" i="10" s="1" a="1"/>
  <c r="V60" i="10" s="1"/>
  <c r="V61" i="8" a="1"/>
  <c r="V61" i="8" s="1"/>
  <c r="V61" i="10" s="1" a="1"/>
  <c r="V61" i="10" s="1"/>
  <c r="V62" i="8" a="1"/>
  <c r="V62" i="8" s="1"/>
  <c r="V62" i="10" s="1" a="1"/>
  <c r="V62" i="10" s="1"/>
  <c r="V63" i="8" a="1"/>
  <c r="V63" i="8" s="1"/>
  <c r="V63" i="10" s="1" a="1"/>
  <c r="V63" i="10" s="1"/>
  <c r="V64" i="8" a="1"/>
  <c r="V64" i="8" s="1"/>
  <c r="V64" i="10" s="1" a="1"/>
  <c r="V64" i="10" s="1"/>
  <c r="V65" i="8" a="1"/>
  <c r="V65" i="8" s="1"/>
  <c r="V65" i="10" s="1" a="1"/>
  <c r="V65" i="10" s="1"/>
  <c r="V66" i="8" a="1"/>
  <c r="V66" i="8" s="1"/>
  <c r="V66" i="10" s="1" a="1"/>
  <c r="V66" i="10" s="1"/>
  <c r="V67" i="8" a="1"/>
  <c r="V67" i="8" s="1"/>
  <c r="V67" i="10" s="1" a="1"/>
  <c r="V67" i="10" s="1"/>
  <c r="V68" i="8" a="1"/>
  <c r="V68" i="8" s="1"/>
  <c r="V68" i="10" s="1" a="1"/>
  <c r="V68" i="10" s="1"/>
  <c r="V69" i="8" a="1"/>
  <c r="V69" i="8" s="1"/>
  <c r="V69" i="10" s="1" a="1"/>
  <c r="V69" i="10" s="1"/>
  <c r="V70" i="8" a="1"/>
  <c r="V70" i="8" s="1"/>
  <c r="V70" i="10" s="1" a="1"/>
  <c r="V70" i="10" s="1"/>
  <c r="V71" i="8" a="1"/>
  <c r="V71" i="8" s="1"/>
  <c r="V71" i="10" s="1" a="1"/>
  <c r="V71" i="10" s="1"/>
  <c r="V72" i="8" a="1"/>
  <c r="V72" i="8" s="1"/>
  <c r="V72" i="10" s="1" a="1"/>
  <c r="V72" i="10" s="1"/>
  <c r="V73" i="8" a="1"/>
  <c r="V73" i="8" s="1"/>
  <c r="V73" i="10" s="1" a="1"/>
  <c r="V73" i="10" s="1"/>
  <c r="V74" i="8" a="1"/>
  <c r="V74" i="8" s="1"/>
  <c r="V74" i="10" s="1" a="1"/>
  <c r="V74" i="10" s="1"/>
  <c r="V75" i="8" a="1"/>
  <c r="V75" i="8" s="1"/>
  <c r="V75" i="10" s="1" a="1"/>
  <c r="V75" i="10" s="1"/>
  <c r="V76" i="8" a="1"/>
  <c r="V76" i="8" s="1"/>
  <c r="V76" i="10" s="1" a="1"/>
  <c r="V76" i="10" s="1"/>
  <c r="V77" i="8" a="1"/>
  <c r="V77" i="8" s="1"/>
  <c r="V77" i="10" s="1" a="1"/>
  <c r="V77" i="10" s="1"/>
  <c r="V78" i="8" a="1"/>
  <c r="V78" i="8" s="1"/>
  <c r="V78" i="10" s="1" a="1"/>
  <c r="V78" i="10" s="1"/>
  <c r="V79" i="8" a="1"/>
  <c r="V79" i="8" s="1"/>
  <c r="V79" i="10" s="1" a="1"/>
  <c r="V79" i="10" s="1"/>
  <c r="V80" i="8" a="1"/>
  <c r="V80" i="8" s="1"/>
  <c r="V80" i="10" s="1" a="1"/>
  <c r="V80" i="10" s="1"/>
  <c r="V81" i="8" a="1"/>
  <c r="V81" i="8" s="1"/>
  <c r="V81" i="10" s="1" a="1"/>
  <c r="V81" i="10" s="1"/>
  <c r="V82" i="8" a="1"/>
  <c r="V82" i="8" s="1"/>
  <c r="V82" i="10" s="1" a="1"/>
  <c r="V82" i="10" s="1"/>
  <c r="V83" i="8" a="1"/>
  <c r="V83" i="8" s="1"/>
  <c r="V83" i="10" s="1" a="1"/>
  <c r="V83" i="10" s="1"/>
  <c r="V84" i="8" a="1"/>
  <c r="V84" i="8" s="1"/>
  <c r="V84" i="10" s="1" a="1"/>
  <c r="V84" i="10" s="1"/>
  <c r="V85" i="8" a="1"/>
  <c r="V85" i="8" s="1"/>
  <c r="V85" i="10" s="1" a="1"/>
  <c r="V85" i="10" s="1"/>
  <c r="V86" i="8" a="1"/>
  <c r="V86" i="8" s="1"/>
  <c r="V86" i="10" s="1" a="1"/>
  <c r="V86" i="10" s="1"/>
  <c r="V87" i="8" a="1"/>
  <c r="V87" i="8" s="1"/>
  <c r="V87" i="10" s="1" a="1"/>
  <c r="V87" i="10" s="1"/>
  <c r="V88" i="8" a="1"/>
  <c r="V88" i="8" s="1"/>
  <c r="V88" i="10" s="1" a="1"/>
  <c r="V88" i="10" s="1"/>
  <c r="V89" i="8" a="1"/>
  <c r="V89" i="8" s="1"/>
  <c r="V89" i="10" s="1" a="1"/>
  <c r="V89" i="10" s="1"/>
  <c r="V90" i="8" a="1"/>
  <c r="V90" i="8" s="1"/>
  <c r="V90" i="10" s="1" a="1"/>
  <c r="V90" i="10" s="1"/>
  <c r="V91" i="8" a="1"/>
  <c r="V91" i="8" s="1"/>
  <c r="V91" i="10" s="1" a="1"/>
  <c r="V91" i="10" s="1"/>
  <c r="V92" i="8" a="1"/>
  <c r="V92" i="8" s="1"/>
  <c r="V92" i="10" s="1" a="1"/>
  <c r="V92" i="10" s="1"/>
  <c r="V93" i="8" a="1"/>
  <c r="V93" i="8" s="1"/>
  <c r="V93" i="10" s="1" a="1"/>
  <c r="V93" i="10" s="1"/>
  <c r="V94" i="8" a="1"/>
  <c r="V94" i="8" s="1"/>
  <c r="V94" i="10" s="1" a="1"/>
  <c r="V94" i="10" s="1"/>
  <c r="V95" i="8" a="1"/>
  <c r="V95" i="8" s="1"/>
  <c r="V95" i="10" s="1" a="1"/>
  <c r="V95" i="10" s="1"/>
  <c r="V96" i="8" a="1"/>
  <c r="V96" i="8" s="1"/>
  <c r="V96" i="10" s="1" a="1"/>
  <c r="V96" i="10" s="1"/>
  <c r="V97" i="8" a="1"/>
  <c r="V97" i="8" s="1"/>
  <c r="V97" i="10" s="1" a="1"/>
  <c r="V97" i="10" s="1"/>
  <c r="V98" i="8" a="1"/>
  <c r="V98" i="8" s="1"/>
  <c r="V98" i="10" s="1" a="1"/>
  <c r="V98" i="10" s="1"/>
  <c r="V99" i="8" a="1"/>
  <c r="V99" i="8" s="1"/>
  <c r="V99" i="10" s="1" a="1"/>
  <c r="V99" i="10" s="1"/>
  <c r="V100" i="8" a="1"/>
  <c r="V100" i="8" s="1"/>
  <c r="V100" i="10" s="1" a="1"/>
  <c r="V100" i="10" s="1"/>
  <c r="V101" i="8" a="1"/>
  <c r="V101" i="8" s="1"/>
  <c r="V101" i="10" s="1" a="1"/>
  <c r="V101" i="10" s="1"/>
  <c r="V102" i="8" a="1"/>
  <c r="V102" i="8" s="1"/>
  <c r="V102" i="10" s="1" a="1"/>
  <c r="V102" i="10" s="1"/>
  <c r="V103" i="8" a="1"/>
  <c r="V103" i="8" s="1"/>
  <c r="V103" i="10" s="1" a="1"/>
  <c r="V103" i="10" s="1"/>
  <c r="V104" i="8" a="1"/>
  <c r="V104" i="8" s="1"/>
  <c r="V104" i="10" s="1" a="1"/>
  <c r="V104" i="10" s="1"/>
  <c r="V105" i="8" a="1"/>
  <c r="V105" i="8" s="1"/>
  <c r="V105" i="10" s="1" a="1"/>
  <c r="V105" i="10" s="1"/>
  <c r="V106" i="8" a="1"/>
  <c r="V106" i="8" s="1"/>
  <c r="V106" i="10" s="1" a="1"/>
  <c r="V106" i="10" s="1"/>
  <c r="V107" i="8" a="1"/>
  <c r="V107" i="8" s="1"/>
  <c r="V107" i="10" s="1" a="1"/>
  <c r="V107" i="10" s="1"/>
  <c r="V108" i="8" a="1"/>
  <c r="V108" i="8" s="1"/>
  <c r="V108" i="10" s="1" a="1"/>
  <c r="V108" i="10" s="1"/>
  <c r="V109" i="8" a="1"/>
  <c r="V109" i="8" s="1"/>
  <c r="V109" i="10" s="1" a="1"/>
  <c r="V109" i="10" s="1"/>
  <c r="V110" i="8" a="1"/>
  <c r="V110" i="8" s="1"/>
  <c r="V110" i="10" s="1" a="1"/>
  <c r="V110" i="10" s="1"/>
  <c r="V111" i="8" a="1"/>
  <c r="V111" i="8" s="1"/>
  <c r="V111" i="10" s="1" a="1"/>
  <c r="V111" i="10" s="1"/>
  <c r="V112" i="8" a="1"/>
  <c r="V112" i="8" s="1"/>
  <c r="V112" i="10" s="1" a="1"/>
  <c r="V112" i="10" s="1"/>
  <c r="V113" i="8" a="1"/>
  <c r="V113" i="8" s="1"/>
  <c r="V113" i="10" s="1" a="1"/>
  <c r="V113" i="10" s="1"/>
  <c r="V114" i="8" a="1"/>
  <c r="V114" i="8" s="1"/>
  <c r="V114" i="10" s="1" a="1"/>
  <c r="V114" i="10" s="1"/>
  <c r="V115" i="8" a="1"/>
  <c r="V115" i="8" s="1"/>
  <c r="V115" i="10" s="1" a="1"/>
  <c r="V115" i="10" s="1"/>
  <c r="V116" i="8" a="1"/>
  <c r="V116" i="8" s="1"/>
  <c r="V116" i="10" s="1" a="1"/>
  <c r="V116" i="10" s="1"/>
  <c r="V117" i="8" a="1"/>
  <c r="V117" i="8" s="1"/>
  <c r="V117" i="10" s="1" a="1"/>
  <c r="V117" i="10" s="1"/>
  <c r="V118" i="8" a="1"/>
  <c r="V118" i="8" s="1"/>
  <c r="V118" i="10" s="1" a="1"/>
  <c r="V118" i="10" s="1"/>
  <c r="V119" i="8" a="1"/>
  <c r="V119" i="8" s="1"/>
  <c r="V119" i="10" s="1" a="1"/>
  <c r="V119" i="10" s="1"/>
  <c r="V120" i="8" a="1"/>
  <c r="V120" i="8" s="1"/>
  <c r="V120" i="10" s="1" a="1"/>
  <c r="V120" i="10" s="1"/>
  <c r="V121" i="8" a="1"/>
  <c r="V121" i="8" s="1"/>
  <c r="V121" i="10" s="1" a="1"/>
  <c r="V121" i="10" s="1"/>
  <c r="V122" i="8" a="1"/>
  <c r="V122" i="8" s="1"/>
  <c r="V122" i="10" s="1" a="1"/>
  <c r="V122" i="10" s="1"/>
  <c r="V123" i="8" a="1"/>
  <c r="V123" i="8" s="1"/>
  <c r="V123" i="10" s="1" a="1"/>
  <c r="V123" i="10" s="1"/>
  <c r="V124" i="8" a="1"/>
  <c r="V124" i="8" s="1"/>
  <c r="V124" i="10" s="1" a="1"/>
  <c r="V124" i="10" s="1"/>
  <c r="V125" i="8" a="1"/>
  <c r="V125" i="8" s="1"/>
  <c r="V125" i="10" s="1" a="1"/>
  <c r="V125" i="10" s="1"/>
  <c r="V126" i="8" a="1"/>
  <c r="V126" i="8" s="1"/>
  <c r="V126" i="10" s="1" a="1"/>
  <c r="V126" i="10" s="1"/>
  <c r="V127" i="8" a="1"/>
  <c r="V127" i="8" s="1"/>
  <c r="V127" i="10" s="1" a="1"/>
  <c r="V127" i="10" s="1"/>
  <c r="V128" i="8" a="1"/>
  <c r="V128" i="8" s="1"/>
  <c r="V128" i="10" s="1" a="1"/>
  <c r="V128" i="10" s="1"/>
  <c r="V129" i="8" a="1"/>
  <c r="V129" i="8" s="1"/>
  <c r="V129" i="10" s="1" a="1"/>
  <c r="V129" i="10" s="1"/>
  <c r="V130" i="8" a="1"/>
  <c r="V130" i="8" s="1"/>
  <c r="V130" i="10" s="1" a="1"/>
  <c r="V130" i="10" s="1"/>
  <c r="V131" i="8" a="1"/>
  <c r="V131" i="8" s="1"/>
  <c r="V131" i="10" s="1" a="1"/>
  <c r="V131" i="10" s="1"/>
  <c r="V132" i="8" a="1"/>
  <c r="V132" i="8" s="1"/>
  <c r="V132" i="10" s="1" a="1"/>
  <c r="V132" i="10" s="1"/>
  <c r="V133" i="8" a="1"/>
  <c r="V133" i="8" s="1"/>
  <c r="V133" i="10" s="1" a="1"/>
  <c r="V133" i="10" s="1"/>
  <c r="V134" i="8" a="1"/>
  <c r="V134" i="8" s="1"/>
  <c r="V134" i="10" s="1" a="1"/>
  <c r="V134" i="10" s="1"/>
  <c r="V135" i="8" a="1"/>
  <c r="V135" i="8" s="1"/>
  <c r="V135" i="10" s="1" a="1"/>
  <c r="V135" i="10" s="1"/>
  <c r="V136" i="8" a="1"/>
  <c r="V136" i="8" s="1"/>
  <c r="V136" i="10" s="1" a="1"/>
  <c r="V136" i="10" s="1"/>
  <c r="V137" i="8" a="1"/>
  <c r="V137" i="8" s="1"/>
  <c r="V137" i="10" s="1" a="1"/>
  <c r="V137" i="10" s="1"/>
  <c r="V138" i="8" a="1"/>
  <c r="V138" i="8" s="1"/>
  <c r="V138" i="10" s="1" a="1"/>
  <c r="V138" i="10" s="1"/>
  <c r="V139" i="8" a="1"/>
  <c r="V139" i="8" s="1"/>
  <c r="V139" i="10" s="1" a="1"/>
  <c r="V139" i="10" s="1"/>
  <c r="V140" i="8" a="1"/>
  <c r="V140" i="8" s="1"/>
  <c r="V140" i="10" s="1" a="1"/>
  <c r="V140" i="10" s="1"/>
  <c r="V141" i="8" a="1"/>
  <c r="V141" i="8" s="1"/>
  <c r="V141" i="10" s="1" a="1"/>
  <c r="V141" i="10" s="1"/>
  <c r="V142" i="8" a="1"/>
  <c r="V142" i="8" s="1"/>
  <c r="V142" i="10" s="1" a="1"/>
  <c r="V142" i="10" s="1"/>
  <c r="V143" i="8" a="1"/>
  <c r="V143" i="8" s="1"/>
  <c r="V143" i="10" s="1" a="1"/>
  <c r="V143" i="10" s="1"/>
  <c r="V144" i="8" a="1"/>
  <c r="V144" i="8" s="1"/>
  <c r="V144" i="10" s="1" a="1"/>
  <c r="V144" i="10" s="1"/>
  <c r="V145" i="8" a="1"/>
  <c r="V145" i="8" s="1"/>
  <c r="V145" i="10" s="1" a="1"/>
  <c r="V145" i="10" s="1"/>
  <c r="V146" i="8" a="1"/>
  <c r="V146" i="8" s="1"/>
  <c r="V146" i="10" s="1" a="1"/>
  <c r="V146" i="10" s="1"/>
  <c r="V147" i="8" a="1"/>
  <c r="V147" i="8" s="1"/>
  <c r="V147" i="10" s="1" a="1"/>
  <c r="V147" i="10" s="1"/>
  <c r="V148" i="8" a="1"/>
  <c r="V148" i="8" s="1"/>
  <c r="V148" i="10" s="1" a="1"/>
  <c r="V148" i="10" s="1"/>
  <c r="V149" i="8" a="1"/>
  <c r="V149" i="8" s="1"/>
  <c r="V149" i="10" s="1" a="1"/>
  <c r="V149" i="10" s="1"/>
  <c r="V150" i="8" a="1"/>
  <c r="V150" i="8" s="1"/>
  <c r="V150" i="10" s="1" a="1"/>
  <c r="V150" i="10" s="1"/>
  <c r="V151" i="8" a="1"/>
  <c r="V151" i="8" s="1"/>
  <c r="V151" i="10" s="1" a="1"/>
  <c r="V151" i="10" s="1"/>
  <c r="V152" i="8" a="1"/>
  <c r="V152" i="8" s="1"/>
  <c r="V152" i="10" s="1" a="1"/>
  <c r="V152" i="10" s="1"/>
  <c r="V153" i="8" a="1"/>
  <c r="V153" i="8" s="1"/>
  <c r="V153" i="10" s="1" a="1"/>
  <c r="V153" i="10" s="1"/>
  <c r="V154" i="8" a="1"/>
  <c r="V154" i="8" s="1"/>
  <c r="V154" i="10" s="1" a="1"/>
  <c r="V154" i="10" s="1"/>
  <c r="V155" i="8" a="1"/>
  <c r="V155" i="8" s="1"/>
  <c r="V155" i="10" s="1" a="1"/>
  <c r="V155" i="10" s="1"/>
  <c r="V156" i="8" a="1"/>
  <c r="V156" i="8" s="1"/>
  <c r="V156" i="10" s="1" a="1"/>
  <c r="V156" i="10" s="1"/>
  <c r="V157" i="8" a="1"/>
  <c r="V157" i="8" s="1"/>
  <c r="V157" i="10" s="1" a="1"/>
  <c r="V157" i="10" s="1"/>
  <c r="V158" i="8" a="1"/>
  <c r="V158" i="8" s="1"/>
  <c r="V158" i="10" s="1" a="1"/>
  <c r="V158" i="10" s="1"/>
  <c r="V159" i="8" a="1"/>
  <c r="V159" i="8" s="1"/>
  <c r="V159" i="10" s="1" a="1"/>
  <c r="V159" i="10" s="1"/>
  <c r="V160" i="8" a="1"/>
  <c r="V160" i="8" s="1"/>
  <c r="V160" i="10" s="1" a="1"/>
  <c r="V160" i="10" s="1"/>
  <c r="V161" i="8" a="1"/>
  <c r="V161" i="8" s="1"/>
  <c r="V161" i="10" s="1" a="1"/>
  <c r="V161" i="10" s="1"/>
  <c r="V162" i="8" a="1"/>
  <c r="V162" i="8" s="1"/>
  <c r="V162" i="10" s="1" a="1"/>
  <c r="V162" i="10" s="1"/>
  <c r="V163" i="8" a="1"/>
  <c r="V163" i="8" s="1"/>
  <c r="V163" i="10" s="1" a="1"/>
  <c r="V163" i="10" s="1"/>
  <c r="V164" i="8" a="1"/>
  <c r="V164" i="8" s="1"/>
  <c r="V164" i="10" s="1" a="1"/>
  <c r="V164" i="10" s="1"/>
  <c r="V165" i="8" a="1"/>
  <c r="V165" i="8" s="1"/>
  <c r="V165" i="10" s="1" a="1"/>
  <c r="V165" i="10" s="1"/>
  <c r="V166" i="8" a="1"/>
  <c r="V166" i="8" s="1"/>
  <c r="V166" i="10" s="1" a="1"/>
  <c r="V166" i="10" s="1"/>
  <c r="V167" i="8" a="1"/>
  <c r="V167" i="8" s="1"/>
  <c r="V167" i="10" s="1" a="1"/>
  <c r="V167" i="10" s="1"/>
  <c r="V168" i="8" a="1"/>
  <c r="V168" i="8" s="1"/>
  <c r="V168" i="10" s="1" a="1"/>
  <c r="V168" i="10" s="1"/>
  <c r="V169" i="8" a="1"/>
  <c r="V169" i="8" s="1"/>
  <c r="V169" i="10" s="1" a="1"/>
  <c r="V169" i="10" s="1"/>
  <c r="V170" i="8" a="1"/>
  <c r="V170" i="8" s="1"/>
  <c r="V170" i="10" s="1" a="1"/>
  <c r="V170" i="10" s="1"/>
  <c r="V171" i="8" a="1"/>
  <c r="V171" i="8" s="1"/>
  <c r="V171" i="10" s="1" a="1"/>
  <c r="V171" i="10" s="1"/>
  <c r="V172" i="8" a="1"/>
  <c r="V172" i="8" s="1"/>
  <c r="V172" i="10" s="1" a="1"/>
  <c r="V172" i="10" s="1"/>
  <c r="V173" i="8" a="1"/>
  <c r="V173" i="8" s="1"/>
  <c r="V173" i="10" s="1" a="1"/>
  <c r="V173" i="10" s="1"/>
  <c r="V174" i="8" a="1"/>
  <c r="V174" i="8" s="1"/>
  <c r="V174" i="10" s="1" a="1"/>
  <c r="V174" i="10" s="1"/>
  <c r="V175" i="8" a="1"/>
  <c r="V175" i="8" s="1"/>
  <c r="V175" i="10" s="1" a="1"/>
  <c r="V175" i="10" s="1"/>
  <c r="V176" i="8" a="1"/>
  <c r="V176" i="8" s="1"/>
  <c r="V176" i="10" s="1" a="1"/>
  <c r="V176" i="10" s="1"/>
  <c r="V177" i="8" a="1"/>
  <c r="V177" i="8" s="1"/>
  <c r="V177" i="10" s="1" a="1"/>
  <c r="V177" i="10" s="1"/>
  <c r="V178" i="8" a="1"/>
  <c r="V178" i="8" s="1"/>
  <c r="V178" i="10" s="1" a="1"/>
  <c r="V178" i="10" s="1"/>
  <c r="V179" i="8" a="1"/>
  <c r="V179" i="8" s="1"/>
  <c r="V179" i="10" s="1" a="1"/>
  <c r="V179" i="10" s="1"/>
  <c r="V180" i="8" a="1"/>
  <c r="V180" i="8" s="1"/>
  <c r="V180" i="10" s="1" a="1"/>
  <c r="V180" i="10" s="1"/>
  <c r="V181" i="8" a="1"/>
  <c r="V181" i="8" s="1"/>
  <c r="V181" i="10" s="1" a="1"/>
  <c r="V181" i="10" s="1"/>
  <c r="V182" i="8" a="1"/>
  <c r="V182" i="8" s="1"/>
  <c r="V182" i="10" s="1" a="1"/>
  <c r="V182" i="10" s="1"/>
  <c r="V183" i="8" a="1"/>
  <c r="V183" i="8" s="1"/>
  <c r="V183" i="10" s="1" a="1"/>
  <c r="V183" i="10" s="1"/>
  <c r="V184" i="8" a="1"/>
  <c r="V184" i="8" s="1"/>
  <c r="V184" i="10" s="1" a="1"/>
  <c r="V184" i="10" s="1"/>
  <c r="V185" i="8" a="1"/>
  <c r="V185" i="8" s="1"/>
  <c r="V185" i="10" s="1" a="1"/>
  <c r="V185" i="10" s="1"/>
  <c r="V186" i="8" a="1"/>
  <c r="V186" i="8" s="1"/>
  <c r="V186" i="10" s="1" a="1"/>
  <c r="V186" i="10" s="1"/>
  <c r="V187" i="8" a="1"/>
  <c r="V187" i="8" s="1"/>
  <c r="V187" i="10" s="1" a="1"/>
  <c r="V187" i="10" s="1"/>
  <c r="V188" i="8" a="1"/>
  <c r="V188" i="8" s="1"/>
  <c r="V188" i="10" s="1" a="1"/>
  <c r="V188" i="10" s="1"/>
  <c r="V189" i="8" a="1"/>
  <c r="V189" i="8" s="1"/>
  <c r="V189" i="10" s="1" a="1"/>
  <c r="V189" i="10" s="1"/>
  <c r="V190" i="8" a="1"/>
  <c r="V190" i="8" s="1"/>
  <c r="V190" i="10" s="1" a="1"/>
  <c r="V190" i="10" s="1"/>
  <c r="V191" i="8" a="1"/>
  <c r="V191" i="8" s="1"/>
  <c r="V191" i="10" s="1" a="1"/>
  <c r="V191" i="10" s="1"/>
  <c r="V192" i="8" a="1"/>
  <c r="V192" i="8" s="1"/>
  <c r="V192" i="10" s="1" a="1"/>
  <c r="V192" i="10" s="1"/>
  <c r="V193" i="8" a="1"/>
  <c r="V193" i="8" s="1"/>
  <c r="V193" i="10" s="1" a="1"/>
  <c r="V193" i="10" s="1"/>
  <c r="V194" i="8" a="1"/>
  <c r="V194" i="8" s="1"/>
  <c r="V194" i="10" s="1" a="1"/>
  <c r="V194" i="10" s="1"/>
  <c r="V195" i="8" a="1"/>
  <c r="V195" i="8" s="1"/>
  <c r="V195" i="10" s="1" a="1"/>
  <c r="V195" i="10" s="1"/>
  <c r="V196" i="8" a="1"/>
  <c r="V196" i="8" s="1"/>
  <c r="V196" i="10" s="1" a="1"/>
  <c r="V196" i="10" s="1"/>
  <c r="V197" i="8" a="1"/>
  <c r="V197" i="8" s="1"/>
  <c r="V197" i="10" s="1" a="1"/>
  <c r="V197" i="10" s="1"/>
  <c r="V198" i="8" a="1"/>
  <c r="V198" i="8" s="1"/>
  <c r="V198" i="10" s="1" a="1"/>
  <c r="V198" i="10" s="1"/>
  <c r="V199" i="8" a="1"/>
  <c r="V199" i="8" s="1"/>
  <c r="V199" i="10" s="1" a="1"/>
  <c r="V199" i="10" s="1"/>
  <c r="V200" i="8" a="1"/>
  <c r="V200" i="8" s="1"/>
  <c r="V200" i="10" s="1" a="1"/>
  <c r="V200" i="10" s="1"/>
  <c r="V201" i="8" a="1"/>
  <c r="V201" i="8" s="1"/>
  <c r="V201" i="10" s="1" a="1"/>
  <c r="V201" i="10" s="1"/>
  <c r="V202" i="8" a="1"/>
  <c r="V202" i="8" s="1"/>
  <c r="V202" i="10" s="1" a="1"/>
  <c r="V202" i="10" s="1"/>
  <c r="V203" i="8" a="1"/>
  <c r="V203" i="8" s="1"/>
  <c r="V203" i="10" s="1" a="1"/>
  <c r="V203" i="10" s="1"/>
  <c r="V204" i="8" a="1"/>
  <c r="V204" i="8" s="1"/>
  <c r="V204" i="10" s="1" a="1"/>
  <c r="V204" i="10" s="1"/>
  <c r="V205" i="8" a="1"/>
  <c r="V205" i="8" s="1"/>
  <c r="V205" i="10" s="1" a="1"/>
  <c r="V205" i="10" s="1"/>
  <c r="V206" i="8" a="1"/>
  <c r="V206" i="8" s="1"/>
  <c r="V206" i="10" s="1" a="1"/>
  <c r="V206" i="10" s="1"/>
  <c r="V207" i="8" a="1"/>
  <c r="V207" i="8" s="1"/>
  <c r="V207" i="10" s="1" a="1"/>
  <c r="V207" i="10" s="1"/>
  <c r="V208" i="8" a="1"/>
  <c r="V208" i="8" s="1"/>
  <c r="V208" i="10" s="1" a="1"/>
  <c r="V208" i="10" s="1"/>
  <c r="V209" i="8" a="1"/>
  <c r="V209" i="8" s="1"/>
  <c r="V209" i="10" s="1" a="1"/>
  <c r="V209" i="10" s="1"/>
  <c r="V210" i="8" a="1"/>
  <c r="V210" i="8" s="1"/>
  <c r="V210" i="10" s="1" a="1"/>
  <c r="V210" i="10" s="1"/>
  <c r="V211" i="8" a="1"/>
  <c r="V211" i="8" s="1"/>
  <c r="V211" i="10" s="1" a="1"/>
  <c r="V211" i="10" s="1"/>
  <c r="V212" i="8" a="1"/>
  <c r="V212" i="8" s="1"/>
  <c r="V212" i="10" s="1" a="1"/>
  <c r="V212" i="10" s="1"/>
  <c r="V213" i="8" a="1"/>
  <c r="V213" i="8" s="1"/>
  <c r="V213" i="10" s="1" a="1"/>
  <c r="V213" i="10" s="1"/>
  <c r="V214" i="8" a="1"/>
  <c r="V214" i="8" s="1"/>
  <c r="V214" i="10" s="1" a="1"/>
  <c r="V214" i="10" s="1"/>
  <c r="V215" i="8" a="1"/>
  <c r="V215" i="8" s="1"/>
  <c r="V215" i="10" s="1" a="1"/>
  <c r="V215" i="10" s="1"/>
  <c r="V216" i="8" a="1"/>
  <c r="V216" i="8" s="1"/>
  <c r="V216" i="10" s="1" a="1"/>
  <c r="V216" i="10" s="1"/>
  <c r="V217" i="8" a="1"/>
  <c r="V217" i="8" s="1"/>
  <c r="V217" i="10" s="1" a="1"/>
  <c r="V217" i="10" s="1"/>
  <c r="V218" i="8" a="1"/>
  <c r="V218" i="8" s="1"/>
  <c r="V218" i="10" s="1" a="1"/>
  <c r="V218" i="10" s="1"/>
  <c r="V219" i="8" a="1"/>
  <c r="V219" i="8" s="1"/>
  <c r="V219" i="10" s="1" a="1"/>
  <c r="V219" i="10" s="1"/>
  <c r="V220" i="8" a="1"/>
  <c r="V220" i="8" s="1"/>
  <c r="V220" i="10" s="1" a="1"/>
  <c r="V220" i="10" s="1"/>
  <c r="V221" i="8" a="1"/>
  <c r="V221" i="8" s="1"/>
  <c r="V221" i="10" s="1" a="1"/>
  <c r="V221" i="10" s="1"/>
  <c r="V222" i="8" a="1"/>
  <c r="V222" i="8" s="1"/>
  <c r="V222" i="10" s="1" a="1"/>
  <c r="V222" i="10" s="1"/>
  <c r="V223" i="8" a="1"/>
  <c r="V223" i="8" s="1"/>
  <c r="V223" i="10" s="1" a="1"/>
  <c r="V223" i="10" s="1"/>
  <c r="V224" i="8" a="1"/>
  <c r="V224" i="8" s="1"/>
  <c r="V224" i="10" s="1" a="1"/>
  <c r="V224" i="10" s="1"/>
  <c r="V225" i="8" a="1"/>
  <c r="V225" i="8" s="1"/>
  <c r="V225" i="10" s="1" a="1"/>
  <c r="V225" i="10" s="1"/>
  <c r="V226" i="8" a="1"/>
  <c r="V226" i="8" s="1"/>
  <c r="V226" i="10" s="1" a="1"/>
  <c r="V226" i="10" s="1"/>
  <c r="V227" i="8" a="1"/>
  <c r="V227" i="8" s="1"/>
  <c r="V227" i="10" s="1" a="1"/>
  <c r="V227" i="10" s="1"/>
  <c r="V228" i="8" a="1"/>
  <c r="V228" i="8" s="1"/>
  <c r="V228" i="10" s="1" a="1"/>
  <c r="V228" i="10" s="1"/>
  <c r="V229" i="8" a="1"/>
  <c r="V229" i="8" s="1"/>
  <c r="V229" i="10" s="1" a="1"/>
  <c r="V229" i="10" s="1"/>
  <c r="V230" i="8" a="1"/>
  <c r="V230" i="8" s="1"/>
  <c r="V230" i="10" s="1" a="1"/>
  <c r="V230" i="10" s="1"/>
  <c r="V231" i="8" a="1"/>
  <c r="V231" i="8" s="1"/>
  <c r="V231" i="10" s="1" a="1"/>
  <c r="V231" i="10" s="1"/>
  <c r="V232" i="8" a="1"/>
  <c r="V232" i="8" s="1"/>
  <c r="V232" i="10" s="1" a="1"/>
  <c r="V232" i="10" s="1"/>
  <c r="V233" i="8" a="1"/>
  <c r="V233" i="8" s="1"/>
  <c r="V233" i="10" s="1" a="1"/>
  <c r="V233" i="10" s="1"/>
  <c r="V234" i="8" a="1"/>
  <c r="V234" i="8" s="1"/>
  <c r="V234" i="10" s="1" a="1"/>
  <c r="V234" i="10" s="1"/>
  <c r="V235" i="8" a="1"/>
  <c r="V235" i="8" s="1"/>
  <c r="V235" i="10" s="1" a="1"/>
  <c r="V235" i="10" s="1"/>
  <c r="V236" i="8" a="1"/>
  <c r="V236" i="8" s="1"/>
  <c r="V236" i="10" s="1" a="1"/>
  <c r="V236" i="10" s="1"/>
  <c r="V237" i="8" a="1"/>
  <c r="V237" i="8" s="1"/>
  <c r="V237" i="10" s="1" a="1"/>
  <c r="V237" i="10" s="1"/>
  <c r="V238" i="8" a="1"/>
  <c r="V238" i="8" s="1"/>
  <c r="V238" i="10" s="1" a="1"/>
  <c r="V238" i="10" s="1"/>
  <c r="V239" i="8" a="1"/>
  <c r="V239" i="8" s="1"/>
  <c r="V239" i="10" s="1" a="1"/>
  <c r="V239" i="10" s="1"/>
  <c r="V240" i="8" a="1"/>
  <c r="V240" i="8" s="1"/>
  <c r="V240" i="10" s="1" a="1"/>
  <c r="V240" i="10" s="1"/>
  <c r="V241" i="8" a="1"/>
  <c r="V241" i="8" s="1"/>
  <c r="V241" i="10" s="1" a="1"/>
  <c r="V241" i="10" s="1"/>
  <c r="V242" i="8" a="1"/>
  <c r="V242" i="8" s="1"/>
  <c r="V242" i="10" s="1" a="1"/>
  <c r="V242" i="10" s="1"/>
  <c r="V243" i="8" a="1"/>
  <c r="V243" i="8" s="1"/>
  <c r="V243" i="10" s="1" a="1"/>
  <c r="V243" i="10" s="1"/>
  <c r="V244" i="8" a="1"/>
  <c r="V244" i="8" s="1"/>
  <c r="V244" i="10" s="1" a="1"/>
  <c r="V244" i="10" s="1"/>
  <c r="V245" i="8" a="1"/>
  <c r="V245" i="8" s="1"/>
  <c r="V245" i="10" s="1" a="1"/>
  <c r="V245" i="10" s="1"/>
  <c r="V246" i="8" a="1"/>
  <c r="V246" i="8" s="1"/>
  <c r="V246" i="10" s="1" a="1"/>
  <c r="V246" i="10" s="1"/>
  <c r="V247" i="8" a="1"/>
  <c r="V247" i="8" s="1"/>
  <c r="V247" i="10" s="1" a="1"/>
  <c r="V247" i="10" s="1"/>
  <c r="V248" i="8" a="1"/>
  <c r="V248" i="8" s="1"/>
  <c r="V248" i="10" s="1" a="1"/>
  <c r="V248" i="10" s="1"/>
  <c r="V249" i="8" a="1"/>
  <c r="V249" i="8" s="1"/>
  <c r="V249" i="10" s="1" a="1"/>
  <c r="V249" i="10" s="1"/>
  <c r="V250" i="8" a="1"/>
  <c r="V250" i="8" s="1"/>
  <c r="V250" i="10" s="1" a="1"/>
  <c r="V250" i="10" s="1"/>
  <c r="V251" i="8" a="1"/>
  <c r="V251" i="8" s="1"/>
  <c r="V251" i="10" s="1" a="1"/>
  <c r="V251" i="10" s="1"/>
  <c r="T13" i="8" a="1"/>
  <c r="T13" i="8" s="1"/>
  <c r="T13" i="10" s="1" a="1"/>
  <c r="T13" i="10" s="1"/>
  <c r="T14" i="8" a="1"/>
  <c r="T14" i="8" s="1"/>
  <c r="T14" i="10" s="1" a="1"/>
  <c r="T14" i="10" s="1"/>
  <c r="T15" i="8" a="1"/>
  <c r="T15" i="8" s="1"/>
  <c r="T15" i="10" s="1" a="1"/>
  <c r="T15" i="10" s="1"/>
  <c r="T16" i="8" a="1"/>
  <c r="T16" i="8" s="1"/>
  <c r="T16" i="10" s="1" a="1"/>
  <c r="T16" i="10" s="1"/>
  <c r="T17" i="8" a="1"/>
  <c r="T17" i="8" s="1"/>
  <c r="T17" i="10" s="1" a="1"/>
  <c r="T17" i="10" s="1"/>
  <c r="T18" i="8" a="1"/>
  <c r="T18" i="8" s="1"/>
  <c r="T18" i="10" s="1" a="1"/>
  <c r="T18" i="10" s="1"/>
  <c r="T19" i="8" a="1"/>
  <c r="T19" i="8" s="1"/>
  <c r="T19" i="10" s="1" a="1"/>
  <c r="T19" i="10" s="1"/>
  <c r="T20" i="8" a="1"/>
  <c r="T20" i="8" s="1"/>
  <c r="T20" i="10" s="1" a="1"/>
  <c r="T20" i="10" s="1"/>
  <c r="T21" i="8" a="1"/>
  <c r="T21" i="8" s="1"/>
  <c r="T21" i="10" s="1" a="1"/>
  <c r="T21" i="10" s="1"/>
  <c r="T22" i="8" a="1"/>
  <c r="T22" i="8" s="1"/>
  <c r="T22" i="10" s="1" a="1"/>
  <c r="T22" i="10" s="1"/>
  <c r="T23" i="8" a="1"/>
  <c r="T23" i="8" s="1"/>
  <c r="T23" i="10" s="1" a="1"/>
  <c r="T23" i="10" s="1"/>
  <c r="T24" i="8" a="1"/>
  <c r="T24" i="8" s="1"/>
  <c r="T24" i="10" s="1" a="1"/>
  <c r="T24" i="10" s="1"/>
  <c r="T25" i="8" a="1"/>
  <c r="T25" i="8" s="1"/>
  <c r="T25" i="10" s="1" a="1"/>
  <c r="T25" i="10" s="1"/>
  <c r="T26" i="8" a="1"/>
  <c r="T26" i="8" s="1"/>
  <c r="T26" i="10" s="1" a="1"/>
  <c r="T26" i="10" s="1"/>
  <c r="T27" i="8" a="1"/>
  <c r="T27" i="8" s="1"/>
  <c r="T27" i="10" s="1" a="1"/>
  <c r="T27" i="10" s="1"/>
  <c r="T28" i="8" a="1"/>
  <c r="T28" i="8" s="1"/>
  <c r="T28" i="10" s="1" a="1"/>
  <c r="T28" i="10" s="1"/>
  <c r="T29" i="8" a="1"/>
  <c r="T29" i="8" s="1"/>
  <c r="T29" i="10" s="1" a="1"/>
  <c r="T29" i="10" s="1"/>
  <c r="T30" i="8" a="1"/>
  <c r="T30" i="8" s="1"/>
  <c r="T30" i="10" s="1" a="1"/>
  <c r="T30" i="10" s="1"/>
  <c r="T31" i="8" a="1"/>
  <c r="T31" i="8" s="1"/>
  <c r="T31" i="10" s="1" a="1"/>
  <c r="T31" i="10" s="1"/>
  <c r="T32" i="8" a="1"/>
  <c r="T32" i="8" s="1"/>
  <c r="T32" i="10" s="1" a="1"/>
  <c r="T32" i="10" s="1"/>
  <c r="T33" i="8" a="1"/>
  <c r="T33" i="8" s="1"/>
  <c r="T33" i="10" s="1" a="1"/>
  <c r="T33" i="10" s="1"/>
  <c r="T34" i="8" a="1"/>
  <c r="T34" i="8" s="1"/>
  <c r="T34" i="10" s="1" a="1"/>
  <c r="T34" i="10" s="1"/>
  <c r="T35" i="8" a="1"/>
  <c r="T35" i="8" s="1"/>
  <c r="T35" i="10" s="1" a="1"/>
  <c r="T35" i="10" s="1"/>
  <c r="T36" i="8" a="1"/>
  <c r="T36" i="8" s="1"/>
  <c r="T36" i="10" s="1" a="1"/>
  <c r="T36" i="10" s="1"/>
  <c r="T37" i="8" a="1"/>
  <c r="T37" i="8" s="1"/>
  <c r="T37" i="10" s="1" a="1"/>
  <c r="T37" i="10" s="1"/>
  <c r="T38" i="8" a="1"/>
  <c r="T38" i="8" s="1"/>
  <c r="T38" i="10" s="1" a="1"/>
  <c r="T38" i="10" s="1"/>
  <c r="T39" i="8" a="1"/>
  <c r="T39" i="8" s="1"/>
  <c r="T39" i="10" s="1" a="1"/>
  <c r="T39" i="10" s="1"/>
  <c r="T40" i="8" a="1"/>
  <c r="T40" i="8" s="1"/>
  <c r="T40" i="10" s="1" a="1"/>
  <c r="T40" i="10" s="1"/>
  <c r="T41" i="8" a="1"/>
  <c r="T41" i="8" s="1"/>
  <c r="T41" i="10" s="1" a="1"/>
  <c r="T41" i="10" s="1"/>
  <c r="T42" i="8" a="1"/>
  <c r="T42" i="8" s="1"/>
  <c r="T42" i="10" s="1" a="1"/>
  <c r="T42" i="10" s="1"/>
  <c r="T43" i="8" a="1"/>
  <c r="T43" i="8" s="1"/>
  <c r="T43" i="10" s="1" a="1"/>
  <c r="T43" i="10" s="1"/>
  <c r="T44" i="8" a="1"/>
  <c r="T44" i="8" s="1"/>
  <c r="T44" i="10" s="1" a="1"/>
  <c r="T44" i="10" s="1"/>
  <c r="T45" i="8" a="1"/>
  <c r="T45" i="8" s="1"/>
  <c r="T45" i="10" s="1" a="1"/>
  <c r="T45" i="10" s="1"/>
  <c r="T46" i="8" a="1"/>
  <c r="T46" i="8" s="1"/>
  <c r="T46" i="10" s="1" a="1"/>
  <c r="T46" i="10" s="1"/>
  <c r="T47" i="8" a="1"/>
  <c r="T47" i="8" s="1"/>
  <c r="T47" i="10" s="1" a="1"/>
  <c r="T47" i="10" s="1"/>
  <c r="T48" i="8" a="1"/>
  <c r="T48" i="8" s="1"/>
  <c r="T48" i="10" s="1" a="1"/>
  <c r="T48" i="10" s="1"/>
  <c r="T49" i="8" a="1"/>
  <c r="T49" i="8" s="1"/>
  <c r="T49" i="10" s="1" a="1"/>
  <c r="T49" i="10" s="1"/>
  <c r="T50" i="8" a="1"/>
  <c r="T50" i="8" s="1"/>
  <c r="T50" i="10" s="1" a="1"/>
  <c r="T50" i="10" s="1"/>
  <c r="T51" i="8" a="1"/>
  <c r="T51" i="8" s="1"/>
  <c r="T51" i="10" s="1" a="1"/>
  <c r="T51" i="10" s="1"/>
  <c r="T52" i="8" a="1"/>
  <c r="T52" i="8" s="1"/>
  <c r="T52" i="10" s="1" a="1"/>
  <c r="T52" i="10" s="1"/>
  <c r="T53" i="8" a="1"/>
  <c r="T53" i="8" s="1"/>
  <c r="T53" i="10" s="1" a="1"/>
  <c r="T53" i="10" s="1"/>
  <c r="T54" i="8" a="1"/>
  <c r="T54" i="8" s="1"/>
  <c r="T54" i="10" s="1" a="1"/>
  <c r="T54" i="10" s="1"/>
  <c r="T55" i="8" a="1"/>
  <c r="T55" i="8" s="1"/>
  <c r="T55" i="10" s="1" a="1"/>
  <c r="T55" i="10" s="1"/>
  <c r="T56" i="8" a="1"/>
  <c r="T56" i="8" s="1"/>
  <c r="T56" i="10" s="1" a="1"/>
  <c r="T56" i="10" s="1"/>
  <c r="T57" i="8" a="1"/>
  <c r="T57" i="8" s="1"/>
  <c r="T57" i="10" s="1" a="1"/>
  <c r="T57" i="10" s="1"/>
  <c r="T58" i="8" a="1"/>
  <c r="T58" i="8" s="1"/>
  <c r="T58" i="10" s="1" a="1"/>
  <c r="T58" i="10" s="1"/>
  <c r="T59" i="8" a="1"/>
  <c r="T59" i="8" s="1"/>
  <c r="T59" i="10" s="1" a="1"/>
  <c r="T59" i="10" s="1"/>
  <c r="T60" i="8" a="1"/>
  <c r="T60" i="8" s="1"/>
  <c r="T60" i="10" s="1" a="1"/>
  <c r="T60" i="10" s="1"/>
  <c r="T61" i="8" a="1"/>
  <c r="T61" i="8" s="1"/>
  <c r="T61" i="10" s="1" a="1"/>
  <c r="T61" i="10" s="1"/>
  <c r="T62" i="8" a="1"/>
  <c r="T62" i="8" s="1"/>
  <c r="T62" i="10" s="1" a="1"/>
  <c r="T62" i="10" s="1"/>
  <c r="T63" i="8" a="1"/>
  <c r="T63" i="8" s="1"/>
  <c r="T63" i="10" s="1" a="1"/>
  <c r="T63" i="10" s="1"/>
  <c r="T64" i="8" a="1"/>
  <c r="T64" i="8" s="1"/>
  <c r="T64" i="10" s="1" a="1"/>
  <c r="T64" i="10" s="1"/>
  <c r="T65" i="8" a="1"/>
  <c r="T65" i="8" s="1"/>
  <c r="T65" i="10" s="1" a="1"/>
  <c r="T65" i="10" s="1"/>
  <c r="T66" i="8" a="1"/>
  <c r="T66" i="8" s="1"/>
  <c r="T66" i="10" s="1" a="1"/>
  <c r="T66" i="10" s="1"/>
  <c r="T67" i="8" a="1"/>
  <c r="T67" i="8" s="1"/>
  <c r="T67" i="10" s="1" a="1"/>
  <c r="T67" i="10" s="1"/>
  <c r="T68" i="8" a="1"/>
  <c r="T68" i="8" s="1"/>
  <c r="T68" i="10" s="1" a="1"/>
  <c r="T68" i="10" s="1"/>
  <c r="T69" i="8" a="1"/>
  <c r="T69" i="8" s="1"/>
  <c r="T69" i="10" s="1" a="1"/>
  <c r="T69" i="10" s="1"/>
  <c r="T70" i="8" a="1"/>
  <c r="T70" i="8" s="1"/>
  <c r="T70" i="10" s="1" a="1"/>
  <c r="T70" i="10" s="1"/>
  <c r="T71" i="8" a="1"/>
  <c r="T71" i="8" s="1"/>
  <c r="T71" i="10" s="1" a="1"/>
  <c r="T71" i="10" s="1"/>
  <c r="T72" i="8" a="1"/>
  <c r="T72" i="8" s="1"/>
  <c r="T72" i="10" s="1" a="1"/>
  <c r="T72" i="10" s="1"/>
  <c r="T73" i="8" a="1"/>
  <c r="T73" i="8" s="1"/>
  <c r="T73" i="10" s="1" a="1"/>
  <c r="T73" i="10" s="1"/>
  <c r="T74" i="8" a="1"/>
  <c r="T74" i="8" s="1"/>
  <c r="T74" i="10" s="1" a="1"/>
  <c r="T74" i="10" s="1"/>
  <c r="T75" i="8" a="1"/>
  <c r="T75" i="8" s="1"/>
  <c r="T75" i="10" s="1" a="1"/>
  <c r="T75" i="10" s="1"/>
  <c r="T76" i="8" a="1"/>
  <c r="T76" i="8" s="1"/>
  <c r="T76" i="10" s="1" a="1"/>
  <c r="T76" i="10" s="1"/>
  <c r="T77" i="8" a="1"/>
  <c r="T77" i="8" s="1"/>
  <c r="T77" i="10" s="1" a="1"/>
  <c r="T77" i="10" s="1"/>
  <c r="T78" i="8" a="1"/>
  <c r="T78" i="8" s="1"/>
  <c r="T78" i="10" s="1" a="1"/>
  <c r="T78" i="10" s="1"/>
  <c r="T79" i="8" a="1"/>
  <c r="T79" i="8" s="1"/>
  <c r="T79" i="10" s="1" a="1"/>
  <c r="T79" i="10" s="1"/>
  <c r="T80" i="8" a="1"/>
  <c r="T80" i="8" s="1"/>
  <c r="T80" i="10" s="1" a="1"/>
  <c r="T80" i="10" s="1"/>
  <c r="T81" i="8" a="1"/>
  <c r="T81" i="8" s="1"/>
  <c r="T81" i="10" s="1" a="1"/>
  <c r="T81" i="10" s="1"/>
  <c r="T82" i="8" a="1"/>
  <c r="T82" i="8" s="1"/>
  <c r="T82" i="10" s="1" a="1"/>
  <c r="T82" i="10" s="1"/>
  <c r="T83" i="8" a="1"/>
  <c r="T83" i="8" s="1"/>
  <c r="T83" i="10" s="1" a="1"/>
  <c r="T83" i="10" s="1"/>
  <c r="T84" i="8" a="1"/>
  <c r="T84" i="8" s="1"/>
  <c r="T84" i="10" s="1" a="1"/>
  <c r="T84" i="10" s="1"/>
  <c r="T85" i="8" a="1"/>
  <c r="T85" i="8" s="1"/>
  <c r="T85" i="10" s="1" a="1"/>
  <c r="T85" i="10" s="1"/>
  <c r="T86" i="8" a="1"/>
  <c r="T86" i="8" s="1"/>
  <c r="T86" i="10" s="1" a="1"/>
  <c r="T86" i="10" s="1"/>
  <c r="T87" i="8" a="1"/>
  <c r="T87" i="8" s="1"/>
  <c r="T87" i="10" s="1" a="1"/>
  <c r="T87" i="10" s="1"/>
  <c r="T88" i="8" a="1"/>
  <c r="T88" i="8" s="1"/>
  <c r="T88" i="10" s="1" a="1"/>
  <c r="T88" i="10" s="1"/>
  <c r="T89" i="8" a="1"/>
  <c r="T89" i="8" s="1"/>
  <c r="T89" i="10" s="1" a="1"/>
  <c r="T89" i="10" s="1"/>
  <c r="T90" i="8" a="1"/>
  <c r="T90" i="8" s="1"/>
  <c r="T90" i="10" s="1" a="1"/>
  <c r="T90" i="10" s="1"/>
  <c r="T91" i="8" a="1"/>
  <c r="T91" i="8" s="1"/>
  <c r="T91" i="10" s="1" a="1"/>
  <c r="T91" i="10" s="1"/>
  <c r="T92" i="8" a="1"/>
  <c r="T92" i="8" s="1"/>
  <c r="T92" i="10" s="1" a="1"/>
  <c r="T92" i="10" s="1"/>
  <c r="T93" i="8" a="1"/>
  <c r="T93" i="8" s="1"/>
  <c r="T93" i="10" s="1" a="1"/>
  <c r="T93" i="10" s="1"/>
  <c r="T94" i="8" a="1"/>
  <c r="T94" i="8" s="1"/>
  <c r="T94" i="10" s="1" a="1"/>
  <c r="T94" i="10" s="1"/>
  <c r="T95" i="8" a="1"/>
  <c r="T95" i="8" s="1"/>
  <c r="T95" i="10" s="1" a="1"/>
  <c r="T95" i="10" s="1"/>
  <c r="T96" i="8" a="1"/>
  <c r="T96" i="8" s="1"/>
  <c r="T96" i="10" s="1" a="1"/>
  <c r="T96" i="10" s="1"/>
  <c r="T97" i="8" a="1"/>
  <c r="T97" i="8" s="1"/>
  <c r="T97" i="10" s="1" a="1"/>
  <c r="T97" i="10" s="1"/>
  <c r="T98" i="8" a="1"/>
  <c r="T98" i="8" s="1"/>
  <c r="T98" i="10" s="1" a="1"/>
  <c r="T98" i="10" s="1"/>
  <c r="T99" i="8" a="1"/>
  <c r="T99" i="8" s="1"/>
  <c r="T99" i="10" s="1" a="1"/>
  <c r="T99" i="10" s="1"/>
  <c r="T100" i="8" a="1"/>
  <c r="T100" i="8" s="1"/>
  <c r="T100" i="10" s="1" a="1"/>
  <c r="T100" i="10" s="1"/>
  <c r="T101" i="8" a="1"/>
  <c r="T101" i="8" s="1"/>
  <c r="T101" i="10" s="1" a="1"/>
  <c r="T101" i="10" s="1"/>
  <c r="T102" i="8" a="1"/>
  <c r="T102" i="8" s="1"/>
  <c r="T102" i="10" s="1" a="1"/>
  <c r="T102" i="10" s="1"/>
  <c r="T103" i="8" a="1"/>
  <c r="T103" i="8" s="1"/>
  <c r="T103" i="10" s="1" a="1"/>
  <c r="T103" i="10" s="1"/>
  <c r="T104" i="8" a="1"/>
  <c r="T104" i="8" s="1"/>
  <c r="T104" i="10" s="1" a="1"/>
  <c r="T104" i="10" s="1"/>
  <c r="T105" i="8" a="1"/>
  <c r="T105" i="8" s="1"/>
  <c r="T105" i="10" s="1" a="1"/>
  <c r="T105" i="10" s="1"/>
  <c r="T106" i="8" a="1"/>
  <c r="T106" i="8" s="1"/>
  <c r="T106" i="10" s="1" a="1"/>
  <c r="T106" i="10" s="1"/>
  <c r="T107" i="8" a="1"/>
  <c r="T107" i="8" s="1"/>
  <c r="T107" i="10" s="1" a="1"/>
  <c r="T107" i="10" s="1"/>
  <c r="T108" i="8" a="1"/>
  <c r="T108" i="8" s="1"/>
  <c r="T108" i="10" s="1" a="1"/>
  <c r="T108" i="10" s="1"/>
  <c r="T109" i="8" a="1"/>
  <c r="T109" i="8" s="1"/>
  <c r="T109" i="10" s="1" a="1"/>
  <c r="T109" i="10" s="1"/>
  <c r="T110" i="8" a="1"/>
  <c r="T110" i="8" s="1"/>
  <c r="T110" i="10" s="1" a="1"/>
  <c r="T110" i="10" s="1"/>
  <c r="T111" i="8" a="1"/>
  <c r="T111" i="8" s="1"/>
  <c r="T111" i="10" s="1" a="1"/>
  <c r="T111" i="10" s="1"/>
  <c r="T112" i="8" a="1"/>
  <c r="T112" i="8" s="1"/>
  <c r="T112" i="10" s="1" a="1"/>
  <c r="T112" i="10" s="1"/>
  <c r="T113" i="8" a="1"/>
  <c r="T113" i="8" s="1"/>
  <c r="T113" i="10" s="1" a="1"/>
  <c r="T113" i="10" s="1"/>
  <c r="T114" i="8" a="1"/>
  <c r="T114" i="8" s="1"/>
  <c r="T114" i="10" s="1" a="1"/>
  <c r="T114" i="10" s="1"/>
  <c r="T115" i="8" a="1"/>
  <c r="T115" i="8" s="1"/>
  <c r="T115" i="10" s="1" a="1"/>
  <c r="T115" i="10" s="1"/>
  <c r="T116" i="8" a="1"/>
  <c r="T116" i="8" s="1"/>
  <c r="T116" i="10" s="1" a="1"/>
  <c r="T116" i="10" s="1"/>
  <c r="T117" i="8" a="1"/>
  <c r="T117" i="8" s="1"/>
  <c r="T117" i="10" s="1" a="1"/>
  <c r="T117" i="10" s="1"/>
  <c r="T118" i="8" a="1"/>
  <c r="T118" i="8" s="1"/>
  <c r="T118" i="10" s="1" a="1"/>
  <c r="T118" i="10" s="1"/>
  <c r="T119" i="8" a="1"/>
  <c r="T119" i="8" s="1"/>
  <c r="T119" i="10" s="1" a="1"/>
  <c r="T119" i="10" s="1"/>
  <c r="T120" i="8" a="1"/>
  <c r="T120" i="8" s="1"/>
  <c r="T120" i="10" s="1" a="1"/>
  <c r="T120" i="10" s="1"/>
  <c r="T121" i="8" a="1"/>
  <c r="T121" i="8" s="1"/>
  <c r="T121" i="10" s="1" a="1"/>
  <c r="T121" i="10" s="1"/>
  <c r="T122" i="8" a="1"/>
  <c r="T122" i="8" s="1"/>
  <c r="T122" i="10" s="1" a="1"/>
  <c r="T122" i="10" s="1"/>
  <c r="T123" i="8" a="1"/>
  <c r="T123" i="8" s="1"/>
  <c r="T123" i="10" s="1" a="1"/>
  <c r="T123" i="10" s="1"/>
  <c r="T124" i="8" a="1"/>
  <c r="T124" i="8" s="1"/>
  <c r="T124" i="10" s="1" a="1"/>
  <c r="T124" i="10" s="1"/>
  <c r="T125" i="8" a="1"/>
  <c r="T125" i="8" s="1"/>
  <c r="T125" i="10" s="1" a="1"/>
  <c r="T125" i="10" s="1"/>
  <c r="T126" i="8" a="1"/>
  <c r="T126" i="8" s="1"/>
  <c r="T126" i="10" s="1" a="1"/>
  <c r="T126" i="10" s="1"/>
  <c r="T127" i="8" a="1"/>
  <c r="T127" i="8" s="1"/>
  <c r="T127" i="10" s="1" a="1"/>
  <c r="T127" i="10" s="1"/>
  <c r="T128" i="8" a="1"/>
  <c r="T128" i="8" s="1"/>
  <c r="T128" i="10" s="1" a="1"/>
  <c r="T128" i="10" s="1"/>
  <c r="T129" i="8" a="1"/>
  <c r="T129" i="8" s="1"/>
  <c r="T129" i="10" s="1" a="1"/>
  <c r="T129" i="10" s="1"/>
  <c r="T130" i="8" a="1"/>
  <c r="T130" i="8" s="1"/>
  <c r="T130" i="10" s="1" a="1"/>
  <c r="T130" i="10" s="1"/>
  <c r="T131" i="8" a="1"/>
  <c r="T131" i="8" s="1"/>
  <c r="T131" i="10" s="1" a="1"/>
  <c r="T131" i="10" s="1"/>
  <c r="T132" i="8" a="1"/>
  <c r="T132" i="8" s="1"/>
  <c r="T132" i="10" s="1" a="1"/>
  <c r="T132" i="10" s="1"/>
  <c r="T133" i="8" a="1"/>
  <c r="T133" i="8" s="1"/>
  <c r="T133" i="10" s="1" a="1"/>
  <c r="T133" i="10" s="1"/>
  <c r="T134" i="8" a="1"/>
  <c r="T134" i="8" s="1"/>
  <c r="T134" i="10" s="1" a="1"/>
  <c r="T134" i="10" s="1"/>
  <c r="T135" i="8" a="1"/>
  <c r="T135" i="8" s="1"/>
  <c r="T135" i="10" s="1" a="1"/>
  <c r="T135" i="10" s="1"/>
  <c r="T136" i="8" a="1"/>
  <c r="T136" i="8" s="1"/>
  <c r="T136" i="10" s="1" a="1"/>
  <c r="T136" i="10" s="1"/>
  <c r="T137" i="8" a="1"/>
  <c r="T137" i="8" s="1"/>
  <c r="T137" i="10" s="1" a="1"/>
  <c r="T137" i="10" s="1"/>
  <c r="T138" i="8" a="1"/>
  <c r="T138" i="8" s="1"/>
  <c r="T138" i="10" s="1" a="1"/>
  <c r="T138" i="10" s="1"/>
  <c r="T139" i="8" a="1"/>
  <c r="T139" i="8" s="1"/>
  <c r="T139" i="10" s="1" a="1"/>
  <c r="T139" i="10" s="1"/>
  <c r="T140" i="8" a="1"/>
  <c r="T140" i="8" s="1"/>
  <c r="T140" i="10" s="1" a="1"/>
  <c r="T140" i="10" s="1"/>
  <c r="T141" i="8" a="1"/>
  <c r="T141" i="8" s="1"/>
  <c r="T141" i="10" s="1" a="1"/>
  <c r="T141" i="10" s="1"/>
  <c r="T142" i="8" a="1"/>
  <c r="T142" i="8" s="1"/>
  <c r="T142" i="10" s="1" a="1"/>
  <c r="T142" i="10" s="1"/>
  <c r="T143" i="8" a="1"/>
  <c r="T143" i="8" s="1"/>
  <c r="T143" i="10" s="1" a="1"/>
  <c r="T143" i="10" s="1"/>
  <c r="T144" i="8" a="1"/>
  <c r="T144" i="8" s="1"/>
  <c r="T144" i="10" s="1" a="1"/>
  <c r="T144" i="10" s="1"/>
  <c r="T145" i="8" a="1"/>
  <c r="T145" i="8" s="1"/>
  <c r="T145" i="10" s="1" a="1"/>
  <c r="T145" i="10" s="1"/>
  <c r="T146" i="8" a="1"/>
  <c r="T146" i="8" s="1"/>
  <c r="T146" i="10" s="1" a="1"/>
  <c r="T146" i="10" s="1"/>
  <c r="T147" i="8" a="1"/>
  <c r="T147" i="8" s="1"/>
  <c r="T147" i="10" s="1" a="1"/>
  <c r="T147" i="10" s="1"/>
  <c r="T148" i="8" a="1"/>
  <c r="T148" i="8" s="1"/>
  <c r="T148" i="10" s="1" a="1"/>
  <c r="T148" i="10" s="1"/>
  <c r="T149" i="8" a="1"/>
  <c r="T149" i="8" s="1"/>
  <c r="T149" i="10" s="1" a="1"/>
  <c r="T149" i="10" s="1"/>
  <c r="T150" i="8" a="1"/>
  <c r="T150" i="8" s="1"/>
  <c r="T150" i="10" s="1" a="1"/>
  <c r="T150" i="10" s="1"/>
  <c r="T151" i="8" a="1"/>
  <c r="T151" i="8" s="1"/>
  <c r="T151" i="10" s="1" a="1"/>
  <c r="T151" i="10" s="1"/>
  <c r="T152" i="8" a="1"/>
  <c r="T152" i="8" s="1"/>
  <c r="T152" i="10" s="1" a="1"/>
  <c r="T152" i="10" s="1"/>
  <c r="T153" i="8" a="1"/>
  <c r="T153" i="8" s="1"/>
  <c r="T153" i="10" s="1" a="1"/>
  <c r="T153" i="10" s="1"/>
  <c r="T154" i="8" a="1"/>
  <c r="T154" i="8" s="1"/>
  <c r="T154" i="10" s="1" a="1"/>
  <c r="T154" i="10" s="1"/>
  <c r="T155" i="8" a="1"/>
  <c r="T155" i="8" s="1"/>
  <c r="T155" i="10" s="1" a="1"/>
  <c r="T155" i="10" s="1"/>
  <c r="T156" i="8" a="1"/>
  <c r="T156" i="8" s="1"/>
  <c r="T156" i="10" s="1" a="1"/>
  <c r="T156" i="10" s="1"/>
  <c r="T157" i="8" a="1"/>
  <c r="T157" i="8" s="1"/>
  <c r="T157" i="10" s="1" a="1"/>
  <c r="T157" i="10" s="1"/>
  <c r="T158" i="8" a="1"/>
  <c r="T158" i="8" s="1"/>
  <c r="T158" i="10" s="1" a="1"/>
  <c r="T158" i="10" s="1"/>
  <c r="T159" i="8" a="1"/>
  <c r="T159" i="8" s="1"/>
  <c r="T159" i="10" s="1" a="1"/>
  <c r="T159" i="10" s="1"/>
  <c r="T160" i="8" a="1"/>
  <c r="T160" i="8" s="1"/>
  <c r="T160" i="10" s="1" a="1"/>
  <c r="T160" i="10" s="1"/>
  <c r="T161" i="8" a="1"/>
  <c r="T161" i="8" s="1"/>
  <c r="T161" i="10" s="1" a="1"/>
  <c r="T161" i="10" s="1"/>
  <c r="T162" i="8" a="1"/>
  <c r="T162" i="8" s="1"/>
  <c r="T162" i="10" s="1" a="1"/>
  <c r="T162" i="10" s="1"/>
  <c r="T163" i="8" a="1"/>
  <c r="T163" i="8" s="1"/>
  <c r="T163" i="10" s="1" a="1"/>
  <c r="T163" i="10" s="1"/>
  <c r="T164" i="8" a="1"/>
  <c r="T164" i="8" s="1"/>
  <c r="T164" i="10" s="1" a="1"/>
  <c r="T164" i="10" s="1"/>
  <c r="T165" i="8" a="1"/>
  <c r="T165" i="8" s="1"/>
  <c r="T165" i="10" s="1" a="1"/>
  <c r="T165" i="10" s="1"/>
  <c r="T166" i="8" a="1"/>
  <c r="T166" i="8" s="1"/>
  <c r="T166" i="10" s="1" a="1"/>
  <c r="T166" i="10" s="1"/>
  <c r="T167" i="8" a="1"/>
  <c r="T167" i="8" s="1"/>
  <c r="T167" i="10" s="1" a="1"/>
  <c r="T167" i="10" s="1"/>
  <c r="T168" i="8" a="1"/>
  <c r="T168" i="8" s="1"/>
  <c r="T168" i="10" s="1" a="1"/>
  <c r="T168" i="10" s="1"/>
  <c r="T169" i="8" a="1"/>
  <c r="T169" i="8" s="1"/>
  <c r="T169" i="10" s="1" a="1"/>
  <c r="T169" i="10" s="1"/>
  <c r="T170" i="8" a="1"/>
  <c r="T170" i="8" s="1"/>
  <c r="T170" i="10" s="1" a="1"/>
  <c r="T170" i="10" s="1"/>
  <c r="T171" i="8" a="1"/>
  <c r="T171" i="8" s="1"/>
  <c r="T171" i="10" s="1" a="1"/>
  <c r="T171" i="10" s="1"/>
  <c r="T172" i="8" a="1"/>
  <c r="T172" i="8" s="1"/>
  <c r="T172" i="10" s="1" a="1"/>
  <c r="T172" i="10" s="1"/>
  <c r="T173" i="8" a="1"/>
  <c r="T173" i="8" s="1"/>
  <c r="T173" i="10" s="1" a="1"/>
  <c r="T173" i="10" s="1"/>
  <c r="T174" i="8" a="1"/>
  <c r="T174" i="8" s="1"/>
  <c r="T174" i="10" s="1" a="1"/>
  <c r="T174" i="10" s="1"/>
  <c r="T175" i="8" a="1"/>
  <c r="T175" i="8" s="1"/>
  <c r="T175" i="10" s="1" a="1"/>
  <c r="T175" i="10" s="1"/>
  <c r="T176" i="8" a="1"/>
  <c r="T176" i="8" s="1"/>
  <c r="T176" i="10" s="1" a="1"/>
  <c r="T176" i="10" s="1"/>
  <c r="T177" i="8" a="1"/>
  <c r="T177" i="8" s="1"/>
  <c r="T177" i="10" s="1" a="1"/>
  <c r="T177" i="10" s="1"/>
  <c r="T178" i="8" a="1"/>
  <c r="T178" i="8" s="1"/>
  <c r="T178" i="10" s="1" a="1"/>
  <c r="T178" i="10" s="1"/>
  <c r="T179" i="8" a="1"/>
  <c r="T179" i="8" s="1"/>
  <c r="T179" i="10" s="1" a="1"/>
  <c r="T179" i="10" s="1"/>
  <c r="T180" i="8" a="1"/>
  <c r="T180" i="8" s="1"/>
  <c r="T180" i="10" s="1" a="1"/>
  <c r="T180" i="10" s="1"/>
  <c r="T181" i="8" a="1"/>
  <c r="T181" i="8" s="1"/>
  <c r="T181" i="10" s="1" a="1"/>
  <c r="T181" i="10" s="1"/>
  <c r="T182" i="8" a="1"/>
  <c r="T182" i="8" s="1"/>
  <c r="T182" i="10" s="1" a="1"/>
  <c r="T182" i="10" s="1"/>
  <c r="T183" i="8" a="1"/>
  <c r="T183" i="8" s="1"/>
  <c r="T183" i="10" s="1" a="1"/>
  <c r="T183" i="10" s="1"/>
  <c r="T184" i="8" a="1"/>
  <c r="T184" i="8" s="1"/>
  <c r="T184" i="10" s="1" a="1"/>
  <c r="T184" i="10" s="1"/>
  <c r="T185" i="8" a="1"/>
  <c r="T185" i="8" s="1"/>
  <c r="T185" i="10" s="1" a="1"/>
  <c r="T185" i="10" s="1"/>
  <c r="T186" i="8" a="1"/>
  <c r="T186" i="8" s="1"/>
  <c r="T186" i="10" s="1" a="1"/>
  <c r="T186" i="10" s="1"/>
  <c r="T187" i="8" a="1"/>
  <c r="T187" i="8" s="1"/>
  <c r="T187" i="10" s="1" a="1"/>
  <c r="T187" i="10" s="1"/>
  <c r="T188" i="8" a="1"/>
  <c r="T188" i="8" s="1"/>
  <c r="T188" i="10" s="1" a="1"/>
  <c r="T188" i="10" s="1"/>
  <c r="T189" i="8" a="1"/>
  <c r="T189" i="8" s="1"/>
  <c r="T189" i="10" s="1" a="1"/>
  <c r="T189" i="10" s="1"/>
  <c r="T190" i="8" a="1"/>
  <c r="T190" i="8" s="1"/>
  <c r="T190" i="10" s="1" a="1"/>
  <c r="T190" i="10" s="1"/>
  <c r="T191" i="8" a="1"/>
  <c r="T191" i="8" s="1"/>
  <c r="T191" i="10" s="1" a="1"/>
  <c r="T191" i="10" s="1"/>
  <c r="T192" i="8" a="1"/>
  <c r="T192" i="8" s="1"/>
  <c r="T192" i="10" s="1" a="1"/>
  <c r="T192" i="10" s="1"/>
  <c r="T193" i="8" a="1"/>
  <c r="T193" i="8" s="1"/>
  <c r="T193" i="10" s="1" a="1"/>
  <c r="T193" i="10" s="1"/>
  <c r="T194" i="8" a="1"/>
  <c r="T194" i="8" s="1"/>
  <c r="T194" i="10" s="1" a="1"/>
  <c r="T194" i="10" s="1"/>
  <c r="T195" i="8" a="1"/>
  <c r="T195" i="8" s="1"/>
  <c r="T195" i="10" s="1" a="1"/>
  <c r="T195" i="10" s="1"/>
  <c r="T196" i="8" a="1"/>
  <c r="T196" i="8" s="1"/>
  <c r="T196" i="10" s="1" a="1"/>
  <c r="T196" i="10" s="1"/>
  <c r="T197" i="8" a="1"/>
  <c r="T197" i="8" s="1"/>
  <c r="T197" i="10" s="1" a="1"/>
  <c r="T197" i="10" s="1"/>
  <c r="T198" i="8" a="1"/>
  <c r="T198" i="8" s="1"/>
  <c r="T198" i="10" s="1" a="1"/>
  <c r="T198" i="10" s="1"/>
  <c r="T199" i="8" a="1"/>
  <c r="T199" i="8" s="1"/>
  <c r="T199" i="10" s="1" a="1"/>
  <c r="T199" i="10" s="1"/>
  <c r="T200" i="8" a="1"/>
  <c r="T200" i="8" s="1"/>
  <c r="T200" i="10" s="1" a="1"/>
  <c r="T200" i="10" s="1"/>
  <c r="T201" i="8" a="1"/>
  <c r="T201" i="8" s="1"/>
  <c r="T201" i="10" s="1" a="1"/>
  <c r="T201" i="10" s="1"/>
  <c r="T202" i="8" a="1"/>
  <c r="T202" i="8" s="1"/>
  <c r="T202" i="10" s="1" a="1"/>
  <c r="T202" i="10" s="1"/>
  <c r="T203" i="8" a="1"/>
  <c r="T203" i="8" s="1"/>
  <c r="T203" i="10" s="1" a="1"/>
  <c r="T203" i="10" s="1"/>
  <c r="T204" i="8" a="1"/>
  <c r="T204" i="8" s="1"/>
  <c r="T204" i="10" s="1" a="1"/>
  <c r="T204" i="10" s="1"/>
  <c r="T205" i="8" a="1"/>
  <c r="T205" i="8" s="1"/>
  <c r="T205" i="10" s="1" a="1"/>
  <c r="T205" i="10" s="1"/>
  <c r="T206" i="8" a="1"/>
  <c r="T206" i="8" s="1"/>
  <c r="T206" i="10" s="1" a="1"/>
  <c r="T206" i="10" s="1"/>
  <c r="T207" i="8" a="1"/>
  <c r="T207" i="8" s="1"/>
  <c r="T207" i="10" s="1" a="1"/>
  <c r="T207" i="10" s="1"/>
  <c r="T208" i="8" a="1"/>
  <c r="T208" i="8" s="1"/>
  <c r="T208" i="10" s="1" a="1"/>
  <c r="T208" i="10" s="1"/>
  <c r="T209" i="8" a="1"/>
  <c r="T209" i="8" s="1"/>
  <c r="T209" i="10" s="1" a="1"/>
  <c r="T209" i="10" s="1"/>
  <c r="T210" i="8" a="1"/>
  <c r="T210" i="8" s="1"/>
  <c r="T210" i="10" s="1" a="1"/>
  <c r="T210" i="10" s="1"/>
  <c r="T211" i="8" a="1"/>
  <c r="T211" i="8" s="1"/>
  <c r="T211" i="10" s="1" a="1"/>
  <c r="T211" i="10" s="1"/>
  <c r="T212" i="8" a="1"/>
  <c r="T212" i="8" s="1"/>
  <c r="T212" i="10" s="1" a="1"/>
  <c r="T212" i="10" s="1"/>
  <c r="T213" i="8" a="1"/>
  <c r="T213" i="8" s="1"/>
  <c r="T213" i="10" s="1" a="1"/>
  <c r="T213" i="10" s="1"/>
  <c r="T214" i="8" a="1"/>
  <c r="T214" i="8" s="1"/>
  <c r="T214" i="10" s="1" a="1"/>
  <c r="T214" i="10" s="1"/>
  <c r="T215" i="8" a="1"/>
  <c r="T215" i="8" s="1"/>
  <c r="T215" i="10" s="1" a="1"/>
  <c r="T215" i="10" s="1"/>
  <c r="T216" i="8" a="1"/>
  <c r="T216" i="8" s="1"/>
  <c r="T216" i="10" s="1" a="1"/>
  <c r="T216" i="10" s="1"/>
  <c r="T217" i="8" a="1"/>
  <c r="T217" i="8" s="1"/>
  <c r="T217" i="10" s="1" a="1"/>
  <c r="T217" i="10" s="1"/>
  <c r="T218" i="8" a="1"/>
  <c r="T218" i="8" s="1"/>
  <c r="T218" i="10" s="1" a="1"/>
  <c r="T218" i="10" s="1"/>
  <c r="T219" i="8" a="1"/>
  <c r="T219" i="8" s="1"/>
  <c r="T219" i="10" s="1" a="1"/>
  <c r="T219" i="10" s="1"/>
  <c r="T220" i="8" a="1"/>
  <c r="T220" i="8" s="1"/>
  <c r="T220" i="10" s="1" a="1"/>
  <c r="T220" i="10" s="1"/>
  <c r="T221" i="8" a="1"/>
  <c r="T221" i="8" s="1"/>
  <c r="T221" i="10" s="1" a="1"/>
  <c r="T221" i="10" s="1"/>
  <c r="T222" i="8" a="1"/>
  <c r="T222" i="8" s="1"/>
  <c r="T222" i="10" s="1" a="1"/>
  <c r="T222" i="10" s="1"/>
  <c r="T223" i="8" a="1"/>
  <c r="T223" i="8" s="1"/>
  <c r="T223" i="10" s="1" a="1"/>
  <c r="T223" i="10" s="1"/>
  <c r="T224" i="8" a="1"/>
  <c r="T224" i="8" s="1"/>
  <c r="T224" i="10" s="1" a="1"/>
  <c r="T224" i="10" s="1"/>
  <c r="T225" i="8" a="1"/>
  <c r="T225" i="8" s="1"/>
  <c r="T225" i="10" s="1" a="1"/>
  <c r="T225" i="10" s="1"/>
  <c r="T226" i="8" a="1"/>
  <c r="T226" i="8" s="1"/>
  <c r="T226" i="10" s="1" a="1"/>
  <c r="T226" i="10" s="1"/>
  <c r="T227" i="8" a="1"/>
  <c r="T227" i="8" s="1"/>
  <c r="T227" i="10" s="1" a="1"/>
  <c r="T227" i="10" s="1"/>
  <c r="T228" i="8" a="1"/>
  <c r="T228" i="8" s="1"/>
  <c r="T228" i="10" s="1" a="1"/>
  <c r="T228" i="10" s="1"/>
  <c r="T229" i="8" a="1"/>
  <c r="T229" i="8" s="1"/>
  <c r="T229" i="10" s="1" a="1"/>
  <c r="T229" i="10" s="1"/>
  <c r="T230" i="8" a="1"/>
  <c r="T230" i="8" s="1"/>
  <c r="T230" i="10" s="1" a="1"/>
  <c r="T230" i="10" s="1"/>
  <c r="T231" i="8" a="1"/>
  <c r="T231" i="8" s="1"/>
  <c r="T231" i="10" s="1" a="1"/>
  <c r="T231" i="10" s="1"/>
  <c r="T232" i="8" a="1"/>
  <c r="T232" i="8" s="1"/>
  <c r="T232" i="10" s="1" a="1"/>
  <c r="T232" i="10" s="1"/>
  <c r="T233" i="8" a="1"/>
  <c r="T233" i="8" s="1"/>
  <c r="T233" i="10" s="1" a="1"/>
  <c r="T233" i="10" s="1"/>
  <c r="T234" i="8" a="1"/>
  <c r="T234" i="8" s="1"/>
  <c r="T234" i="10" s="1" a="1"/>
  <c r="T234" i="10" s="1"/>
  <c r="T235" i="8" a="1"/>
  <c r="T235" i="8" s="1"/>
  <c r="T235" i="10" s="1" a="1"/>
  <c r="T235" i="10" s="1"/>
  <c r="T236" i="8" a="1"/>
  <c r="T236" i="8" s="1"/>
  <c r="T236" i="10" s="1" a="1"/>
  <c r="T236" i="10" s="1"/>
  <c r="T237" i="8" a="1"/>
  <c r="T237" i="8" s="1"/>
  <c r="T237" i="10" s="1" a="1"/>
  <c r="T237" i="10" s="1"/>
  <c r="T238" i="8" a="1"/>
  <c r="T238" i="8" s="1"/>
  <c r="T238" i="10" s="1" a="1"/>
  <c r="T238" i="10" s="1"/>
  <c r="T239" i="8" a="1"/>
  <c r="T239" i="8" s="1"/>
  <c r="T239" i="10" s="1" a="1"/>
  <c r="T239" i="10" s="1"/>
  <c r="T240" i="8" a="1"/>
  <c r="T240" i="8" s="1"/>
  <c r="T240" i="10" s="1" a="1"/>
  <c r="T240" i="10" s="1"/>
  <c r="T241" i="8" a="1"/>
  <c r="T241" i="8" s="1"/>
  <c r="T241" i="10" s="1" a="1"/>
  <c r="T241" i="10" s="1"/>
  <c r="T242" i="8" a="1"/>
  <c r="T242" i="8" s="1"/>
  <c r="T242" i="10" s="1" a="1"/>
  <c r="T242" i="10" s="1"/>
  <c r="T243" i="8" a="1"/>
  <c r="T243" i="8" s="1"/>
  <c r="T243" i="10" s="1" a="1"/>
  <c r="T243" i="10" s="1"/>
  <c r="T244" i="8" a="1"/>
  <c r="T244" i="8" s="1"/>
  <c r="T244" i="10" s="1" a="1"/>
  <c r="T244" i="10" s="1"/>
  <c r="T245" i="8" a="1"/>
  <c r="T245" i="8" s="1"/>
  <c r="T245" i="10" s="1" a="1"/>
  <c r="T245" i="10" s="1"/>
  <c r="T246" i="8" a="1"/>
  <c r="T246" i="8" s="1"/>
  <c r="T246" i="10" s="1" a="1"/>
  <c r="T246" i="10" s="1"/>
  <c r="T247" i="8" a="1"/>
  <c r="T247" i="8" s="1"/>
  <c r="T247" i="10" s="1" a="1"/>
  <c r="T247" i="10" s="1"/>
  <c r="T248" i="8" a="1"/>
  <c r="T248" i="8" s="1"/>
  <c r="T248" i="10" s="1" a="1"/>
  <c r="T248" i="10" s="1"/>
  <c r="T249" i="8" a="1"/>
  <c r="T249" i="8" s="1"/>
  <c r="T249" i="10" s="1" a="1"/>
  <c r="T249" i="10" s="1"/>
  <c r="T250" i="8" a="1"/>
  <c r="T250" i="8" s="1"/>
  <c r="T250" i="10" s="1" a="1"/>
  <c r="T250" i="10" s="1"/>
  <c r="T251" i="8" a="1"/>
  <c r="T251" i="8" s="1"/>
  <c r="T251" i="10" s="1" a="1"/>
  <c r="T251" i="10" s="1"/>
  <c r="T12" i="8" a="1"/>
  <c r="T12" i="8" s="1"/>
  <c r="T12" i="10" s="1" a="1"/>
  <c r="T12" i="10" s="1"/>
  <c r="S13" i="8" a="1"/>
  <c r="S13" i="8" s="1"/>
  <c r="S14" i="8" a="1"/>
  <c r="S14" i="8" s="1"/>
  <c r="S15" i="8" a="1"/>
  <c r="S15" i="8" s="1"/>
  <c r="S16" i="8" a="1"/>
  <c r="S16" i="8" s="1"/>
  <c r="S17" i="8" a="1"/>
  <c r="S17" i="8" s="1"/>
  <c r="S18" i="8" a="1"/>
  <c r="S18" i="8" s="1"/>
  <c r="S19" i="8" a="1"/>
  <c r="S19" i="8" s="1"/>
  <c r="S20" i="8" a="1"/>
  <c r="S20" i="8" s="1"/>
  <c r="S21" i="8" a="1"/>
  <c r="S21" i="8" s="1"/>
  <c r="S22" i="8" a="1"/>
  <c r="S22" i="8" s="1"/>
  <c r="S23" i="8" a="1"/>
  <c r="S23" i="8" s="1"/>
  <c r="S24" i="8" a="1"/>
  <c r="S24" i="8" s="1"/>
  <c r="S25" i="8" a="1"/>
  <c r="S25" i="8" s="1"/>
  <c r="S26" i="8" a="1"/>
  <c r="S26" i="8" s="1"/>
  <c r="S27" i="8" a="1"/>
  <c r="S27" i="8" s="1"/>
  <c r="S28" i="8" a="1"/>
  <c r="S28" i="8" s="1"/>
  <c r="S29" i="8" a="1"/>
  <c r="S29" i="8" s="1"/>
  <c r="S30" i="8" a="1"/>
  <c r="S30" i="8" s="1"/>
  <c r="S31" i="8" a="1"/>
  <c r="S31" i="8" s="1"/>
  <c r="S32" i="8" a="1"/>
  <c r="S32" i="8" s="1"/>
  <c r="S33" i="8" a="1"/>
  <c r="S33" i="8" s="1"/>
  <c r="S34" i="8" a="1"/>
  <c r="S34" i="8" s="1"/>
  <c r="S35" i="8" a="1"/>
  <c r="S35" i="8" s="1"/>
  <c r="S36" i="8" a="1"/>
  <c r="S36" i="8" s="1"/>
  <c r="S37" i="8" a="1"/>
  <c r="S37" i="8" s="1"/>
  <c r="S38" i="8" a="1"/>
  <c r="S38" i="8" s="1"/>
  <c r="S39" i="8" a="1"/>
  <c r="S39" i="8" s="1"/>
  <c r="S40" i="8" a="1"/>
  <c r="S40" i="8" s="1"/>
  <c r="S41" i="8" a="1"/>
  <c r="S41" i="8" s="1"/>
  <c r="S42" i="8" a="1"/>
  <c r="S42" i="8" s="1"/>
  <c r="S43" i="8" a="1"/>
  <c r="S43" i="8" s="1"/>
  <c r="S44" i="8" a="1"/>
  <c r="S44" i="8" s="1"/>
  <c r="S45" i="8" a="1"/>
  <c r="S45" i="8" s="1"/>
  <c r="S46" i="8" a="1"/>
  <c r="S46" i="8" s="1"/>
  <c r="S47" i="8" a="1"/>
  <c r="S47" i="8" s="1"/>
  <c r="S48" i="8" a="1"/>
  <c r="S48" i="8" s="1"/>
  <c r="S49" i="8" a="1"/>
  <c r="S49" i="8" s="1"/>
  <c r="S50" i="8" a="1"/>
  <c r="S50" i="8" s="1"/>
  <c r="S51" i="8" a="1"/>
  <c r="S51" i="8" s="1"/>
  <c r="S52" i="8" a="1"/>
  <c r="S52" i="8" s="1"/>
  <c r="S53" i="8" a="1"/>
  <c r="S53" i="8" s="1"/>
  <c r="S54" i="8" a="1"/>
  <c r="S54" i="8" s="1"/>
  <c r="S55" i="8" a="1"/>
  <c r="S55" i="8" s="1"/>
  <c r="S56" i="8" a="1"/>
  <c r="S56" i="8" s="1"/>
  <c r="S57" i="8" a="1"/>
  <c r="S57" i="8" s="1"/>
  <c r="S58" i="8" a="1"/>
  <c r="S58" i="8" s="1"/>
  <c r="S59" i="8" a="1"/>
  <c r="S59" i="8" s="1"/>
  <c r="S60" i="8" a="1"/>
  <c r="S60" i="8" s="1"/>
  <c r="S61" i="8" a="1"/>
  <c r="S61" i="8" s="1"/>
  <c r="S62" i="8" a="1"/>
  <c r="S62" i="8" s="1"/>
  <c r="S63" i="8" a="1"/>
  <c r="S63" i="8" s="1"/>
  <c r="S64" i="8" a="1"/>
  <c r="S64" i="8" s="1"/>
  <c r="S65" i="8" a="1"/>
  <c r="S65" i="8" s="1"/>
  <c r="S66" i="8" a="1"/>
  <c r="S66" i="8" s="1"/>
  <c r="S67" i="8" a="1"/>
  <c r="S67" i="8" s="1"/>
  <c r="S68" i="8" a="1"/>
  <c r="S68" i="8" s="1"/>
  <c r="S69" i="8" a="1"/>
  <c r="S69" i="8" s="1"/>
  <c r="S70" i="8" a="1"/>
  <c r="S70" i="8" s="1"/>
  <c r="S71" i="8" a="1"/>
  <c r="S71" i="8" s="1"/>
  <c r="S72" i="8" a="1"/>
  <c r="S72" i="8" s="1"/>
  <c r="S73" i="8" a="1"/>
  <c r="S73" i="8" s="1"/>
  <c r="S74" i="8" a="1"/>
  <c r="S74" i="8" s="1"/>
  <c r="S75" i="8" a="1"/>
  <c r="S75" i="8" s="1"/>
  <c r="S76" i="8" a="1"/>
  <c r="S76" i="8" s="1"/>
  <c r="S77" i="8" a="1"/>
  <c r="S77" i="8" s="1"/>
  <c r="S78" i="8" a="1"/>
  <c r="S78" i="8" s="1"/>
  <c r="S79" i="8" a="1"/>
  <c r="S79" i="8" s="1"/>
  <c r="S80" i="8" a="1"/>
  <c r="S80" i="8" s="1"/>
  <c r="S81" i="8" a="1"/>
  <c r="S81" i="8" s="1"/>
  <c r="S82" i="8" a="1"/>
  <c r="S82" i="8" s="1"/>
  <c r="S83" i="8" a="1"/>
  <c r="S83" i="8" s="1"/>
  <c r="S84" i="8" a="1"/>
  <c r="S84" i="8" s="1"/>
  <c r="S85" i="8" a="1"/>
  <c r="S85" i="8" s="1"/>
  <c r="S86" i="8" a="1"/>
  <c r="S86" i="8" s="1"/>
  <c r="S87" i="8" a="1"/>
  <c r="S87" i="8" s="1"/>
  <c r="S88" i="8" a="1"/>
  <c r="S88" i="8" s="1"/>
  <c r="S89" i="8" a="1"/>
  <c r="S89" i="8" s="1"/>
  <c r="S90" i="8" a="1"/>
  <c r="S90" i="8" s="1"/>
  <c r="S91" i="8" a="1"/>
  <c r="S91" i="8" s="1"/>
  <c r="S92" i="8" a="1"/>
  <c r="S92" i="8" s="1"/>
  <c r="S93" i="8" a="1"/>
  <c r="S93" i="8" s="1"/>
  <c r="S94" i="8" a="1"/>
  <c r="S94" i="8" s="1"/>
  <c r="S95" i="8" a="1"/>
  <c r="S95" i="8" s="1"/>
  <c r="S96" i="8" a="1"/>
  <c r="S96" i="8" s="1"/>
  <c r="S97" i="8" a="1"/>
  <c r="S97" i="8" s="1"/>
  <c r="S98" i="8" a="1"/>
  <c r="S98" i="8" s="1"/>
  <c r="S99" i="8" a="1"/>
  <c r="S99" i="8" s="1"/>
  <c r="S100" i="8" a="1"/>
  <c r="S100" i="8" s="1"/>
  <c r="S101" i="8" a="1"/>
  <c r="S101" i="8" s="1"/>
  <c r="S102" i="8" a="1"/>
  <c r="S102" i="8" s="1"/>
  <c r="S103" i="8" a="1"/>
  <c r="S103" i="8" s="1"/>
  <c r="S104" i="8" a="1"/>
  <c r="S104" i="8" s="1"/>
  <c r="S105" i="8" a="1"/>
  <c r="S105" i="8" s="1"/>
  <c r="S106" i="8" a="1"/>
  <c r="S106" i="8" s="1"/>
  <c r="S107" i="8" a="1"/>
  <c r="S107" i="8" s="1"/>
  <c r="S108" i="8" a="1"/>
  <c r="S108" i="8" s="1"/>
  <c r="S109" i="8" a="1"/>
  <c r="S109" i="8" s="1"/>
  <c r="S110" i="8" a="1"/>
  <c r="S110" i="8" s="1"/>
  <c r="S111" i="8" a="1"/>
  <c r="S111" i="8" s="1"/>
  <c r="S112" i="8" a="1"/>
  <c r="S112" i="8" s="1"/>
  <c r="S113" i="8" a="1"/>
  <c r="S113" i="8" s="1"/>
  <c r="S114" i="8" a="1"/>
  <c r="S114" i="8" s="1"/>
  <c r="S115" i="8" a="1"/>
  <c r="S115" i="8" s="1"/>
  <c r="S116" i="8" a="1"/>
  <c r="S116" i="8" s="1"/>
  <c r="S117" i="8" a="1"/>
  <c r="S117" i="8" s="1"/>
  <c r="S118" i="8" a="1"/>
  <c r="S118" i="8" s="1"/>
  <c r="S119" i="8" a="1"/>
  <c r="S119" i="8" s="1"/>
  <c r="S120" i="8" a="1"/>
  <c r="S120" i="8" s="1"/>
  <c r="S121" i="8" a="1"/>
  <c r="S121" i="8" s="1"/>
  <c r="S122" i="8" a="1"/>
  <c r="S122" i="8" s="1"/>
  <c r="S123" i="8" a="1"/>
  <c r="S123" i="8" s="1"/>
  <c r="S124" i="8" a="1"/>
  <c r="S124" i="8" s="1"/>
  <c r="S125" i="8" a="1"/>
  <c r="S125" i="8" s="1"/>
  <c r="S126" i="8" a="1"/>
  <c r="S126" i="8" s="1"/>
  <c r="S127" i="8" a="1"/>
  <c r="S127" i="8" s="1"/>
  <c r="S128" i="8" a="1"/>
  <c r="S128" i="8" s="1"/>
  <c r="S129" i="8" a="1"/>
  <c r="S129" i="8" s="1"/>
  <c r="S130" i="8" a="1"/>
  <c r="S130" i="8" s="1"/>
  <c r="S131" i="8" a="1"/>
  <c r="S131" i="8" s="1"/>
  <c r="S132" i="8" a="1"/>
  <c r="S132" i="8" s="1"/>
  <c r="S133" i="8" a="1"/>
  <c r="S133" i="8" s="1"/>
  <c r="S134" i="8" a="1"/>
  <c r="S134" i="8" s="1"/>
  <c r="S135" i="8" a="1"/>
  <c r="S135" i="8" s="1"/>
  <c r="S136" i="8" a="1"/>
  <c r="S136" i="8" s="1"/>
  <c r="S137" i="8" a="1"/>
  <c r="S137" i="8" s="1"/>
  <c r="S138" i="8" a="1"/>
  <c r="S138" i="8" s="1"/>
  <c r="S139" i="8" a="1"/>
  <c r="S139" i="8" s="1"/>
  <c r="S140" i="8" a="1"/>
  <c r="S140" i="8" s="1"/>
  <c r="S141" i="8" a="1"/>
  <c r="S141" i="8" s="1"/>
  <c r="S142" i="8" a="1"/>
  <c r="S142" i="8" s="1"/>
  <c r="S143" i="8" a="1"/>
  <c r="S143" i="8" s="1"/>
  <c r="S144" i="8" a="1"/>
  <c r="S144" i="8" s="1"/>
  <c r="S145" i="8" a="1"/>
  <c r="S145" i="8" s="1"/>
  <c r="S146" i="8" a="1"/>
  <c r="S146" i="8" s="1"/>
  <c r="S147" i="8" a="1"/>
  <c r="S147" i="8" s="1"/>
  <c r="S148" i="8" a="1"/>
  <c r="S148" i="8" s="1"/>
  <c r="S149" i="8" a="1"/>
  <c r="S149" i="8" s="1"/>
  <c r="S150" i="8" a="1"/>
  <c r="S150" i="8" s="1"/>
  <c r="S151" i="8" a="1"/>
  <c r="S151" i="8" s="1"/>
  <c r="S152" i="8" a="1"/>
  <c r="S152" i="8" s="1"/>
  <c r="S153" i="8" a="1"/>
  <c r="S153" i="8" s="1"/>
  <c r="S154" i="8" a="1"/>
  <c r="S154" i="8" s="1"/>
  <c r="S155" i="8" a="1"/>
  <c r="S155" i="8" s="1"/>
  <c r="S156" i="8" a="1"/>
  <c r="S156" i="8" s="1"/>
  <c r="S157" i="8" a="1"/>
  <c r="S157" i="8" s="1"/>
  <c r="S158" i="8" a="1"/>
  <c r="S158" i="8" s="1"/>
  <c r="S159" i="8" a="1"/>
  <c r="S159" i="8" s="1"/>
  <c r="S160" i="8" a="1"/>
  <c r="S160" i="8" s="1"/>
  <c r="S161" i="8" a="1"/>
  <c r="S161" i="8" s="1"/>
  <c r="S162" i="8" a="1"/>
  <c r="S162" i="8" s="1"/>
  <c r="S163" i="8" a="1"/>
  <c r="S163" i="8" s="1"/>
  <c r="S164" i="8" a="1"/>
  <c r="S164" i="8" s="1"/>
  <c r="S165" i="8" a="1"/>
  <c r="S165" i="8" s="1"/>
  <c r="S166" i="8" a="1"/>
  <c r="S166" i="8" s="1"/>
  <c r="S167" i="8" a="1"/>
  <c r="S167" i="8" s="1"/>
  <c r="S168" i="8" a="1"/>
  <c r="S168" i="8" s="1"/>
  <c r="S169" i="8" a="1"/>
  <c r="S169" i="8" s="1"/>
  <c r="S170" i="8" a="1"/>
  <c r="S170" i="8" s="1"/>
  <c r="S171" i="8" a="1"/>
  <c r="S171" i="8" s="1"/>
  <c r="S172" i="8" a="1"/>
  <c r="S172" i="8" s="1"/>
  <c r="S173" i="8" a="1"/>
  <c r="S173" i="8" s="1"/>
  <c r="S174" i="8" a="1"/>
  <c r="S174" i="8" s="1"/>
  <c r="S175" i="8" a="1"/>
  <c r="S175" i="8" s="1"/>
  <c r="S176" i="8" a="1"/>
  <c r="S176" i="8" s="1"/>
  <c r="S177" i="8" a="1"/>
  <c r="S177" i="8" s="1"/>
  <c r="S178" i="8" a="1"/>
  <c r="S178" i="8" s="1"/>
  <c r="S179" i="8" a="1"/>
  <c r="S179" i="8" s="1"/>
  <c r="S180" i="8" a="1"/>
  <c r="S180" i="8" s="1"/>
  <c r="S181" i="8" a="1"/>
  <c r="S181" i="8" s="1"/>
  <c r="S182" i="8" a="1"/>
  <c r="S182" i="8" s="1"/>
  <c r="S183" i="8" a="1"/>
  <c r="S183" i="8" s="1"/>
  <c r="S184" i="8" a="1"/>
  <c r="S184" i="8" s="1"/>
  <c r="S185" i="8" a="1"/>
  <c r="S185" i="8" s="1"/>
  <c r="S186" i="8" a="1"/>
  <c r="S186" i="8" s="1"/>
  <c r="S187" i="8" a="1"/>
  <c r="S187" i="8" s="1"/>
  <c r="S188" i="8" a="1"/>
  <c r="S188" i="8" s="1"/>
  <c r="S189" i="8" a="1"/>
  <c r="S189" i="8" s="1"/>
  <c r="S190" i="8" a="1"/>
  <c r="S190" i="8" s="1"/>
  <c r="S191" i="8" a="1"/>
  <c r="S191" i="8" s="1"/>
  <c r="S192" i="8" a="1"/>
  <c r="S192" i="8" s="1"/>
  <c r="S193" i="8" a="1"/>
  <c r="S193" i="8" s="1"/>
  <c r="S194" i="8" a="1"/>
  <c r="S194" i="8" s="1"/>
  <c r="S195" i="8" a="1"/>
  <c r="S195" i="8" s="1"/>
  <c r="S196" i="8" a="1"/>
  <c r="S196" i="8" s="1"/>
  <c r="S197" i="8" a="1"/>
  <c r="S197" i="8" s="1"/>
  <c r="S198" i="8" a="1"/>
  <c r="S198" i="8" s="1"/>
  <c r="S199" i="8" a="1"/>
  <c r="S199" i="8" s="1"/>
  <c r="S200" i="8" a="1"/>
  <c r="S200" i="8" s="1"/>
  <c r="S201" i="8" a="1"/>
  <c r="S201" i="8" s="1"/>
  <c r="S202" i="8" a="1"/>
  <c r="S202" i="8" s="1"/>
  <c r="S203" i="8" a="1"/>
  <c r="S203" i="8" s="1"/>
  <c r="S204" i="8" a="1"/>
  <c r="S204" i="8" s="1"/>
  <c r="S205" i="8" a="1"/>
  <c r="S205" i="8" s="1"/>
  <c r="S206" i="8" a="1"/>
  <c r="S206" i="8" s="1"/>
  <c r="S207" i="8" a="1"/>
  <c r="S207" i="8" s="1"/>
  <c r="S208" i="8" a="1"/>
  <c r="S208" i="8" s="1"/>
  <c r="S209" i="8" a="1"/>
  <c r="S209" i="8" s="1"/>
  <c r="S210" i="8" a="1"/>
  <c r="S210" i="8" s="1"/>
  <c r="S211" i="8" a="1"/>
  <c r="S211" i="8" s="1"/>
  <c r="S212" i="8" a="1"/>
  <c r="S212" i="8" s="1"/>
  <c r="S213" i="8" a="1"/>
  <c r="S213" i="8" s="1"/>
  <c r="S214" i="8" a="1"/>
  <c r="S214" i="8" s="1"/>
  <c r="S215" i="8" a="1"/>
  <c r="S215" i="8" s="1"/>
  <c r="S216" i="8" a="1"/>
  <c r="S216" i="8" s="1"/>
  <c r="S217" i="8" a="1"/>
  <c r="S217" i="8" s="1"/>
  <c r="S218" i="8" a="1"/>
  <c r="S218" i="8" s="1"/>
  <c r="S219" i="8" a="1"/>
  <c r="S219" i="8" s="1"/>
  <c r="S220" i="8" a="1"/>
  <c r="S220" i="8" s="1"/>
  <c r="S221" i="8" a="1"/>
  <c r="S221" i="8" s="1"/>
  <c r="S222" i="8" a="1"/>
  <c r="S222" i="8" s="1"/>
  <c r="S223" i="8" a="1"/>
  <c r="S223" i="8" s="1"/>
  <c r="S224" i="8" a="1"/>
  <c r="S224" i="8" s="1"/>
  <c r="S225" i="8" a="1"/>
  <c r="S225" i="8" s="1"/>
  <c r="S226" i="8" a="1"/>
  <c r="S226" i="8" s="1"/>
  <c r="S227" i="8" a="1"/>
  <c r="S227" i="8" s="1"/>
  <c r="S228" i="8" a="1"/>
  <c r="S228" i="8" s="1"/>
  <c r="S229" i="8" a="1"/>
  <c r="S229" i="8" s="1"/>
  <c r="S230" i="8" a="1"/>
  <c r="S230" i="8" s="1"/>
  <c r="S231" i="8" a="1"/>
  <c r="S231" i="8" s="1"/>
  <c r="S232" i="8" a="1"/>
  <c r="S232" i="8" s="1"/>
  <c r="S233" i="8" a="1"/>
  <c r="S233" i="8" s="1"/>
  <c r="S234" i="8" a="1"/>
  <c r="S234" i="8" s="1"/>
  <c r="S235" i="8" a="1"/>
  <c r="S235" i="8" s="1"/>
  <c r="S236" i="8" a="1"/>
  <c r="S236" i="8" s="1"/>
  <c r="S237" i="8" a="1"/>
  <c r="S237" i="8" s="1"/>
  <c r="S238" i="8" a="1"/>
  <c r="S238" i="8" s="1"/>
  <c r="S239" i="8" a="1"/>
  <c r="S239" i="8" s="1"/>
  <c r="S240" i="8" a="1"/>
  <c r="S240" i="8" s="1"/>
  <c r="S241" i="8" a="1"/>
  <c r="S241" i="8" s="1"/>
  <c r="S242" i="8" a="1"/>
  <c r="S242" i="8" s="1"/>
  <c r="S243" i="8" a="1"/>
  <c r="S243" i="8" s="1"/>
  <c r="S244" i="8" a="1"/>
  <c r="S244" i="8" s="1"/>
  <c r="S245" i="8" a="1"/>
  <c r="S245" i="8" s="1"/>
  <c r="S246" i="8" a="1"/>
  <c r="S246" i="8" s="1"/>
  <c r="S247" i="8" a="1"/>
  <c r="S247" i="8" s="1"/>
  <c r="S248" i="8" a="1"/>
  <c r="S248" i="8" s="1"/>
  <c r="S249" i="8" a="1"/>
  <c r="S249" i="8" s="1"/>
  <c r="S250" i="8" a="1"/>
  <c r="S250" i="8" s="1"/>
  <c r="S251" i="8" a="1"/>
  <c r="S251" i="8" s="1"/>
  <c r="S12" i="8" a="1"/>
  <c r="S12" i="8" s="1"/>
  <c r="R13" i="8" a="1"/>
  <c r="R13" i="8" s="1"/>
  <c r="R14" i="8" a="1"/>
  <c r="R14" i="8" s="1"/>
  <c r="R15" i="8" a="1"/>
  <c r="R15" i="8" s="1"/>
  <c r="R16" i="8" a="1"/>
  <c r="R16" i="8" s="1"/>
  <c r="R17" i="8" a="1"/>
  <c r="R17" i="8" s="1"/>
  <c r="R18" i="8" a="1"/>
  <c r="R18" i="8" s="1"/>
  <c r="R19" i="8" a="1"/>
  <c r="R19" i="8" s="1"/>
  <c r="R20" i="8" a="1"/>
  <c r="R20" i="8" s="1"/>
  <c r="R21" i="8" a="1"/>
  <c r="R21" i="8" s="1"/>
  <c r="R22" i="8" a="1"/>
  <c r="R22" i="8" s="1"/>
  <c r="R23" i="8" a="1"/>
  <c r="R23" i="8" s="1"/>
  <c r="R24" i="8" a="1"/>
  <c r="R24" i="8" s="1"/>
  <c r="R25" i="8" a="1"/>
  <c r="R25" i="8" s="1"/>
  <c r="R26" i="8" a="1"/>
  <c r="R26" i="8" s="1"/>
  <c r="R27" i="8" a="1"/>
  <c r="R27" i="8" s="1"/>
  <c r="R28" i="8" a="1"/>
  <c r="R28" i="8" s="1"/>
  <c r="R29" i="8" a="1"/>
  <c r="R29" i="8" s="1"/>
  <c r="R30" i="8" a="1"/>
  <c r="R30" i="8" s="1"/>
  <c r="R31" i="8" a="1"/>
  <c r="R31" i="8" s="1"/>
  <c r="R32" i="8" a="1"/>
  <c r="R32" i="8" s="1"/>
  <c r="R33" i="8" a="1"/>
  <c r="R33" i="8" s="1"/>
  <c r="R34" i="8" a="1"/>
  <c r="R34" i="8" s="1"/>
  <c r="R35" i="8" a="1"/>
  <c r="R35" i="8" s="1"/>
  <c r="R36" i="8" a="1"/>
  <c r="R36" i="8" s="1"/>
  <c r="R37" i="8" a="1"/>
  <c r="R37" i="8" s="1"/>
  <c r="R38" i="8" a="1"/>
  <c r="R38" i="8" s="1"/>
  <c r="R39" i="8" a="1"/>
  <c r="R39" i="8" s="1"/>
  <c r="R40" i="8" a="1"/>
  <c r="R40" i="8" s="1"/>
  <c r="R41" i="8" a="1"/>
  <c r="R41" i="8" s="1"/>
  <c r="R42" i="8" a="1"/>
  <c r="R42" i="8" s="1"/>
  <c r="R43" i="8" a="1"/>
  <c r="R43" i="8" s="1"/>
  <c r="R44" i="8" a="1"/>
  <c r="R44" i="8" s="1"/>
  <c r="R45" i="8" a="1"/>
  <c r="R45" i="8" s="1"/>
  <c r="R46" i="8" a="1"/>
  <c r="R46" i="8" s="1"/>
  <c r="R47" i="8" a="1"/>
  <c r="R47" i="8" s="1"/>
  <c r="R48" i="8" a="1"/>
  <c r="R48" i="8" s="1"/>
  <c r="R49" i="8" a="1"/>
  <c r="R49" i="8" s="1"/>
  <c r="R50" i="8" a="1"/>
  <c r="R50" i="8" s="1"/>
  <c r="R51" i="8" a="1"/>
  <c r="R51" i="8" s="1"/>
  <c r="R52" i="8" a="1"/>
  <c r="R52" i="8" s="1"/>
  <c r="R53" i="8" a="1"/>
  <c r="R53" i="8" s="1"/>
  <c r="R54" i="8" a="1"/>
  <c r="R54" i="8" s="1"/>
  <c r="R55" i="8" a="1"/>
  <c r="R55" i="8" s="1"/>
  <c r="R56" i="8" a="1"/>
  <c r="R56" i="8" s="1"/>
  <c r="R57" i="8" a="1"/>
  <c r="R57" i="8" s="1"/>
  <c r="R58" i="8" a="1"/>
  <c r="R58" i="8" s="1"/>
  <c r="R59" i="8" a="1"/>
  <c r="R59" i="8" s="1"/>
  <c r="R60" i="8" a="1"/>
  <c r="R60" i="8" s="1"/>
  <c r="R61" i="8" a="1"/>
  <c r="R61" i="8" s="1"/>
  <c r="R62" i="8" a="1"/>
  <c r="R62" i="8" s="1"/>
  <c r="R63" i="8" a="1"/>
  <c r="R63" i="8" s="1"/>
  <c r="R64" i="8" a="1"/>
  <c r="R64" i="8" s="1"/>
  <c r="R65" i="8" a="1"/>
  <c r="R65" i="8" s="1"/>
  <c r="R66" i="8" a="1"/>
  <c r="R66" i="8" s="1"/>
  <c r="R67" i="8" a="1"/>
  <c r="R67" i="8" s="1"/>
  <c r="R68" i="8" a="1"/>
  <c r="R68" i="8" s="1"/>
  <c r="R69" i="8" a="1"/>
  <c r="R69" i="8" s="1"/>
  <c r="R70" i="8" a="1"/>
  <c r="R70" i="8" s="1"/>
  <c r="R71" i="8" a="1"/>
  <c r="R71" i="8" s="1"/>
  <c r="R72" i="8" a="1"/>
  <c r="R72" i="8" s="1"/>
  <c r="R73" i="8" a="1"/>
  <c r="R73" i="8" s="1"/>
  <c r="R74" i="8" a="1"/>
  <c r="R74" i="8" s="1"/>
  <c r="R75" i="8" a="1"/>
  <c r="R75" i="8" s="1"/>
  <c r="R76" i="8" a="1"/>
  <c r="R76" i="8" s="1"/>
  <c r="R77" i="8" a="1"/>
  <c r="R77" i="8" s="1"/>
  <c r="R78" i="8" a="1"/>
  <c r="R78" i="8" s="1"/>
  <c r="R79" i="8" a="1"/>
  <c r="R79" i="8" s="1"/>
  <c r="R80" i="8" a="1"/>
  <c r="R80" i="8" s="1"/>
  <c r="R81" i="8" a="1"/>
  <c r="R81" i="8" s="1"/>
  <c r="R82" i="8" a="1"/>
  <c r="R82" i="8" s="1"/>
  <c r="R83" i="8" a="1"/>
  <c r="R83" i="8" s="1"/>
  <c r="R84" i="8" a="1"/>
  <c r="R84" i="8" s="1"/>
  <c r="R85" i="8" a="1"/>
  <c r="R85" i="8" s="1"/>
  <c r="R86" i="8" a="1"/>
  <c r="R86" i="8" s="1"/>
  <c r="R87" i="8" a="1"/>
  <c r="R87" i="8" s="1"/>
  <c r="R88" i="8" a="1"/>
  <c r="R88" i="8" s="1"/>
  <c r="R89" i="8" a="1"/>
  <c r="R89" i="8" s="1"/>
  <c r="R90" i="8" a="1"/>
  <c r="R90" i="8" s="1"/>
  <c r="R91" i="8" a="1"/>
  <c r="R91" i="8" s="1"/>
  <c r="R92" i="8" a="1"/>
  <c r="R92" i="8" s="1"/>
  <c r="R93" i="8" a="1"/>
  <c r="R93" i="8" s="1"/>
  <c r="R94" i="8" a="1"/>
  <c r="R94" i="8" s="1"/>
  <c r="R95" i="8" a="1"/>
  <c r="R95" i="8" s="1"/>
  <c r="R96" i="8" a="1"/>
  <c r="R96" i="8" s="1"/>
  <c r="R97" i="8" a="1"/>
  <c r="R97" i="8" s="1"/>
  <c r="R98" i="8" a="1"/>
  <c r="R98" i="8" s="1"/>
  <c r="R99" i="8" a="1"/>
  <c r="R99" i="8" s="1"/>
  <c r="R100" i="8" a="1"/>
  <c r="R100" i="8" s="1"/>
  <c r="R101" i="8" a="1"/>
  <c r="R101" i="8" s="1"/>
  <c r="R102" i="8" a="1"/>
  <c r="R102" i="8" s="1"/>
  <c r="R103" i="8" a="1"/>
  <c r="R103" i="8" s="1"/>
  <c r="R104" i="8" a="1"/>
  <c r="R104" i="8" s="1"/>
  <c r="R105" i="8" a="1"/>
  <c r="R105" i="8" s="1"/>
  <c r="R106" i="8" a="1"/>
  <c r="R106" i="8" s="1"/>
  <c r="R107" i="8" a="1"/>
  <c r="R107" i="8" s="1"/>
  <c r="R108" i="8" a="1"/>
  <c r="R108" i="8" s="1"/>
  <c r="R109" i="8" a="1"/>
  <c r="R109" i="8" s="1"/>
  <c r="R110" i="8" a="1"/>
  <c r="R110" i="8" s="1"/>
  <c r="R111" i="8" a="1"/>
  <c r="R111" i="8" s="1"/>
  <c r="R112" i="8" a="1"/>
  <c r="R112" i="8" s="1"/>
  <c r="R113" i="8" a="1"/>
  <c r="R113" i="8" s="1"/>
  <c r="R114" i="8" a="1"/>
  <c r="R114" i="8" s="1"/>
  <c r="R115" i="8" a="1"/>
  <c r="R115" i="8" s="1"/>
  <c r="R116" i="8" a="1"/>
  <c r="R116" i="8" s="1"/>
  <c r="R117" i="8" a="1"/>
  <c r="R117" i="8" s="1"/>
  <c r="R118" i="8" a="1"/>
  <c r="R118" i="8" s="1"/>
  <c r="R119" i="8" a="1"/>
  <c r="R119" i="8" s="1"/>
  <c r="R120" i="8" a="1"/>
  <c r="R120" i="8" s="1"/>
  <c r="R121" i="8" a="1"/>
  <c r="R121" i="8" s="1"/>
  <c r="R122" i="8" a="1"/>
  <c r="R122" i="8" s="1"/>
  <c r="R123" i="8" a="1"/>
  <c r="R123" i="8" s="1"/>
  <c r="R124" i="8" a="1"/>
  <c r="R124" i="8" s="1"/>
  <c r="R125" i="8" a="1"/>
  <c r="R125" i="8" s="1"/>
  <c r="R126" i="8" a="1"/>
  <c r="R126" i="8" s="1"/>
  <c r="R127" i="8" a="1"/>
  <c r="R127" i="8" s="1"/>
  <c r="R128" i="8" a="1"/>
  <c r="R128" i="8" s="1"/>
  <c r="R129" i="8" a="1"/>
  <c r="R129" i="8" s="1"/>
  <c r="R130" i="8" a="1"/>
  <c r="R130" i="8" s="1"/>
  <c r="R131" i="8" a="1"/>
  <c r="R131" i="8" s="1"/>
  <c r="R132" i="8" a="1"/>
  <c r="R132" i="8" s="1"/>
  <c r="R133" i="8" a="1"/>
  <c r="R133" i="8" s="1"/>
  <c r="R134" i="8" a="1"/>
  <c r="R134" i="8" s="1"/>
  <c r="R135" i="8" a="1"/>
  <c r="R135" i="8" s="1"/>
  <c r="R136" i="8" a="1"/>
  <c r="R136" i="8" s="1"/>
  <c r="R137" i="8" a="1"/>
  <c r="R137" i="8" s="1"/>
  <c r="R138" i="8" a="1"/>
  <c r="R138" i="8" s="1"/>
  <c r="R139" i="8" a="1"/>
  <c r="R139" i="8" s="1"/>
  <c r="R140" i="8" a="1"/>
  <c r="R140" i="8" s="1"/>
  <c r="R141" i="8" a="1"/>
  <c r="R141" i="8" s="1"/>
  <c r="R142" i="8" a="1"/>
  <c r="R142" i="8" s="1"/>
  <c r="R143" i="8" a="1"/>
  <c r="R143" i="8" s="1"/>
  <c r="R144" i="8" a="1"/>
  <c r="R144" i="8" s="1"/>
  <c r="R145" i="8" a="1"/>
  <c r="R145" i="8" s="1"/>
  <c r="R146" i="8" a="1"/>
  <c r="R146" i="8" s="1"/>
  <c r="R147" i="8" a="1"/>
  <c r="R147" i="8" s="1"/>
  <c r="R148" i="8" a="1"/>
  <c r="R148" i="8" s="1"/>
  <c r="R149" i="8" a="1"/>
  <c r="R149" i="8" s="1"/>
  <c r="R150" i="8" a="1"/>
  <c r="R150" i="8" s="1"/>
  <c r="R151" i="8" a="1"/>
  <c r="R151" i="8" s="1"/>
  <c r="R152" i="8" a="1"/>
  <c r="R152" i="8" s="1"/>
  <c r="R153" i="8" a="1"/>
  <c r="R153" i="8" s="1"/>
  <c r="R154" i="8" a="1"/>
  <c r="R154" i="8" s="1"/>
  <c r="R155" i="8" a="1"/>
  <c r="R155" i="8" s="1"/>
  <c r="R156" i="8" a="1"/>
  <c r="R156" i="8" s="1"/>
  <c r="R157" i="8" a="1"/>
  <c r="R157" i="8" s="1"/>
  <c r="R158" i="8" a="1"/>
  <c r="R158" i="8" s="1"/>
  <c r="R159" i="8" a="1"/>
  <c r="R159" i="8" s="1"/>
  <c r="R160" i="8" a="1"/>
  <c r="R160" i="8" s="1"/>
  <c r="R161" i="8" a="1"/>
  <c r="R161" i="8" s="1"/>
  <c r="R162" i="8" a="1"/>
  <c r="R162" i="8" s="1"/>
  <c r="R163" i="8" a="1"/>
  <c r="R163" i="8" s="1"/>
  <c r="R164" i="8" a="1"/>
  <c r="R164" i="8" s="1"/>
  <c r="R165" i="8" a="1"/>
  <c r="R165" i="8" s="1"/>
  <c r="R166" i="8" a="1"/>
  <c r="R166" i="8" s="1"/>
  <c r="R167" i="8" a="1"/>
  <c r="R167" i="8" s="1"/>
  <c r="R168" i="8" a="1"/>
  <c r="R168" i="8" s="1"/>
  <c r="R169" i="8" a="1"/>
  <c r="R169" i="8" s="1"/>
  <c r="R170" i="8" a="1"/>
  <c r="R170" i="8" s="1"/>
  <c r="R171" i="8" a="1"/>
  <c r="R171" i="8" s="1"/>
  <c r="R172" i="8" a="1"/>
  <c r="R172" i="8" s="1"/>
  <c r="R173" i="8" a="1"/>
  <c r="R173" i="8" s="1"/>
  <c r="R174" i="8" a="1"/>
  <c r="R174" i="8" s="1"/>
  <c r="R175" i="8" a="1"/>
  <c r="R175" i="8" s="1"/>
  <c r="R176" i="8" a="1"/>
  <c r="R176" i="8" s="1"/>
  <c r="R177" i="8" a="1"/>
  <c r="R177" i="8" s="1"/>
  <c r="R178" i="8" a="1"/>
  <c r="R178" i="8" s="1"/>
  <c r="R179" i="8" a="1"/>
  <c r="R179" i="8" s="1"/>
  <c r="R180" i="8" a="1"/>
  <c r="R180" i="8" s="1"/>
  <c r="R181" i="8" a="1"/>
  <c r="R181" i="8" s="1"/>
  <c r="R182" i="8" a="1"/>
  <c r="R182" i="8" s="1"/>
  <c r="R183" i="8" a="1"/>
  <c r="R183" i="8" s="1"/>
  <c r="R184" i="8" a="1"/>
  <c r="R184" i="8" s="1"/>
  <c r="R185" i="8" a="1"/>
  <c r="R185" i="8" s="1"/>
  <c r="R186" i="8" a="1"/>
  <c r="R186" i="8" s="1"/>
  <c r="R187" i="8" a="1"/>
  <c r="R187" i="8" s="1"/>
  <c r="R188" i="8" a="1"/>
  <c r="R188" i="8" s="1"/>
  <c r="R189" i="8" a="1"/>
  <c r="R189" i="8" s="1"/>
  <c r="R190" i="8" a="1"/>
  <c r="R190" i="8" s="1"/>
  <c r="R191" i="8" a="1"/>
  <c r="R191" i="8" s="1"/>
  <c r="R192" i="8" a="1"/>
  <c r="R192" i="8" s="1"/>
  <c r="R193" i="8" a="1"/>
  <c r="R193" i="8" s="1"/>
  <c r="R194" i="8" a="1"/>
  <c r="R194" i="8" s="1"/>
  <c r="R195" i="8" a="1"/>
  <c r="R195" i="8" s="1"/>
  <c r="R196" i="8" a="1"/>
  <c r="R196" i="8" s="1"/>
  <c r="R197" i="8" a="1"/>
  <c r="R197" i="8" s="1"/>
  <c r="R198" i="8" a="1"/>
  <c r="R198" i="8" s="1"/>
  <c r="R199" i="8" a="1"/>
  <c r="R199" i="8" s="1"/>
  <c r="R200" i="8" a="1"/>
  <c r="R200" i="8" s="1"/>
  <c r="R201" i="8" a="1"/>
  <c r="R201" i="8" s="1"/>
  <c r="R202" i="8" a="1"/>
  <c r="R202" i="8" s="1"/>
  <c r="R203" i="8" a="1"/>
  <c r="R203" i="8" s="1"/>
  <c r="R204" i="8" a="1"/>
  <c r="R204" i="8" s="1"/>
  <c r="R205" i="8" a="1"/>
  <c r="R205" i="8" s="1"/>
  <c r="R206" i="8" a="1"/>
  <c r="R206" i="8" s="1"/>
  <c r="R207" i="8" a="1"/>
  <c r="R207" i="8" s="1"/>
  <c r="R208" i="8" a="1"/>
  <c r="R208" i="8" s="1"/>
  <c r="R209" i="8" a="1"/>
  <c r="R209" i="8" s="1"/>
  <c r="R210" i="8" a="1"/>
  <c r="R210" i="8" s="1"/>
  <c r="R211" i="8" a="1"/>
  <c r="R211" i="8" s="1"/>
  <c r="R212" i="8" a="1"/>
  <c r="R212" i="8" s="1"/>
  <c r="R213" i="8" a="1"/>
  <c r="R213" i="8" s="1"/>
  <c r="R214" i="8" a="1"/>
  <c r="R214" i="8" s="1"/>
  <c r="R215" i="8" a="1"/>
  <c r="R215" i="8" s="1"/>
  <c r="R216" i="8" a="1"/>
  <c r="R216" i="8" s="1"/>
  <c r="R217" i="8" a="1"/>
  <c r="R217" i="8" s="1"/>
  <c r="R218" i="8" a="1"/>
  <c r="R218" i="8" s="1"/>
  <c r="R219" i="8" a="1"/>
  <c r="R219" i="8" s="1"/>
  <c r="R220" i="8" a="1"/>
  <c r="R220" i="8" s="1"/>
  <c r="R221" i="8" a="1"/>
  <c r="R221" i="8" s="1"/>
  <c r="R222" i="8" a="1"/>
  <c r="R222" i="8" s="1"/>
  <c r="R223" i="8" a="1"/>
  <c r="R223" i="8" s="1"/>
  <c r="R224" i="8" a="1"/>
  <c r="R224" i="8" s="1"/>
  <c r="R225" i="8" a="1"/>
  <c r="R225" i="8" s="1"/>
  <c r="R226" i="8" a="1"/>
  <c r="R226" i="8" s="1"/>
  <c r="R227" i="8" a="1"/>
  <c r="R227" i="8" s="1"/>
  <c r="R228" i="8" a="1"/>
  <c r="R228" i="8" s="1"/>
  <c r="R229" i="8" a="1"/>
  <c r="R229" i="8" s="1"/>
  <c r="R230" i="8" a="1"/>
  <c r="R230" i="8" s="1"/>
  <c r="R231" i="8" a="1"/>
  <c r="R231" i="8" s="1"/>
  <c r="R232" i="8" a="1"/>
  <c r="R232" i="8" s="1"/>
  <c r="R233" i="8" a="1"/>
  <c r="R233" i="8" s="1"/>
  <c r="R234" i="8" a="1"/>
  <c r="R234" i="8" s="1"/>
  <c r="R235" i="8" a="1"/>
  <c r="R235" i="8" s="1"/>
  <c r="R236" i="8" a="1"/>
  <c r="R236" i="8" s="1"/>
  <c r="R237" i="8" a="1"/>
  <c r="R237" i="8" s="1"/>
  <c r="R238" i="8" a="1"/>
  <c r="R238" i="8" s="1"/>
  <c r="R239" i="8" a="1"/>
  <c r="R239" i="8" s="1"/>
  <c r="R240" i="8" a="1"/>
  <c r="R240" i="8" s="1"/>
  <c r="R241" i="8" a="1"/>
  <c r="R241" i="8" s="1"/>
  <c r="R242" i="8" a="1"/>
  <c r="R242" i="8" s="1"/>
  <c r="R243" i="8" a="1"/>
  <c r="R243" i="8" s="1"/>
  <c r="R244" i="8" a="1"/>
  <c r="R244" i="8" s="1"/>
  <c r="R245" i="8" a="1"/>
  <c r="R245" i="8" s="1"/>
  <c r="R246" i="8" a="1"/>
  <c r="R246" i="8" s="1"/>
  <c r="R247" i="8" a="1"/>
  <c r="R247" i="8" s="1"/>
  <c r="R248" i="8" a="1"/>
  <c r="R248" i="8" s="1"/>
  <c r="R249" i="8" a="1"/>
  <c r="R249" i="8" s="1"/>
  <c r="R250" i="8" a="1"/>
  <c r="R250" i="8" s="1"/>
  <c r="R251" i="8" a="1"/>
  <c r="R251" i="8" s="1"/>
  <c r="R12" i="8" a="1"/>
  <c r="R12" i="8" s="1"/>
  <c r="O12" i="8" a="1"/>
  <c r="O12" i="8" s="1"/>
  <c r="N13" i="8" a="1"/>
  <c r="N13" i="8" s="1"/>
  <c r="N14" i="8" a="1"/>
  <c r="N14" i="8" s="1"/>
  <c r="N15" i="8" a="1"/>
  <c r="N15" i="8" s="1"/>
  <c r="N16" i="8" a="1"/>
  <c r="N16" i="8" s="1"/>
  <c r="N17" i="8" a="1"/>
  <c r="N17" i="8" s="1"/>
  <c r="N18" i="8" a="1"/>
  <c r="N18" i="8" s="1"/>
  <c r="N19" i="8" a="1"/>
  <c r="N19" i="8" s="1"/>
  <c r="N20" i="8" a="1"/>
  <c r="N20" i="8" s="1"/>
  <c r="N21" i="8" a="1"/>
  <c r="N21" i="8" s="1"/>
  <c r="N22" i="8" a="1"/>
  <c r="N22" i="8" s="1"/>
  <c r="N23" i="8" a="1"/>
  <c r="N23" i="8" s="1"/>
  <c r="N24" i="8" a="1"/>
  <c r="N24" i="8" s="1"/>
  <c r="N25" i="8" a="1"/>
  <c r="N25" i="8" s="1"/>
  <c r="N26" i="8" a="1"/>
  <c r="N26" i="8" s="1"/>
  <c r="N27" i="8" a="1"/>
  <c r="N27" i="8" s="1"/>
  <c r="N28" i="8" a="1"/>
  <c r="N28" i="8" s="1"/>
  <c r="N29" i="8" a="1"/>
  <c r="N29" i="8" s="1"/>
  <c r="N30" i="8" a="1"/>
  <c r="N30" i="8" s="1"/>
  <c r="N31" i="8" a="1"/>
  <c r="N31" i="8" s="1"/>
  <c r="N32" i="8" a="1"/>
  <c r="N32" i="8" s="1"/>
  <c r="N33" i="8" a="1"/>
  <c r="N33" i="8" s="1"/>
  <c r="N34" i="8" a="1"/>
  <c r="N34" i="8" s="1"/>
  <c r="N35" i="8" a="1"/>
  <c r="N35" i="8" s="1"/>
  <c r="N36" i="8" a="1"/>
  <c r="N36" i="8" s="1"/>
  <c r="N37" i="8" a="1"/>
  <c r="N37" i="8" s="1"/>
  <c r="N38" i="8" a="1"/>
  <c r="N38" i="8" s="1"/>
  <c r="N39" i="8" a="1"/>
  <c r="N39" i="8" s="1"/>
  <c r="N40" i="8" a="1"/>
  <c r="N40" i="8" s="1"/>
  <c r="N41" i="8" a="1"/>
  <c r="N41" i="8" s="1"/>
  <c r="N42" i="8" a="1"/>
  <c r="N42" i="8" s="1"/>
  <c r="N43" i="8" a="1"/>
  <c r="N43" i="8" s="1"/>
  <c r="N44" i="8" a="1"/>
  <c r="N44" i="8" s="1"/>
  <c r="N45" i="8" a="1"/>
  <c r="N45" i="8" s="1"/>
  <c r="N46" i="8" a="1"/>
  <c r="N46" i="8" s="1"/>
  <c r="N47" i="8" a="1"/>
  <c r="N47" i="8" s="1"/>
  <c r="N48" i="8" a="1"/>
  <c r="N48" i="8" s="1"/>
  <c r="N49" i="8" a="1"/>
  <c r="N49" i="8" s="1"/>
  <c r="N50" i="8" a="1"/>
  <c r="N50" i="8" s="1"/>
  <c r="N51" i="8" a="1"/>
  <c r="N51" i="8" s="1"/>
  <c r="N52" i="8" a="1"/>
  <c r="N52" i="8" s="1"/>
  <c r="N53" i="8" a="1"/>
  <c r="N53" i="8" s="1"/>
  <c r="N54" i="8" a="1"/>
  <c r="N54" i="8" s="1"/>
  <c r="N55" i="8" a="1"/>
  <c r="N55" i="8" s="1"/>
  <c r="N56" i="8" a="1"/>
  <c r="N56" i="8" s="1"/>
  <c r="N57" i="8" a="1"/>
  <c r="N57" i="8" s="1"/>
  <c r="N58" i="8" a="1"/>
  <c r="N58" i="8" s="1"/>
  <c r="N59" i="8" a="1"/>
  <c r="N59" i="8" s="1"/>
  <c r="N60" i="8" a="1"/>
  <c r="N60" i="8" s="1"/>
  <c r="N61" i="8" a="1"/>
  <c r="N61" i="8" s="1"/>
  <c r="N62" i="8" a="1"/>
  <c r="N62" i="8" s="1"/>
  <c r="N63" i="8" a="1"/>
  <c r="N63" i="8" s="1"/>
  <c r="N64" i="8" a="1"/>
  <c r="N64" i="8" s="1"/>
  <c r="N65" i="8" a="1"/>
  <c r="N65" i="8" s="1"/>
  <c r="N66" i="8" a="1"/>
  <c r="N66" i="8" s="1"/>
  <c r="N67" i="8" a="1"/>
  <c r="N67" i="8" s="1"/>
  <c r="N68" i="8" a="1"/>
  <c r="N68" i="8" s="1"/>
  <c r="N69" i="8" a="1"/>
  <c r="N69" i="8" s="1"/>
  <c r="N70" i="8" a="1"/>
  <c r="N70" i="8" s="1"/>
  <c r="N71" i="8" a="1"/>
  <c r="N71" i="8" s="1"/>
  <c r="N72" i="8" a="1"/>
  <c r="N72" i="8" s="1"/>
  <c r="N73" i="8" a="1"/>
  <c r="N73" i="8" s="1"/>
  <c r="N74" i="8" a="1"/>
  <c r="N74" i="8" s="1"/>
  <c r="N75" i="8" a="1"/>
  <c r="N75" i="8" s="1"/>
  <c r="N76" i="8" a="1"/>
  <c r="N76" i="8" s="1"/>
  <c r="N77" i="8" a="1"/>
  <c r="N77" i="8" s="1"/>
  <c r="N78" i="8" a="1"/>
  <c r="N78" i="8" s="1"/>
  <c r="N79" i="8" a="1"/>
  <c r="N79" i="8" s="1"/>
  <c r="N80" i="8" a="1"/>
  <c r="N80" i="8" s="1"/>
  <c r="N81" i="8" a="1"/>
  <c r="N81" i="8" s="1"/>
  <c r="N82" i="8" a="1"/>
  <c r="N82" i="8" s="1"/>
  <c r="N83" i="8" a="1"/>
  <c r="N83" i="8" s="1"/>
  <c r="N84" i="8" a="1"/>
  <c r="N84" i="8" s="1"/>
  <c r="N85" i="8" a="1"/>
  <c r="N85" i="8" s="1"/>
  <c r="N86" i="8" a="1"/>
  <c r="N86" i="8" s="1"/>
  <c r="N87" i="8" a="1"/>
  <c r="N87" i="8" s="1"/>
  <c r="N88" i="8" a="1"/>
  <c r="N88" i="8" s="1"/>
  <c r="N89" i="8" a="1"/>
  <c r="N89" i="8" s="1"/>
  <c r="N90" i="8" a="1"/>
  <c r="N90" i="8" s="1"/>
  <c r="N91" i="8" a="1"/>
  <c r="N91" i="8" s="1"/>
  <c r="N92" i="8" a="1"/>
  <c r="N92" i="8" s="1"/>
  <c r="N93" i="8" a="1"/>
  <c r="N93" i="8" s="1"/>
  <c r="N94" i="8" a="1"/>
  <c r="N94" i="8" s="1"/>
  <c r="N95" i="8" a="1"/>
  <c r="N95" i="8" s="1"/>
  <c r="N96" i="8" a="1"/>
  <c r="N96" i="8" s="1"/>
  <c r="N97" i="8" a="1"/>
  <c r="N97" i="8" s="1"/>
  <c r="N98" i="8" a="1"/>
  <c r="N98" i="8" s="1"/>
  <c r="N99" i="8" a="1"/>
  <c r="N99" i="8" s="1"/>
  <c r="N100" i="8" a="1"/>
  <c r="N100" i="8" s="1"/>
  <c r="N101" i="8" a="1"/>
  <c r="N101" i="8" s="1"/>
  <c r="N102" i="8" a="1"/>
  <c r="N102" i="8" s="1"/>
  <c r="N103" i="8" a="1"/>
  <c r="N103" i="8" s="1"/>
  <c r="N104" i="8" a="1"/>
  <c r="N104" i="8" s="1"/>
  <c r="N105" i="8" a="1"/>
  <c r="N105" i="8" s="1"/>
  <c r="N106" i="8" a="1"/>
  <c r="N106" i="8" s="1"/>
  <c r="N107" i="8" a="1"/>
  <c r="N107" i="8" s="1"/>
  <c r="N108" i="8" a="1"/>
  <c r="N108" i="8" s="1"/>
  <c r="N109" i="8" a="1"/>
  <c r="N109" i="8" s="1"/>
  <c r="N110" i="8" a="1"/>
  <c r="N110" i="8" s="1"/>
  <c r="N111" i="8" a="1"/>
  <c r="N111" i="8" s="1"/>
  <c r="N112" i="8" a="1"/>
  <c r="N112" i="8" s="1"/>
  <c r="N113" i="8" a="1"/>
  <c r="N113" i="8" s="1"/>
  <c r="N114" i="8" a="1"/>
  <c r="N114" i="8" s="1"/>
  <c r="N115" i="8" a="1"/>
  <c r="N115" i="8" s="1"/>
  <c r="N116" i="8" a="1"/>
  <c r="N116" i="8" s="1"/>
  <c r="N117" i="8" a="1"/>
  <c r="N117" i="8" s="1"/>
  <c r="N118" i="8" a="1"/>
  <c r="N118" i="8" s="1"/>
  <c r="N119" i="8" a="1"/>
  <c r="N119" i="8" s="1"/>
  <c r="N120" i="8" a="1"/>
  <c r="N120" i="8" s="1"/>
  <c r="N121" i="8" a="1"/>
  <c r="N121" i="8" s="1"/>
  <c r="N122" i="8" a="1"/>
  <c r="N122" i="8" s="1"/>
  <c r="N123" i="8" a="1"/>
  <c r="N123" i="8" s="1"/>
  <c r="N124" i="8" a="1"/>
  <c r="N124" i="8" s="1"/>
  <c r="N125" i="8" a="1"/>
  <c r="N125" i="8" s="1"/>
  <c r="N126" i="8" a="1"/>
  <c r="N126" i="8" s="1"/>
  <c r="N127" i="8" a="1"/>
  <c r="N127" i="8" s="1"/>
  <c r="N128" i="8" a="1"/>
  <c r="N128" i="8" s="1"/>
  <c r="N129" i="8" a="1"/>
  <c r="N129" i="8" s="1"/>
  <c r="N130" i="8" a="1"/>
  <c r="N130" i="8" s="1"/>
  <c r="N131" i="8" a="1"/>
  <c r="N131" i="8" s="1"/>
  <c r="N132" i="8" a="1"/>
  <c r="N132" i="8" s="1"/>
  <c r="N133" i="8" a="1"/>
  <c r="N133" i="8" s="1"/>
  <c r="N134" i="8" a="1"/>
  <c r="N134" i="8" s="1"/>
  <c r="N135" i="8" a="1"/>
  <c r="N135" i="8" s="1"/>
  <c r="N136" i="8" a="1"/>
  <c r="N136" i="8" s="1"/>
  <c r="N137" i="8" a="1"/>
  <c r="N137" i="8" s="1"/>
  <c r="N138" i="8" a="1"/>
  <c r="N138" i="8" s="1"/>
  <c r="N139" i="8" a="1"/>
  <c r="N139" i="8" s="1"/>
  <c r="N140" i="8" a="1"/>
  <c r="N140" i="8" s="1"/>
  <c r="N141" i="8" a="1"/>
  <c r="N141" i="8" s="1"/>
  <c r="N142" i="8" a="1"/>
  <c r="N142" i="8" s="1"/>
  <c r="N143" i="8" a="1"/>
  <c r="N143" i="8" s="1"/>
  <c r="N144" i="8" a="1"/>
  <c r="N144" i="8" s="1"/>
  <c r="N145" i="8" a="1"/>
  <c r="N145" i="8" s="1"/>
  <c r="N146" i="8" a="1"/>
  <c r="N146" i="8" s="1"/>
  <c r="N147" i="8" a="1"/>
  <c r="N147" i="8" s="1"/>
  <c r="N148" i="8" a="1"/>
  <c r="N148" i="8" s="1"/>
  <c r="N149" i="8" a="1"/>
  <c r="N149" i="8" s="1"/>
  <c r="N150" i="8" a="1"/>
  <c r="N150" i="8" s="1"/>
  <c r="N151" i="8" a="1"/>
  <c r="N151" i="8" s="1"/>
  <c r="N152" i="8" a="1"/>
  <c r="N152" i="8" s="1"/>
  <c r="N153" i="8" a="1"/>
  <c r="N153" i="8" s="1"/>
  <c r="N154" i="8" a="1"/>
  <c r="N154" i="8" s="1"/>
  <c r="N155" i="8" a="1"/>
  <c r="N155" i="8" s="1"/>
  <c r="N156" i="8" a="1"/>
  <c r="N156" i="8" s="1"/>
  <c r="N157" i="8" a="1"/>
  <c r="N157" i="8" s="1"/>
  <c r="N158" i="8" a="1"/>
  <c r="N158" i="8" s="1"/>
  <c r="N159" i="8" a="1"/>
  <c r="N159" i="8" s="1"/>
  <c r="N160" i="8" a="1"/>
  <c r="N160" i="8" s="1"/>
  <c r="N161" i="8" a="1"/>
  <c r="N161" i="8" s="1"/>
  <c r="N162" i="8" a="1"/>
  <c r="N162" i="8" s="1"/>
  <c r="N163" i="8" a="1"/>
  <c r="N163" i="8" s="1"/>
  <c r="N164" i="8" a="1"/>
  <c r="N164" i="8" s="1"/>
  <c r="N165" i="8" a="1"/>
  <c r="N165" i="8" s="1"/>
  <c r="N166" i="8" a="1"/>
  <c r="N166" i="8" s="1"/>
  <c r="N167" i="8" a="1"/>
  <c r="N167" i="8" s="1"/>
  <c r="N168" i="8" a="1"/>
  <c r="N168" i="8" s="1"/>
  <c r="N169" i="8" a="1"/>
  <c r="N169" i="8" s="1"/>
  <c r="N170" i="8" a="1"/>
  <c r="N170" i="8" s="1"/>
  <c r="N171" i="8" a="1"/>
  <c r="N171" i="8" s="1"/>
  <c r="N172" i="8" a="1"/>
  <c r="N172" i="8" s="1"/>
  <c r="N173" i="8" a="1"/>
  <c r="N173" i="8" s="1"/>
  <c r="N174" i="8" a="1"/>
  <c r="N174" i="8" s="1"/>
  <c r="N175" i="8" a="1"/>
  <c r="N175" i="8" s="1"/>
  <c r="N176" i="8" a="1"/>
  <c r="N176" i="8" s="1"/>
  <c r="N177" i="8" a="1"/>
  <c r="N177" i="8" s="1"/>
  <c r="N178" i="8" a="1"/>
  <c r="N178" i="8" s="1"/>
  <c r="N179" i="8" a="1"/>
  <c r="N179" i="8" s="1"/>
  <c r="N180" i="8" a="1"/>
  <c r="N180" i="8" s="1"/>
  <c r="N181" i="8" a="1"/>
  <c r="N181" i="8" s="1"/>
  <c r="N182" i="8" a="1"/>
  <c r="N182" i="8" s="1"/>
  <c r="N183" i="8" a="1"/>
  <c r="N183" i="8" s="1"/>
  <c r="N184" i="8" a="1"/>
  <c r="N184" i="8" s="1"/>
  <c r="N185" i="8" a="1"/>
  <c r="N185" i="8" s="1"/>
  <c r="N186" i="8" a="1"/>
  <c r="N186" i="8" s="1"/>
  <c r="N187" i="8" a="1"/>
  <c r="N187" i="8" s="1"/>
  <c r="N188" i="8" a="1"/>
  <c r="N188" i="8" s="1"/>
  <c r="N189" i="8" a="1"/>
  <c r="N189" i="8" s="1"/>
  <c r="N190" i="8" a="1"/>
  <c r="N190" i="8" s="1"/>
  <c r="N191" i="8" a="1"/>
  <c r="N191" i="8" s="1"/>
  <c r="N192" i="8" a="1"/>
  <c r="N192" i="8" s="1"/>
  <c r="N193" i="8" a="1"/>
  <c r="N193" i="8" s="1"/>
  <c r="N194" i="8" a="1"/>
  <c r="N194" i="8" s="1"/>
  <c r="N195" i="8" a="1"/>
  <c r="N195" i="8" s="1"/>
  <c r="N196" i="8" a="1"/>
  <c r="N196" i="8" s="1"/>
  <c r="N197" i="8" a="1"/>
  <c r="N197" i="8" s="1"/>
  <c r="N198" i="8" a="1"/>
  <c r="N198" i="8" s="1"/>
  <c r="N199" i="8" a="1"/>
  <c r="N199" i="8" s="1"/>
  <c r="N200" i="8" a="1"/>
  <c r="N200" i="8" s="1"/>
  <c r="N201" i="8" a="1"/>
  <c r="N201" i="8" s="1"/>
  <c r="N202" i="8" a="1"/>
  <c r="N202" i="8" s="1"/>
  <c r="N203" i="8" a="1"/>
  <c r="N203" i="8" s="1"/>
  <c r="N204" i="8" a="1"/>
  <c r="N204" i="8" s="1"/>
  <c r="N205" i="8" a="1"/>
  <c r="N205" i="8" s="1"/>
  <c r="N206" i="8" a="1"/>
  <c r="N206" i="8" s="1"/>
  <c r="N207" i="8" a="1"/>
  <c r="N207" i="8" s="1"/>
  <c r="N208" i="8" a="1"/>
  <c r="N208" i="8" s="1"/>
  <c r="N209" i="8" a="1"/>
  <c r="N209" i="8" s="1"/>
  <c r="N210" i="8" a="1"/>
  <c r="N210" i="8" s="1"/>
  <c r="N211" i="8" a="1"/>
  <c r="N211" i="8" s="1"/>
  <c r="N212" i="8" a="1"/>
  <c r="N212" i="8" s="1"/>
  <c r="N213" i="8" a="1"/>
  <c r="N213" i="8" s="1"/>
  <c r="N214" i="8" a="1"/>
  <c r="N214" i="8" s="1"/>
  <c r="N215" i="8" a="1"/>
  <c r="N215" i="8" s="1"/>
  <c r="N216" i="8" a="1"/>
  <c r="N216" i="8" s="1"/>
  <c r="N217" i="8" a="1"/>
  <c r="N217" i="8" s="1"/>
  <c r="N218" i="8" a="1"/>
  <c r="N218" i="8" s="1"/>
  <c r="N219" i="8" a="1"/>
  <c r="N219" i="8" s="1"/>
  <c r="N220" i="8" a="1"/>
  <c r="N220" i="8" s="1"/>
  <c r="N221" i="8" a="1"/>
  <c r="N221" i="8" s="1"/>
  <c r="N222" i="8" a="1"/>
  <c r="N222" i="8" s="1"/>
  <c r="N223" i="8" a="1"/>
  <c r="N223" i="8" s="1"/>
  <c r="N224" i="8" a="1"/>
  <c r="N224" i="8" s="1"/>
  <c r="N225" i="8" a="1"/>
  <c r="N225" i="8" s="1"/>
  <c r="N226" i="8" a="1"/>
  <c r="N226" i="8" s="1"/>
  <c r="N227" i="8" a="1"/>
  <c r="N227" i="8" s="1"/>
  <c r="N228" i="8" a="1"/>
  <c r="N228" i="8" s="1"/>
  <c r="N229" i="8" a="1"/>
  <c r="N229" i="8" s="1"/>
  <c r="N230" i="8" a="1"/>
  <c r="N230" i="8" s="1"/>
  <c r="N231" i="8" a="1"/>
  <c r="N231" i="8" s="1"/>
  <c r="N232" i="8" a="1"/>
  <c r="N232" i="8" s="1"/>
  <c r="N233" i="8" a="1"/>
  <c r="N233" i="8" s="1"/>
  <c r="N234" i="8" a="1"/>
  <c r="N234" i="8" s="1"/>
  <c r="N235" i="8" a="1"/>
  <c r="N235" i="8" s="1"/>
  <c r="N236" i="8" a="1"/>
  <c r="N236" i="8" s="1"/>
  <c r="N237" i="8" a="1"/>
  <c r="N237" i="8" s="1"/>
  <c r="N238" i="8" a="1"/>
  <c r="N238" i="8" s="1"/>
  <c r="N239" i="8" a="1"/>
  <c r="N239" i="8" s="1"/>
  <c r="N240" i="8" a="1"/>
  <c r="N240" i="8" s="1"/>
  <c r="N241" i="8" a="1"/>
  <c r="N241" i="8" s="1"/>
  <c r="N242" i="8" a="1"/>
  <c r="N242" i="8" s="1"/>
  <c r="N243" i="8" a="1"/>
  <c r="N243" i="8" s="1"/>
  <c r="N244" i="8" a="1"/>
  <c r="N244" i="8" s="1"/>
  <c r="N245" i="8" a="1"/>
  <c r="N245" i="8" s="1"/>
  <c r="N246" i="8" a="1"/>
  <c r="N246" i="8" s="1"/>
  <c r="N247" i="8" a="1"/>
  <c r="N247" i="8" s="1"/>
  <c r="N248" i="8" a="1"/>
  <c r="N248" i="8" s="1"/>
  <c r="N249" i="8" a="1"/>
  <c r="N249" i="8" s="1"/>
  <c r="N250" i="8" a="1"/>
  <c r="N250" i="8" s="1"/>
  <c r="N251" i="8" a="1"/>
  <c r="N251" i="8" s="1"/>
  <c r="M13" i="8" a="1"/>
  <c r="M13" i="8" s="1"/>
  <c r="M13" i="10" s="1" a="1"/>
  <c r="M13" i="10" s="1"/>
  <c r="M14" i="8" a="1"/>
  <c r="M14" i="8" s="1"/>
  <c r="M14" i="10" s="1" a="1"/>
  <c r="M14" i="10" s="1"/>
  <c r="M15" i="8" a="1"/>
  <c r="M15" i="8" s="1"/>
  <c r="M15" i="10" s="1" a="1"/>
  <c r="M15" i="10" s="1"/>
  <c r="M16" i="8" a="1"/>
  <c r="M16" i="8" s="1"/>
  <c r="M16" i="10" s="1" a="1"/>
  <c r="M16" i="10" s="1"/>
  <c r="M17" i="8" a="1"/>
  <c r="M17" i="8" s="1"/>
  <c r="M17" i="10" s="1" a="1"/>
  <c r="M17" i="10" s="1"/>
  <c r="M18" i="8" a="1"/>
  <c r="M18" i="8" s="1"/>
  <c r="M18" i="10" s="1" a="1"/>
  <c r="M18" i="10" s="1"/>
  <c r="M19" i="8" a="1"/>
  <c r="M19" i="8" s="1"/>
  <c r="M19" i="10" s="1" a="1"/>
  <c r="M19" i="10" s="1"/>
  <c r="M20" i="8" a="1"/>
  <c r="M20" i="8" s="1"/>
  <c r="M20" i="10" s="1" a="1"/>
  <c r="M20" i="10" s="1"/>
  <c r="M21" i="8" a="1"/>
  <c r="M21" i="8" s="1"/>
  <c r="M21" i="10" s="1" a="1"/>
  <c r="M21" i="10" s="1"/>
  <c r="M22" i="8" a="1"/>
  <c r="M22" i="8" s="1"/>
  <c r="M22" i="10" s="1" a="1"/>
  <c r="M22" i="10" s="1"/>
  <c r="M23" i="8" a="1"/>
  <c r="M23" i="8" s="1"/>
  <c r="M23" i="10" s="1" a="1"/>
  <c r="M23" i="10" s="1"/>
  <c r="M24" i="8" a="1"/>
  <c r="M24" i="8" s="1"/>
  <c r="M24" i="10" s="1" a="1"/>
  <c r="M24" i="10" s="1"/>
  <c r="M25" i="8" a="1"/>
  <c r="M25" i="8" s="1"/>
  <c r="M25" i="10" s="1" a="1"/>
  <c r="M25" i="10" s="1"/>
  <c r="M26" i="8" a="1"/>
  <c r="M26" i="8" s="1"/>
  <c r="M26" i="10" s="1" a="1"/>
  <c r="M26" i="10" s="1"/>
  <c r="M27" i="8" a="1"/>
  <c r="M27" i="8" s="1"/>
  <c r="M27" i="10" s="1" a="1"/>
  <c r="M27" i="10" s="1"/>
  <c r="M28" i="8" a="1"/>
  <c r="M28" i="8" s="1"/>
  <c r="M28" i="10" s="1" a="1"/>
  <c r="M28" i="10" s="1"/>
  <c r="M29" i="8" a="1"/>
  <c r="M29" i="8" s="1"/>
  <c r="M29" i="10" s="1" a="1"/>
  <c r="M29" i="10" s="1"/>
  <c r="M30" i="8" a="1"/>
  <c r="M30" i="8" s="1"/>
  <c r="M30" i="10" s="1" a="1"/>
  <c r="M30" i="10" s="1"/>
  <c r="M31" i="8" a="1"/>
  <c r="M31" i="8" s="1"/>
  <c r="M31" i="10" s="1" a="1"/>
  <c r="M31" i="10" s="1"/>
  <c r="M32" i="8" a="1"/>
  <c r="M32" i="8" s="1"/>
  <c r="M32" i="10" s="1" a="1"/>
  <c r="M32" i="10" s="1"/>
  <c r="M33" i="8" a="1"/>
  <c r="M33" i="8" s="1"/>
  <c r="M33" i="10" s="1" a="1"/>
  <c r="M33" i="10" s="1"/>
  <c r="M34" i="8" a="1"/>
  <c r="M34" i="8" s="1"/>
  <c r="M34" i="10" s="1" a="1"/>
  <c r="M34" i="10" s="1"/>
  <c r="M35" i="8" a="1"/>
  <c r="M35" i="8" s="1"/>
  <c r="M35" i="10" s="1" a="1"/>
  <c r="M35" i="10" s="1"/>
  <c r="M36" i="8" a="1"/>
  <c r="M36" i="8" s="1"/>
  <c r="M36" i="10" s="1" a="1"/>
  <c r="M36" i="10" s="1"/>
  <c r="M37" i="8" a="1"/>
  <c r="M37" i="8" s="1"/>
  <c r="M37" i="10" s="1" a="1"/>
  <c r="M37" i="10" s="1"/>
  <c r="M38" i="8" a="1"/>
  <c r="M38" i="8" s="1"/>
  <c r="M38" i="10" s="1" a="1"/>
  <c r="M38" i="10" s="1"/>
  <c r="M39" i="8" a="1"/>
  <c r="M39" i="8" s="1"/>
  <c r="M39" i="10" s="1" a="1"/>
  <c r="M39" i="10" s="1"/>
  <c r="M40" i="8" a="1"/>
  <c r="M40" i="8" s="1"/>
  <c r="M40" i="10" s="1" a="1"/>
  <c r="M40" i="10" s="1"/>
  <c r="M41" i="8" a="1"/>
  <c r="M41" i="8" s="1"/>
  <c r="M41" i="10" s="1" a="1"/>
  <c r="M41" i="10" s="1"/>
  <c r="M42" i="8" a="1"/>
  <c r="M42" i="8" s="1"/>
  <c r="M42" i="10" s="1" a="1"/>
  <c r="M42" i="10" s="1"/>
  <c r="M43" i="8" a="1"/>
  <c r="M43" i="8" s="1"/>
  <c r="M43" i="10" s="1" a="1"/>
  <c r="M43" i="10" s="1"/>
  <c r="M44" i="8" a="1"/>
  <c r="M44" i="8" s="1"/>
  <c r="M44" i="10" s="1" a="1"/>
  <c r="M44" i="10" s="1"/>
  <c r="M45" i="8" a="1"/>
  <c r="M45" i="8" s="1"/>
  <c r="M45" i="10" s="1" a="1"/>
  <c r="M45" i="10" s="1"/>
  <c r="M46" i="8" a="1"/>
  <c r="M46" i="8" s="1"/>
  <c r="M46" i="10" s="1" a="1"/>
  <c r="M46" i="10" s="1"/>
  <c r="M47" i="8" a="1"/>
  <c r="M47" i="8" s="1"/>
  <c r="M47" i="10" s="1" a="1"/>
  <c r="M47" i="10" s="1"/>
  <c r="M48" i="8" a="1"/>
  <c r="M48" i="8" s="1"/>
  <c r="M48" i="10" s="1" a="1"/>
  <c r="M48" i="10" s="1"/>
  <c r="M49" i="8" a="1"/>
  <c r="M49" i="8" s="1"/>
  <c r="M49" i="10" s="1" a="1"/>
  <c r="M49" i="10" s="1"/>
  <c r="M50" i="8" a="1"/>
  <c r="M50" i="8" s="1"/>
  <c r="M50" i="10" s="1" a="1"/>
  <c r="M50" i="10" s="1"/>
  <c r="M51" i="8" a="1"/>
  <c r="M51" i="8" s="1"/>
  <c r="M51" i="10" s="1" a="1"/>
  <c r="M51" i="10" s="1"/>
  <c r="M52" i="8" a="1"/>
  <c r="M52" i="8" s="1"/>
  <c r="M52" i="10" s="1" a="1"/>
  <c r="M52" i="10" s="1"/>
  <c r="M53" i="8" a="1"/>
  <c r="M53" i="8" s="1"/>
  <c r="M53" i="10" s="1" a="1"/>
  <c r="M53" i="10" s="1"/>
  <c r="M54" i="8" a="1"/>
  <c r="M54" i="8" s="1"/>
  <c r="M54" i="10" s="1" a="1"/>
  <c r="M54" i="10" s="1"/>
  <c r="M55" i="8" a="1"/>
  <c r="M55" i="8" s="1"/>
  <c r="M55" i="10" s="1" a="1"/>
  <c r="M55" i="10" s="1"/>
  <c r="M56" i="8" a="1"/>
  <c r="M56" i="8" s="1"/>
  <c r="M56" i="10" s="1" a="1"/>
  <c r="M56" i="10" s="1"/>
  <c r="M57" i="8" a="1"/>
  <c r="M57" i="8" s="1"/>
  <c r="M57" i="10" s="1" a="1"/>
  <c r="M57" i="10" s="1"/>
  <c r="M58" i="8" a="1"/>
  <c r="M58" i="8" s="1"/>
  <c r="M58" i="10" s="1" a="1"/>
  <c r="M58" i="10" s="1"/>
  <c r="M59" i="8" a="1"/>
  <c r="M59" i="8" s="1"/>
  <c r="M59" i="10" s="1" a="1"/>
  <c r="M59" i="10" s="1"/>
  <c r="M60" i="8" a="1"/>
  <c r="M60" i="8" s="1"/>
  <c r="M60" i="10" s="1" a="1"/>
  <c r="M60" i="10" s="1"/>
  <c r="M61" i="8" a="1"/>
  <c r="M61" i="8" s="1"/>
  <c r="M61" i="10" s="1" a="1"/>
  <c r="M61" i="10" s="1"/>
  <c r="M62" i="8" a="1"/>
  <c r="M62" i="8" s="1"/>
  <c r="M62" i="10" s="1" a="1"/>
  <c r="M62" i="10" s="1"/>
  <c r="M63" i="8" a="1"/>
  <c r="M63" i="8" s="1"/>
  <c r="M63" i="10" s="1" a="1"/>
  <c r="M63" i="10" s="1"/>
  <c r="M64" i="8" a="1"/>
  <c r="M64" i="8" s="1"/>
  <c r="M64" i="10" s="1" a="1"/>
  <c r="M64" i="10" s="1"/>
  <c r="M65" i="8" a="1"/>
  <c r="M65" i="8" s="1"/>
  <c r="M65" i="10" s="1" a="1"/>
  <c r="M65" i="10" s="1"/>
  <c r="M66" i="8" a="1"/>
  <c r="M66" i="8" s="1"/>
  <c r="M66" i="10" s="1" a="1"/>
  <c r="M66" i="10" s="1"/>
  <c r="M67" i="8" a="1"/>
  <c r="M67" i="8" s="1"/>
  <c r="M67" i="10" s="1" a="1"/>
  <c r="M67" i="10" s="1"/>
  <c r="M68" i="8" a="1"/>
  <c r="M68" i="8" s="1"/>
  <c r="M68" i="10" s="1" a="1"/>
  <c r="M68" i="10" s="1"/>
  <c r="M69" i="8" a="1"/>
  <c r="M69" i="8" s="1"/>
  <c r="M69" i="10" s="1" a="1"/>
  <c r="M69" i="10" s="1"/>
  <c r="M70" i="8" a="1"/>
  <c r="M70" i="8" s="1"/>
  <c r="M70" i="10" s="1" a="1"/>
  <c r="M70" i="10" s="1"/>
  <c r="M71" i="8" a="1"/>
  <c r="M71" i="8" s="1"/>
  <c r="M71" i="10" s="1" a="1"/>
  <c r="M71" i="10" s="1"/>
  <c r="M72" i="8" a="1"/>
  <c r="M72" i="8" s="1"/>
  <c r="M72" i="10" s="1" a="1"/>
  <c r="M72" i="10" s="1"/>
  <c r="M73" i="8" a="1"/>
  <c r="M73" i="8" s="1"/>
  <c r="M73" i="10" s="1" a="1"/>
  <c r="M73" i="10" s="1"/>
  <c r="M74" i="8" a="1"/>
  <c r="M74" i="8" s="1"/>
  <c r="M74" i="10" s="1" a="1"/>
  <c r="M74" i="10" s="1"/>
  <c r="M75" i="8" a="1"/>
  <c r="M75" i="8" s="1"/>
  <c r="M75" i="10" s="1" a="1"/>
  <c r="M75" i="10" s="1"/>
  <c r="M76" i="8" a="1"/>
  <c r="M76" i="8" s="1"/>
  <c r="M76" i="10" s="1" a="1"/>
  <c r="M76" i="10" s="1"/>
  <c r="M77" i="8" a="1"/>
  <c r="M77" i="8" s="1"/>
  <c r="M77" i="10" s="1" a="1"/>
  <c r="M77" i="10" s="1"/>
  <c r="M78" i="8" a="1"/>
  <c r="M78" i="8" s="1"/>
  <c r="M78" i="10" s="1" a="1"/>
  <c r="M78" i="10" s="1"/>
  <c r="M79" i="8" a="1"/>
  <c r="M79" i="8" s="1"/>
  <c r="M79" i="10" s="1" a="1"/>
  <c r="M79" i="10" s="1"/>
  <c r="M80" i="8" a="1"/>
  <c r="M80" i="8" s="1"/>
  <c r="M80" i="10" s="1" a="1"/>
  <c r="M80" i="10" s="1"/>
  <c r="M81" i="8" a="1"/>
  <c r="M81" i="8" s="1"/>
  <c r="M81" i="10" s="1" a="1"/>
  <c r="M81" i="10" s="1"/>
  <c r="M82" i="8" a="1"/>
  <c r="M82" i="8" s="1"/>
  <c r="M82" i="10" s="1" a="1"/>
  <c r="M82" i="10" s="1"/>
  <c r="M83" i="8" a="1"/>
  <c r="M83" i="8" s="1"/>
  <c r="M83" i="10" s="1" a="1"/>
  <c r="M83" i="10" s="1"/>
  <c r="M84" i="8" a="1"/>
  <c r="M84" i="8" s="1"/>
  <c r="M84" i="10" s="1" a="1"/>
  <c r="M84" i="10" s="1"/>
  <c r="M85" i="8" a="1"/>
  <c r="M85" i="8" s="1"/>
  <c r="M85" i="10" s="1" a="1"/>
  <c r="M85" i="10" s="1"/>
  <c r="M86" i="8" a="1"/>
  <c r="M86" i="8" s="1"/>
  <c r="M86" i="10" s="1" a="1"/>
  <c r="M86" i="10" s="1"/>
  <c r="M87" i="8" a="1"/>
  <c r="M87" i="8" s="1"/>
  <c r="M87" i="10" s="1" a="1"/>
  <c r="M87" i="10" s="1"/>
  <c r="M88" i="8" a="1"/>
  <c r="M88" i="8" s="1"/>
  <c r="M88" i="10" s="1" a="1"/>
  <c r="M88" i="10" s="1"/>
  <c r="M89" i="8" a="1"/>
  <c r="M89" i="8" s="1"/>
  <c r="M89" i="10" s="1" a="1"/>
  <c r="M89" i="10" s="1"/>
  <c r="M90" i="8" a="1"/>
  <c r="M90" i="8" s="1"/>
  <c r="M90" i="10" s="1" a="1"/>
  <c r="M90" i="10" s="1"/>
  <c r="M91" i="8" a="1"/>
  <c r="M91" i="8" s="1"/>
  <c r="M91" i="10" s="1" a="1"/>
  <c r="M91" i="10" s="1"/>
  <c r="M92" i="8" a="1"/>
  <c r="M92" i="8" s="1"/>
  <c r="M92" i="10" s="1" a="1"/>
  <c r="M92" i="10" s="1"/>
  <c r="M93" i="8" a="1"/>
  <c r="M93" i="8" s="1"/>
  <c r="M93" i="10" s="1" a="1"/>
  <c r="M93" i="10" s="1"/>
  <c r="M94" i="8" a="1"/>
  <c r="M94" i="8" s="1"/>
  <c r="M94" i="10" s="1" a="1"/>
  <c r="M94" i="10" s="1"/>
  <c r="M95" i="8" a="1"/>
  <c r="M95" i="8" s="1"/>
  <c r="M95" i="10" s="1" a="1"/>
  <c r="M95" i="10" s="1"/>
  <c r="M96" i="8" a="1"/>
  <c r="M96" i="8" s="1"/>
  <c r="M96" i="10" s="1" a="1"/>
  <c r="M96" i="10" s="1"/>
  <c r="M97" i="8" a="1"/>
  <c r="M97" i="8" s="1"/>
  <c r="M97" i="10" s="1" a="1"/>
  <c r="M97" i="10" s="1"/>
  <c r="M98" i="8" a="1"/>
  <c r="M98" i="8" s="1"/>
  <c r="M98" i="10" s="1" a="1"/>
  <c r="M98" i="10" s="1"/>
  <c r="M99" i="8" a="1"/>
  <c r="M99" i="8" s="1"/>
  <c r="M99" i="10" s="1" a="1"/>
  <c r="M99" i="10" s="1"/>
  <c r="M100" i="8" a="1"/>
  <c r="M100" i="8" s="1"/>
  <c r="M100" i="10" s="1" a="1"/>
  <c r="M100" i="10" s="1"/>
  <c r="M101" i="8" a="1"/>
  <c r="M101" i="8" s="1"/>
  <c r="M101" i="10" s="1" a="1"/>
  <c r="M101" i="10" s="1"/>
  <c r="M102" i="8" a="1"/>
  <c r="M102" i="8" s="1"/>
  <c r="M102" i="10" s="1" a="1"/>
  <c r="M102" i="10" s="1"/>
  <c r="M103" i="8" a="1"/>
  <c r="M103" i="8" s="1"/>
  <c r="M103" i="10" s="1" a="1"/>
  <c r="M103" i="10" s="1"/>
  <c r="M104" i="8" a="1"/>
  <c r="M104" i="8" s="1"/>
  <c r="M104" i="10" s="1" a="1"/>
  <c r="M104" i="10" s="1"/>
  <c r="M105" i="8" a="1"/>
  <c r="M105" i="8" s="1"/>
  <c r="M105" i="10" s="1" a="1"/>
  <c r="M105" i="10" s="1"/>
  <c r="M106" i="8" a="1"/>
  <c r="M106" i="8" s="1"/>
  <c r="M106" i="10" s="1" a="1"/>
  <c r="M106" i="10" s="1"/>
  <c r="M107" i="8" a="1"/>
  <c r="M107" i="8" s="1"/>
  <c r="M107" i="10" s="1" a="1"/>
  <c r="M107" i="10" s="1"/>
  <c r="M108" i="8" a="1"/>
  <c r="M108" i="8" s="1"/>
  <c r="M108" i="10" s="1" a="1"/>
  <c r="M108" i="10" s="1"/>
  <c r="M109" i="8" a="1"/>
  <c r="M109" i="8" s="1"/>
  <c r="M109" i="10" s="1" a="1"/>
  <c r="M109" i="10" s="1"/>
  <c r="M110" i="8" a="1"/>
  <c r="M110" i="8" s="1"/>
  <c r="M110" i="10" s="1" a="1"/>
  <c r="M110" i="10" s="1"/>
  <c r="M111" i="8" a="1"/>
  <c r="M111" i="8" s="1"/>
  <c r="M111" i="10" s="1" a="1"/>
  <c r="M111" i="10" s="1"/>
  <c r="M112" i="8" a="1"/>
  <c r="M112" i="8" s="1"/>
  <c r="M112" i="10" s="1" a="1"/>
  <c r="M112" i="10" s="1"/>
  <c r="M113" i="8" a="1"/>
  <c r="M113" i="8" s="1"/>
  <c r="M113" i="10" s="1" a="1"/>
  <c r="M113" i="10" s="1"/>
  <c r="M114" i="8" a="1"/>
  <c r="M114" i="8" s="1"/>
  <c r="M114" i="10" s="1" a="1"/>
  <c r="M114" i="10" s="1"/>
  <c r="M115" i="8" a="1"/>
  <c r="M115" i="8" s="1"/>
  <c r="M115" i="10" s="1" a="1"/>
  <c r="M115" i="10" s="1"/>
  <c r="M116" i="8" a="1"/>
  <c r="M116" i="8" s="1"/>
  <c r="M116" i="10" s="1" a="1"/>
  <c r="M116" i="10" s="1"/>
  <c r="M117" i="8" a="1"/>
  <c r="M117" i="8" s="1"/>
  <c r="M117" i="10" s="1" a="1"/>
  <c r="M117" i="10" s="1"/>
  <c r="M118" i="8" a="1"/>
  <c r="M118" i="8" s="1"/>
  <c r="M118" i="10" s="1" a="1"/>
  <c r="M118" i="10" s="1"/>
  <c r="M119" i="8" a="1"/>
  <c r="M119" i="8" s="1"/>
  <c r="M119" i="10" s="1" a="1"/>
  <c r="M119" i="10" s="1"/>
  <c r="M120" i="8" a="1"/>
  <c r="M120" i="8" s="1"/>
  <c r="M120" i="10" s="1" a="1"/>
  <c r="M120" i="10" s="1"/>
  <c r="M121" i="8" a="1"/>
  <c r="M121" i="8" s="1"/>
  <c r="M121" i="10" s="1" a="1"/>
  <c r="M121" i="10" s="1"/>
  <c r="M122" i="8" a="1"/>
  <c r="M122" i="8" s="1"/>
  <c r="M122" i="10" s="1" a="1"/>
  <c r="M122" i="10" s="1"/>
  <c r="M123" i="8" a="1"/>
  <c r="M123" i="8" s="1"/>
  <c r="M123" i="10" s="1" a="1"/>
  <c r="M123" i="10" s="1"/>
  <c r="M124" i="8" a="1"/>
  <c r="M124" i="8" s="1"/>
  <c r="M124" i="10" s="1" a="1"/>
  <c r="M124" i="10" s="1"/>
  <c r="M125" i="8" a="1"/>
  <c r="M125" i="8" s="1"/>
  <c r="M125" i="10" s="1" a="1"/>
  <c r="M125" i="10" s="1"/>
  <c r="M126" i="8" a="1"/>
  <c r="M126" i="8" s="1"/>
  <c r="M126" i="10" s="1" a="1"/>
  <c r="M126" i="10" s="1"/>
  <c r="M127" i="8" a="1"/>
  <c r="M127" i="8" s="1"/>
  <c r="M127" i="10" s="1" a="1"/>
  <c r="M127" i="10" s="1"/>
  <c r="M128" i="8" a="1"/>
  <c r="M128" i="8" s="1"/>
  <c r="M128" i="10" s="1" a="1"/>
  <c r="M128" i="10" s="1"/>
  <c r="M129" i="8" a="1"/>
  <c r="M129" i="8" s="1"/>
  <c r="M129" i="10" s="1" a="1"/>
  <c r="M129" i="10" s="1"/>
  <c r="M130" i="8" a="1"/>
  <c r="M130" i="8" s="1"/>
  <c r="M130" i="10" s="1" a="1"/>
  <c r="M130" i="10" s="1"/>
  <c r="M131" i="8" a="1"/>
  <c r="M131" i="8" s="1"/>
  <c r="M131" i="10" s="1" a="1"/>
  <c r="M131" i="10" s="1"/>
  <c r="M132" i="8" a="1"/>
  <c r="M132" i="8" s="1"/>
  <c r="M132" i="10" s="1" a="1"/>
  <c r="M132" i="10" s="1"/>
  <c r="M133" i="8" a="1"/>
  <c r="M133" i="8" s="1"/>
  <c r="M133" i="10" s="1" a="1"/>
  <c r="M133" i="10" s="1"/>
  <c r="M134" i="8" a="1"/>
  <c r="M134" i="8" s="1"/>
  <c r="M134" i="10" s="1" a="1"/>
  <c r="M134" i="10" s="1"/>
  <c r="M135" i="8" a="1"/>
  <c r="M135" i="8" s="1"/>
  <c r="M135" i="10" s="1" a="1"/>
  <c r="M135" i="10" s="1"/>
  <c r="M136" i="8" a="1"/>
  <c r="M136" i="8" s="1"/>
  <c r="M136" i="10" s="1" a="1"/>
  <c r="M136" i="10" s="1"/>
  <c r="M137" i="8" a="1"/>
  <c r="M137" i="8" s="1"/>
  <c r="M137" i="10" s="1" a="1"/>
  <c r="M137" i="10" s="1"/>
  <c r="M138" i="8" a="1"/>
  <c r="M138" i="8" s="1"/>
  <c r="M138" i="10" s="1" a="1"/>
  <c r="M138" i="10" s="1"/>
  <c r="M139" i="8" a="1"/>
  <c r="M139" i="8" s="1"/>
  <c r="M139" i="10" s="1" a="1"/>
  <c r="M139" i="10" s="1"/>
  <c r="M140" i="8" a="1"/>
  <c r="M140" i="8" s="1"/>
  <c r="M140" i="10" s="1" a="1"/>
  <c r="M140" i="10" s="1"/>
  <c r="M141" i="8" a="1"/>
  <c r="M141" i="8" s="1"/>
  <c r="M141" i="10" s="1" a="1"/>
  <c r="M141" i="10" s="1"/>
  <c r="M142" i="8" a="1"/>
  <c r="M142" i="8" s="1"/>
  <c r="M142" i="10" s="1" a="1"/>
  <c r="M142" i="10" s="1"/>
  <c r="M143" i="8" a="1"/>
  <c r="M143" i="8" s="1"/>
  <c r="M143" i="10" s="1" a="1"/>
  <c r="M143" i="10" s="1"/>
  <c r="M144" i="8" a="1"/>
  <c r="M144" i="8" s="1"/>
  <c r="M144" i="10" s="1" a="1"/>
  <c r="M144" i="10" s="1"/>
  <c r="M145" i="8" a="1"/>
  <c r="M145" i="8" s="1"/>
  <c r="M145" i="10" s="1" a="1"/>
  <c r="M145" i="10" s="1"/>
  <c r="M146" i="8" a="1"/>
  <c r="M146" i="8" s="1"/>
  <c r="M146" i="10" s="1" a="1"/>
  <c r="M146" i="10" s="1"/>
  <c r="M147" i="8" a="1"/>
  <c r="M147" i="8" s="1"/>
  <c r="M147" i="10" s="1" a="1"/>
  <c r="M147" i="10" s="1"/>
  <c r="M148" i="8" a="1"/>
  <c r="M148" i="8" s="1"/>
  <c r="M148" i="10" s="1" a="1"/>
  <c r="M148" i="10" s="1"/>
  <c r="M149" i="8" a="1"/>
  <c r="M149" i="8" s="1"/>
  <c r="M149" i="10" s="1" a="1"/>
  <c r="M149" i="10" s="1"/>
  <c r="M150" i="8" a="1"/>
  <c r="M150" i="8" s="1"/>
  <c r="M150" i="10" s="1" a="1"/>
  <c r="M150" i="10" s="1"/>
  <c r="M151" i="8" a="1"/>
  <c r="M151" i="8" s="1"/>
  <c r="M151" i="10" s="1" a="1"/>
  <c r="M151" i="10" s="1"/>
  <c r="M152" i="8" a="1"/>
  <c r="M152" i="8" s="1"/>
  <c r="M152" i="10" s="1" a="1"/>
  <c r="M152" i="10" s="1"/>
  <c r="M153" i="8" a="1"/>
  <c r="M153" i="8" s="1"/>
  <c r="M153" i="10" s="1" a="1"/>
  <c r="M153" i="10" s="1"/>
  <c r="M154" i="8" a="1"/>
  <c r="M154" i="8" s="1"/>
  <c r="M154" i="10" s="1" a="1"/>
  <c r="M154" i="10" s="1"/>
  <c r="M155" i="8" a="1"/>
  <c r="M155" i="8" s="1"/>
  <c r="M155" i="10" s="1" a="1"/>
  <c r="M155" i="10" s="1"/>
  <c r="M156" i="8" a="1"/>
  <c r="M156" i="8" s="1"/>
  <c r="M156" i="10" s="1" a="1"/>
  <c r="M156" i="10" s="1"/>
  <c r="M157" i="8" a="1"/>
  <c r="M157" i="8" s="1"/>
  <c r="M157" i="10" s="1" a="1"/>
  <c r="M157" i="10" s="1"/>
  <c r="M158" i="8" a="1"/>
  <c r="M158" i="8" s="1"/>
  <c r="M158" i="10" s="1" a="1"/>
  <c r="M158" i="10" s="1"/>
  <c r="M159" i="8" a="1"/>
  <c r="M159" i="8" s="1"/>
  <c r="M159" i="10" s="1" a="1"/>
  <c r="M159" i="10" s="1"/>
  <c r="M160" i="8" a="1"/>
  <c r="M160" i="8" s="1"/>
  <c r="M160" i="10" s="1" a="1"/>
  <c r="M160" i="10" s="1"/>
  <c r="M161" i="8" a="1"/>
  <c r="M161" i="8" s="1"/>
  <c r="M161" i="10" s="1" a="1"/>
  <c r="M161" i="10" s="1"/>
  <c r="M162" i="8" a="1"/>
  <c r="M162" i="8" s="1"/>
  <c r="M162" i="10" s="1" a="1"/>
  <c r="M162" i="10" s="1"/>
  <c r="M163" i="8" a="1"/>
  <c r="M163" i="8" s="1"/>
  <c r="M163" i="10" s="1" a="1"/>
  <c r="M163" i="10" s="1"/>
  <c r="M164" i="8" a="1"/>
  <c r="M164" i="8" s="1"/>
  <c r="M164" i="10" s="1" a="1"/>
  <c r="M164" i="10" s="1"/>
  <c r="M165" i="8" a="1"/>
  <c r="M165" i="8" s="1"/>
  <c r="M165" i="10" s="1" a="1"/>
  <c r="M165" i="10" s="1"/>
  <c r="M166" i="8" a="1"/>
  <c r="M166" i="8" s="1"/>
  <c r="M166" i="10" s="1" a="1"/>
  <c r="M166" i="10" s="1"/>
  <c r="M167" i="8" a="1"/>
  <c r="M167" i="8" s="1"/>
  <c r="M167" i="10" s="1" a="1"/>
  <c r="M167" i="10" s="1"/>
  <c r="M168" i="8" a="1"/>
  <c r="M168" i="8" s="1"/>
  <c r="M168" i="10" s="1" a="1"/>
  <c r="M168" i="10" s="1"/>
  <c r="M169" i="8" a="1"/>
  <c r="M169" i="8" s="1"/>
  <c r="M169" i="10" s="1" a="1"/>
  <c r="M169" i="10" s="1"/>
  <c r="M170" i="8" a="1"/>
  <c r="M170" i="8" s="1"/>
  <c r="M170" i="10" s="1" a="1"/>
  <c r="M170" i="10" s="1"/>
  <c r="M171" i="8" a="1"/>
  <c r="M171" i="8" s="1"/>
  <c r="M171" i="10" s="1" a="1"/>
  <c r="M171" i="10" s="1"/>
  <c r="M172" i="8" a="1"/>
  <c r="M172" i="8" s="1"/>
  <c r="M172" i="10" s="1" a="1"/>
  <c r="M172" i="10" s="1"/>
  <c r="M173" i="8" a="1"/>
  <c r="M173" i="8" s="1"/>
  <c r="M173" i="10" s="1" a="1"/>
  <c r="M173" i="10" s="1"/>
  <c r="M174" i="8" a="1"/>
  <c r="M174" i="8" s="1"/>
  <c r="M174" i="10" s="1" a="1"/>
  <c r="M174" i="10" s="1"/>
  <c r="M175" i="8" a="1"/>
  <c r="M175" i="8" s="1"/>
  <c r="M175" i="10" s="1" a="1"/>
  <c r="M175" i="10" s="1"/>
  <c r="M176" i="8" a="1"/>
  <c r="M176" i="8" s="1"/>
  <c r="M176" i="10" s="1" a="1"/>
  <c r="M176" i="10" s="1"/>
  <c r="M177" i="8" a="1"/>
  <c r="M177" i="8" s="1"/>
  <c r="M177" i="10" s="1" a="1"/>
  <c r="M177" i="10" s="1"/>
  <c r="M178" i="8" a="1"/>
  <c r="M178" i="8" s="1"/>
  <c r="M178" i="10" s="1" a="1"/>
  <c r="M178" i="10" s="1"/>
  <c r="M179" i="8" a="1"/>
  <c r="M179" i="8" s="1"/>
  <c r="M179" i="10" s="1" a="1"/>
  <c r="M179" i="10" s="1"/>
  <c r="M180" i="8" a="1"/>
  <c r="M180" i="8" s="1"/>
  <c r="M180" i="10" s="1" a="1"/>
  <c r="M180" i="10" s="1"/>
  <c r="M181" i="8" a="1"/>
  <c r="M181" i="8" s="1"/>
  <c r="M181" i="10" s="1" a="1"/>
  <c r="M181" i="10" s="1"/>
  <c r="M182" i="8" a="1"/>
  <c r="M182" i="8" s="1"/>
  <c r="M182" i="10" s="1" a="1"/>
  <c r="M182" i="10" s="1"/>
  <c r="M183" i="8" a="1"/>
  <c r="M183" i="8" s="1"/>
  <c r="M183" i="10" s="1" a="1"/>
  <c r="M183" i="10" s="1"/>
  <c r="M184" i="8" a="1"/>
  <c r="M184" i="8" s="1"/>
  <c r="M184" i="10" s="1" a="1"/>
  <c r="M184" i="10" s="1"/>
  <c r="M185" i="8" a="1"/>
  <c r="M185" i="8" s="1"/>
  <c r="M185" i="10" s="1" a="1"/>
  <c r="M185" i="10" s="1"/>
  <c r="M186" i="8" a="1"/>
  <c r="M186" i="8" s="1"/>
  <c r="M186" i="10" s="1" a="1"/>
  <c r="M186" i="10" s="1"/>
  <c r="M187" i="8" a="1"/>
  <c r="M187" i="8" s="1"/>
  <c r="M187" i="10" s="1" a="1"/>
  <c r="M187" i="10" s="1"/>
  <c r="M188" i="8" a="1"/>
  <c r="M188" i="8" s="1"/>
  <c r="M188" i="10" s="1" a="1"/>
  <c r="M188" i="10" s="1"/>
  <c r="M189" i="8" a="1"/>
  <c r="M189" i="8" s="1"/>
  <c r="M189" i="10" s="1" a="1"/>
  <c r="M189" i="10" s="1"/>
  <c r="M190" i="8" a="1"/>
  <c r="M190" i="8" s="1"/>
  <c r="M190" i="10" s="1" a="1"/>
  <c r="M190" i="10" s="1"/>
  <c r="M191" i="8" a="1"/>
  <c r="M191" i="8" s="1"/>
  <c r="M191" i="10" s="1" a="1"/>
  <c r="M191" i="10" s="1"/>
  <c r="M192" i="8" a="1"/>
  <c r="M192" i="8" s="1"/>
  <c r="M192" i="10" s="1" a="1"/>
  <c r="M192" i="10" s="1"/>
  <c r="M193" i="8" a="1"/>
  <c r="M193" i="8" s="1"/>
  <c r="M193" i="10" s="1" a="1"/>
  <c r="M193" i="10" s="1"/>
  <c r="M194" i="8" a="1"/>
  <c r="M194" i="8" s="1"/>
  <c r="M194" i="10" s="1" a="1"/>
  <c r="M194" i="10" s="1"/>
  <c r="M195" i="8" a="1"/>
  <c r="M195" i="8" s="1"/>
  <c r="M195" i="10" s="1" a="1"/>
  <c r="M195" i="10" s="1"/>
  <c r="M196" i="8" a="1"/>
  <c r="M196" i="8" s="1"/>
  <c r="M196" i="10" s="1" a="1"/>
  <c r="M196" i="10" s="1"/>
  <c r="M197" i="8" a="1"/>
  <c r="M197" i="8" s="1"/>
  <c r="M197" i="10" s="1" a="1"/>
  <c r="M197" i="10" s="1"/>
  <c r="M198" i="8" a="1"/>
  <c r="M198" i="8" s="1"/>
  <c r="M198" i="10" s="1" a="1"/>
  <c r="M198" i="10" s="1"/>
  <c r="M199" i="8" a="1"/>
  <c r="M199" i="8" s="1"/>
  <c r="M199" i="10" s="1" a="1"/>
  <c r="M199" i="10" s="1"/>
  <c r="M200" i="8" a="1"/>
  <c r="M200" i="8" s="1"/>
  <c r="M200" i="10" s="1" a="1"/>
  <c r="M200" i="10" s="1"/>
  <c r="M201" i="8" a="1"/>
  <c r="M201" i="8" s="1"/>
  <c r="M201" i="10" s="1" a="1"/>
  <c r="M201" i="10" s="1"/>
  <c r="M202" i="8" a="1"/>
  <c r="M202" i="8" s="1"/>
  <c r="M202" i="10" s="1" a="1"/>
  <c r="M202" i="10" s="1"/>
  <c r="M203" i="8" a="1"/>
  <c r="M203" i="8" s="1"/>
  <c r="M203" i="10" s="1" a="1"/>
  <c r="M203" i="10" s="1"/>
  <c r="M204" i="8" a="1"/>
  <c r="M204" i="8" s="1"/>
  <c r="M204" i="10" s="1" a="1"/>
  <c r="M204" i="10" s="1"/>
  <c r="M205" i="8" a="1"/>
  <c r="M205" i="8" s="1"/>
  <c r="M205" i="10" s="1" a="1"/>
  <c r="M205" i="10" s="1"/>
  <c r="M206" i="8" a="1"/>
  <c r="M206" i="8" s="1"/>
  <c r="M206" i="10" s="1" a="1"/>
  <c r="M206" i="10" s="1"/>
  <c r="M207" i="8" a="1"/>
  <c r="M207" i="8" s="1"/>
  <c r="M207" i="10" s="1" a="1"/>
  <c r="M207" i="10" s="1"/>
  <c r="M208" i="8" a="1"/>
  <c r="M208" i="8" s="1"/>
  <c r="M208" i="10" s="1" a="1"/>
  <c r="M208" i="10" s="1"/>
  <c r="M209" i="8" a="1"/>
  <c r="M209" i="8" s="1"/>
  <c r="M209" i="10" s="1" a="1"/>
  <c r="M209" i="10" s="1"/>
  <c r="M210" i="8" a="1"/>
  <c r="M210" i="8" s="1"/>
  <c r="M210" i="10" s="1" a="1"/>
  <c r="M210" i="10" s="1"/>
  <c r="M211" i="8" a="1"/>
  <c r="M211" i="8" s="1"/>
  <c r="M211" i="10" s="1" a="1"/>
  <c r="M211" i="10" s="1"/>
  <c r="M212" i="8" a="1"/>
  <c r="M212" i="8" s="1"/>
  <c r="M212" i="10" s="1" a="1"/>
  <c r="M212" i="10" s="1"/>
  <c r="M213" i="8" a="1"/>
  <c r="M213" i="8" s="1"/>
  <c r="M213" i="10" s="1" a="1"/>
  <c r="M213" i="10" s="1"/>
  <c r="M214" i="8" a="1"/>
  <c r="M214" i="8" s="1"/>
  <c r="M214" i="10" s="1" a="1"/>
  <c r="M214" i="10" s="1"/>
  <c r="M215" i="8" a="1"/>
  <c r="M215" i="8" s="1"/>
  <c r="M215" i="10" s="1" a="1"/>
  <c r="M215" i="10" s="1"/>
  <c r="M216" i="8" a="1"/>
  <c r="M216" i="8" s="1"/>
  <c r="M216" i="10" s="1" a="1"/>
  <c r="M216" i="10" s="1"/>
  <c r="M217" i="8" a="1"/>
  <c r="M217" i="8" s="1"/>
  <c r="M217" i="10" s="1" a="1"/>
  <c r="M217" i="10" s="1"/>
  <c r="M218" i="8" a="1"/>
  <c r="M218" i="8" s="1"/>
  <c r="M218" i="10" s="1" a="1"/>
  <c r="M218" i="10" s="1"/>
  <c r="M219" i="8" a="1"/>
  <c r="M219" i="8" s="1"/>
  <c r="M219" i="10" s="1" a="1"/>
  <c r="M219" i="10" s="1"/>
  <c r="M220" i="8" a="1"/>
  <c r="M220" i="8" s="1"/>
  <c r="M220" i="10" s="1" a="1"/>
  <c r="M220" i="10" s="1"/>
  <c r="M221" i="8" a="1"/>
  <c r="M221" i="8" s="1"/>
  <c r="M221" i="10" s="1" a="1"/>
  <c r="M221" i="10" s="1"/>
  <c r="M222" i="8" a="1"/>
  <c r="M222" i="8" s="1"/>
  <c r="M222" i="10" s="1" a="1"/>
  <c r="M222" i="10" s="1"/>
  <c r="M223" i="8" a="1"/>
  <c r="M223" i="8" s="1"/>
  <c r="M223" i="10" s="1" a="1"/>
  <c r="M223" i="10" s="1"/>
  <c r="M224" i="8" a="1"/>
  <c r="M224" i="8" s="1"/>
  <c r="M224" i="10" s="1" a="1"/>
  <c r="M224" i="10" s="1"/>
  <c r="M225" i="8" a="1"/>
  <c r="M225" i="8" s="1"/>
  <c r="M225" i="10" s="1" a="1"/>
  <c r="M225" i="10" s="1"/>
  <c r="M226" i="8" a="1"/>
  <c r="M226" i="8" s="1"/>
  <c r="M226" i="10" s="1" a="1"/>
  <c r="M226" i="10" s="1"/>
  <c r="M227" i="8" a="1"/>
  <c r="M227" i="8" s="1"/>
  <c r="M227" i="10" s="1" a="1"/>
  <c r="M227" i="10" s="1"/>
  <c r="M228" i="8" a="1"/>
  <c r="M228" i="8" s="1"/>
  <c r="M228" i="10" s="1" a="1"/>
  <c r="M228" i="10" s="1"/>
  <c r="M229" i="8" a="1"/>
  <c r="M229" i="8" s="1"/>
  <c r="M229" i="10" s="1" a="1"/>
  <c r="M229" i="10" s="1"/>
  <c r="M230" i="8" a="1"/>
  <c r="M230" i="8" s="1"/>
  <c r="M230" i="10" s="1" a="1"/>
  <c r="M230" i="10" s="1"/>
  <c r="M231" i="8" a="1"/>
  <c r="M231" i="8" s="1"/>
  <c r="M231" i="10" s="1" a="1"/>
  <c r="M231" i="10" s="1"/>
  <c r="M232" i="8" a="1"/>
  <c r="M232" i="8" s="1"/>
  <c r="M232" i="10" s="1" a="1"/>
  <c r="M232" i="10" s="1"/>
  <c r="M233" i="8" a="1"/>
  <c r="M233" i="8" s="1"/>
  <c r="M233" i="10" s="1" a="1"/>
  <c r="M233" i="10" s="1"/>
  <c r="M234" i="8" a="1"/>
  <c r="M234" i="8" s="1"/>
  <c r="M234" i="10" s="1" a="1"/>
  <c r="M234" i="10" s="1"/>
  <c r="M235" i="8" a="1"/>
  <c r="M235" i="8" s="1"/>
  <c r="M235" i="10" s="1" a="1"/>
  <c r="M235" i="10" s="1"/>
  <c r="M236" i="8" a="1"/>
  <c r="M236" i="8" s="1"/>
  <c r="M236" i="10" s="1" a="1"/>
  <c r="M236" i="10" s="1"/>
  <c r="M237" i="8" a="1"/>
  <c r="M237" i="8" s="1"/>
  <c r="M237" i="10" s="1" a="1"/>
  <c r="M237" i="10" s="1"/>
  <c r="M238" i="8" a="1"/>
  <c r="M238" i="8" s="1"/>
  <c r="M238" i="10" s="1" a="1"/>
  <c r="M238" i="10" s="1"/>
  <c r="M239" i="8" a="1"/>
  <c r="M239" i="8" s="1"/>
  <c r="M239" i="10" s="1" a="1"/>
  <c r="M239" i="10" s="1"/>
  <c r="M240" i="8" a="1"/>
  <c r="M240" i="8" s="1"/>
  <c r="M240" i="10" s="1" a="1"/>
  <c r="M240" i="10" s="1"/>
  <c r="M241" i="8" a="1"/>
  <c r="M241" i="8" s="1"/>
  <c r="M241" i="10" s="1" a="1"/>
  <c r="M241" i="10" s="1"/>
  <c r="M242" i="8" a="1"/>
  <c r="M242" i="8" s="1"/>
  <c r="M242" i="10" s="1" a="1"/>
  <c r="M242" i="10" s="1"/>
  <c r="M243" i="8" a="1"/>
  <c r="M243" i="8" s="1"/>
  <c r="M243" i="10" s="1" a="1"/>
  <c r="M243" i="10" s="1"/>
  <c r="M244" i="8" a="1"/>
  <c r="M244" i="8" s="1"/>
  <c r="M244" i="10" s="1" a="1"/>
  <c r="M244" i="10" s="1"/>
  <c r="M245" i="8" a="1"/>
  <c r="M245" i="8" s="1"/>
  <c r="M245" i="10" s="1" a="1"/>
  <c r="M245" i="10" s="1"/>
  <c r="M246" i="8" a="1"/>
  <c r="M246" i="8" s="1"/>
  <c r="M246" i="10" s="1" a="1"/>
  <c r="M246" i="10" s="1"/>
  <c r="M247" i="8" a="1"/>
  <c r="M247" i="8" s="1"/>
  <c r="M247" i="10" s="1" a="1"/>
  <c r="M247" i="10" s="1"/>
  <c r="M248" i="8" a="1"/>
  <c r="M248" i="8" s="1"/>
  <c r="M248" i="10" s="1" a="1"/>
  <c r="M248" i="10" s="1"/>
  <c r="M249" i="8" a="1"/>
  <c r="M249" i="8" s="1"/>
  <c r="M249" i="10" s="1" a="1"/>
  <c r="M249" i="10" s="1"/>
  <c r="M250" i="8" a="1"/>
  <c r="M250" i="8" s="1"/>
  <c r="M250" i="10" s="1" a="1"/>
  <c r="M250" i="10" s="1"/>
  <c r="M251" i="8" a="1"/>
  <c r="M251" i="8" s="1"/>
  <c r="M251" i="10" s="1" a="1"/>
  <c r="M251" i="10" s="1"/>
  <c r="L13" i="8" a="1"/>
  <c r="L13" i="8" s="1"/>
  <c r="L14" i="8" a="1"/>
  <c r="L14" i="8" s="1"/>
  <c r="L15" i="8" a="1"/>
  <c r="L15" i="8" s="1"/>
  <c r="L16" i="8" a="1"/>
  <c r="L16" i="8" s="1"/>
  <c r="L17" i="8" a="1"/>
  <c r="L17" i="8" s="1"/>
  <c r="L18" i="8" a="1"/>
  <c r="L18" i="8" s="1"/>
  <c r="L19" i="8" a="1"/>
  <c r="L19" i="8" s="1"/>
  <c r="L20" i="8" a="1"/>
  <c r="L20" i="8" s="1"/>
  <c r="L21" i="8" a="1"/>
  <c r="L21" i="8" s="1"/>
  <c r="L22" i="8" a="1"/>
  <c r="L22" i="8" s="1"/>
  <c r="L23" i="8" a="1"/>
  <c r="L23" i="8" s="1"/>
  <c r="L24" i="8" a="1"/>
  <c r="L24" i="8" s="1"/>
  <c r="L25" i="8" a="1"/>
  <c r="L25" i="8" s="1"/>
  <c r="L26" i="8" a="1"/>
  <c r="L26" i="8" s="1"/>
  <c r="L27" i="8" a="1"/>
  <c r="L27" i="8" s="1"/>
  <c r="L28" i="8" a="1"/>
  <c r="L28" i="8" s="1"/>
  <c r="L29" i="8" a="1"/>
  <c r="L29" i="8" s="1"/>
  <c r="L30" i="8" a="1"/>
  <c r="L30" i="8" s="1"/>
  <c r="L31" i="8" a="1"/>
  <c r="L31" i="8" s="1"/>
  <c r="L32" i="8" a="1"/>
  <c r="L32" i="8" s="1"/>
  <c r="L33" i="8" a="1"/>
  <c r="L33" i="8" s="1"/>
  <c r="L34" i="8" a="1"/>
  <c r="L34" i="8" s="1"/>
  <c r="L35" i="8" a="1"/>
  <c r="L35" i="8" s="1"/>
  <c r="L36" i="8" a="1"/>
  <c r="L36" i="8" s="1"/>
  <c r="L37" i="8" a="1"/>
  <c r="L37" i="8" s="1"/>
  <c r="L38" i="8" a="1"/>
  <c r="L38" i="8" s="1"/>
  <c r="L39" i="8" a="1"/>
  <c r="L39" i="8" s="1"/>
  <c r="L40" i="8" a="1"/>
  <c r="L40" i="8" s="1"/>
  <c r="L41" i="8" a="1"/>
  <c r="L41" i="8" s="1"/>
  <c r="L42" i="8" a="1"/>
  <c r="L42" i="8" s="1"/>
  <c r="L43" i="8" a="1"/>
  <c r="L43" i="8" s="1"/>
  <c r="L44" i="8" a="1"/>
  <c r="L44" i="8" s="1"/>
  <c r="L45" i="8" a="1"/>
  <c r="L45" i="8" s="1"/>
  <c r="L46" i="8" a="1"/>
  <c r="L46" i="8" s="1"/>
  <c r="L47" i="8" a="1"/>
  <c r="L47" i="8" s="1"/>
  <c r="L48" i="8" a="1"/>
  <c r="L48" i="8" s="1"/>
  <c r="L49" i="8" a="1"/>
  <c r="L49" i="8" s="1"/>
  <c r="L50" i="8" a="1"/>
  <c r="L50" i="8" s="1"/>
  <c r="L51" i="8" a="1"/>
  <c r="L51" i="8" s="1"/>
  <c r="L52" i="8" a="1"/>
  <c r="L52" i="8" s="1"/>
  <c r="L53" i="8" a="1"/>
  <c r="L53" i="8" s="1"/>
  <c r="L54" i="8" a="1"/>
  <c r="L54" i="8" s="1"/>
  <c r="L55" i="8" a="1"/>
  <c r="L55" i="8" s="1"/>
  <c r="L56" i="8" a="1"/>
  <c r="L56" i="8" s="1"/>
  <c r="L57" i="8" a="1"/>
  <c r="L57" i="8" s="1"/>
  <c r="L58" i="8" a="1"/>
  <c r="L58" i="8" s="1"/>
  <c r="L59" i="8" a="1"/>
  <c r="L59" i="8" s="1"/>
  <c r="L60" i="8" a="1"/>
  <c r="L60" i="8" s="1"/>
  <c r="L61" i="8" a="1"/>
  <c r="L61" i="8" s="1"/>
  <c r="L62" i="8" a="1"/>
  <c r="L62" i="8" s="1"/>
  <c r="L63" i="8" a="1"/>
  <c r="L63" i="8" s="1"/>
  <c r="L64" i="8" a="1"/>
  <c r="L64" i="8" s="1"/>
  <c r="L65" i="8" a="1"/>
  <c r="L65" i="8" s="1"/>
  <c r="L66" i="8" a="1"/>
  <c r="L66" i="8" s="1"/>
  <c r="L67" i="8" a="1"/>
  <c r="L67" i="8" s="1"/>
  <c r="L68" i="8" a="1"/>
  <c r="L68" i="8" s="1"/>
  <c r="L69" i="8" a="1"/>
  <c r="L69" i="8" s="1"/>
  <c r="L70" i="8" a="1"/>
  <c r="L70" i="8" s="1"/>
  <c r="L71" i="8" a="1"/>
  <c r="L71" i="8" s="1"/>
  <c r="L72" i="8" a="1"/>
  <c r="L72" i="8" s="1"/>
  <c r="L73" i="8" a="1"/>
  <c r="L73" i="8" s="1"/>
  <c r="L74" i="8" a="1"/>
  <c r="L74" i="8" s="1"/>
  <c r="L75" i="8" a="1"/>
  <c r="L75" i="8" s="1"/>
  <c r="L76" i="8" a="1"/>
  <c r="L76" i="8" s="1"/>
  <c r="L77" i="8" a="1"/>
  <c r="L77" i="8" s="1"/>
  <c r="L78" i="8" a="1"/>
  <c r="L78" i="8" s="1"/>
  <c r="L79" i="8" a="1"/>
  <c r="L79" i="8" s="1"/>
  <c r="L80" i="8" a="1"/>
  <c r="L80" i="8" s="1"/>
  <c r="L81" i="8" a="1"/>
  <c r="L81" i="8" s="1"/>
  <c r="L82" i="8" a="1"/>
  <c r="L82" i="8" s="1"/>
  <c r="L83" i="8" a="1"/>
  <c r="L83" i="8" s="1"/>
  <c r="L84" i="8" a="1"/>
  <c r="L84" i="8" s="1"/>
  <c r="L85" i="8" a="1"/>
  <c r="L85" i="8" s="1"/>
  <c r="L86" i="8" a="1"/>
  <c r="L86" i="8" s="1"/>
  <c r="L87" i="8" a="1"/>
  <c r="L87" i="8" s="1"/>
  <c r="L88" i="8" a="1"/>
  <c r="L88" i="8" s="1"/>
  <c r="L89" i="8" a="1"/>
  <c r="L89" i="8" s="1"/>
  <c r="L90" i="8" a="1"/>
  <c r="L90" i="8" s="1"/>
  <c r="L91" i="8" a="1"/>
  <c r="L91" i="8" s="1"/>
  <c r="L92" i="8" a="1"/>
  <c r="L92" i="8" s="1"/>
  <c r="L93" i="8" a="1"/>
  <c r="L93" i="8" s="1"/>
  <c r="L94" i="8" a="1"/>
  <c r="L94" i="8" s="1"/>
  <c r="L95" i="8" a="1"/>
  <c r="L95" i="8" s="1"/>
  <c r="L96" i="8" a="1"/>
  <c r="L96" i="8" s="1"/>
  <c r="L97" i="8" a="1"/>
  <c r="L97" i="8" s="1"/>
  <c r="L98" i="8" a="1"/>
  <c r="L98" i="8" s="1"/>
  <c r="L99" i="8" a="1"/>
  <c r="L99" i="8" s="1"/>
  <c r="L100" i="8" a="1"/>
  <c r="L100" i="8" s="1"/>
  <c r="L101" i="8" a="1"/>
  <c r="L101" i="8" s="1"/>
  <c r="L102" i="8" a="1"/>
  <c r="L102" i="8" s="1"/>
  <c r="L103" i="8" a="1"/>
  <c r="L103" i="8" s="1"/>
  <c r="L104" i="8" a="1"/>
  <c r="L104" i="8" s="1"/>
  <c r="L105" i="8" a="1"/>
  <c r="L105" i="8" s="1"/>
  <c r="L106" i="8" a="1"/>
  <c r="L106" i="8" s="1"/>
  <c r="L107" i="8" a="1"/>
  <c r="L107" i="8" s="1"/>
  <c r="L108" i="8" a="1"/>
  <c r="L108" i="8" s="1"/>
  <c r="L109" i="8" a="1"/>
  <c r="L109" i="8" s="1"/>
  <c r="L110" i="8" a="1"/>
  <c r="L110" i="8" s="1"/>
  <c r="L111" i="8" a="1"/>
  <c r="L111" i="8" s="1"/>
  <c r="L112" i="8" a="1"/>
  <c r="L112" i="8" s="1"/>
  <c r="L113" i="8" a="1"/>
  <c r="L113" i="8" s="1"/>
  <c r="L114" i="8" a="1"/>
  <c r="L114" i="8" s="1"/>
  <c r="L115" i="8" a="1"/>
  <c r="L115" i="8" s="1"/>
  <c r="L116" i="8" a="1"/>
  <c r="L116" i="8" s="1"/>
  <c r="L117" i="8" a="1"/>
  <c r="L117" i="8" s="1"/>
  <c r="L118" i="8" a="1"/>
  <c r="L118" i="8" s="1"/>
  <c r="L119" i="8" a="1"/>
  <c r="L119" i="8" s="1"/>
  <c r="L120" i="8" a="1"/>
  <c r="L120" i="8" s="1"/>
  <c r="L121" i="8" a="1"/>
  <c r="L121" i="8" s="1"/>
  <c r="L122" i="8" a="1"/>
  <c r="L122" i="8" s="1"/>
  <c r="L123" i="8" a="1"/>
  <c r="L123" i="8" s="1"/>
  <c r="L124" i="8" a="1"/>
  <c r="L124" i="8" s="1"/>
  <c r="L125" i="8" a="1"/>
  <c r="L125" i="8" s="1"/>
  <c r="L126" i="8" a="1"/>
  <c r="L126" i="8" s="1"/>
  <c r="L127" i="8" a="1"/>
  <c r="L127" i="8" s="1"/>
  <c r="L128" i="8" a="1"/>
  <c r="L128" i="8" s="1"/>
  <c r="L129" i="8" a="1"/>
  <c r="L129" i="8" s="1"/>
  <c r="L130" i="8" a="1"/>
  <c r="L130" i="8" s="1"/>
  <c r="L131" i="8" a="1"/>
  <c r="L131" i="8" s="1"/>
  <c r="L132" i="8" a="1"/>
  <c r="L132" i="8" s="1"/>
  <c r="L133" i="8" a="1"/>
  <c r="L133" i="8" s="1"/>
  <c r="L134" i="8" a="1"/>
  <c r="L134" i="8" s="1"/>
  <c r="L135" i="8" a="1"/>
  <c r="L135" i="8" s="1"/>
  <c r="L136" i="8" a="1"/>
  <c r="L136" i="8" s="1"/>
  <c r="L137" i="8" a="1"/>
  <c r="L137" i="8" s="1"/>
  <c r="L138" i="8" a="1"/>
  <c r="L138" i="8" s="1"/>
  <c r="L139" i="8" a="1"/>
  <c r="L139" i="8" s="1"/>
  <c r="L140" i="8" a="1"/>
  <c r="L140" i="8" s="1"/>
  <c r="L141" i="8" a="1"/>
  <c r="L141" i="8" s="1"/>
  <c r="L142" i="8" a="1"/>
  <c r="L142" i="8" s="1"/>
  <c r="L143" i="8" a="1"/>
  <c r="L143" i="8" s="1"/>
  <c r="L144" i="8" a="1"/>
  <c r="L144" i="8" s="1"/>
  <c r="L145" i="8" a="1"/>
  <c r="L145" i="8" s="1"/>
  <c r="L146" i="8" a="1"/>
  <c r="L146" i="8" s="1"/>
  <c r="L147" i="8" a="1"/>
  <c r="L147" i="8" s="1"/>
  <c r="L148" i="8" a="1"/>
  <c r="L148" i="8" s="1"/>
  <c r="L149" i="8" a="1"/>
  <c r="L149" i="8" s="1"/>
  <c r="L150" i="8" a="1"/>
  <c r="L150" i="8" s="1"/>
  <c r="L151" i="8" a="1"/>
  <c r="L151" i="8" s="1"/>
  <c r="L152" i="8" a="1"/>
  <c r="L152" i="8" s="1"/>
  <c r="L153" i="8" a="1"/>
  <c r="L153" i="8" s="1"/>
  <c r="L154" i="8" a="1"/>
  <c r="L154" i="8" s="1"/>
  <c r="L155" i="8" a="1"/>
  <c r="L155" i="8" s="1"/>
  <c r="L156" i="8" a="1"/>
  <c r="L156" i="8" s="1"/>
  <c r="L157" i="8" a="1"/>
  <c r="L157" i="8" s="1"/>
  <c r="L158" i="8" a="1"/>
  <c r="L158" i="8" s="1"/>
  <c r="L159" i="8" a="1"/>
  <c r="L159" i="8" s="1"/>
  <c r="L160" i="8" a="1"/>
  <c r="L160" i="8" s="1"/>
  <c r="L161" i="8" a="1"/>
  <c r="L161" i="8" s="1"/>
  <c r="L162" i="8" a="1"/>
  <c r="L162" i="8" s="1"/>
  <c r="L163" i="8" a="1"/>
  <c r="L163" i="8" s="1"/>
  <c r="L164" i="8" a="1"/>
  <c r="L164" i="8" s="1"/>
  <c r="L165" i="8" a="1"/>
  <c r="L165" i="8" s="1"/>
  <c r="L166" i="8" a="1"/>
  <c r="L166" i="8" s="1"/>
  <c r="L167" i="8" a="1"/>
  <c r="L167" i="8" s="1"/>
  <c r="L168" i="8" a="1"/>
  <c r="L168" i="8" s="1"/>
  <c r="L169" i="8" a="1"/>
  <c r="L169" i="8" s="1"/>
  <c r="L170" i="8" a="1"/>
  <c r="L170" i="8" s="1"/>
  <c r="L171" i="8" a="1"/>
  <c r="L171" i="8" s="1"/>
  <c r="L172" i="8" a="1"/>
  <c r="L172" i="8" s="1"/>
  <c r="L173" i="8" a="1"/>
  <c r="L173" i="8" s="1"/>
  <c r="L174" i="8" a="1"/>
  <c r="L174" i="8" s="1"/>
  <c r="L175" i="8" a="1"/>
  <c r="L175" i="8" s="1"/>
  <c r="L176" i="8" a="1"/>
  <c r="L176" i="8" s="1"/>
  <c r="L177" i="8" a="1"/>
  <c r="L177" i="8" s="1"/>
  <c r="L178" i="8" a="1"/>
  <c r="L178" i="8" s="1"/>
  <c r="L179" i="8" a="1"/>
  <c r="L179" i="8" s="1"/>
  <c r="L180" i="8" a="1"/>
  <c r="L180" i="8" s="1"/>
  <c r="L181" i="8" a="1"/>
  <c r="L181" i="8" s="1"/>
  <c r="L182" i="8" a="1"/>
  <c r="L182" i="8" s="1"/>
  <c r="L183" i="8" a="1"/>
  <c r="L183" i="8" s="1"/>
  <c r="L184" i="8" a="1"/>
  <c r="L184" i="8" s="1"/>
  <c r="L185" i="8" a="1"/>
  <c r="L185" i="8" s="1"/>
  <c r="L186" i="8" a="1"/>
  <c r="L186" i="8" s="1"/>
  <c r="L187" i="8" a="1"/>
  <c r="L187" i="8" s="1"/>
  <c r="L188" i="8" a="1"/>
  <c r="L188" i="8" s="1"/>
  <c r="L189" i="8" a="1"/>
  <c r="L189" i="8" s="1"/>
  <c r="L190" i="8" a="1"/>
  <c r="L190" i="8" s="1"/>
  <c r="L191" i="8" a="1"/>
  <c r="L191" i="8" s="1"/>
  <c r="L192" i="8" a="1"/>
  <c r="L192" i="8" s="1"/>
  <c r="L193" i="8" a="1"/>
  <c r="L193" i="8" s="1"/>
  <c r="L194" i="8" a="1"/>
  <c r="L194" i="8" s="1"/>
  <c r="L195" i="8" a="1"/>
  <c r="L195" i="8" s="1"/>
  <c r="L196" i="8" a="1"/>
  <c r="L196" i="8" s="1"/>
  <c r="L197" i="8" a="1"/>
  <c r="L197" i="8" s="1"/>
  <c r="L198" i="8" a="1"/>
  <c r="L198" i="8" s="1"/>
  <c r="L199" i="8" a="1"/>
  <c r="L199" i="8" s="1"/>
  <c r="L200" i="8" a="1"/>
  <c r="L200" i="8" s="1"/>
  <c r="L201" i="8" a="1"/>
  <c r="L201" i="8" s="1"/>
  <c r="L202" i="8" a="1"/>
  <c r="L202" i="8" s="1"/>
  <c r="L203" i="8" a="1"/>
  <c r="L203" i="8" s="1"/>
  <c r="L204" i="8" a="1"/>
  <c r="L204" i="8" s="1"/>
  <c r="L205" i="8" a="1"/>
  <c r="L205" i="8" s="1"/>
  <c r="L206" i="8" a="1"/>
  <c r="L206" i="8" s="1"/>
  <c r="L207" i="8" a="1"/>
  <c r="L207" i="8" s="1"/>
  <c r="L208" i="8" a="1"/>
  <c r="L208" i="8" s="1"/>
  <c r="L209" i="8" a="1"/>
  <c r="L209" i="8" s="1"/>
  <c r="L210" i="8" a="1"/>
  <c r="L210" i="8" s="1"/>
  <c r="L211" i="8" a="1"/>
  <c r="L211" i="8" s="1"/>
  <c r="L212" i="8" a="1"/>
  <c r="L212" i="8" s="1"/>
  <c r="L213" i="8" a="1"/>
  <c r="L213" i="8" s="1"/>
  <c r="L214" i="8" a="1"/>
  <c r="L214" i="8" s="1"/>
  <c r="L215" i="8" a="1"/>
  <c r="L215" i="8" s="1"/>
  <c r="L216" i="8" a="1"/>
  <c r="L216" i="8" s="1"/>
  <c r="L217" i="8" a="1"/>
  <c r="L217" i="8" s="1"/>
  <c r="L218" i="8" a="1"/>
  <c r="L218" i="8" s="1"/>
  <c r="L219" i="8" a="1"/>
  <c r="L219" i="8" s="1"/>
  <c r="L220" i="8" a="1"/>
  <c r="L220" i="8" s="1"/>
  <c r="L221" i="8" a="1"/>
  <c r="L221" i="8" s="1"/>
  <c r="L222" i="8" a="1"/>
  <c r="L222" i="8" s="1"/>
  <c r="L223" i="8" a="1"/>
  <c r="L223" i="8" s="1"/>
  <c r="L224" i="8" a="1"/>
  <c r="L224" i="8" s="1"/>
  <c r="L225" i="8" a="1"/>
  <c r="L225" i="8" s="1"/>
  <c r="L226" i="8" a="1"/>
  <c r="L226" i="8" s="1"/>
  <c r="L227" i="8" a="1"/>
  <c r="L227" i="8" s="1"/>
  <c r="L228" i="8" a="1"/>
  <c r="L228" i="8" s="1"/>
  <c r="L229" i="8" a="1"/>
  <c r="L229" i="8" s="1"/>
  <c r="L230" i="8" a="1"/>
  <c r="L230" i="8" s="1"/>
  <c r="L231" i="8" a="1"/>
  <c r="L231" i="8" s="1"/>
  <c r="L232" i="8" a="1"/>
  <c r="L232" i="8" s="1"/>
  <c r="L233" i="8" a="1"/>
  <c r="L233" i="8" s="1"/>
  <c r="L234" i="8" a="1"/>
  <c r="L234" i="8" s="1"/>
  <c r="L235" i="8" a="1"/>
  <c r="L235" i="8" s="1"/>
  <c r="L236" i="8" a="1"/>
  <c r="L236" i="8" s="1"/>
  <c r="L237" i="8" a="1"/>
  <c r="L237" i="8" s="1"/>
  <c r="L238" i="8" a="1"/>
  <c r="L238" i="8" s="1"/>
  <c r="L239" i="8" a="1"/>
  <c r="L239" i="8" s="1"/>
  <c r="L240" i="8" a="1"/>
  <c r="L240" i="8" s="1"/>
  <c r="L241" i="8" a="1"/>
  <c r="L241" i="8" s="1"/>
  <c r="L242" i="8" a="1"/>
  <c r="L242" i="8" s="1"/>
  <c r="L243" i="8" a="1"/>
  <c r="L243" i="8" s="1"/>
  <c r="L244" i="8" a="1"/>
  <c r="L244" i="8" s="1"/>
  <c r="L245" i="8" a="1"/>
  <c r="L245" i="8" s="1"/>
  <c r="L246" i="8" a="1"/>
  <c r="L246" i="8" s="1"/>
  <c r="L247" i="8" a="1"/>
  <c r="L247" i="8" s="1"/>
  <c r="L248" i="8" a="1"/>
  <c r="L248" i="8" s="1"/>
  <c r="L249" i="8" a="1"/>
  <c r="L249" i="8" s="1"/>
  <c r="L250" i="8" a="1"/>
  <c r="L250" i="8" s="1"/>
  <c r="L251" i="8" a="1"/>
  <c r="L251" i="8" s="1"/>
  <c r="K13" i="8" a="1"/>
  <c r="K13" i="8" s="1"/>
  <c r="K14" i="8" a="1"/>
  <c r="K14" i="8" s="1"/>
  <c r="K15" i="8" a="1"/>
  <c r="K15" i="8" s="1"/>
  <c r="K16" i="8" a="1"/>
  <c r="K16" i="8" s="1"/>
  <c r="K17" i="8" a="1"/>
  <c r="K17" i="8" s="1"/>
  <c r="K18" i="8" a="1"/>
  <c r="K18" i="8" s="1"/>
  <c r="K19" i="8" a="1"/>
  <c r="K19" i="8" s="1"/>
  <c r="K20" i="8" a="1"/>
  <c r="K20" i="8" s="1"/>
  <c r="K21" i="8" a="1"/>
  <c r="K21" i="8" s="1"/>
  <c r="K22" i="8" a="1"/>
  <c r="K22" i="8" s="1"/>
  <c r="K23" i="8" a="1"/>
  <c r="K23" i="8" s="1"/>
  <c r="K24" i="8" a="1"/>
  <c r="K24" i="8" s="1"/>
  <c r="K25" i="8" a="1"/>
  <c r="K25" i="8" s="1"/>
  <c r="K26" i="8" a="1"/>
  <c r="K26" i="8" s="1"/>
  <c r="K27" i="8" a="1"/>
  <c r="K27" i="8" s="1"/>
  <c r="K28" i="8" a="1"/>
  <c r="K28" i="8" s="1"/>
  <c r="K29" i="8" a="1"/>
  <c r="K29" i="8" s="1"/>
  <c r="K30" i="8" a="1"/>
  <c r="K30" i="8" s="1"/>
  <c r="K31" i="8" a="1"/>
  <c r="K31" i="8" s="1"/>
  <c r="K32" i="8" a="1"/>
  <c r="K32" i="8" s="1"/>
  <c r="K33" i="8" a="1"/>
  <c r="K33" i="8" s="1"/>
  <c r="K34" i="8" a="1"/>
  <c r="K34" i="8" s="1"/>
  <c r="K35" i="8" a="1"/>
  <c r="K35" i="8" s="1"/>
  <c r="K36" i="8" a="1"/>
  <c r="K36" i="8" s="1"/>
  <c r="K37" i="8" a="1"/>
  <c r="K37" i="8" s="1"/>
  <c r="K38" i="8" a="1"/>
  <c r="K38" i="8" s="1"/>
  <c r="K39" i="8" a="1"/>
  <c r="K39" i="8" s="1"/>
  <c r="K40" i="8" a="1"/>
  <c r="K40" i="8" s="1"/>
  <c r="K41" i="8" a="1"/>
  <c r="K41" i="8" s="1"/>
  <c r="K42" i="8" a="1"/>
  <c r="K42" i="8" s="1"/>
  <c r="K43" i="8" a="1"/>
  <c r="K43" i="8" s="1"/>
  <c r="K44" i="8" a="1"/>
  <c r="K44" i="8" s="1"/>
  <c r="K45" i="8" a="1"/>
  <c r="K45" i="8" s="1"/>
  <c r="K46" i="8" a="1"/>
  <c r="K46" i="8" s="1"/>
  <c r="K47" i="8" a="1"/>
  <c r="K47" i="8" s="1"/>
  <c r="K48" i="8" a="1"/>
  <c r="K48" i="8" s="1"/>
  <c r="K49" i="8" a="1"/>
  <c r="K49" i="8" s="1"/>
  <c r="K50" i="8" a="1"/>
  <c r="K50" i="8" s="1"/>
  <c r="K51" i="8" a="1"/>
  <c r="K51" i="8" s="1"/>
  <c r="K52" i="8" a="1"/>
  <c r="K52" i="8" s="1"/>
  <c r="K53" i="8" a="1"/>
  <c r="K53" i="8" s="1"/>
  <c r="K54" i="8" a="1"/>
  <c r="K54" i="8" s="1"/>
  <c r="K55" i="8" a="1"/>
  <c r="K55" i="8" s="1"/>
  <c r="K56" i="8" a="1"/>
  <c r="K56" i="8" s="1"/>
  <c r="K57" i="8" a="1"/>
  <c r="K57" i="8" s="1"/>
  <c r="K58" i="8" a="1"/>
  <c r="K58" i="8" s="1"/>
  <c r="K59" i="8" a="1"/>
  <c r="K59" i="8" s="1"/>
  <c r="K60" i="8" a="1"/>
  <c r="K60" i="8" s="1"/>
  <c r="K61" i="8" a="1"/>
  <c r="K61" i="8" s="1"/>
  <c r="K62" i="8" a="1"/>
  <c r="K62" i="8" s="1"/>
  <c r="K63" i="8" a="1"/>
  <c r="K63" i="8" s="1"/>
  <c r="K64" i="8" a="1"/>
  <c r="K64" i="8" s="1"/>
  <c r="K65" i="8" a="1"/>
  <c r="K65" i="8" s="1"/>
  <c r="K66" i="8" a="1"/>
  <c r="K66" i="8" s="1"/>
  <c r="K67" i="8" a="1"/>
  <c r="K67" i="8" s="1"/>
  <c r="K68" i="8" a="1"/>
  <c r="K68" i="8" s="1"/>
  <c r="K69" i="8" a="1"/>
  <c r="K69" i="8" s="1"/>
  <c r="K70" i="8" a="1"/>
  <c r="K70" i="8" s="1"/>
  <c r="K71" i="8" a="1"/>
  <c r="K71" i="8" s="1"/>
  <c r="K72" i="8" a="1"/>
  <c r="K72" i="8" s="1"/>
  <c r="K73" i="8" a="1"/>
  <c r="K73" i="8" s="1"/>
  <c r="K74" i="8" a="1"/>
  <c r="K74" i="8" s="1"/>
  <c r="K75" i="8" a="1"/>
  <c r="K75" i="8" s="1"/>
  <c r="K76" i="8" a="1"/>
  <c r="K76" i="8" s="1"/>
  <c r="K77" i="8" a="1"/>
  <c r="K77" i="8" s="1"/>
  <c r="K78" i="8" a="1"/>
  <c r="K78" i="8" s="1"/>
  <c r="K79" i="8" a="1"/>
  <c r="K79" i="8" s="1"/>
  <c r="K80" i="8" a="1"/>
  <c r="K80" i="8" s="1"/>
  <c r="K81" i="8" a="1"/>
  <c r="K81" i="8" s="1"/>
  <c r="K82" i="8" a="1"/>
  <c r="K82" i="8" s="1"/>
  <c r="K83" i="8" a="1"/>
  <c r="K83" i="8" s="1"/>
  <c r="K84" i="8" a="1"/>
  <c r="K84" i="8" s="1"/>
  <c r="K85" i="8" a="1"/>
  <c r="K85" i="8" s="1"/>
  <c r="K86" i="8" a="1"/>
  <c r="K86" i="8" s="1"/>
  <c r="K87" i="8" a="1"/>
  <c r="K87" i="8" s="1"/>
  <c r="K88" i="8" a="1"/>
  <c r="K88" i="8" s="1"/>
  <c r="K89" i="8" a="1"/>
  <c r="K89" i="8" s="1"/>
  <c r="K90" i="8" a="1"/>
  <c r="K90" i="8" s="1"/>
  <c r="K91" i="8" a="1"/>
  <c r="K91" i="8" s="1"/>
  <c r="K92" i="8" a="1"/>
  <c r="K92" i="8" s="1"/>
  <c r="K93" i="8" a="1"/>
  <c r="K93" i="8" s="1"/>
  <c r="K94" i="8" a="1"/>
  <c r="K94" i="8" s="1"/>
  <c r="K95" i="8" a="1"/>
  <c r="K95" i="8" s="1"/>
  <c r="K96" i="8" a="1"/>
  <c r="K96" i="8" s="1"/>
  <c r="K97" i="8" a="1"/>
  <c r="K97" i="8" s="1"/>
  <c r="K98" i="8" a="1"/>
  <c r="K98" i="8" s="1"/>
  <c r="K99" i="8" a="1"/>
  <c r="K99" i="8" s="1"/>
  <c r="K100" i="8" a="1"/>
  <c r="K100" i="8" s="1"/>
  <c r="K101" i="8" a="1"/>
  <c r="K101" i="8" s="1"/>
  <c r="K102" i="8" a="1"/>
  <c r="K102" i="8" s="1"/>
  <c r="K103" i="8" a="1"/>
  <c r="K103" i="8" s="1"/>
  <c r="K104" i="8" a="1"/>
  <c r="K104" i="8" s="1"/>
  <c r="K105" i="8" a="1"/>
  <c r="K105" i="8" s="1"/>
  <c r="K106" i="8" a="1"/>
  <c r="K106" i="8" s="1"/>
  <c r="K107" i="8" a="1"/>
  <c r="K107" i="8" s="1"/>
  <c r="K108" i="8" a="1"/>
  <c r="K108" i="8" s="1"/>
  <c r="K109" i="8" a="1"/>
  <c r="K109" i="8" s="1"/>
  <c r="K110" i="8" a="1"/>
  <c r="K110" i="8" s="1"/>
  <c r="K111" i="8" a="1"/>
  <c r="K111" i="8" s="1"/>
  <c r="K112" i="8" a="1"/>
  <c r="K112" i="8" s="1"/>
  <c r="K113" i="8" a="1"/>
  <c r="K113" i="8" s="1"/>
  <c r="K114" i="8" a="1"/>
  <c r="K114" i="8" s="1"/>
  <c r="K115" i="8" a="1"/>
  <c r="K115" i="8" s="1"/>
  <c r="K116" i="8" a="1"/>
  <c r="K116" i="8" s="1"/>
  <c r="K117" i="8" a="1"/>
  <c r="K117" i="8" s="1"/>
  <c r="K118" i="8" a="1"/>
  <c r="K118" i="8" s="1"/>
  <c r="K119" i="8" a="1"/>
  <c r="K119" i="8" s="1"/>
  <c r="K120" i="8" a="1"/>
  <c r="K120" i="8" s="1"/>
  <c r="K121" i="8" a="1"/>
  <c r="K121" i="8" s="1"/>
  <c r="K122" i="8" a="1"/>
  <c r="K122" i="8" s="1"/>
  <c r="K123" i="8" a="1"/>
  <c r="K123" i="8" s="1"/>
  <c r="K124" i="8" a="1"/>
  <c r="K124" i="8" s="1"/>
  <c r="K125" i="8" a="1"/>
  <c r="K125" i="8" s="1"/>
  <c r="K126" i="8" a="1"/>
  <c r="K126" i="8" s="1"/>
  <c r="K127" i="8" a="1"/>
  <c r="K127" i="8" s="1"/>
  <c r="K128" i="8" a="1"/>
  <c r="K128" i="8" s="1"/>
  <c r="K129" i="8" a="1"/>
  <c r="K129" i="8" s="1"/>
  <c r="K130" i="8" a="1"/>
  <c r="K130" i="8" s="1"/>
  <c r="K131" i="8" a="1"/>
  <c r="K131" i="8" s="1"/>
  <c r="K132" i="8" a="1"/>
  <c r="K132" i="8" s="1"/>
  <c r="K133" i="8" a="1"/>
  <c r="K133" i="8" s="1"/>
  <c r="K134" i="8" a="1"/>
  <c r="K134" i="8" s="1"/>
  <c r="K135" i="8" a="1"/>
  <c r="K135" i="8" s="1"/>
  <c r="K136" i="8" a="1"/>
  <c r="K136" i="8" s="1"/>
  <c r="K137" i="8" a="1"/>
  <c r="K137" i="8" s="1"/>
  <c r="K138" i="8" a="1"/>
  <c r="K138" i="8" s="1"/>
  <c r="K139" i="8" a="1"/>
  <c r="K139" i="8" s="1"/>
  <c r="K140" i="8" a="1"/>
  <c r="K140" i="8" s="1"/>
  <c r="K141" i="8" a="1"/>
  <c r="K141" i="8" s="1"/>
  <c r="K142" i="8" a="1"/>
  <c r="K142" i="8" s="1"/>
  <c r="K143" i="8" a="1"/>
  <c r="K143" i="8" s="1"/>
  <c r="K144" i="8" a="1"/>
  <c r="K144" i="8" s="1"/>
  <c r="K145" i="8" a="1"/>
  <c r="K145" i="8" s="1"/>
  <c r="K146" i="8" a="1"/>
  <c r="K146" i="8" s="1"/>
  <c r="K147" i="8" a="1"/>
  <c r="K147" i="8" s="1"/>
  <c r="K148" i="8" a="1"/>
  <c r="K148" i="8" s="1"/>
  <c r="K149" i="8" a="1"/>
  <c r="K149" i="8" s="1"/>
  <c r="K150" i="8" a="1"/>
  <c r="K150" i="8" s="1"/>
  <c r="K151" i="8" a="1"/>
  <c r="K151" i="8" s="1"/>
  <c r="K152" i="8" a="1"/>
  <c r="K152" i="8" s="1"/>
  <c r="K153" i="8" a="1"/>
  <c r="K153" i="8" s="1"/>
  <c r="K154" i="8" a="1"/>
  <c r="K154" i="8" s="1"/>
  <c r="K155" i="8" a="1"/>
  <c r="K155" i="8" s="1"/>
  <c r="K156" i="8" a="1"/>
  <c r="K156" i="8" s="1"/>
  <c r="K157" i="8" a="1"/>
  <c r="K157" i="8" s="1"/>
  <c r="K158" i="8" a="1"/>
  <c r="K158" i="8" s="1"/>
  <c r="K159" i="8" a="1"/>
  <c r="K159" i="8" s="1"/>
  <c r="K160" i="8" a="1"/>
  <c r="K160" i="8" s="1"/>
  <c r="K161" i="8" a="1"/>
  <c r="K161" i="8" s="1"/>
  <c r="K162" i="8" a="1"/>
  <c r="K162" i="8" s="1"/>
  <c r="K163" i="8" a="1"/>
  <c r="K163" i="8" s="1"/>
  <c r="K164" i="8" a="1"/>
  <c r="K164" i="8" s="1"/>
  <c r="K165" i="8" a="1"/>
  <c r="K165" i="8" s="1"/>
  <c r="K166" i="8" a="1"/>
  <c r="K166" i="8" s="1"/>
  <c r="K167" i="8" a="1"/>
  <c r="K167" i="8" s="1"/>
  <c r="K168" i="8" a="1"/>
  <c r="K168" i="8" s="1"/>
  <c r="K169" i="8" a="1"/>
  <c r="K169" i="8" s="1"/>
  <c r="K170" i="8" a="1"/>
  <c r="K170" i="8" s="1"/>
  <c r="K171" i="8" a="1"/>
  <c r="K171" i="8" s="1"/>
  <c r="K172" i="8" a="1"/>
  <c r="K172" i="8" s="1"/>
  <c r="K173" i="8" a="1"/>
  <c r="K173" i="8" s="1"/>
  <c r="K174" i="8" a="1"/>
  <c r="K174" i="8" s="1"/>
  <c r="K175" i="8" a="1"/>
  <c r="K175" i="8" s="1"/>
  <c r="K176" i="8" a="1"/>
  <c r="K176" i="8" s="1"/>
  <c r="K177" i="8" a="1"/>
  <c r="K177" i="8" s="1"/>
  <c r="K178" i="8" a="1"/>
  <c r="K178" i="8" s="1"/>
  <c r="K179" i="8" a="1"/>
  <c r="K179" i="8" s="1"/>
  <c r="K180" i="8" a="1"/>
  <c r="K180" i="8" s="1"/>
  <c r="K181" i="8" a="1"/>
  <c r="K181" i="8" s="1"/>
  <c r="K182" i="8" a="1"/>
  <c r="K182" i="8" s="1"/>
  <c r="K183" i="8" a="1"/>
  <c r="K183" i="8" s="1"/>
  <c r="K184" i="8" a="1"/>
  <c r="K184" i="8" s="1"/>
  <c r="K185" i="8" a="1"/>
  <c r="K185" i="8" s="1"/>
  <c r="K186" i="8" a="1"/>
  <c r="K186" i="8" s="1"/>
  <c r="K187" i="8" a="1"/>
  <c r="K187" i="8" s="1"/>
  <c r="K188" i="8" a="1"/>
  <c r="K188" i="8" s="1"/>
  <c r="K189" i="8" a="1"/>
  <c r="K189" i="8" s="1"/>
  <c r="K190" i="8" a="1"/>
  <c r="K190" i="8" s="1"/>
  <c r="K191" i="8" a="1"/>
  <c r="K191" i="8" s="1"/>
  <c r="K192" i="8" a="1"/>
  <c r="K192" i="8" s="1"/>
  <c r="K193" i="8" a="1"/>
  <c r="K193" i="8" s="1"/>
  <c r="K194" i="8" a="1"/>
  <c r="K194" i="8" s="1"/>
  <c r="K195" i="8" a="1"/>
  <c r="K195" i="8" s="1"/>
  <c r="K196" i="8" a="1"/>
  <c r="K196" i="8" s="1"/>
  <c r="K197" i="8" a="1"/>
  <c r="K197" i="8" s="1"/>
  <c r="K198" i="8" a="1"/>
  <c r="K198" i="8" s="1"/>
  <c r="K199" i="8" a="1"/>
  <c r="K199" i="8" s="1"/>
  <c r="K200" i="8" a="1"/>
  <c r="K200" i="8" s="1"/>
  <c r="K201" i="8" a="1"/>
  <c r="K201" i="8" s="1"/>
  <c r="K202" i="8" a="1"/>
  <c r="K202" i="8" s="1"/>
  <c r="K203" i="8" a="1"/>
  <c r="K203" i="8" s="1"/>
  <c r="K204" i="8" a="1"/>
  <c r="K204" i="8" s="1"/>
  <c r="K205" i="8" a="1"/>
  <c r="K205" i="8" s="1"/>
  <c r="K206" i="8" a="1"/>
  <c r="K206" i="8" s="1"/>
  <c r="K207" i="8" a="1"/>
  <c r="K207" i="8" s="1"/>
  <c r="K208" i="8" a="1"/>
  <c r="K208" i="8" s="1"/>
  <c r="K209" i="8" a="1"/>
  <c r="K209" i="8" s="1"/>
  <c r="K210" i="8" a="1"/>
  <c r="K210" i="8" s="1"/>
  <c r="K211" i="8" a="1"/>
  <c r="K211" i="8" s="1"/>
  <c r="K212" i="8" a="1"/>
  <c r="K212" i="8" s="1"/>
  <c r="K213" i="8" a="1"/>
  <c r="K213" i="8" s="1"/>
  <c r="K214" i="8" a="1"/>
  <c r="K214" i="8" s="1"/>
  <c r="K215" i="8" a="1"/>
  <c r="K215" i="8" s="1"/>
  <c r="K216" i="8" a="1"/>
  <c r="K216" i="8" s="1"/>
  <c r="K217" i="8" a="1"/>
  <c r="K217" i="8" s="1"/>
  <c r="K218" i="8" a="1"/>
  <c r="K218" i="8" s="1"/>
  <c r="K219" i="8" a="1"/>
  <c r="K219" i="8" s="1"/>
  <c r="K220" i="8" a="1"/>
  <c r="K220" i="8" s="1"/>
  <c r="K221" i="8" a="1"/>
  <c r="K221" i="8" s="1"/>
  <c r="K222" i="8" a="1"/>
  <c r="K222" i="8" s="1"/>
  <c r="K223" i="8" a="1"/>
  <c r="K223" i="8" s="1"/>
  <c r="K224" i="8" a="1"/>
  <c r="K224" i="8" s="1"/>
  <c r="K225" i="8" a="1"/>
  <c r="K225" i="8" s="1"/>
  <c r="K226" i="8" a="1"/>
  <c r="K226" i="8" s="1"/>
  <c r="K227" i="8" a="1"/>
  <c r="K227" i="8" s="1"/>
  <c r="K228" i="8" a="1"/>
  <c r="K228" i="8" s="1"/>
  <c r="K229" i="8" a="1"/>
  <c r="K229" i="8" s="1"/>
  <c r="K230" i="8" a="1"/>
  <c r="K230" i="8" s="1"/>
  <c r="K231" i="8" a="1"/>
  <c r="K231" i="8" s="1"/>
  <c r="K232" i="8" a="1"/>
  <c r="K232" i="8" s="1"/>
  <c r="K233" i="8" a="1"/>
  <c r="K233" i="8" s="1"/>
  <c r="K234" i="8" a="1"/>
  <c r="K234" i="8" s="1"/>
  <c r="K235" i="8" a="1"/>
  <c r="K235" i="8" s="1"/>
  <c r="K236" i="8" a="1"/>
  <c r="K236" i="8" s="1"/>
  <c r="K237" i="8" a="1"/>
  <c r="K237" i="8" s="1"/>
  <c r="K238" i="8" a="1"/>
  <c r="K238" i="8" s="1"/>
  <c r="K239" i="8" a="1"/>
  <c r="K239" i="8" s="1"/>
  <c r="K240" i="8" a="1"/>
  <c r="K240" i="8" s="1"/>
  <c r="K241" i="8" a="1"/>
  <c r="K241" i="8" s="1"/>
  <c r="K242" i="8" a="1"/>
  <c r="K242" i="8" s="1"/>
  <c r="K243" i="8" a="1"/>
  <c r="K243" i="8" s="1"/>
  <c r="K244" i="8" a="1"/>
  <c r="K244" i="8" s="1"/>
  <c r="K245" i="8" a="1"/>
  <c r="K245" i="8" s="1"/>
  <c r="K246" i="8" a="1"/>
  <c r="K246" i="8" s="1"/>
  <c r="K247" i="8" a="1"/>
  <c r="K247" i="8" s="1"/>
  <c r="K248" i="8" a="1"/>
  <c r="K248" i="8" s="1"/>
  <c r="K249" i="8" a="1"/>
  <c r="K249" i="8" s="1"/>
  <c r="K250" i="8" a="1"/>
  <c r="K250" i="8" s="1"/>
  <c r="K251" i="8" a="1"/>
  <c r="K251" i="8" s="1"/>
  <c r="X13" i="8" l="1" a="1"/>
  <c r="X13" i="8" s="1"/>
  <c r="X14" i="8" a="1"/>
  <c r="X14" i="8" s="1"/>
  <c r="X15" i="8" a="1"/>
  <c r="X15" i="8" s="1"/>
  <c r="X16" i="8" a="1"/>
  <c r="X16" i="8" s="1"/>
  <c r="X17" i="8" a="1"/>
  <c r="X17" i="8" s="1"/>
  <c r="X18" i="8" a="1"/>
  <c r="X18" i="8" s="1"/>
  <c r="X19" i="8" a="1"/>
  <c r="X19" i="8" s="1"/>
  <c r="X20" i="8" a="1"/>
  <c r="X20" i="8" s="1"/>
  <c r="X21" i="8" a="1"/>
  <c r="X21" i="8" s="1"/>
  <c r="X22" i="8" a="1"/>
  <c r="X22" i="8" s="1"/>
  <c r="X23" i="8" a="1"/>
  <c r="X23" i="8" s="1"/>
  <c r="X24" i="8" a="1"/>
  <c r="X24" i="8" s="1"/>
  <c r="X25" i="8" a="1"/>
  <c r="X25" i="8" s="1"/>
  <c r="X26" i="8" a="1"/>
  <c r="X26" i="8" s="1"/>
  <c r="X27" i="8" a="1"/>
  <c r="X27" i="8" s="1"/>
  <c r="X28" i="8" a="1"/>
  <c r="X28" i="8" s="1"/>
  <c r="X29" i="8" a="1"/>
  <c r="X29" i="8" s="1"/>
  <c r="X30" i="8" a="1"/>
  <c r="X30" i="8" s="1"/>
  <c r="X31" i="8" a="1"/>
  <c r="X31" i="8" s="1"/>
  <c r="X32" i="8" a="1"/>
  <c r="X32" i="8" s="1"/>
  <c r="X33" i="8" a="1"/>
  <c r="X33" i="8" s="1"/>
  <c r="X34" i="8" a="1"/>
  <c r="X34" i="8" s="1"/>
  <c r="X35" i="8" a="1"/>
  <c r="X35" i="8" s="1"/>
  <c r="X36" i="8" a="1"/>
  <c r="X36" i="8" s="1"/>
  <c r="X37" i="8" a="1"/>
  <c r="X37" i="8" s="1"/>
  <c r="X38" i="8" a="1"/>
  <c r="X38" i="8" s="1"/>
  <c r="X39" i="8" a="1"/>
  <c r="X39" i="8" s="1"/>
  <c r="X40" i="8" a="1"/>
  <c r="X40" i="8" s="1"/>
  <c r="X41" i="8" a="1"/>
  <c r="X41" i="8" s="1"/>
  <c r="X42" i="8" a="1"/>
  <c r="X42" i="8" s="1"/>
  <c r="X43" i="8" a="1"/>
  <c r="X43" i="8" s="1"/>
  <c r="X44" i="8" a="1"/>
  <c r="X44" i="8" s="1"/>
  <c r="X45" i="8" a="1"/>
  <c r="X45" i="8" s="1"/>
  <c r="X46" i="8" a="1"/>
  <c r="X46" i="8" s="1"/>
  <c r="X47" i="8" a="1"/>
  <c r="X47" i="8" s="1"/>
  <c r="X48" i="8" a="1"/>
  <c r="X48" i="8" s="1"/>
  <c r="X49" i="8" a="1"/>
  <c r="X49" i="8" s="1"/>
  <c r="X50" i="8" a="1"/>
  <c r="X50" i="8" s="1"/>
  <c r="X51" i="8" a="1"/>
  <c r="X51" i="8" s="1"/>
  <c r="X52" i="8" a="1"/>
  <c r="X52" i="8" s="1"/>
  <c r="X53" i="8" a="1"/>
  <c r="X53" i="8" s="1"/>
  <c r="X54" i="8" a="1"/>
  <c r="X54" i="8" s="1"/>
  <c r="X55" i="8" a="1"/>
  <c r="X55" i="8" s="1"/>
  <c r="X56" i="8" a="1"/>
  <c r="X56" i="8" s="1"/>
  <c r="X57" i="8" a="1"/>
  <c r="X57" i="8" s="1"/>
  <c r="X58" i="8" a="1"/>
  <c r="X58" i="8" s="1"/>
  <c r="X59" i="8" a="1"/>
  <c r="X59" i="8" s="1"/>
  <c r="X60" i="8" a="1"/>
  <c r="X60" i="8" s="1"/>
  <c r="X61" i="8" a="1"/>
  <c r="X61" i="8" s="1"/>
  <c r="X62" i="8" a="1"/>
  <c r="X62" i="8" s="1"/>
  <c r="X63" i="8" a="1"/>
  <c r="X63" i="8" s="1"/>
  <c r="X64" i="8" a="1"/>
  <c r="X64" i="8" s="1"/>
  <c r="X65" i="8" a="1"/>
  <c r="X65" i="8" s="1"/>
  <c r="X66" i="8" a="1"/>
  <c r="X66" i="8" s="1"/>
  <c r="X67" i="8" a="1"/>
  <c r="X67" i="8" s="1"/>
  <c r="X68" i="8" a="1"/>
  <c r="X68" i="8" s="1"/>
  <c r="X69" i="8" a="1"/>
  <c r="X69" i="8" s="1"/>
  <c r="X70" i="8" a="1"/>
  <c r="X70" i="8" s="1"/>
  <c r="X71" i="8" a="1"/>
  <c r="X71" i="8" s="1"/>
  <c r="X72" i="8" a="1"/>
  <c r="X72" i="8" s="1"/>
  <c r="X73" i="8" a="1"/>
  <c r="X73" i="8" s="1"/>
  <c r="X74" i="8" a="1"/>
  <c r="X74" i="8" s="1"/>
  <c r="X75" i="8" a="1"/>
  <c r="X75" i="8" s="1"/>
  <c r="X76" i="8" a="1"/>
  <c r="X76" i="8" s="1"/>
  <c r="X77" i="8" a="1"/>
  <c r="X77" i="8" s="1"/>
  <c r="X78" i="8" a="1"/>
  <c r="X78" i="8" s="1"/>
  <c r="X79" i="8" a="1"/>
  <c r="X79" i="8" s="1"/>
  <c r="X80" i="8" a="1"/>
  <c r="X80" i="8" s="1"/>
  <c r="X81" i="8" a="1"/>
  <c r="X81" i="8" s="1"/>
  <c r="X82" i="8" a="1"/>
  <c r="X82" i="8" s="1"/>
  <c r="X83" i="8" a="1"/>
  <c r="X83" i="8" s="1"/>
  <c r="X84" i="8" a="1"/>
  <c r="X84" i="8" s="1"/>
  <c r="X85" i="8" a="1"/>
  <c r="X85" i="8" s="1"/>
  <c r="X86" i="8" a="1"/>
  <c r="X86" i="8" s="1"/>
  <c r="X87" i="8" a="1"/>
  <c r="X87" i="8" s="1"/>
  <c r="X88" i="8" a="1"/>
  <c r="X88" i="8" s="1"/>
  <c r="X89" i="8" a="1"/>
  <c r="X89" i="8" s="1"/>
  <c r="X90" i="8" a="1"/>
  <c r="X90" i="8" s="1"/>
  <c r="X91" i="8" a="1"/>
  <c r="X91" i="8" s="1"/>
  <c r="X92" i="8" a="1"/>
  <c r="X92" i="8" s="1"/>
  <c r="X93" i="8" a="1"/>
  <c r="X93" i="8" s="1"/>
  <c r="X94" i="8" a="1"/>
  <c r="X94" i="8" s="1"/>
  <c r="X95" i="8" a="1"/>
  <c r="X95" i="8" s="1"/>
  <c r="X96" i="8" a="1"/>
  <c r="X96" i="8" s="1"/>
  <c r="X97" i="8" a="1"/>
  <c r="X97" i="8" s="1"/>
  <c r="X98" i="8" a="1"/>
  <c r="X98" i="8" s="1"/>
  <c r="X99" i="8" a="1"/>
  <c r="X99" i="8" s="1"/>
  <c r="X100" i="8" a="1"/>
  <c r="X100" i="8" s="1"/>
  <c r="X101" i="8" a="1"/>
  <c r="X101" i="8" s="1"/>
  <c r="X102" i="8" a="1"/>
  <c r="X102" i="8" s="1"/>
  <c r="X103" i="8" a="1"/>
  <c r="X103" i="8" s="1"/>
  <c r="X104" i="8" a="1"/>
  <c r="X104" i="8" s="1"/>
  <c r="X105" i="8" a="1"/>
  <c r="X105" i="8" s="1"/>
  <c r="X106" i="8" a="1"/>
  <c r="X106" i="8" s="1"/>
  <c r="X107" i="8" a="1"/>
  <c r="X107" i="8" s="1"/>
  <c r="X108" i="8" a="1"/>
  <c r="X108" i="8" s="1"/>
  <c r="X109" i="8" a="1"/>
  <c r="X109" i="8" s="1"/>
  <c r="X110" i="8" a="1"/>
  <c r="X110" i="8" s="1"/>
  <c r="X111" i="8" a="1"/>
  <c r="X111" i="8" s="1"/>
  <c r="X112" i="8" a="1"/>
  <c r="X112" i="8" s="1"/>
  <c r="X113" i="8" a="1"/>
  <c r="X113" i="8" s="1"/>
  <c r="X114" i="8" a="1"/>
  <c r="X114" i="8" s="1"/>
  <c r="X115" i="8" a="1"/>
  <c r="X115" i="8" s="1"/>
  <c r="X116" i="8" a="1"/>
  <c r="X116" i="8" s="1"/>
  <c r="X117" i="8" a="1"/>
  <c r="X117" i="8" s="1"/>
  <c r="X118" i="8" a="1"/>
  <c r="X118" i="8" s="1"/>
  <c r="X119" i="8" a="1"/>
  <c r="X119" i="8" s="1"/>
  <c r="X120" i="8" a="1"/>
  <c r="X120" i="8" s="1"/>
  <c r="X121" i="8" a="1"/>
  <c r="X121" i="8" s="1"/>
  <c r="X122" i="8" a="1"/>
  <c r="X122" i="8" s="1"/>
  <c r="X123" i="8" a="1"/>
  <c r="X123" i="8" s="1"/>
  <c r="X124" i="8" a="1"/>
  <c r="X124" i="8" s="1"/>
  <c r="X125" i="8" a="1"/>
  <c r="X125" i="8" s="1"/>
  <c r="X126" i="8" a="1"/>
  <c r="X126" i="8" s="1"/>
  <c r="X127" i="8" a="1"/>
  <c r="X127" i="8" s="1"/>
  <c r="X128" i="8" a="1"/>
  <c r="X128" i="8" s="1"/>
  <c r="X129" i="8" a="1"/>
  <c r="X129" i="8" s="1"/>
  <c r="X130" i="8" a="1"/>
  <c r="X130" i="8" s="1"/>
  <c r="X131" i="8" a="1"/>
  <c r="X131" i="8" s="1"/>
  <c r="X132" i="8" a="1"/>
  <c r="X132" i="8" s="1"/>
  <c r="X133" i="8" a="1"/>
  <c r="X133" i="8" s="1"/>
  <c r="X134" i="8" a="1"/>
  <c r="X134" i="8" s="1"/>
  <c r="X135" i="8" a="1"/>
  <c r="X135" i="8" s="1"/>
  <c r="X136" i="8" a="1"/>
  <c r="X136" i="8" s="1"/>
  <c r="X137" i="8" a="1"/>
  <c r="X137" i="8" s="1"/>
  <c r="X138" i="8" a="1"/>
  <c r="X138" i="8" s="1"/>
  <c r="X139" i="8" a="1"/>
  <c r="X139" i="8" s="1"/>
  <c r="X140" i="8" a="1"/>
  <c r="X140" i="8" s="1"/>
  <c r="X141" i="8" a="1"/>
  <c r="X141" i="8" s="1"/>
  <c r="X142" i="8" a="1"/>
  <c r="X142" i="8" s="1"/>
  <c r="X143" i="8" a="1"/>
  <c r="X143" i="8" s="1"/>
  <c r="X144" i="8" a="1"/>
  <c r="X144" i="8" s="1"/>
  <c r="X145" i="8" a="1"/>
  <c r="X145" i="8" s="1"/>
  <c r="X146" i="8" a="1"/>
  <c r="X146" i="8" s="1"/>
  <c r="X147" i="8" a="1"/>
  <c r="X147" i="8" s="1"/>
  <c r="X148" i="8" a="1"/>
  <c r="X148" i="8" s="1"/>
  <c r="X149" i="8" a="1"/>
  <c r="X149" i="8" s="1"/>
  <c r="X150" i="8" a="1"/>
  <c r="X150" i="8" s="1"/>
  <c r="X151" i="8" a="1"/>
  <c r="X151" i="8" s="1"/>
  <c r="X152" i="8" a="1"/>
  <c r="X152" i="8" s="1"/>
  <c r="X153" i="8" a="1"/>
  <c r="X153" i="8" s="1"/>
  <c r="X154" i="8" a="1"/>
  <c r="X154" i="8" s="1"/>
  <c r="X155" i="8" a="1"/>
  <c r="X155" i="8" s="1"/>
  <c r="X156" i="8" a="1"/>
  <c r="X156" i="8" s="1"/>
  <c r="X157" i="8" a="1"/>
  <c r="X157" i="8" s="1"/>
  <c r="X158" i="8" a="1"/>
  <c r="X158" i="8" s="1"/>
  <c r="X159" i="8" a="1"/>
  <c r="X159" i="8" s="1"/>
  <c r="X160" i="8" a="1"/>
  <c r="X160" i="8" s="1"/>
  <c r="X161" i="8" a="1"/>
  <c r="X161" i="8" s="1"/>
  <c r="X162" i="8" a="1"/>
  <c r="X162" i="8" s="1"/>
  <c r="X163" i="8" a="1"/>
  <c r="X163" i="8" s="1"/>
  <c r="X164" i="8" a="1"/>
  <c r="X164" i="8" s="1"/>
  <c r="X165" i="8" a="1"/>
  <c r="X165" i="8" s="1"/>
  <c r="X166" i="8" a="1"/>
  <c r="X166" i="8" s="1"/>
  <c r="X167" i="8" a="1"/>
  <c r="X167" i="8" s="1"/>
  <c r="X168" i="8" a="1"/>
  <c r="X168" i="8" s="1"/>
  <c r="X169" i="8" a="1"/>
  <c r="X169" i="8" s="1"/>
  <c r="X170" i="8" a="1"/>
  <c r="X170" i="8" s="1"/>
  <c r="X171" i="8" a="1"/>
  <c r="X171" i="8" s="1"/>
  <c r="X172" i="8" a="1"/>
  <c r="X172" i="8" s="1"/>
  <c r="X173" i="8" a="1"/>
  <c r="X173" i="8" s="1"/>
  <c r="X174" i="8" a="1"/>
  <c r="X174" i="8" s="1"/>
  <c r="X175" i="8" a="1"/>
  <c r="X175" i="8" s="1"/>
  <c r="X176" i="8" a="1"/>
  <c r="X176" i="8" s="1"/>
  <c r="X177" i="8" a="1"/>
  <c r="X177" i="8" s="1"/>
  <c r="X178" i="8" a="1"/>
  <c r="X178" i="8" s="1"/>
  <c r="X179" i="8" a="1"/>
  <c r="X179" i="8" s="1"/>
  <c r="X180" i="8" a="1"/>
  <c r="X180" i="8" s="1"/>
  <c r="X181" i="8" a="1"/>
  <c r="X181" i="8" s="1"/>
  <c r="X182" i="8" a="1"/>
  <c r="X182" i="8" s="1"/>
  <c r="X183" i="8" a="1"/>
  <c r="X183" i="8" s="1"/>
  <c r="X184" i="8" a="1"/>
  <c r="X184" i="8" s="1"/>
  <c r="X185" i="8" a="1"/>
  <c r="X185" i="8" s="1"/>
  <c r="X186" i="8" a="1"/>
  <c r="X186" i="8" s="1"/>
  <c r="X187" i="8" a="1"/>
  <c r="X187" i="8" s="1"/>
  <c r="X188" i="8" a="1"/>
  <c r="X188" i="8" s="1"/>
  <c r="X189" i="8" a="1"/>
  <c r="X189" i="8" s="1"/>
  <c r="X190" i="8" a="1"/>
  <c r="X190" i="8" s="1"/>
  <c r="X191" i="8" a="1"/>
  <c r="X191" i="8" s="1"/>
  <c r="X192" i="8" a="1"/>
  <c r="X192" i="8" s="1"/>
  <c r="X193" i="8" a="1"/>
  <c r="X193" i="8" s="1"/>
  <c r="X194" i="8" a="1"/>
  <c r="X194" i="8" s="1"/>
  <c r="X195" i="8" a="1"/>
  <c r="X195" i="8" s="1"/>
  <c r="X196" i="8" a="1"/>
  <c r="X196" i="8" s="1"/>
  <c r="X197" i="8" a="1"/>
  <c r="X197" i="8" s="1"/>
  <c r="X198" i="8" a="1"/>
  <c r="X198" i="8" s="1"/>
  <c r="X199" i="8" a="1"/>
  <c r="X199" i="8" s="1"/>
  <c r="X200" i="8" a="1"/>
  <c r="X200" i="8" s="1"/>
  <c r="X201" i="8" a="1"/>
  <c r="X201" i="8" s="1"/>
  <c r="X202" i="8" a="1"/>
  <c r="X202" i="8" s="1"/>
  <c r="X203" i="8" a="1"/>
  <c r="X203" i="8" s="1"/>
  <c r="X204" i="8" a="1"/>
  <c r="X204" i="8" s="1"/>
  <c r="X205" i="8" a="1"/>
  <c r="X205" i="8" s="1"/>
  <c r="X206" i="8" a="1"/>
  <c r="X206" i="8" s="1"/>
  <c r="X207" i="8" a="1"/>
  <c r="X207" i="8" s="1"/>
  <c r="X208" i="8" a="1"/>
  <c r="X208" i="8" s="1"/>
  <c r="X209" i="8" a="1"/>
  <c r="X209" i="8" s="1"/>
  <c r="X210" i="8" a="1"/>
  <c r="X210" i="8" s="1"/>
  <c r="X211" i="8" a="1"/>
  <c r="X211" i="8" s="1"/>
  <c r="X212" i="8" a="1"/>
  <c r="X212" i="8" s="1"/>
  <c r="X213" i="8" a="1"/>
  <c r="X213" i="8" s="1"/>
  <c r="X214" i="8" a="1"/>
  <c r="X214" i="8" s="1"/>
  <c r="X215" i="8" a="1"/>
  <c r="X215" i="8" s="1"/>
  <c r="X216" i="8" a="1"/>
  <c r="X216" i="8" s="1"/>
  <c r="X217" i="8" a="1"/>
  <c r="X217" i="8" s="1"/>
  <c r="X218" i="8" a="1"/>
  <c r="X218" i="8" s="1"/>
  <c r="X219" i="8" a="1"/>
  <c r="X219" i="8" s="1"/>
  <c r="X220" i="8" a="1"/>
  <c r="X220" i="8" s="1"/>
  <c r="X221" i="8" a="1"/>
  <c r="X221" i="8" s="1"/>
  <c r="X222" i="8" a="1"/>
  <c r="X222" i="8" s="1"/>
  <c r="X223" i="8" a="1"/>
  <c r="X223" i="8" s="1"/>
  <c r="X224" i="8" a="1"/>
  <c r="X224" i="8" s="1"/>
  <c r="X225" i="8" a="1"/>
  <c r="X225" i="8" s="1"/>
  <c r="X226" i="8" a="1"/>
  <c r="X226" i="8" s="1"/>
  <c r="X227" i="8" a="1"/>
  <c r="X227" i="8" s="1"/>
  <c r="X228" i="8" a="1"/>
  <c r="X228" i="8" s="1"/>
  <c r="X229" i="8" a="1"/>
  <c r="X229" i="8" s="1"/>
  <c r="X230" i="8" a="1"/>
  <c r="X230" i="8" s="1"/>
  <c r="X231" i="8" a="1"/>
  <c r="X231" i="8" s="1"/>
  <c r="X232" i="8" a="1"/>
  <c r="X232" i="8" s="1"/>
  <c r="X233" i="8" a="1"/>
  <c r="X233" i="8" s="1"/>
  <c r="X234" i="8" a="1"/>
  <c r="X234" i="8" s="1"/>
  <c r="X235" i="8" a="1"/>
  <c r="X235" i="8" s="1"/>
  <c r="X236" i="8" a="1"/>
  <c r="X236" i="8" s="1"/>
  <c r="X237" i="8" a="1"/>
  <c r="X237" i="8" s="1"/>
  <c r="X238" i="8" a="1"/>
  <c r="X238" i="8" s="1"/>
  <c r="X239" i="8" a="1"/>
  <c r="X239" i="8" s="1"/>
  <c r="X240" i="8" a="1"/>
  <c r="X240" i="8" s="1"/>
  <c r="X241" i="8" a="1"/>
  <c r="X241" i="8" s="1"/>
  <c r="X242" i="8" a="1"/>
  <c r="X242" i="8" s="1"/>
  <c r="X243" i="8" a="1"/>
  <c r="X243" i="8" s="1"/>
  <c r="X244" i="8" a="1"/>
  <c r="X244" i="8" s="1"/>
  <c r="X245" i="8" a="1"/>
  <c r="X245" i="8" s="1"/>
  <c r="X246" i="8" a="1"/>
  <c r="X246" i="8" s="1"/>
  <c r="X247" i="8" a="1"/>
  <c r="X247" i="8" s="1"/>
  <c r="X248" i="8" a="1"/>
  <c r="X248" i="8" s="1"/>
  <c r="X249" i="8" a="1"/>
  <c r="X249" i="8" s="1"/>
  <c r="X250" i="8" a="1"/>
  <c r="X250" i="8" s="1"/>
  <c r="X251" i="8" a="1"/>
  <c r="X251" i="8" s="1"/>
  <c r="W12" i="8" a="1"/>
  <c r="W12" i="8" s="1"/>
  <c r="K12" i="8" l="1" a="1"/>
  <c r="K12" i="8" s="1"/>
  <c r="L12" i="8" a="1"/>
  <c r="L12" i="8" s="1"/>
  <c r="M12" i="8" a="1"/>
  <c r="M12" i="8" s="1"/>
  <c r="M12" i="10" s="1" a="1"/>
  <c r="M12" i="10" s="1"/>
  <c r="N12" i="8" a="1"/>
  <c r="N12" i="8" s="1"/>
  <c r="V12" i="8" a="1"/>
  <c r="V12" i="8" s="1"/>
  <c r="V12" i="10" s="1" a="1"/>
  <c r="V12" i="10" s="1"/>
  <c r="G16" i="7" l="1" a="1"/>
  <c r="G15" i="7" a="1"/>
  <c r="G14" i="7" a="1"/>
  <c r="G12" i="7" a="1"/>
  <c r="G10" i="7" a="1"/>
  <c r="G13" i="7" a="1"/>
  <c r="G11" i="7" a="1"/>
  <c r="F15" i="7" a="1"/>
  <c r="B15" i="7" a="1"/>
  <c r="E12" i="7" a="1"/>
  <c r="H15" i="7" a="1"/>
  <c r="F12" i="7" a="1"/>
  <c r="E14" i="7" a="1"/>
  <c r="E11" i="7" a="1"/>
  <c r="D15" i="7" a="1"/>
  <c r="B10" i="7" a="1"/>
  <c r="C12" i="7" a="1"/>
  <c r="B11" i="7" a="1"/>
  <c r="F16" i="7" a="1"/>
  <c r="B12" i="7" a="1"/>
  <c r="F11" i="7" a="1"/>
  <c r="D10" i="7" a="1"/>
  <c r="B13" i="7" a="1"/>
  <c r="E16" i="7" a="1"/>
  <c r="E13" i="7" a="1"/>
  <c r="C16" i="7" a="1"/>
  <c r="D11" i="7" a="1"/>
  <c r="H16" i="7" a="1"/>
  <c r="E15" i="7" a="1"/>
  <c r="D16" i="7" a="1"/>
  <c r="D14" i="7" a="1"/>
  <c r="C14" i="7" a="1"/>
  <c r="B14" i="7" a="1"/>
  <c r="C13" i="7" a="1"/>
  <c r="H11" i="7" a="1"/>
  <c r="H13" i="7" a="1"/>
  <c r="F13" i="7" a="1"/>
  <c r="C10" i="7" a="1"/>
  <c r="C15" i="7" a="1"/>
  <c r="H12" i="7" a="1"/>
  <c r="B16" i="7" a="1"/>
  <c r="H14" i="7" a="1"/>
  <c r="F14" i="7" a="1"/>
  <c r="I10" i="7" a="1"/>
  <c r="E10" i="7" a="1"/>
  <c r="H10" i="7" a="1"/>
  <c r="F10" i="7" a="1"/>
  <c r="E12" i="7" l="1"/>
  <c r="B15" i="7"/>
  <c r="D10" i="7"/>
  <c r="E11" i="7"/>
  <c r="G12" i="7"/>
  <c r="B14" i="7"/>
  <c r="C15" i="7"/>
  <c r="D16" i="7"/>
  <c r="G13" i="7"/>
  <c r="E10" i="7"/>
  <c r="F11" i="7"/>
  <c r="H12" i="7"/>
  <c r="C14" i="7"/>
  <c r="D15" i="7"/>
  <c r="E16" i="7"/>
  <c r="C16" i="7"/>
  <c r="F10" i="7"/>
  <c r="G11" i="7"/>
  <c r="B13" i="7"/>
  <c r="D14" i="7"/>
  <c r="E15" i="7"/>
  <c r="F16" i="7"/>
  <c r="B11" i="7"/>
  <c r="C10" i="7"/>
  <c r="F12" i="7"/>
  <c r="G10" i="7"/>
  <c r="H11" i="7"/>
  <c r="C13" i="7"/>
  <c r="E14" i="7"/>
  <c r="F15" i="7"/>
  <c r="G16" i="7"/>
  <c r="B16" i="7"/>
  <c r="D11" i="7"/>
  <c r="H10" i="7"/>
  <c r="B12" i="7"/>
  <c r="E13" i="7"/>
  <c r="F14" i="7"/>
  <c r="G15" i="7"/>
  <c r="H16" i="7"/>
  <c r="B10" i="7"/>
  <c r="H14" i="7"/>
  <c r="H13" i="7"/>
  <c r="I10" i="7"/>
  <c r="C12" i="7"/>
  <c r="F13" i="7"/>
  <c r="G14" i="7"/>
  <c r="H15" i="7"/>
  <c r="G9" i="7" a="1"/>
  <c r="B9" i="7" a="1"/>
  <c r="C9" i="7" a="1"/>
  <c r="D9" i="7" a="1"/>
  <c r="F9" i="7" a="1"/>
  <c r="E9" i="7" a="1"/>
  <c r="H9" i="7" a="1"/>
  <c r="I9" i="7" a="1"/>
  <c r="D13" i="7" a="1"/>
  <c r="C11" i="7" a="1"/>
  <c r="C11" i="7" l="1"/>
  <c r="C9" i="7"/>
  <c r="I9" i="7"/>
  <c r="H9" i="7"/>
  <c r="D13" i="7"/>
  <c r="B9" i="7"/>
  <c r="E9" i="7"/>
  <c r="G9" i="7"/>
  <c r="D9" i="7"/>
  <c r="F9" i="7"/>
  <c r="G156" i="7" l="1" a="1"/>
  <c r="G266" i="7" a="1"/>
  <c r="G114" i="7" a="1"/>
  <c r="G192" i="7" a="1"/>
  <c r="G264" i="7" a="1"/>
  <c r="G116" i="7" a="1"/>
  <c r="G210" i="7" a="1"/>
  <c r="G135" i="7" a="1"/>
  <c r="G283" i="7" a="1"/>
  <c r="G157" i="7" a="1"/>
  <c r="G17" i="7" a="1"/>
  <c r="G217" i="7" a="1"/>
  <c r="G175" i="7" a="1"/>
  <c r="G288" i="7" a="1"/>
  <c r="G148" i="7" a="1"/>
  <c r="G38" i="7" a="1"/>
  <c r="G289" i="7" a="1"/>
  <c r="G269" i="7" a="1"/>
  <c r="G293" i="7" a="1"/>
  <c r="G36" i="7" a="1"/>
  <c r="G129" i="7" a="1"/>
  <c r="G138" i="7" a="1"/>
  <c r="G286" i="7" a="1"/>
  <c r="G52" i="7" a="1"/>
  <c r="G19" i="7" a="1"/>
  <c r="G117" i="7" a="1"/>
  <c r="G170" i="7" a="1"/>
  <c r="G278" i="7" a="1"/>
  <c r="G94" i="7" a="1"/>
  <c r="G57" i="7" a="1"/>
  <c r="G133" i="7" a="1"/>
  <c r="G89" i="7" a="1"/>
  <c r="G43" i="7" a="1"/>
  <c r="G8" i="7" a="1"/>
  <c r="G184" i="7" a="1"/>
  <c r="G253" i="7" a="1"/>
  <c r="G71" i="7" a="1"/>
  <c r="G244" i="7" a="1"/>
  <c r="G20" i="7" a="1"/>
  <c r="G128" i="7" a="1"/>
  <c r="G23" i="7" a="1"/>
  <c r="G93" i="7" a="1"/>
  <c r="G193" i="7" a="1"/>
  <c r="G70" i="7" a="1"/>
  <c r="G173" i="7" a="1"/>
  <c r="G298" i="7" a="1"/>
  <c r="G127" i="7" a="1"/>
  <c r="G84" i="7" a="1"/>
  <c r="G146" i="7" a="1"/>
  <c r="G137" i="7" a="1"/>
  <c r="G262" i="7" a="1"/>
  <c r="G26" i="7" a="1"/>
  <c r="G145" i="7" a="1"/>
  <c r="G96" i="7" a="1"/>
  <c r="G287" i="7" a="1"/>
  <c r="G224" i="7" a="1"/>
  <c r="G203" i="7" a="1"/>
  <c r="G227" i="7" a="1"/>
  <c r="G241" i="7" a="1"/>
  <c r="G249" i="7" a="1"/>
  <c r="G126" i="7" a="1"/>
  <c r="G83" i="7" a="1"/>
  <c r="G191" i="7" a="1"/>
  <c r="G99" i="7" a="1"/>
  <c r="G206" i="7" a="1"/>
  <c r="G101" i="7" a="1"/>
  <c r="G255" i="7" a="1"/>
  <c r="G291" i="7" a="1"/>
  <c r="G222" i="7" a="1"/>
  <c r="G230" i="7" a="1"/>
  <c r="G248" i="7" a="1"/>
  <c r="G107" i="7" a="1"/>
  <c r="G28" i="7" a="1"/>
  <c r="G161" i="7" a="1"/>
  <c r="G120" i="7" a="1"/>
  <c r="G179" i="7" a="1"/>
  <c r="G263" i="7" a="1"/>
  <c r="G281" i="7" a="1"/>
  <c r="G141" i="7" a="1"/>
  <c r="G102" i="7" a="1"/>
  <c r="G282" i="7" a="1"/>
  <c r="G140" i="7" a="1"/>
  <c r="G237" i="7" a="1"/>
  <c r="G155" i="7" a="1"/>
  <c r="G139" i="7" a="1"/>
  <c r="G87" i="7" a="1"/>
  <c r="G271" i="7" a="1"/>
  <c r="G273" i="7" a="1"/>
  <c r="G50" i="7" a="1"/>
  <c r="G221" i="7" a="1"/>
  <c r="G197" i="7" a="1"/>
  <c r="G134" i="7" a="1"/>
  <c r="G80" i="7" a="1"/>
  <c r="G204" i="7" a="1"/>
  <c r="G79" i="7" a="1"/>
  <c r="G64" i="7" a="1"/>
  <c r="G112" i="7" a="1"/>
  <c r="G59" i="7" a="1"/>
  <c r="G219" i="7" a="1"/>
  <c r="G160" i="7" a="1"/>
  <c r="G198" i="7" a="1"/>
  <c r="G187" i="7" a="1"/>
  <c r="G73" i="7" a="1"/>
  <c r="G195" i="7" a="1"/>
  <c r="G105" i="7" a="1"/>
  <c r="G18" i="7" a="1"/>
  <c r="G90" i="7" a="1"/>
  <c r="G75" i="7" a="1"/>
  <c r="G62" i="7" a="1"/>
  <c r="G34" i="7" a="1"/>
  <c r="G213" i="7" a="1"/>
  <c r="G243" i="7" a="1"/>
  <c r="G211" i="7" a="1"/>
  <c r="G299" i="7" a="1"/>
  <c r="G297" i="7" a="1"/>
  <c r="G214" i="7" a="1"/>
  <c r="G259" i="7" a="1"/>
  <c r="G7" i="7" a="1"/>
  <c r="G190" i="7" a="1"/>
  <c r="G31" i="7" a="1"/>
  <c r="G229" i="7" a="1"/>
  <c r="G104" i="7" a="1"/>
  <c r="G207" i="7" a="1"/>
  <c r="G124" i="7" a="1"/>
  <c r="G205" i="7" a="1"/>
  <c r="G97" i="7" a="1"/>
  <c r="G200" i="7" a="1"/>
  <c r="G49" i="7" a="1"/>
  <c r="G233" i="7" a="1"/>
  <c r="G69" i="7" a="1"/>
  <c r="G39" i="7" a="1"/>
  <c r="G189" i="7" a="1"/>
  <c r="G177" i="7" a="1"/>
  <c r="G143" i="7" a="1"/>
  <c r="G92" i="7" a="1"/>
  <c r="G201" i="7" a="1"/>
  <c r="G208" i="7" a="1"/>
  <c r="G165" i="7" a="1"/>
  <c r="G144" i="7" a="1"/>
  <c r="G181" i="7" a="1"/>
  <c r="G215" i="7" a="1"/>
  <c r="G123" i="7" a="1"/>
  <c r="G106" i="7" a="1"/>
  <c r="G65" i="7" a="1"/>
  <c r="G284" i="7" a="1"/>
  <c r="G152" i="7" a="1"/>
  <c r="G223" i="7" a="1"/>
  <c r="G261" i="7" a="1"/>
  <c r="G168" i="7" a="1"/>
  <c r="G100" i="7" a="1"/>
  <c r="G51" i="7" a="1"/>
  <c r="G250" i="7" a="1"/>
  <c r="G226" i="7" a="1"/>
  <c r="G186" i="7" a="1"/>
  <c r="G268" i="7" a="1"/>
  <c r="G180" i="7" a="1"/>
  <c r="G68" i="7" a="1"/>
  <c r="G245" i="7" a="1"/>
  <c r="G109" i="7" a="1"/>
  <c r="G60" i="7" a="1"/>
  <c r="G169" i="7" a="1"/>
  <c r="G33" i="7" a="1"/>
  <c r="G166" i="7" a="1"/>
  <c r="G61" i="7" a="1"/>
  <c r="G58" i="7" a="1"/>
  <c r="G63" i="7" a="1"/>
  <c r="G294" i="7" a="1"/>
  <c r="G3" i="7" a="1"/>
  <c r="G78" i="7" a="1"/>
  <c r="G131" i="7" a="1"/>
  <c r="G272" i="7" a="1"/>
  <c r="G45" i="7" a="1"/>
  <c r="G108" i="7" a="1"/>
  <c r="G46" i="7" a="1"/>
  <c r="G22" i="7" a="1"/>
  <c r="G164" i="7" a="1"/>
  <c r="G292" i="7" a="1"/>
  <c r="G55" i="7" a="1"/>
  <c r="G130" i="7" a="1"/>
  <c r="G159" i="7" a="1"/>
  <c r="G115" i="7" a="1"/>
  <c r="G270" i="7" a="1"/>
  <c r="G257" i="7" a="1"/>
  <c r="G2" i="7" a="1"/>
  <c r="G171" i="7" a="1"/>
  <c r="G185" i="7" a="1"/>
  <c r="G280" i="7" a="1"/>
  <c r="G183" i="7" a="1"/>
  <c r="G254" i="7" a="1"/>
  <c r="G296" i="7" a="1"/>
  <c r="G151" i="7" a="1"/>
  <c r="G240" i="7" a="1"/>
  <c r="G267" i="7" a="1"/>
  <c r="G228" i="7" a="1"/>
  <c r="G86" i="7" a="1"/>
  <c r="G300" i="7" a="1"/>
  <c r="G188" i="7" a="1"/>
  <c r="G6" i="7" a="1"/>
  <c r="G232" i="7" a="1"/>
  <c r="G66" i="7" a="1"/>
  <c r="G74" i="7" a="1"/>
  <c r="G4" i="7" a="1"/>
  <c r="G209" i="7" a="1"/>
  <c r="G162" i="7" a="1"/>
  <c r="G72" i="7" a="1"/>
  <c r="G239" i="7" a="1"/>
  <c r="G202" i="7" a="1"/>
  <c r="G234" i="7" a="1"/>
  <c r="G163" i="7" a="1"/>
  <c r="G199" i="7" a="1"/>
  <c r="G256" i="7" a="1"/>
  <c r="G242" i="7" a="1"/>
  <c r="G111" i="7" a="1"/>
  <c r="G172" i="7" a="1"/>
  <c r="G77" i="7" a="1"/>
  <c r="G290" i="7" a="1"/>
  <c r="G32" i="7" a="1"/>
  <c r="G220" i="7" a="1"/>
  <c r="G279" i="7" a="1"/>
  <c r="G265" i="7" a="1"/>
  <c r="G85" i="7" a="1"/>
  <c r="G150" i="7" a="1"/>
  <c r="G81" i="7" a="1"/>
  <c r="G275" i="7" a="1"/>
  <c r="G153" i="7" a="1"/>
  <c r="G285" i="7" a="1"/>
  <c r="G121" i="7" a="1"/>
  <c r="G277" i="7" a="1"/>
  <c r="G218" i="7" a="1"/>
  <c r="G176" i="7" a="1"/>
  <c r="G25" i="7" a="1"/>
  <c r="G35" i="7" a="1"/>
  <c r="G91" i="7" a="1"/>
  <c r="G103" i="7" a="1"/>
  <c r="G158" i="7" a="1"/>
  <c r="G236" i="7" a="1"/>
  <c r="G295" i="7" a="1"/>
  <c r="G88" i="7" a="1"/>
  <c r="G30" i="7" a="1"/>
  <c r="G119" i="7" a="1"/>
  <c r="G136" i="7" a="1"/>
  <c r="G21" i="7" a="1"/>
  <c r="G82" i="7" a="1"/>
  <c r="G118" i="7" a="1"/>
  <c r="G247" i="7" a="1"/>
  <c r="G238" i="7" a="1"/>
  <c r="G174" i="7" a="1"/>
  <c r="G216" i="7" a="1"/>
  <c r="G132" i="7" a="1"/>
  <c r="G142" i="7" a="1"/>
  <c r="G252" i="7" a="1"/>
  <c r="G24" i="7" a="1"/>
  <c r="G274" i="7" a="1"/>
  <c r="G231" i="7" a="1"/>
  <c r="G47" i="7" a="1"/>
  <c r="G110" i="7" a="1"/>
  <c r="G154" i="7" a="1"/>
  <c r="G235" i="7" a="1"/>
  <c r="G98" i="7" a="1"/>
  <c r="G246" i="7" a="1"/>
  <c r="G42" i="7" a="1"/>
  <c r="G44" i="7" a="1"/>
  <c r="G95" i="7" a="1"/>
  <c r="G37" i="7" a="1"/>
  <c r="G29" i="7" a="1"/>
  <c r="G182" i="7" a="1"/>
  <c r="G27" i="7" a="1"/>
  <c r="G56" i="7" a="1"/>
  <c r="G212" i="7" a="1"/>
  <c r="G147" i="7" a="1"/>
  <c r="G54" i="7" a="1"/>
  <c r="G67" i="7" a="1"/>
  <c r="G251" i="7" a="1"/>
  <c r="G113" i="7" a="1"/>
  <c r="G5" i="7" a="1"/>
  <c r="G149" i="7" a="1"/>
  <c r="G53" i="7" a="1"/>
  <c r="G125" i="7" a="1"/>
  <c r="G276" i="7" a="1"/>
  <c r="G167" i="7" a="1"/>
  <c r="G260" i="7" a="1"/>
  <c r="G48" i="7" a="1"/>
  <c r="G178" i="7" a="1"/>
  <c r="G258" i="7" a="1"/>
  <c r="G196" i="7" a="1"/>
  <c r="G76" i="7" a="1"/>
  <c r="G40" i="7" a="1"/>
  <c r="G41" i="7" a="1"/>
  <c r="G225" i="7" a="1"/>
  <c r="G122" i="7" a="1"/>
  <c r="G194" i="7" a="1"/>
  <c r="B21" i="7" a="1"/>
  <c r="B34" i="7" a="1"/>
  <c r="C26" i="7" a="1"/>
  <c r="C20" i="7" a="1"/>
  <c r="B35" i="7" a="1"/>
  <c r="B36" i="7" a="1"/>
  <c r="C22" i="7" a="1"/>
  <c r="C37" i="7" a="1"/>
  <c r="C31" i="7" a="1"/>
  <c r="B23" i="7" a="1"/>
  <c r="C23" i="7" a="1"/>
  <c r="B25" i="7" a="1"/>
  <c r="C32" i="7" a="1"/>
  <c r="C21" i="7" a="1"/>
  <c r="B37" i="7" a="1"/>
  <c r="C25" i="7" a="1"/>
  <c r="C35" i="7" a="1"/>
  <c r="B20" i="7" a="1"/>
  <c r="C33" i="7" a="1"/>
  <c r="B22" i="7" a="1"/>
  <c r="C36" i="7" a="1"/>
  <c r="C38" i="7" a="1"/>
  <c r="C24" i="7" a="1"/>
  <c r="B39" i="7" a="1"/>
  <c r="C27" i="7" a="1"/>
  <c r="B26" i="7" a="1"/>
  <c r="B31" i="7" a="1"/>
  <c r="H20" i="7" a="1"/>
  <c r="B27" i="7" a="1"/>
  <c r="B24" i="7" a="1"/>
  <c r="C28" i="7" a="1"/>
  <c r="B33" i="7" a="1"/>
  <c r="B32" i="7" a="1"/>
  <c r="B29" i="7" a="1"/>
  <c r="B38" i="7" a="1"/>
  <c r="E20" i="7" a="1"/>
  <c r="C29" i="7" a="1"/>
  <c r="C30" i="7" a="1"/>
  <c r="B28" i="7" a="1"/>
  <c r="D20" i="7" a="1"/>
  <c r="C39" i="7" a="1"/>
  <c r="F20" i="7" a="1"/>
  <c r="C34" i="7" a="1"/>
  <c r="B30" i="7" a="1"/>
  <c r="H18" i="7" a="1"/>
  <c r="E19" i="7" a="1"/>
  <c r="E17" i="7" a="1"/>
  <c r="C18" i="7" a="1"/>
  <c r="D18" i="7" a="1"/>
  <c r="C17" i="7" a="1"/>
  <c r="E18" i="7" a="1"/>
  <c r="D17" i="7" a="1"/>
  <c r="F17" i="7" a="1"/>
  <c r="B17" i="7" a="1"/>
  <c r="H17" i="7" a="1"/>
  <c r="C19" i="7" a="1"/>
  <c r="B18" i="7" a="1"/>
  <c r="F19" i="7" a="1"/>
  <c r="H19" i="7" a="1"/>
  <c r="F18" i="7" a="1"/>
  <c r="B19" i="7" a="1"/>
  <c r="D12" i="7" a="1"/>
  <c r="D19" i="7" a="1"/>
  <c r="E37" i="7" a="1"/>
  <c r="I36" i="7" a="1"/>
  <c r="F36" i="7" a="1"/>
  <c r="I35" i="7" a="1"/>
  <c r="I37" i="7" a="1"/>
  <c r="E36" i="7" a="1"/>
  <c r="F35" i="7" a="1"/>
  <c r="D37" i="7" a="1"/>
  <c r="D35" i="7" a="1"/>
  <c r="E35" i="7" a="1"/>
  <c r="F37" i="7" a="1"/>
  <c r="D36" i="7" a="1"/>
  <c r="G194" i="7" l="1"/>
  <c r="G122" i="7"/>
  <c r="G225" i="7"/>
  <c r="G41" i="7"/>
  <c r="G40" i="7"/>
  <c r="C32" i="7"/>
  <c r="G76" i="7"/>
  <c r="C39" i="7"/>
  <c r="G196" i="7"/>
  <c r="G258" i="7"/>
  <c r="G178" i="7"/>
  <c r="G48" i="7"/>
  <c r="G260" i="7"/>
  <c r="G167" i="7"/>
  <c r="G276" i="7"/>
  <c r="H20" i="7"/>
  <c r="G125" i="7"/>
  <c r="G53" i="7"/>
  <c r="G149" i="7"/>
  <c r="G5" i="7"/>
  <c r="G113" i="7"/>
  <c r="B30" i="7"/>
  <c r="G251" i="7"/>
  <c r="G67" i="7"/>
  <c r="G54" i="7"/>
  <c r="G147" i="7"/>
  <c r="G212" i="7"/>
  <c r="B39" i="7"/>
  <c r="G56" i="7"/>
  <c r="C35" i="7"/>
  <c r="G27" i="7"/>
  <c r="G182" i="7"/>
  <c r="G29" i="7"/>
  <c r="G37" i="7"/>
  <c r="C38" i="7"/>
  <c r="G95" i="7"/>
  <c r="G44" i="7"/>
  <c r="G42" i="7"/>
  <c r="C36" i="7"/>
  <c r="G246" i="7"/>
  <c r="G98" i="7"/>
  <c r="G235" i="7"/>
  <c r="G154" i="7"/>
  <c r="G110" i="7"/>
  <c r="I35" i="7"/>
  <c r="B31" i="7"/>
  <c r="G47" i="7"/>
  <c r="G231" i="7"/>
  <c r="G274" i="7"/>
  <c r="G24" i="7"/>
  <c r="C29" i="7"/>
  <c r="G252" i="7"/>
  <c r="G142" i="7"/>
  <c r="B29" i="7"/>
  <c r="C22" i="7"/>
  <c r="F19" i="7"/>
  <c r="G132" i="7"/>
  <c r="G216" i="7"/>
  <c r="G174" i="7"/>
  <c r="G238" i="7"/>
  <c r="C31" i="7"/>
  <c r="G247" i="7"/>
  <c r="G118" i="7"/>
  <c r="B35" i="7"/>
  <c r="G82" i="7"/>
  <c r="G21" i="7"/>
  <c r="G136" i="7"/>
  <c r="G119" i="7"/>
  <c r="G30" i="7"/>
  <c r="G88" i="7"/>
  <c r="G295" i="7"/>
  <c r="G236" i="7"/>
  <c r="G158" i="7"/>
  <c r="G103" i="7"/>
  <c r="E36" i="7"/>
  <c r="G91" i="7"/>
  <c r="D17" i="7"/>
  <c r="B20" i="7"/>
  <c r="G35" i="7"/>
  <c r="G25" i="7"/>
  <c r="G176" i="7"/>
  <c r="G218" i="7"/>
  <c r="D36" i="7"/>
  <c r="G277" i="7"/>
  <c r="G121" i="7"/>
  <c r="G285" i="7"/>
  <c r="G153" i="7"/>
  <c r="D12" i="7"/>
  <c r="E37" i="7"/>
  <c r="G275" i="7"/>
  <c r="G81" i="7"/>
  <c r="G150" i="7"/>
  <c r="G85" i="7"/>
  <c r="G265" i="7"/>
  <c r="G279" i="7"/>
  <c r="C30" i="7"/>
  <c r="G220" i="7"/>
  <c r="G32" i="7"/>
  <c r="G290" i="7"/>
  <c r="G77" i="7"/>
  <c r="G172" i="7"/>
  <c r="G111" i="7"/>
  <c r="G242" i="7"/>
  <c r="G256" i="7"/>
  <c r="D18" i="7"/>
  <c r="B25" i="7"/>
  <c r="G199" i="7"/>
  <c r="G163" i="7"/>
  <c r="G234" i="7"/>
  <c r="G202" i="7"/>
  <c r="G239" i="7"/>
  <c r="G72" i="7"/>
  <c r="G162" i="7"/>
  <c r="G209" i="7"/>
  <c r="G4" i="7"/>
  <c r="G74" i="7"/>
  <c r="I36" i="7"/>
  <c r="G66" i="7"/>
  <c r="G232" i="7"/>
  <c r="G6" i="7"/>
  <c r="G188" i="7"/>
  <c r="G300" i="7"/>
  <c r="G86" i="7"/>
  <c r="G228" i="7"/>
  <c r="G267" i="7"/>
  <c r="G240" i="7"/>
  <c r="G151" i="7"/>
  <c r="G296" i="7"/>
  <c r="F37" i="7"/>
  <c r="G254" i="7"/>
  <c r="B32" i="7"/>
  <c r="G183" i="7"/>
  <c r="E35" i="7"/>
  <c r="G280" i="7"/>
  <c r="G185" i="7"/>
  <c r="G171" i="7"/>
  <c r="G2" i="7"/>
  <c r="G257" i="7"/>
  <c r="G270" i="7"/>
  <c r="G115" i="7"/>
  <c r="G159" i="7"/>
  <c r="G130" i="7"/>
  <c r="G55" i="7"/>
  <c r="G292" i="7"/>
  <c r="G164" i="7"/>
  <c r="G22" i="7"/>
  <c r="B23" i="7"/>
  <c r="G46" i="7"/>
  <c r="G108" i="7"/>
  <c r="G45" i="7"/>
  <c r="G272" i="7"/>
  <c r="G131" i="7"/>
  <c r="G78" i="7"/>
  <c r="G3" i="7"/>
  <c r="G294" i="7"/>
  <c r="B37" i="7"/>
  <c r="B38" i="7"/>
  <c r="G63" i="7"/>
  <c r="B28" i="7"/>
  <c r="G58" i="7"/>
  <c r="G61" i="7"/>
  <c r="G166" i="7"/>
  <c r="G33" i="7"/>
  <c r="G169" i="7"/>
  <c r="G60" i="7"/>
  <c r="G109" i="7"/>
  <c r="G245" i="7"/>
  <c r="G68" i="7"/>
  <c r="G180" i="7"/>
  <c r="G268" i="7"/>
  <c r="G186" i="7"/>
  <c r="G226" i="7"/>
  <c r="G250" i="7"/>
  <c r="F20" i="7"/>
  <c r="G51" i="7"/>
  <c r="G100" i="7"/>
  <c r="G168" i="7"/>
  <c r="G261" i="7"/>
  <c r="G223" i="7"/>
  <c r="C23" i="7"/>
  <c r="G152" i="7"/>
  <c r="H19" i="7"/>
  <c r="G284" i="7"/>
  <c r="F35" i="7"/>
  <c r="G65" i="7"/>
  <c r="B22" i="7"/>
  <c r="G106" i="7"/>
  <c r="H17" i="7"/>
  <c r="G123" i="7"/>
  <c r="F17" i="7"/>
  <c r="G215" i="7"/>
  <c r="G181" i="7"/>
  <c r="G144" i="7"/>
  <c r="G165" i="7"/>
  <c r="G208" i="7"/>
  <c r="B24" i="7"/>
  <c r="G201" i="7"/>
  <c r="G92" i="7"/>
  <c r="G143" i="7"/>
  <c r="G177" i="7"/>
  <c r="G189" i="7"/>
  <c r="G39" i="7"/>
  <c r="G69" i="7"/>
  <c r="G233" i="7"/>
  <c r="G49" i="7"/>
  <c r="G200" i="7"/>
  <c r="G97" i="7"/>
  <c r="G205" i="7"/>
  <c r="G124" i="7"/>
  <c r="C34" i="7"/>
  <c r="G207" i="7"/>
  <c r="D19" i="7"/>
  <c r="B27" i="7"/>
  <c r="G104" i="7"/>
  <c r="G229" i="7"/>
  <c r="G31" i="7"/>
  <c r="G190" i="7"/>
  <c r="G7" i="7"/>
  <c r="G259" i="7"/>
  <c r="G214" i="7"/>
  <c r="F36" i="7"/>
  <c r="G297" i="7"/>
  <c r="G299" i="7"/>
  <c r="G211" i="7"/>
  <c r="B18" i="7"/>
  <c r="G243" i="7"/>
  <c r="G213" i="7"/>
  <c r="G34" i="7"/>
  <c r="G62" i="7"/>
  <c r="G75" i="7"/>
  <c r="G90" i="7"/>
  <c r="E17" i="7"/>
  <c r="B34" i="7"/>
  <c r="G18" i="7"/>
  <c r="G105" i="7"/>
  <c r="G195" i="7"/>
  <c r="G73" i="7"/>
  <c r="C21" i="7"/>
  <c r="G187" i="7"/>
  <c r="G198" i="7"/>
  <c r="G160" i="7"/>
  <c r="G219" i="7"/>
  <c r="G59" i="7"/>
  <c r="G112" i="7"/>
  <c r="C33" i="7"/>
  <c r="G64" i="7"/>
  <c r="G79" i="7"/>
  <c r="B26" i="7"/>
  <c r="G204" i="7"/>
  <c r="G80" i="7"/>
  <c r="B36" i="7"/>
  <c r="G134" i="7"/>
  <c r="G197" i="7"/>
  <c r="G221" i="7"/>
  <c r="G50" i="7"/>
  <c r="G273" i="7"/>
  <c r="G271" i="7"/>
  <c r="C17" i="7"/>
  <c r="G87" i="7"/>
  <c r="G139" i="7"/>
  <c r="G155" i="7"/>
  <c r="D37" i="7"/>
  <c r="G237" i="7"/>
  <c r="E18" i="7"/>
  <c r="G140" i="7"/>
  <c r="B33" i="7"/>
  <c r="G282" i="7"/>
  <c r="G102" i="7"/>
  <c r="C20" i="7"/>
  <c r="C27" i="7"/>
  <c r="G141" i="7"/>
  <c r="G281" i="7"/>
  <c r="G263" i="7"/>
  <c r="G179" i="7"/>
  <c r="D20" i="7"/>
  <c r="G120" i="7"/>
  <c r="G161" i="7"/>
  <c r="G28" i="7"/>
  <c r="G107" i="7"/>
  <c r="G248" i="7"/>
  <c r="G230" i="7"/>
  <c r="G222" i="7"/>
  <c r="G291" i="7"/>
  <c r="I37" i="7"/>
  <c r="G255" i="7"/>
  <c r="G101" i="7"/>
  <c r="G206" i="7"/>
  <c r="G99" i="7"/>
  <c r="B19" i="7"/>
  <c r="D35" i="7"/>
  <c r="G191" i="7"/>
  <c r="G83" i="7"/>
  <c r="G126" i="7"/>
  <c r="G249" i="7"/>
  <c r="G241" i="7"/>
  <c r="G227" i="7"/>
  <c r="G203" i="7"/>
  <c r="H18" i="7"/>
  <c r="G224" i="7"/>
  <c r="G287" i="7"/>
  <c r="G96" i="7"/>
  <c r="C37" i="7"/>
  <c r="G145" i="7"/>
  <c r="G26" i="7"/>
  <c r="G262" i="7"/>
  <c r="E19" i="7"/>
  <c r="G137" i="7"/>
  <c r="C28" i="7"/>
  <c r="C19" i="7"/>
  <c r="G146" i="7"/>
  <c r="C26" i="7"/>
  <c r="G84" i="7"/>
  <c r="C18" i="7"/>
  <c r="G127" i="7"/>
  <c r="G298" i="7"/>
  <c r="G173" i="7"/>
  <c r="G70" i="7"/>
  <c r="G193" i="7"/>
  <c r="E20" i="7"/>
  <c r="G93" i="7"/>
  <c r="G23" i="7"/>
  <c r="G128" i="7"/>
  <c r="C24" i="7"/>
  <c r="G20" i="7"/>
  <c r="G244" i="7"/>
  <c r="G71" i="7"/>
  <c r="G253" i="7"/>
  <c r="G184" i="7"/>
  <c r="G8" i="7"/>
  <c r="B17" i="7"/>
  <c r="G43" i="7"/>
  <c r="G89" i="7"/>
  <c r="G133" i="7"/>
  <c r="G57" i="7"/>
  <c r="G94" i="7"/>
  <c r="G278" i="7"/>
  <c r="G170" i="7"/>
  <c r="G117" i="7"/>
  <c r="G19" i="7"/>
  <c r="G52" i="7"/>
  <c r="F18" i="7"/>
  <c r="G286" i="7"/>
  <c r="G138" i="7"/>
  <c r="G129" i="7"/>
  <c r="G36" i="7"/>
  <c r="B21" i="7"/>
  <c r="G293" i="7"/>
  <c r="G269" i="7"/>
  <c r="G289" i="7"/>
  <c r="G38" i="7"/>
  <c r="G148" i="7"/>
  <c r="G288" i="7"/>
  <c r="G175" i="7"/>
  <c r="G217" i="7"/>
  <c r="G17" i="7"/>
  <c r="C25" i="7"/>
  <c r="G157" i="7"/>
  <c r="G283" i="7"/>
  <c r="G135" i="7"/>
  <c r="G210" i="7"/>
  <c r="G116" i="7"/>
  <c r="G264" i="7"/>
  <c r="G192" i="7"/>
  <c r="G114" i="7"/>
  <c r="G266" i="7"/>
  <c r="G156" i="7"/>
  <c r="H213" i="7" l="1" a="1"/>
  <c r="F204" i="7" a="1"/>
  <c r="I271" i="7" a="1"/>
  <c r="E279" i="7" a="1"/>
  <c r="C237" i="7" a="1"/>
  <c r="C251" i="7" a="1"/>
  <c r="F59" i="7" a="1"/>
  <c r="I204" i="7" a="1"/>
  <c r="C76" i="7" a="1"/>
  <c r="E225" i="7" a="1"/>
  <c r="E231" i="7" a="1"/>
  <c r="H121" i="7" a="1"/>
  <c r="I34" i="7" a="1"/>
  <c r="I247" i="7" a="1"/>
  <c r="B125" i="7" a="1"/>
  <c r="H53" i="7" a="1"/>
  <c r="B288" i="7" a="1"/>
  <c r="C54" i="7" a="1"/>
  <c r="F220" i="7" a="1"/>
  <c r="E45" i="7" a="1"/>
  <c r="B229" i="7" a="1"/>
  <c r="F255" i="7" a="1"/>
  <c r="F128" i="7" a="1"/>
  <c r="I273" i="7" a="1"/>
  <c r="E103" i="7" a="1"/>
  <c r="C281" i="7" a="1"/>
  <c r="C106" i="7" a="1"/>
  <c r="E8" i="7" a="1"/>
  <c r="B182" i="7" a="1"/>
  <c r="H197" i="7" a="1"/>
  <c r="E169" i="7" a="1"/>
  <c r="F28" i="7" a="1"/>
  <c r="D270" i="7" a="1"/>
  <c r="I98" i="7" a="1"/>
  <c r="D7" i="7" a="1"/>
  <c r="E185" i="7" a="1"/>
  <c r="F81" i="7" a="1"/>
  <c r="E32" i="7" a="1"/>
  <c r="E249" i="7" a="1"/>
  <c r="F104" i="7" a="1"/>
  <c r="D292" i="7" a="1"/>
  <c r="F95" i="7" a="1"/>
  <c r="C159" i="7" a="1"/>
  <c r="E295" i="7" a="1"/>
  <c r="B213" i="7" a="1"/>
  <c r="I66" i="7" a="1"/>
  <c r="C126" i="7" a="1"/>
  <c r="H151" i="7" a="1"/>
  <c r="H126" i="7" a="1"/>
  <c r="D46" i="7" a="1"/>
  <c r="I88" i="7" a="1"/>
  <c r="D130" i="7" a="1"/>
  <c r="B73" i="7" a="1"/>
  <c r="H23" i="7" a="1"/>
  <c r="C144" i="7" a="1"/>
  <c r="I244" i="7" a="1"/>
  <c r="B262" i="7" a="1"/>
  <c r="E164" i="7" a="1"/>
  <c r="H85" i="7" a="1"/>
  <c r="E243" i="7" a="1"/>
  <c r="B170" i="7" a="1"/>
  <c r="E92" i="7" a="1"/>
  <c r="C257" i="7" a="1"/>
  <c r="F291" i="7" a="1"/>
  <c r="B215" i="7" a="1"/>
  <c r="D81" i="7" a="1"/>
  <c r="B128" i="7" a="1"/>
  <c r="B62" i="7" a="1"/>
  <c r="E41" i="7" a="1"/>
  <c r="F241" i="7" a="1"/>
  <c r="F87" i="7" a="1"/>
  <c r="F23" i="7" a="1"/>
  <c r="D136" i="7" a="1"/>
  <c r="H58" i="7" a="1"/>
  <c r="I162" i="7" a="1"/>
  <c r="D141" i="7" a="1"/>
  <c r="C99" i="7" a="1"/>
  <c r="H232" i="7" a="1"/>
  <c r="E24" i="7" a="1"/>
  <c r="B266" i="7" a="1"/>
  <c r="E179" i="7" a="1"/>
  <c r="H89" i="7" a="1"/>
  <c r="H156" i="7" a="1"/>
  <c r="C213" i="7" a="1"/>
  <c r="C75" i="7" a="1"/>
  <c r="F235" i="7" a="1"/>
  <c r="D245" i="7" a="1"/>
  <c r="H129" i="7" a="1"/>
  <c r="I192" i="7" a="1"/>
  <c r="E102" i="7" a="1"/>
  <c r="H199" i="7" a="1"/>
  <c r="E196" i="7" a="1"/>
  <c r="I202" i="7" a="1"/>
  <c r="B268" i="7" a="1"/>
  <c r="B149" i="7" a="1"/>
  <c r="F234" i="7" a="1"/>
  <c r="C270" i="7" a="1"/>
  <c r="C272" i="7" a="1"/>
  <c r="C271" i="7" a="1"/>
  <c r="D107" i="7" a="1"/>
  <c r="F70" i="7" a="1"/>
  <c r="I167" i="7" a="1"/>
  <c r="C231" i="7" a="1"/>
  <c r="F113" i="7" a="1"/>
  <c r="C109" i="7" a="1"/>
  <c r="F246" i="7" a="1"/>
  <c r="F29" i="7" a="1"/>
  <c r="H215" i="7" a="1"/>
  <c r="D93" i="7" a="1"/>
  <c r="H178" i="7" a="1"/>
  <c r="I20" i="7" a="1"/>
  <c r="B284" i="7" a="1"/>
  <c r="H286" i="7" a="1"/>
  <c r="C45" i="7" a="1"/>
  <c r="F102" i="7" a="1"/>
  <c r="C138" i="7" a="1"/>
  <c r="E246" i="7" a="1"/>
  <c r="H107" i="7" a="1"/>
  <c r="F60" i="7" a="1"/>
  <c r="F89" i="7" a="1"/>
  <c r="D40" i="7" a="1"/>
  <c r="F193" i="7" a="1"/>
  <c r="B246" i="7" a="1"/>
  <c r="E90" i="7" a="1"/>
  <c r="E275" i="7" a="1"/>
  <c r="B83" i="7" a="1"/>
  <c r="E298" i="7" a="1"/>
  <c r="E258" i="7" a="1"/>
  <c r="D148" i="7" a="1"/>
  <c r="C50" i="7" a="1"/>
  <c r="H87" i="7" a="1"/>
  <c r="B69" i="7" a="1"/>
  <c r="F127" i="7" a="1"/>
  <c r="C127" i="7" a="1"/>
  <c r="D76" i="7" a="1"/>
  <c r="E84" i="7" a="1"/>
  <c r="F42" i="7" a="1"/>
  <c r="I115" i="7" a="1"/>
  <c r="D160" i="7" a="1"/>
  <c r="I16" i="7" a="1"/>
  <c r="H134" i="7" a="1"/>
  <c r="B186" i="7" a="1"/>
  <c r="H48" i="7" a="1"/>
  <c r="B160" i="7" a="1"/>
  <c r="B294" i="7" a="1"/>
  <c r="I63" i="7" a="1"/>
  <c r="F210" i="7" a="1"/>
  <c r="H100" i="7" a="1"/>
  <c r="E110" i="7" a="1"/>
  <c r="E142" i="7" a="1"/>
  <c r="D120" i="7" a="1"/>
  <c r="I280" i="7" a="1"/>
  <c r="C86" i="7" a="1"/>
  <c r="C253" i="7" a="1"/>
  <c r="H274" i="7" a="1"/>
  <c r="H97" i="7" a="1"/>
  <c r="H106" i="7" a="1"/>
  <c r="B74" i="7" a="1"/>
  <c r="E219" i="7" a="1"/>
  <c r="F160" i="7" a="1"/>
  <c r="B226" i="7" a="1"/>
  <c r="H6" i="7" a="1"/>
  <c r="F49" i="7" a="1"/>
  <c r="H207" i="7" a="1"/>
  <c r="I252" i="7" a="1"/>
  <c r="E166" i="7" a="1"/>
  <c r="H293" i="7" a="1"/>
  <c r="H70" i="7" a="1"/>
  <c r="F237" i="7" a="1"/>
  <c r="F283" i="7" a="1"/>
  <c r="H256" i="7" a="1"/>
  <c r="E280" i="7" a="1"/>
  <c r="B203" i="7" a="1"/>
  <c r="H222" i="7" a="1"/>
  <c r="D280" i="7" a="1"/>
  <c r="E26" i="7" a="1"/>
  <c r="C200" i="7" a="1"/>
  <c r="F71" i="7" a="1"/>
  <c r="H47" i="7" a="1"/>
  <c r="F139" i="7" a="1"/>
  <c r="E113" i="7" a="1"/>
  <c r="F179" i="7" a="1"/>
  <c r="I127" i="7" a="1"/>
  <c r="B153" i="7" a="1"/>
  <c r="I246" i="7" a="1"/>
  <c r="H29" i="7" a="1"/>
  <c r="F31" i="7" a="1"/>
  <c r="D190" i="7" a="1"/>
  <c r="E190" i="7" a="1"/>
  <c r="C282" i="7" a="1"/>
  <c r="H205" i="7" a="1"/>
  <c r="C57" i="7" a="1"/>
  <c r="C77" i="7" a="1"/>
  <c r="H94" i="7" a="1"/>
  <c r="E283" i="7" a="1"/>
  <c r="B52" i="7" a="1"/>
  <c r="D217" i="7" a="1"/>
  <c r="C98" i="7" a="1"/>
  <c r="I152" i="7" a="1"/>
  <c r="F117" i="7" a="1"/>
  <c r="B187" i="7" a="1"/>
  <c r="D289" i="7" a="1"/>
  <c r="C72" i="7" a="1"/>
  <c r="B123" i="7" a="1"/>
  <c r="I19" i="7" a="1"/>
  <c r="I58" i="7" a="1"/>
  <c r="H78" i="7" a="1"/>
  <c r="C129" i="7" a="1"/>
  <c r="C160" i="7" a="1"/>
  <c r="C118" i="7" a="1"/>
  <c r="C211" i="7" a="1"/>
  <c r="E255" i="7" a="1"/>
  <c r="B184" i="7" a="1"/>
  <c r="E127" i="7" a="1"/>
  <c r="H225" i="7" a="1"/>
  <c r="H245" i="7" a="1"/>
  <c r="C243" i="7" a="1"/>
  <c r="B198" i="7" a="1"/>
  <c r="C199" i="7" a="1"/>
  <c r="D252" i="7" a="1"/>
  <c r="C47" i="7" a="1"/>
  <c r="C224" i="7" a="1"/>
  <c r="H251" i="7" a="1"/>
  <c r="C132" i="7" a="1"/>
  <c r="B261" i="7" a="1"/>
  <c r="D139" i="7" a="1"/>
  <c r="I75" i="7" a="1"/>
  <c r="E87" i="7" a="1"/>
  <c r="E224" i="7" a="1"/>
  <c r="D22" i="7" a="1"/>
  <c r="B171" i="7" a="1"/>
  <c r="B134" i="7" a="1"/>
  <c r="D256" i="7" a="1"/>
  <c r="F167" i="7" a="1"/>
  <c r="F48" i="7" a="1"/>
  <c r="H98" i="7" a="1"/>
  <c r="D56" i="7" a="1"/>
  <c r="B98" i="7" a="1"/>
  <c r="C153" i="7" a="1"/>
  <c r="B82" i="7" a="1"/>
  <c r="C256" i="7" a="1"/>
  <c r="F177" i="7" a="1"/>
  <c r="D197" i="7" a="1"/>
  <c r="D6" i="7" a="1"/>
  <c r="F250" i="7" a="1"/>
  <c r="F189" i="7" a="1"/>
  <c r="D242" i="7" a="1"/>
  <c r="D294" i="7" a="1"/>
  <c r="D149" i="7" a="1"/>
  <c r="H119" i="7" a="1"/>
  <c r="F183" i="7" a="1"/>
  <c r="E174" i="7" a="1"/>
  <c r="E117" i="7" a="1"/>
  <c r="I300" i="7" a="1"/>
  <c r="C280" i="7" a="1"/>
  <c r="H104" i="7" a="1"/>
  <c r="D71" i="7" a="1"/>
  <c r="D138" i="7" a="1"/>
  <c r="D47" i="7" a="1"/>
  <c r="E200" i="7" a="1"/>
  <c r="B90" i="7" a="1"/>
  <c r="D274" i="7" a="1"/>
  <c r="I111" i="7" a="1"/>
  <c r="C46" i="7" a="1"/>
  <c r="F225" i="7" a="1"/>
  <c r="B165" i="7" a="1"/>
  <c r="E282" i="7" a="1"/>
  <c r="C226" i="7" a="1"/>
  <c r="B42" i="7" a="1"/>
  <c r="I57" i="7" a="1"/>
  <c r="I3" i="7" a="1"/>
  <c r="B41" i="7" a="1"/>
  <c r="I156" i="7" a="1"/>
  <c r="C112" i="7" a="1"/>
  <c r="H206" i="7" a="1"/>
  <c r="I187" i="7" a="1"/>
  <c r="F149" i="7" a="1"/>
  <c r="H99" i="7" a="1"/>
  <c r="F76" i="7" a="1"/>
  <c r="E143" i="7" a="1"/>
  <c r="I39" i="7" a="1"/>
  <c r="F268" i="7" a="1"/>
  <c r="I176" i="7" a="1"/>
  <c r="I173" i="7" a="1"/>
  <c r="D51" i="7" a="1"/>
  <c r="I51" i="7" a="1"/>
  <c r="I293" i="7" a="1"/>
  <c r="C136" i="7" a="1"/>
  <c r="C116" i="7" a="1"/>
  <c r="H259" i="7" a="1"/>
  <c r="B277" i="7" a="1"/>
  <c r="E233" i="7" a="1"/>
  <c r="F214" i="7" a="1"/>
  <c r="I297" i="7" a="1"/>
  <c r="B208" i="7" a="1"/>
  <c r="E108" i="7" a="1"/>
  <c r="F295" i="7" a="1"/>
  <c r="D85" i="7" a="1"/>
  <c r="I64" i="7" a="1"/>
  <c r="H45" i="7" a="1"/>
  <c r="F259" i="7" a="1"/>
  <c r="B150" i="7" a="1"/>
  <c r="I54" i="7" a="1"/>
  <c r="D150" i="7" a="1"/>
  <c r="E136" i="7" a="1"/>
  <c r="E182" i="7" a="1"/>
  <c r="I231" i="7" a="1"/>
  <c r="D272" i="7" a="1"/>
  <c r="B5" i="7" a="1"/>
  <c r="B286" i="7" a="1"/>
  <c r="B190" i="7" a="1"/>
  <c r="D92" i="7" a="1"/>
  <c r="C190" i="7" a="1"/>
  <c r="E263" i="7" a="1"/>
  <c r="I197" i="7" a="1"/>
  <c r="I227" i="7" a="1"/>
  <c r="B243" i="7" a="1"/>
  <c r="E33" i="7" a="1"/>
  <c r="E226" i="7" a="1"/>
  <c r="E272" i="7" a="1"/>
  <c r="H66" i="7" a="1"/>
  <c r="H200" i="7" a="1"/>
  <c r="B259" i="7" a="1"/>
  <c r="E211" i="7" a="1"/>
  <c r="D179" i="7" a="1"/>
  <c r="F236" i="7" a="1"/>
  <c r="I189" i="7" a="1"/>
  <c r="C254" i="7" a="1"/>
  <c r="F219" i="7" a="1"/>
  <c r="I56" i="7" a="1"/>
  <c r="H101" i="7" a="1"/>
  <c r="C217" i="7" a="1"/>
  <c r="C101" i="7" a="1"/>
  <c r="H38" i="7" a="1"/>
  <c r="I198" i="7" a="1"/>
  <c r="C122" i="7" a="1"/>
  <c r="B201" i="7" a="1"/>
  <c r="B282" i="7" a="1"/>
  <c r="H32" i="7" a="1"/>
  <c r="F261" i="7" a="1"/>
  <c r="B240" i="7" a="1"/>
  <c r="D249" i="7" a="1"/>
  <c r="I62" i="7" a="1"/>
  <c r="D259" i="7" a="1"/>
  <c r="B169" i="7" a="1"/>
  <c r="E73" i="7" a="1"/>
  <c r="F256" i="7" a="1"/>
  <c r="D269" i="7" a="1"/>
  <c r="F131" i="7" a="1"/>
  <c r="B222" i="7" a="1"/>
  <c r="D203" i="7" a="1"/>
  <c r="F107" i="7" a="1"/>
  <c r="B300" i="7" a="1"/>
  <c r="D50" i="7" a="1"/>
  <c r="H268" i="7" a="1"/>
  <c r="B64" i="7" a="1"/>
  <c r="C195" i="7" a="1"/>
  <c r="I214" i="7" a="1"/>
  <c r="D42" i="7" a="1"/>
  <c r="I146" i="7" a="1"/>
  <c r="E186" i="7" a="1"/>
  <c r="E124" i="7" a="1"/>
  <c r="H183" i="7" a="1"/>
  <c r="I236" i="7" a="1"/>
  <c r="C275" i="7" a="1"/>
  <c r="B127" i="7" a="1"/>
  <c r="D102" i="7" a="1"/>
  <c r="B189" i="7" a="1"/>
  <c r="I67" i="7" a="1"/>
  <c r="E204" i="7" a="1"/>
  <c r="C84" i="7" a="1"/>
  <c r="C125" i="7" a="1"/>
  <c r="C298" i="7" a="1"/>
  <c r="D33" i="7" a="1"/>
  <c r="H152" i="7" a="1"/>
  <c r="F109" i="7" a="1"/>
  <c r="B159" i="7" a="1"/>
  <c r="E197" i="7" a="1"/>
  <c r="D143" i="7" a="1"/>
  <c r="D221" i="7" a="1"/>
  <c r="E101" i="7" a="1"/>
  <c r="C157" i="7" a="1"/>
  <c r="I33" i="7" a="1"/>
  <c r="F205" i="7" a="1"/>
  <c r="E132" i="7" a="1"/>
  <c r="E193" i="7" a="1"/>
  <c r="E209" i="7" a="1"/>
  <c r="D90" i="7" a="1"/>
  <c r="D115" i="7" a="1"/>
  <c r="F272" i="7" a="1"/>
  <c r="C44" i="7" a="1"/>
  <c r="F278" i="7" a="1"/>
  <c r="B283" i="7" a="1"/>
  <c r="F239" i="7" a="1"/>
  <c r="B46" i="7" a="1"/>
  <c r="C71" i="7" a="1"/>
  <c r="H146" i="7" a="1"/>
  <c r="D49" i="7" a="1"/>
  <c r="C81" i="7" a="1"/>
  <c r="B238" i="7" a="1"/>
  <c r="I216" i="7" a="1"/>
  <c r="E109" i="7" a="1"/>
  <c r="F101" i="7" a="1"/>
  <c r="H164" i="7" a="1"/>
  <c r="E121" i="7" a="1"/>
  <c r="C4" i="7" a="1"/>
  <c r="H226" i="7" a="1"/>
  <c r="I113" i="7" a="1"/>
  <c r="B79" i="7" a="1"/>
  <c r="E274" i="7" a="1"/>
  <c r="I282" i="7" a="1"/>
  <c r="I112" i="7" a="1"/>
  <c r="I291" i="7" a="1"/>
  <c r="D75" i="7" a="1"/>
  <c r="C6" i="7" a="1"/>
  <c r="F8" i="7" a="1"/>
  <c r="H276" i="7" a="1"/>
  <c r="I286" i="7" a="1"/>
  <c r="H238" i="7" a="1"/>
  <c r="C135" i="7" a="1"/>
  <c r="E146" i="7" a="1"/>
  <c r="B71" i="7" a="1"/>
  <c r="H180" i="7" a="1"/>
  <c r="B132" i="7" a="1"/>
  <c r="C149" i="7" a="1"/>
  <c r="C171" i="7" a="1"/>
  <c r="D79" i="7" a="1"/>
  <c r="E293" i="7" a="1"/>
  <c r="I135" i="7" a="1"/>
  <c r="I172" i="7" a="1"/>
  <c r="F213" i="7" a="1"/>
  <c r="E3" i="7" a="1"/>
  <c r="F46" i="7" a="1"/>
  <c r="E163" i="7" a="1"/>
  <c r="C66" i="7" a="1"/>
  <c r="F195" i="7" a="1"/>
  <c r="D182" i="7" a="1"/>
  <c r="D258" i="7" a="1"/>
  <c r="I219" i="7" a="1"/>
  <c r="C246" i="7" a="1"/>
  <c r="E289" i="7" a="1"/>
  <c r="H198" i="7" a="1"/>
  <c r="B93" i="7" a="1"/>
  <c r="H231" i="7" a="1"/>
  <c r="C176" i="7" a="1"/>
  <c r="C170" i="7" a="1"/>
  <c r="C93" i="7" a="1"/>
  <c r="E177" i="7" a="1"/>
  <c r="B267" i="7" a="1"/>
  <c r="I45" i="7" a="1"/>
  <c r="D142" i="7" a="1"/>
  <c r="E147" i="7" a="1"/>
  <c r="D265" i="7" a="1"/>
  <c r="C154" i="7" a="1"/>
  <c r="F141" i="7" a="1"/>
  <c r="D137" i="7" a="1"/>
  <c r="H102" i="7" a="1"/>
  <c r="D244" i="7" a="1"/>
  <c r="D198" i="7" a="1"/>
  <c r="E183" i="7" a="1"/>
  <c r="B250" i="7" a="1"/>
  <c r="B139" i="7" a="1"/>
  <c r="B146" i="7" a="1"/>
  <c r="I114" i="7" a="1"/>
  <c r="H65" i="7" a="1"/>
  <c r="H81" i="7" a="1"/>
  <c r="F216" i="7" a="1"/>
  <c r="D88" i="7" a="1"/>
  <c r="C295" i="7" a="1"/>
  <c r="D211" i="7" a="1"/>
  <c r="F62" i="7" a="1"/>
  <c r="C164" i="7" a="1"/>
  <c r="B278" i="7" a="1"/>
  <c r="C261" i="7" a="1"/>
  <c r="D52" i="7" a="1"/>
  <c r="B108" i="7" a="1"/>
  <c r="B281" i="7" a="1"/>
  <c r="D132" i="7" a="1"/>
  <c r="D224" i="7" a="1"/>
  <c r="C184" i="7" a="1"/>
  <c r="H25" i="7" a="1"/>
  <c r="I229" i="7" a="1"/>
  <c r="F63" i="7" a="1"/>
  <c r="C214" i="7" a="1"/>
  <c r="C263" i="7" a="1"/>
  <c r="I228" i="7" a="1"/>
  <c r="I159" i="7" a="1"/>
  <c r="F96" i="7" a="1"/>
  <c r="B61" i="7" a="1"/>
  <c r="D152" i="7" a="1"/>
  <c r="C185" i="7" a="1"/>
  <c r="H230" i="7" a="1"/>
  <c r="H133" i="7" a="1"/>
  <c r="B111" i="7" a="1"/>
  <c r="C104" i="7" a="1"/>
  <c r="D151" i="7" a="1"/>
  <c r="H263" i="7" a="1"/>
  <c r="E154" i="7" a="1"/>
  <c r="F184" i="7" a="1"/>
  <c r="E168" i="7" a="1"/>
  <c r="D290" i="7" a="1"/>
  <c r="F197" i="7" a="1"/>
  <c r="B77" i="7" a="1"/>
  <c r="B202" i="7" a="1"/>
  <c r="B78" i="7" a="1"/>
  <c r="F150" i="7" a="1"/>
  <c r="H297" i="7" a="1"/>
  <c r="H79" i="7" a="1"/>
  <c r="F114" i="7" a="1"/>
  <c r="I15" i="7" a="1"/>
  <c r="F290" i="7" a="1"/>
  <c r="B256" i="7" a="1"/>
  <c r="C82" i="7" a="1"/>
  <c r="F50" i="7" a="1"/>
  <c r="F269" i="7" a="1"/>
  <c r="H202" i="7" a="1"/>
  <c r="D58" i="7" a="1"/>
  <c r="C291" i="7" a="1"/>
  <c r="D291" i="7" a="1"/>
  <c r="D84" i="7" a="1"/>
  <c r="B3" i="7" a="1"/>
  <c r="F79" i="7" a="1"/>
  <c r="H203" i="7" a="1"/>
  <c r="B214" i="7" a="1"/>
  <c r="C201" i="7" a="1"/>
  <c r="I158" i="7" a="1"/>
  <c r="H234" i="7" a="1"/>
  <c r="F57" i="7" a="1"/>
  <c r="D189" i="7" a="1"/>
  <c r="D110" i="7" a="1"/>
  <c r="E63" i="7" a="1"/>
  <c r="C191" i="7" a="1"/>
  <c r="I170" i="7" a="1"/>
  <c r="B67" i="7" a="1"/>
  <c r="I230" i="7" a="1"/>
  <c r="B130" i="7" a="1"/>
  <c r="B227" i="7" a="1"/>
  <c r="I142" i="7" a="1"/>
  <c r="E70" i="7" a="1"/>
  <c r="H140" i="7" a="1"/>
  <c r="I290" i="7" a="1"/>
  <c r="C230" i="7" a="1"/>
  <c r="I232" i="7" a="1"/>
  <c r="D227" i="7" a="1"/>
  <c r="I203" i="7" a="1"/>
  <c r="I95" i="7" a="1"/>
  <c r="B133" i="7" a="1"/>
  <c r="F289" i="7" a="1"/>
  <c r="E167" i="7" a="1"/>
  <c r="C299" i="7" a="1"/>
  <c r="E267" i="7" a="1"/>
  <c r="D177" i="7" a="1"/>
  <c r="I49" i="7" a="1"/>
  <c r="B199" i="7" a="1"/>
  <c r="B297" i="7" a="1"/>
  <c r="D156" i="7" a="1"/>
  <c r="E59" i="7" a="1"/>
  <c r="I22" i="7" a="1"/>
  <c r="E221" i="7" a="1"/>
  <c r="C221" i="7" a="1"/>
  <c r="I136" i="7" a="1"/>
  <c r="E30" i="7" a="1"/>
  <c r="H272" i="7" a="1"/>
  <c r="F126" i="7" a="1"/>
  <c r="B48" i="7" a="1"/>
  <c r="I279" i="7" a="1"/>
  <c r="C2" i="7" a="1"/>
  <c r="F265" i="7" a="1"/>
  <c r="E61" i="7" a="1"/>
  <c r="F279" i="7" a="1"/>
  <c r="E86" i="7" a="1"/>
  <c r="D264" i="7" a="1"/>
  <c r="F156" i="7" a="1"/>
  <c r="E149" i="7" a="1"/>
  <c r="I164" i="7" a="1"/>
  <c r="H284" i="7" a="1"/>
  <c r="H122" i="7" a="1"/>
  <c r="I84" i="7" a="1"/>
  <c r="E123" i="7" a="1"/>
  <c r="I147" i="7" a="1"/>
  <c r="I85" i="7" a="1"/>
  <c r="D112" i="7" a="1"/>
  <c r="D225" i="7" a="1"/>
  <c r="E58" i="7" a="1"/>
  <c r="D204" i="7" a="1"/>
  <c r="B175" i="7" a="1"/>
  <c r="H168" i="7" a="1"/>
  <c r="H227" i="7" a="1"/>
  <c r="C258" i="7" a="1"/>
  <c r="F212" i="7" a="1"/>
  <c r="F133" i="7" a="1"/>
  <c r="I258" i="7" a="1"/>
  <c r="I69" i="7" a="1"/>
  <c r="F138" i="7" a="1"/>
  <c r="F262" i="7" a="1"/>
  <c r="D119" i="7" a="1"/>
  <c r="I245" i="7" a="1"/>
  <c r="F264" i="7" a="1"/>
  <c r="F74" i="7" a="1"/>
  <c r="D97" i="7" a="1"/>
  <c r="C115" i="7" a="1"/>
  <c r="E181" i="7" a="1"/>
  <c r="D195" i="7" a="1"/>
  <c r="E220" i="7" a="1"/>
  <c r="H160" i="7" a="1"/>
  <c r="B253" i="7" a="1"/>
  <c r="E173" i="7" a="1"/>
  <c r="F207" i="7" a="1"/>
  <c r="C65" i="7" a="1"/>
  <c r="E46" i="7" a="1"/>
  <c r="H291" i="7" a="1"/>
  <c r="E57" i="7" a="1"/>
  <c r="H43" i="7" a="1"/>
  <c r="E39" i="7" a="1"/>
  <c r="C113" i="7" a="1"/>
  <c r="I107" i="7" a="1"/>
  <c r="D261" i="7" a="1"/>
  <c r="F105" i="7" a="1"/>
  <c r="F196" i="7" a="1"/>
  <c r="F2" i="7" a="1"/>
  <c r="H194" i="7" a="1"/>
  <c r="E237" i="7" a="1"/>
  <c r="H247" i="7" a="1"/>
  <c r="H127" i="7" a="1"/>
  <c r="C69" i="7" a="1"/>
  <c r="C206" i="7" a="1"/>
  <c r="I234" i="7" a="1"/>
  <c r="I265" i="7" a="1"/>
  <c r="H22" i="7" a="1"/>
  <c r="E93" i="7" a="1"/>
  <c r="H218" i="7" a="1"/>
  <c r="D218" i="7" a="1"/>
  <c r="E21" i="7" a="1"/>
  <c r="E66" i="7" a="1"/>
  <c r="I208" i="7" a="1"/>
  <c r="B7" i="7" a="1"/>
  <c r="I160" i="7" a="1"/>
  <c r="D69" i="7" a="1"/>
  <c r="H258" i="7" a="1"/>
  <c r="E178" i="7" a="1"/>
  <c r="H130" i="7" a="1"/>
  <c r="B197" i="7" a="1"/>
  <c r="H59" i="7" a="1"/>
  <c r="E199" i="7" a="1"/>
  <c r="B112" i="7" a="1"/>
  <c r="E238" i="7" a="1"/>
  <c r="H237" i="7" a="1"/>
  <c r="D287" i="7" a="1"/>
  <c r="B298" i="7" a="1"/>
  <c r="D26" i="7" a="1"/>
  <c r="B114" i="7" a="1"/>
  <c r="C155" i="7" a="1"/>
  <c r="B234" i="7" a="1"/>
  <c r="E254" i="7" a="1"/>
  <c r="C216" i="7" a="1"/>
  <c r="I13" i="7" a="1"/>
  <c r="E43" i="7" a="1"/>
  <c r="I50" i="7" a="1"/>
  <c r="I134" i="7" a="1"/>
  <c r="H220" i="7" a="1"/>
  <c r="B280" i="7" a="1"/>
  <c r="D202" i="7" a="1"/>
  <c r="I169" i="7" a="1"/>
  <c r="C133" i="7" a="1"/>
  <c r="I101" i="7" a="1"/>
  <c r="B296" i="7" a="1"/>
  <c r="C148" i="7" a="1"/>
  <c r="I175" i="7" a="1"/>
  <c r="E76" i="7" a="1"/>
  <c r="H289" i="7" a="1"/>
  <c r="C297" i="7" a="1"/>
  <c r="E208" i="7" a="1"/>
  <c r="C8" i="7" a="1"/>
  <c r="D98" i="7" a="1"/>
  <c r="E65" i="7" a="1"/>
  <c r="C95" i="7" a="1"/>
  <c r="D250" i="7" a="1"/>
  <c r="D164" i="7" a="1"/>
  <c r="H294" i="7" a="1"/>
  <c r="I47" i="7" a="1"/>
  <c r="C293" i="7" a="1"/>
  <c r="I41" i="7" a="1"/>
  <c r="H49" i="7" a="1"/>
  <c r="B49" i="7" a="1"/>
  <c r="I121" i="7" a="1"/>
  <c r="B185" i="7" a="1"/>
  <c r="E2" i="7" a="1"/>
  <c r="I71" i="7" a="1"/>
  <c r="C210" i="7" a="1"/>
  <c r="B88" i="7" a="1"/>
  <c r="H40" i="7" a="1"/>
  <c r="I180" i="7" a="1"/>
  <c r="D125" i="7" a="1"/>
  <c r="E80" i="7" a="1"/>
  <c r="C163" i="7" a="1"/>
  <c r="I70" i="7" a="1"/>
  <c r="F83" i="7" a="1"/>
  <c r="I12" i="7" a="1"/>
  <c r="E217" i="7" a="1"/>
  <c r="D53" i="7" a="1"/>
  <c r="F130" i="7" a="1"/>
  <c r="D24" i="7" a="1"/>
  <c r="F173" i="7" a="1"/>
  <c r="F43" i="7" a="1"/>
  <c r="H153" i="7" a="1"/>
  <c r="H229" i="7" a="1"/>
  <c r="E6" i="7" a="1"/>
  <c r="F200" i="7" a="1"/>
  <c r="I105" i="7" a="1"/>
  <c r="F3" i="7" a="1"/>
  <c r="I23" i="7" a="1"/>
  <c r="B275" i="7" a="1"/>
  <c r="D174" i="7" a="1"/>
  <c r="B86" i="7" a="1"/>
  <c r="E52" i="7" a="1"/>
  <c r="D70" i="7" a="1"/>
  <c r="H292" i="7" a="1"/>
  <c r="D158" i="7" a="1"/>
  <c r="D194" i="7" a="1"/>
  <c r="B58" i="7" a="1"/>
  <c r="H235" i="7" a="1"/>
  <c r="F27" i="7" a="1"/>
  <c r="E106" i="7" a="1"/>
  <c r="D135" i="7" a="1"/>
  <c r="E68" i="7" a="1"/>
  <c r="D205" i="7" a="1"/>
  <c r="E158" i="7" a="1"/>
  <c r="E100" i="7" a="1"/>
  <c r="F24" i="7" a="1"/>
  <c r="F72" i="7" a="1"/>
  <c r="C222" i="7" a="1"/>
  <c r="I97" i="7" a="1"/>
  <c r="F300" i="7" a="1"/>
  <c r="E191" i="7" a="1"/>
  <c r="I163" i="7" a="1"/>
  <c r="F249" i="7" a="1"/>
  <c r="B138" i="7" a="1"/>
  <c r="B6" i="7" a="1"/>
  <c r="F85" i="7" a="1"/>
  <c r="E214" i="7" a="1"/>
  <c r="F52" i="7" a="1"/>
  <c r="D38" i="7" a="1"/>
  <c r="F84" i="7" a="1"/>
  <c r="D161" i="7" a="1"/>
  <c r="H96" i="7" a="1"/>
  <c r="I131" i="7" a="1"/>
  <c r="F77" i="7" a="1"/>
  <c r="H261" i="7" a="1"/>
  <c r="F267" i="7" a="1"/>
  <c r="C250" i="7" a="1"/>
  <c r="D63" i="7" a="1"/>
  <c r="H86" i="7" a="1"/>
  <c r="D4" i="7" a="1"/>
  <c r="I126" i="7" a="1"/>
  <c r="E112" i="7" a="1"/>
  <c r="D297" i="7" a="1"/>
  <c r="B59" i="7" a="1"/>
  <c r="H24" i="7" a="1"/>
  <c r="H149" i="7" a="1"/>
  <c r="H250" i="7" a="1"/>
  <c r="B44" i="7" a="1"/>
  <c r="D257" i="7" a="1"/>
  <c r="F286" i="7" a="1"/>
  <c r="C143" i="7" a="1"/>
  <c r="F125" i="7" a="1"/>
  <c r="F129" i="7" a="1"/>
  <c r="H266" i="7" a="1"/>
  <c r="H128" i="7" a="1"/>
  <c r="B94" i="7" a="1"/>
  <c r="H173" i="7" a="1"/>
  <c r="H42" i="7" a="1"/>
  <c r="D144" i="7" a="1"/>
  <c r="E290" i="7" a="1"/>
  <c r="E88" i="7" a="1"/>
  <c r="I139" i="7" a="1"/>
  <c r="D146" i="7" a="1"/>
  <c r="F191" i="7" a="1"/>
  <c r="B209" i="7" a="1"/>
  <c r="H187" i="7" a="1"/>
  <c r="I255" i="7" a="1"/>
  <c r="H61" i="7" a="1"/>
  <c r="E165" i="7" a="1"/>
  <c r="B8" i="7" a="1"/>
  <c r="I89" i="7" a="1"/>
  <c r="C215" i="7" a="1"/>
  <c r="D298" i="7" a="1"/>
  <c r="B174" i="7" a="1"/>
  <c r="E83" i="7" a="1"/>
  <c r="B147" i="7" a="1"/>
  <c r="C100" i="7" a="1"/>
  <c r="F172" i="7" a="1"/>
  <c r="H137" i="7" a="1"/>
  <c r="E241" i="7" a="1"/>
  <c r="D180" i="7" a="1"/>
  <c r="C52" i="7" a="1"/>
  <c r="H138" i="7" a="1"/>
  <c r="D43" i="7" a="1"/>
  <c r="B293" i="7" a="1"/>
  <c r="I100" i="7" a="1"/>
  <c r="H145" i="7" a="1"/>
  <c r="F33" i="7" a="1"/>
  <c r="H252" i="7" a="1"/>
  <c r="C223" i="7" a="1"/>
  <c r="B188" i="7" a="1"/>
  <c r="B173" i="7" a="1"/>
  <c r="I27" i="7" a="1"/>
  <c r="F4" i="7" a="1"/>
  <c r="H123" i="7" a="1"/>
  <c r="D278" i="7" a="1"/>
  <c r="E218" i="7" a="1"/>
  <c r="H240" i="7" a="1"/>
  <c r="D170" i="7" a="1"/>
  <c r="B210" i="7" a="1"/>
  <c r="F115" i="7" a="1"/>
  <c r="D86" i="7" a="1"/>
  <c r="H155" i="7" a="1"/>
  <c r="E216" i="7" a="1"/>
  <c r="B102" i="7" a="1"/>
  <c r="H68" i="7" a="1"/>
  <c r="F45" i="7" a="1"/>
  <c r="F148" i="7" a="1"/>
  <c r="E67" i="7" a="1"/>
  <c r="C89" i="7" a="1"/>
  <c r="D201" i="7" a="1"/>
  <c r="C55" i="7" a="1"/>
  <c r="C156" i="7" a="1"/>
  <c r="B207" i="7" a="1"/>
  <c r="C232" i="7" a="1"/>
  <c r="E125" i="7" a="1"/>
  <c r="E259" i="7" a="1"/>
  <c r="I195" i="7" a="1"/>
  <c r="I256" i="7" a="1"/>
  <c r="I21" i="7" a="1"/>
  <c r="C51" i="7" a="1"/>
  <c r="D284" i="7" a="1"/>
  <c r="E62" i="7" a="1"/>
  <c r="C265" i="7" a="1"/>
  <c r="I42" i="7" a="1"/>
  <c r="F298" i="7" a="1"/>
  <c r="B105" i="7" a="1"/>
  <c r="F252" i="7" a="1"/>
  <c r="F144" i="7" a="1"/>
  <c r="D186" i="7" a="1"/>
  <c r="I78" i="7" a="1"/>
  <c r="H295" i="7" a="1"/>
  <c r="B156" i="7" a="1"/>
  <c r="F263" i="7" a="1"/>
  <c r="B87" i="7" a="1"/>
  <c r="D243" i="7" a="1"/>
  <c r="F178" i="7" a="1"/>
  <c r="F67" i="7" a="1"/>
  <c r="I2" i="7" a="1"/>
  <c r="B76" i="7" a="1"/>
  <c r="H124" i="7" a="1"/>
  <c r="E194" i="7" a="1"/>
  <c r="H212" i="7" a="1"/>
  <c r="C73" i="7" a="1"/>
  <c r="D122" i="7" a="1"/>
  <c r="H281" i="7" a="1"/>
  <c r="F257" i="7" a="1"/>
  <c r="I262" i="7" a="1"/>
  <c r="H271" i="7" a="1"/>
  <c r="D131" i="7" a="1"/>
  <c r="B273" i="7" a="1"/>
  <c r="F54" i="7" a="1"/>
  <c r="D167" i="7" a="1"/>
  <c r="I151" i="7" a="1"/>
  <c r="C225" i="7" a="1"/>
  <c r="E134" i="7" a="1"/>
  <c r="I25" i="7" a="1"/>
  <c r="C208" i="7" a="1"/>
  <c r="F97" i="7" a="1"/>
  <c r="H241" i="7" a="1"/>
  <c r="C43" i="7" a="1"/>
  <c r="C124" i="7" a="1"/>
  <c r="E116" i="7" a="1"/>
  <c r="B157" i="7" a="1"/>
  <c r="B135" i="7" a="1"/>
  <c r="E95" i="7" a="1"/>
  <c r="F244" i="7" a="1"/>
  <c r="B236" i="7" a="1"/>
  <c r="B244" i="7" a="1"/>
  <c r="D236" i="7" a="1"/>
  <c r="F294" i="7" a="1"/>
  <c r="I213" i="7" a="1"/>
  <c r="I43" i="7" a="1"/>
  <c r="I233" i="7" a="1"/>
  <c r="H285" i="7" a="1"/>
  <c r="B191" i="7" a="1"/>
  <c r="H77" i="7" a="1"/>
  <c r="F282" i="7" a="1"/>
  <c r="C123" i="7" a="1"/>
  <c r="I79" i="7" a="1"/>
  <c r="F240" i="7" a="1"/>
  <c r="H184" i="7" a="1"/>
  <c r="I251" i="7" a="1"/>
  <c r="H112" i="7" a="1"/>
  <c r="D268" i="7" a="1"/>
  <c r="B89" i="7" a="1"/>
  <c r="I29" i="7" a="1"/>
  <c r="E271" i="7" a="1"/>
  <c r="E48" i="7" a="1"/>
  <c r="D60" i="7" a="1"/>
  <c r="D82" i="7" a="1"/>
  <c r="E175" i="7" a="1"/>
  <c r="F69" i="7" a="1"/>
  <c r="E227" i="7" a="1"/>
  <c r="B2" i="7" a="1"/>
  <c r="H179" i="7" a="1"/>
  <c r="D145" i="7" a="1"/>
  <c r="F120" i="7" a="1"/>
  <c r="D54" i="7" a="1"/>
  <c r="E292" i="7" a="1"/>
  <c r="H148" i="7" a="1"/>
  <c r="D296" i="7" a="1"/>
  <c r="B195" i="7" a="1"/>
  <c r="E107" i="7" a="1"/>
  <c r="F41" i="7" a="1"/>
  <c r="I179" i="7" a="1"/>
  <c r="E239" i="7" a="1"/>
  <c r="F254" i="7" a="1"/>
  <c r="E129" i="7" a="1"/>
  <c r="C262" i="7" a="1"/>
  <c r="D80" i="7" a="1"/>
  <c r="H64" i="7" a="1"/>
  <c r="C117" i="7" a="1"/>
  <c r="D5" i="7" a="1"/>
  <c r="H72" i="7" a="1"/>
  <c r="D67" i="7" a="1"/>
  <c r="I116" i="7" a="1"/>
  <c r="H161" i="7" a="1"/>
  <c r="B115" i="7" a="1"/>
  <c r="E50" i="7" a="1"/>
  <c r="B269" i="7" a="1"/>
  <c r="F98" i="7" a="1"/>
  <c r="D282" i="7" a="1"/>
  <c r="C193" i="7" a="1"/>
  <c r="B137" i="7" a="1"/>
  <c r="C235" i="7" a="1"/>
  <c r="F152" i="7" a="1"/>
  <c r="D101" i="7" a="1"/>
  <c r="I206" i="7" a="1"/>
  <c r="D134" i="7" a="1"/>
  <c r="D27" i="7" a="1"/>
  <c r="C198" i="7" a="1"/>
  <c r="C40" i="7" a="1"/>
  <c r="E94" i="7" a="1"/>
  <c r="I11" i="7" a="1"/>
  <c r="F297" i="7" a="1"/>
  <c r="H243" i="7" a="1"/>
  <c r="B263" i="7" a="1"/>
  <c r="H296" i="7" a="1"/>
  <c r="F118" i="7" a="1"/>
  <c r="F201" i="7" a="1"/>
  <c r="C177" i="7" a="1"/>
  <c r="I6" i="7" a="1"/>
  <c r="E152" i="7" a="1"/>
  <c r="I248" i="7" a="1"/>
  <c r="E176" i="7" a="1"/>
  <c r="I117" i="7" a="1"/>
  <c r="B239" i="7" a="1"/>
  <c r="H219" i="7" a="1"/>
  <c r="I261" i="7" a="1"/>
  <c r="B292" i="7" a="1"/>
  <c r="B163" i="7" a="1"/>
  <c r="I5" i="7" a="1"/>
  <c r="H190" i="7" a="1"/>
  <c r="D126" i="7" a="1"/>
  <c r="H71" i="7" a="1"/>
  <c r="D176" i="7" a="1"/>
  <c r="E139" i="7" a="1"/>
  <c r="B119" i="7" a="1"/>
  <c r="I104" i="7" a="1"/>
  <c r="D184" i="7" a="1"/>
  <c r="E213" i="7" a="1"/>
  <c r="F88" i="7" a="1"/>
  <c r="E287" i="7" a="1"/>
  <c r="E27" i="7" a="1"/>
  <c r="B60" i="7" a="1"/>
  <c r="I264" i="7" a="1"/>
  <c r="B264" i="7" a="1"/>
  <c r="E25" i="7" a="1"/>
  <c r="C292" i="7" a="1"/>
  <c r="F284" i="7" a="1"/>
  <c r="H21" i="7" a="1"/>
  <c r="E128" i="7" a="1"/>
  <c r="H185" i="7" a="1"/>
  <c r="F158" i="7" a="1"/>
  <c r="D191" i="7" a="1"/>
  <c r="B216" i="7" a="1"/>
  <c r="I14" i="7" a="1"/>
  <c r="B272" i="7" a="1"/>
  <c r="B113" i="7" a="1"/>
  <c r="D30" i="7" a="1"/>
  <c r="I150" i="7" a="1"/>
  <c r="D91" i="7" a="1"/>
  <c r="H115" i="7" a="1"/>
  <c r="D213" i="7" a="1"/>
  <c r="F190" i="7" a="1"/>
  <c r="E55" i="7" a="1"/>
  <c r="E47" i="7" a="1"/>
  <c r="I226" i="7" a="1"/>
  <c r="H287" i="7" a="1"/>
  <c r="C79" i="7" a="1"/>
  <c r="I129" i="7" a="1"/>
  <c r="E261" i="7" a="1"/>
  <c r="C103" i="7" a="1"/>
  <c r="B233" i="7" a="1"/>
  <c r="E299" i="7" a="1"/>
  <c r="F192" i="7" a="1"/>
  <c r="D275" i="7" a="1"/>
  <c r="C85" i="7" a="1"/>
  <c r="H191" i="7" a="1"/>
  <c r="C137" i="7" a="1"/>
  <c r="F32" i="7" a="1"/>
  <c r="D157" i="7" a="1"/>
  <c r="C7" i="7" a="1"/>
  <c r="B228" i="7" a="1"/>
  <c r="F66" i="7" a="1"/>
  <c r="E189" i="7" a="1"/>
  <c r="D226" i="7" a="1"/>
  <c r="F271" i="7" a="1"/>
  <c r="B40" i="7" a="1"/>
  <c r="C181" i="7" a="1"/>
  <c r="D168" i="7" a="1"/>
  <c r="I222" i="7" a="1"/>
  <c r="D44" i="7" a="1"/>
  <c r="E137" i="7" a="1"/>
  <c r="D277" i="7" a="1"/>
  <c r="B129" i="7" a="1"/>
  <c r="H35" i="7" a="1"/>
  <c r="I296" i="7" a="1"/>
  <c r="C105" i="7" a="1"/>
  <c r="I148" i="7" a="1"/>
  <c r="H117" i="7" a="1"/>
  <c r="F229" i="7" a="1"/>
  <c r="I289" i="7" a="1"/>
  <c r="C108" i="7" a="1"/>
  <c r="H163" i="7" a="1"/>
  <c r="I72" i="7" a="1"/>
  <c r="C41" i="7" a="1"/>
  <c r="F245" i="7" a="1"/>
  <c r="F137" i="7" a="1"/>
  <c r="B224" i="7" a="1"/>
  <c r="E53" i="7" a="1"/>
  <c r="E288" i="7" a="1"/>
  <c r="E60" i="7" a="1"/>
  <c r="C212" i="7" a="1"/>
  <c r="C192" i="7" a="1"/>
  <c r="C165" i="7" a="1"/>
  <c r="F75" i="7" a="1"/>
  <c r="E222" i="7" a="1"/>
  <c r="F270" i="7" a="1"/>
  <c r="C290" i="7" a="1"/>
  <c r="F112" i="7" a="1"/>
  <c r="B97" i="7" a="1"/>
  <c r="B72" i="7" a="1"/>
  <c r="E171" i="7" a="1"/>
  <c r="F86" i="7" a="1"/>
  <c r="B260" i="7" a="1"/>
  <c r="H257" i="7" a="1"/>
  <c r="F198" i="7" a="1"/>
  <c r="C247" i="7" a="1"/>
  <c r="F55" i="7" a="1"/>
  <c r="D124" i="7" a="1"/>
  <c r="E89" i="7" a="1"/>
  <c r="C197" i="7" a="1"/>
  <c r="I125" i="7" a="1"/>
  <c r="B45" i="7" a="1"/>
  <c r="I196" i="7" a="1"/>
  <c r="I181" i="7" a="1"/>
  <c r="H143" i="7" a="1"/>
  <c r="E4" i="7" a="1"/>
  <c r="E155" i="7" a="1"/>
  <c r="D267" i="7" a="1"/>
  <c r="D214" i="7" a="1"/>
  <c r="I17" i="7" a="1"/>
  <c r="H73" i="7" a="1"/>
  <c r="C287" i="7" a="1"/>
  <c r="I82" i="7" a="1"/>
  <c r="B276" i="7" a="1"/>
  <c r="I60" i="7" a="1"/>
  <c r="D87" i="7" a="1"/>
  <c r="E96" i="7" a="1"/>
  <c r="C130" i="7" a="1"/>
  <c r="C259" i="7" a="1"/>
  <c r="D279" i="7" a="1"/>
  <c r="E42" i="7" a="1"/>
  <c r="D215" i="7" a="1"/>
  <c r="B95" i="7" a="1"/>
  <c r="C219" i="7" a="1"/>
  <c r="D219" i="7" a="1"/>
  <c r="H157" i="7" a="1"/>
  <c r="C288" i="7" a="1"/>
  <c r="D199" i="7" a="1"/>
  <c r="I288" i="7" a="1"/>
  <c r="E276" i="7" a="1"/>
  <c r="B232" i="7" a="1"/>
  <c r="F122" i="7" a="1"/>
  <c r="I103" i="7" a="1"/>
  <c r="C240" i="7" a="1"/>
  <c r="B145" i="7" a="1"/>
  <c r="H67" i="7" a="1"/>
  <c r="B50" i="7" a="1"/>
  <c r="F53" i="7" a="1"/>
  <c r="F281" i="7" a="1"/>
  <c r="I217" i="7" a="1"/>
  <c r="F111" i="7" a="1"/>
  <c r="C80" i="7" a="1"/>
  <c r="D208" i="7" a="1"/>
  <c r="C140" i="7" a="1"/>
  <c r="E285" i="7" a="1"/>
  <c r="I110" i="7" a="1"/>
  <c r="F202" i="7" a="1"/>
  <c r="B155" i="7" a="1"/>
  <c r="E118" i="7" a="1"/>
  <c r="C49" i="7" a="1"/>
  <c r="C183" i="7" a="1"/>
  <c r="H264" i="7" a="1"/>
  <c r="E28" i="7" a="1"/>
  <c r="D94" i="7" a="1"/>
  <c r="E161" i="7" a="1"/>
  <c r="F108" i="7" a="1"/>
  <c r="I221" i="7" a="1"/>
  <c r="E260" i="7" a="1"/>
  <c r="H201" i="7" a="1"/>
  <c r="B80" i="7" a="1"/>
  <c r="B92" i="7" a="1"/>
  <c r="E269" i="7" a="1"/>
  <c r="B249" i="7" a="1"/>
  <c r="C233" i="7" a="1"/>
  <c r="D32" i="7" a="1"/>
  <c r="C134" i="7" a="1"/>
  <c r="B131" i="7" a="1"/>
  <c r="B166" i="7" a="1"/>
  <c r="I155" i="7" a="1"/>
  <c r="I284" i="7" a="1"/>
  <c r="I48" i="7" a="1"/>
  <c r="I123" i="7" a="1"/>
  <c r="D295" i="7" a="1"/>
  <c r="I276" i="7" a="1"/>
  <c r="H181" i="7" a="1"/>
  <c r="B179" i="7" a="1"/>
  <c r="D220" i="7" a="1"/>
  <c r="B68" i="7" a="1"/>
  <c r="F21" i="7" a="1"/>
  <c r="F110" i="7" a="1"/>
  <c r="B53" i="7" a="1"/>
  <c r="I26" i="7" a="1"/>
  <c r="H57" i="7" a="1"/>
  <c r="E264" i="7" a="1"/>
  <c r="B254" i="7" a="1"/>
  <c r="B255" i="7" a="1"/>
  <c r="D210" i="7" a="1"/>
  <c r="I46" i="7" a="1"/>
  <c r="F34" i="7" a="1"/>
  <c r="E22" i="7" a="1"/>
  <c r="H62" i="7" a="1"/>
  <c r="B65" i="7" a="1"/>
  <c r="B121" i="7" a="1"/>
  <c r="I218" i="7" a="1"/>
  <c r="D255" i="7" a="1"/>
  <c r="C245" i="7" a="1"/>
  <c r="B290" i="7" a="1"/>
  <c r="C229" i="7" a="1"/>
  <c r="D116" i="7" a="1"/>
  <c r="D83" i="7" a="1"/>
  <c r="F7" i="7" a="1"/>
  <c r="F175" i="7" a="1"/>
  <c r="D216" i="7" a="1"/>
  <c r="B104" i="7" a="1"/>
  <c r="F93" i="7" a="1"/>
  <c r="D8" i="7" a="1"/>
  <c r="C120" i="7" a="1"/>
  <c r="D73" i="7" a="1"/>
  <c r="H110" i="7" a="1"/>
  <c r="C248" i="7" a="1"/>
  <c r="D228" i="7" a="1"/>
  <c r="F223" i="7" a="1"/>
  <c r="F168" i="7" a="1"/>
  <c r="B103" i="7" a="1"/>
  <c r="I109" i="7" a="1"/>
  <c r="F106" i="7" a="1"/>
  <c r="E229" i="7" a="1"/>
  <c r="E266" i="7" a="1"/>
  <c r="B54" i="7" a="1"/>
  <c r="B99" i="7" a="1"/>
  <c r="B161" i="7" a="1"/>
  <c r="D104" i="7" a="1"/>
  <c r="D239" i="7" a="1"/>
  <c r="F164" i="7" a="1"/>
  <c r="C92" i="7" a="1"/>
  <c r="F103" i="7" a="1"/>
  <c r="I299" i="7" a="1"/>
  <c r="F147" i="7" a="1"/>
  <c r="B219" i="7" a="1"/>
  <c r="F22" i="7" a="1"/>
  <c r="F233" i="7" a="1"/>
  <c r="D65" i="7" a="1"/>
  <c r="I18" i="7" a="1"/>
  <c r="B162" i="7" a="1"/>
  <c r="F181" i="7" a="1"/>
  <c r="H193" i="7" a="1"/>
  <c r="F26" i="7" a="1"/>
  <c r="F68" i="7" a="1"/>
  <c r="B172" i="7" a="1"/>
  <c r="F121" i="7" a="1"/>
  <c r="E230" i="7" a="1"/>
  <c r="H195" i="7" a="1"/>
  <c r="D74" i="7" a="1"/>
  <c r="I157" i="7" a="1"/>
  <c r="E120" i="7" a="1"/>
  <c r="F274" i="7" a="1"/>
  <c r="H150" i="7" a="1"/>
  <c r="B107" i="7" a="1"/>
  <c r="E148" i="7" a="1"/>
  <c r="B75" i="7" a="1"/>
  <c r="E51" i="7" a="1"/>
  <c r="I274" i="7" a="1"/>
  <c r="I118" i="7" a="1"/>
  <c r="I250" i="7" a="1"/>
  <c r="D41" i="7" a="1"/>
  <c r="D89" i="7" a="1"/>
  <c r="C278" i="7" a="1"/>
  <c r="H299" i="7" a="1"/>
  <c r="H46" i="7" a="1"/>
  <c r="I242" i="7" a="1"/>
  <c r="B4" i="7" a="1"/>
  <c r="F143" i="7" a="1"/>
  <c r="E130" i="7" a="1"/>
  <c r="B231" i="7" a="1"/>
  <c r="F248" i="7" a="1"/>
  <c r="F123" i="7" a="1"/>
  <c r="F222" i="7" a="1"/>
  <c r="C276" i="7" a="1"/>
  <c r="F188" i="7" a="1"/>
  <c r="B117" i="7" a="1"/>
  <c r="F280" i="7" a="1"/>
  <c r="F287" i="7" a="1"/>
  <c r="D262" i="7" a="1"/>
  <c r="E162" i="7" a="1"/>
  <c r="H246" i="7" a="1"/>
  <c r="D55" i="7" a="1"/>
  <c r="D233" i="7" a="1"/>
  <c r="C173" i="7" a="1"/>
  <c r="E202" i="7" a="1"/>
  <c r="H69" i="7" a="1"/>
  <c r="E115" i="7" a="1"/>
  <c r="D260" i="7" a="1"/>
  <c r="C279" i="7" a="1"/>
  <c r="C283" i="7" a="1"/>
  <c r="C260" i="7" a="1"/>
  <c r="E29" i="7" a="1"/>
  <c r="F224" i="7" a="1"/>
  <c r="D34" i="7" a="1"/>
  <c r="E170" i="7" a="1"/>
  <c r="C294" i="7" a="1"/>
  <c r="C131" i="7" a="1"/>
  <c r="I4" i="7" a="1"/>
  <c r="D222" i="7" a="1"/>
  <c r="H269" i="7" a="1"/>
  <c r="C59" i="7" a="1"/>
  <c r="I177" i="7" a="1"/>
  <c r="E207" i="7" a="1"/>
  <c r="D31" i="7" a="1"/>
  <c r="H76" i="7" a="1"/>
  <c r="E251" i="7" a="1"/>
  <c r="I119" i="7" a="1"/>
  <c r="D248" i="7" a="1"/>
  <c r="C102" i="7" a="1"/>
  <c r="D183" i="7" a="1"/>
  <c r="I143" i="7" a="1"/>
  <c r="B109" i="7" a="1"/>
  <c r="H210" i="7" a="1"/>
  <c r="E56" i="7" a="1"/>
  <c r="C78" i="7" a="1"/>
  <c r="H44" i="7" a="1"/>
  <c r="E248" i="7" a="1"/>
  <c r="H158" i="7" a="1"/>
  <c r="D229" i="7" a="1"/>
  <c r="C238" i="7" a="1"/>
  <c r="C42" i="7" a="1"/>
  <c r="E122" i="7" a="1"/>
  <c r="F276" i="7" a="1"/>
  <c r="D231" i="7" a="1"/>
  <c r="E245" i="7" a="1"/>
  <c r="H34" i="7" a="1"/>
  <c r="F132" i="7" a="1"/>
  <c r="H159" i="7" a="1"/>
  <c r="I90" i="7" a="1"/>
  <c r="D129" i="7" a="1"/>
  <c r="E156" i="7" a="1"/>
  <c r="H223" i="7" a="1"/>
  <c r="C273" i="7" a="1"/>
  <c r="B140" i="7" a="1"/>
  <c r="E235" i="7" a="1"/>
  <c r="B56" i="7" a="1"/>
  <c r="F136" i="7" a="1"/>
  <c r="H253" i="7" a="1"/>
  <c r="E82" i="7" a="1"/>
  <c r="D45" i="7" a="1"/>
  <c r="B164" i="7" a="1"/>
  <c r="B212" i="7" a="1"/>
  <c r="C204" i="7" a="1"/>
  <c r="D128" i="7" a="1"/>
  <c r="E54" i="7" a="1"/>
  <c r="I40" i="7" a="1"/>
  <c r="I133" i="7" a="1"/>
  <c r="E257" i="7" a="1"/>
  <c r="C242" i="7" a="1"/>
  <c r="E180" i="7" a="1"/>
  <c r="C285" i="7" a="1"/>
  <c r="F154" i="7" a="1"/>
  <c r="H108" i="7" a="1"/>
  <c r="C274" i="7" a="1"/>
  <c r="B206" i="7" a="1"/>
  <c r="D21" i="7" a="1"/>
  <c r="I209" i="7" a="1"/>
  <c r="I190" i="7" a="1"/>
  <c r="I138" i="7" a="1"/>
  <c r="H204" i="7" a="1"/>
  <c r="H265" i="7" a="1"/>
  <c r="B57" i="7" a="1"/>
  <c r="F91" i="7" a="1"/>
  <c r="D61" i="7" a="1"/>
  <c r="C194" i="7" a="1"/>
  <c r="B167" i="7" a="1"/>
  <c r="B194" i="7" a="1"/>
  <c r="H120" i="7" a="1"/>
  <c r="F243" i="7" a="1"/>
  <c r="H147" i="7" a="1"/>
  <c r="F51" i="7" a="1"/>
  <c r="F90" i="7" a="1"/>
  <c r="F135" i="7" a="1"/>
  <c r="C162" i="7" a="1"/>
  <c r="H28" i="7" a="1"/>
  <c r="H83" i="7" a="1"/>
  <c r="D223" i="7" a="1"/>
  <c r="D99" i="7" a="1"/>
  <c r="B252" i="7" a="1"/>
  <c r="I201" i="7" a="1"/>
  <c r="I238" i="7" a="1"/>
  <c r="I185" i="7" a="1"/>
  <c r="E265" i="7" a="1"/>
  <c r="F153" i="7" a="1"/>
  <c r="H95" i="7" a="1"/>
  <c r="I128" i="7" a="1"/>
  <c r="F169" i="7" a="1"/>
  <c r="H111" i="7" a="1"/>
  <c r="I269" i="7" a="1"/>
  <c r="H5" i="7" a="1"/>
  <c r="I241" i="7" a="1"/>
  <c r="E232" i="7" a="1"/>
  <c r="D68" i="7" a="1"/>
  <c r="D253" i="7" a="1"/>
  <c r="D299" i="7" a="1"/>
  <c r="E81" i="7" a="1"/>
  <c r="I186" i="7" a="1"/>
  <c r="C236" i="7" a="1"/>
  <c r="E262" i="7" a="1"/>
  <c r="H54" i="7" a="1"/>
  <c r="I102" i="7" a="1"/>
  <c r="C266" i="7" a="1"/>
  <c r="H52" i="7" a="1"/>
  <c r="B183" i="7" a="1"/>
  <c r="H300" i="7" a="1"/>
  <c r="B178" i="7" a="1"/>
  <c r="F6" i="7" a="1"/>
  <c r="F238" i="7" a="1"/>
  <c r="F162" i="7" a="1"/>
  <c r="H136" i="7" a="1"/>
  <c r="D57" i="7" a="1"/>
  <c r="D192" i="7" a="1"/>
  <c r="H144" i="7" a="1"/>
  <c r="I239" i="7" a="1"/>
  <c r="H141" i="7" a="1"/>
  <c r="I205" i="7" a="1"/>
  <c r="D254" i="7" a="1"/>
  <c r="H270" i="7" a="1"/>
  <c r="D193" i="7" a="1"/>
  <c r="D114" i="7" a="1"/>
  <c r="I257" i="7" a="1"/>
  <c r="D78" i="7" a="1"/>
  <c r="B287" i="7" a="1"/>
  <c r="C119" i="7" a="1"/>
  <c r="B200" i="7" a="1"/>
  <c r="B106" i="7" a="1"/>
  <c r="H92" i="7" a="1"/>
  <c r="D165" i="7" a="1"/>
  <c r="C267" i="7" a="1"/>
  <c r="C203" i="7" a="1"/>
  <c r="D209" i="7" a="1"/>
  <c r="H82" i="7" a="1"/>
  <c r="E210" i="7" a="1"/>
  <c r="D25" i="7" a="1"/>
  <c r="H172" i="7" a="1"/>
  <c r="D109" i="7" a="1"/>
  <c r="I141" i="7" a="1"/>
  <c r="B245" i="7" a="1"/>
  <c r="H2" i="7" a="1"/>
  <c r="H167" i="7" a="1"/>
  <c r="D153" i="7" a="1"/>
  <c r="C168" i="7" a="1"/>
  <c r="E201" i="7" a="1"/>
  <c r="F38" i="7" a="1"/>
  <c r="H275" i="7" a="1"/>
  <c r="D127" i="7" a="1"/>
  <c r="D281" i="7" a="1"/>
  <c r="E5" i="7" a="1"/>
  <c r="B91" i="7" a="1"/>
  <c r="E277" i="7" a="1"/>
  <c r="I259" i="7" a="1"/>
  <c r="H239" i="7" a="1"/>
  <c r="F157" i="7" a="1"/>
  <c r="B63" i="7" a="1"/>
  <c r="E135" i="7" a="1"/>
  <c r="F65" i="7" a="1"/>
  <c r="F30" i="7" a="1"/>
  <c r="C289" i="7" a="1"/>
  <c r="I184" i="7" a="1"/>
  <c r="H60" i="7" a="1"/>
  <c r="F171" i="7" a="1"/>
  <c r="D286" i="7" a="1"/>
  <c r="E284" i="7" a="1"/>
  <c r="D251" i="7" a="1"/>
  <c r="H109" i="7" a="1"/>
  <c r="H90" i="7" a="1"/>
  <c r="I132" i="7" a="1"/>
  <c r="B291" i="7" a="1"/>
  <c r="F275" i="7" a="1"/>
  <c r="I44" i="7" a="1"/>
  <c r="E206" i="7" a="1"/>
  <c r="F44" i="7" a="1"/>
  <c r="C141" i="7" a="1"/>
  <c r="H192" i="7" a="1"/>
  <c r="F56" i="7" a="1"/>
  <c r="D3" i="7" a="1"/>
  <c r="H118" i="7" a="1"/>
  <c r="C166" i="7" a="1"/>
  <c r="I80" i="7" a="1"/>
  <c r="F170" i="7" a="1"/>
  <c r="I199" i="7" a="1"/>
  <c r="F186" i="7" a="1"/>
  <c r="D166" i="7" a="1"/>
  <c r="D147" i="7" a="1"/>
  <c r="E172" i="7" a="1"/>
  <c r="F94" i="7" a="1"/>
  <c r="I174" i="7" a="1"/>
  <c r="D28" i="7" a="1"/>
  <c r="E294" i="7" a="1"/>
  <c r="H31" i="7" a="1"/>
  <c r="C142" i="7" a="1"/>
  <c r="B51" i="7" a="1"/>
  <c r="B96" i="7" a="1"/>
  <c r="I235" i="7" a="1"/>
  <c r="I154" i="7" a="1"/>
  <c r="E252" i="7" a="1"/>
  <c r="E159" i="7" a="1"/>
  <c r="D108" i="7" a="1"/>
  <c r="F64" i="7" a="1"/>
  <c r="C91" i="7" a="1"/>
  <c r="B143" i="7" a="1"/>
  <c r="C178" i="7" a="1"/>
  <c r="C174" i="7" a="1"/>
  <c r="E133" i="7" a="1"/>
  <c r="I153" i="7" a="1"/>
  <c r="I200" i="7" a="1"/>
  <c r="B100" i="7" a="1"/>
  <c r="E114" i="7" a="1"/>
  <c r="F58" i="7" a="1"/>
  <c r="H249" i="7" a="1"/>
  <c r="H8" i="7" a="1"/>
  <c r="B84" i="7" a="1"/>
  <c r="D285" i="7" a="1"/>
  <c r="B136" i="7" a="1"/>
  <c r="D66" i="7" a="1"/>
  <c r="E131" i="7" a="1"/>
  <c r="I171" i="7" a="1"/>
  <c r="H260" i="7" a="1"/>
  <c r="H154" i="7" a="1"/>
  <c r="B43" i="7" a="1"/>
  <c r="D207" i="7" a="1"/>
  <c r="H74" i="7" a="1"/>
  <c r="E253" i="7" a="1"/>
  <c r="B152" i="7" a="1"/>
  <c r="B218" i="7" a="1"/>
  <c r="E188" i="7" a="1"/>
  <c r="D77" i="7" a="1"/>
  <c r="F293" i="7" a="1"/>
  <c r="D187" i="7" a="1"/>
  <c r="E72" i="7" a="1"/>
  <c r="E150" i="7" a="1"/>
  <c r="D159" i="7" a="1"/>
  <c r="I91" i="7" a="1"/>
  <c r="H51" i="7" a="1"/>
  <c r="F73" i="7" a="1"/>
  <c r="H216" i="7" a="1"/>
  <c r="H236" i="7" a="1"/>
  <c r="H244" i="7" a="1"/>
  <c r="B180" i="7" a="1"/>
  <c r="B235" i="7" a="1"/>
  <c r="I140" i="7" a="1"/>
  <c r="F227" i="7" a="1"/>
  <c r="I240" i="7" a="1"/>
  <c r="D200" i="7" a="1"/>
  <c r="F25" i="7" a="1"/>
  <c r="E286" i="7" a="1"/>
  <c r="E203" i="7" a="1"/>
  <c r="I193" i="7" a="1"/>
  <c r="C68" i="7" a="1"/>
  <c r="E140" i="7" a="1"/>
  <c r="D240" i="7" a="1"/>
  <c r="H278" i="7" a="1"/>
  <c r="C56" i="7" a="1"/>
  <c r="I122" i="7" a="1"/>
  <c r="C97" i="7" a="1"/>
  <c r="B181" i="7" a="1"/>
  <c r="E234" i="7" a="1"/>
  <c r="I268" i="7" a="1"/>
  <c r="D103" i="7" a="1"/>
  <c r="I188" i="7" a="1"/>
  <c r="E79" i="7" a="1"/>
  <c r="E119" i="7" a="1"/>
  <c r="D206" i="7" a="1"/>
  <c r="H63" i="7" a="1"/>
  <c r="B66" i="7" a="1"/>
  <c r="H255" i="7" a="1"/>
  <c r="D133" i="7" a="1"/>
  <c r="F211" i="7" a="1"/>
  <c r="C169" i="7" a="1"/>
  <c r="C196" i="7" a="1"/>
  <c r="F155" i="7" a="1"/>
  <c r="I191" i="7" a="1"/>
  <c r="E144" i="7" a="1"/>
  <c r="E212" i="7" a="1"/>
  <c r="I149" i="7" a="1"/>
  <c r="H135" i="7" a="1"/>
  <c r="D171" i="7" a="1"/>
  <c r="H30" i="7" a="1"/>
  <c r="B258" i="7" a="1"/>
  <c r="D155" i="7" a="1"/>
  <c r="E98" i="7" a="1"/>
  <c r="I212" i="7" a="1"/>
  <c r="D273" i="7" a="1"/>
  <c r="I145" i="7" a="1"/>
  <c r="H33" i="7" a="1"/>
  <c r="C110" i="7" a="1"/>
  <c r="E300" i="7" a="1"/>
  <c r="E242" i="7" a="1"/>
  <c r="B177" i="7" a="1"/>
  <c r="C150" i="7" a="1"/>
  <c r="H37" i="7" a="1"/>
  <c r="F292" i="7" a="1"/>
  <c r="F99" i="7" a="1"/>
  <c r="I223" i="7" a="1"/>
  <c r="F277" i="7" a="1"/>
  <c r="I243" i="7" a="1"/>
  <c r="E31" i="7" a="1"/>
  <c r="F100" i="7" a="1"/>
  <c r="C5" i="7" a="1"/>
  <c r="H56" i="7" a="1"/>
  <c r="D48" i="7" a="1"/>
  <c r="I210" i="7" a="1"/>
  <c r="C244" i="7" a="1"/>
  <c r="H280" i="7" a="1"/>
  <c r="I215" i="7" a="1"/>
  <c r="H208" i="7" a="1"/>
  <c r="F116" i="7" a="1"/>
  <c r="I266" i="7" a="1"/>
  <c r="H233" i="7" a="1"/>
  <c r="I182" i="7" a="1"/>
  <c r="B148" i="7" a="1"/>
  <c r="D100" i="7" a="1"/>
  <c r="I31" i="7" a="1"/>
  <c r="E270" i="7" a="1"/>
  <c r="I81" i="7" a="1"/>
  <c r="E69" i="7" a="1"/>
  <c r="C96" i="7" a="1"/>
  <c r="D283" i="7" a="1"/>
  <c r="I225" i="7" a="1"/>
  <c r="I249" i="7" a="1"/>
  <c r="I83" i="7" a="1"/>
  <c r="H214" i="7" a="1"/>
  <c r="B176" i="7" a="1"/>
  <c r="E38" i="7" a="1"/>
  <c r="F206" i="7" a="1"/>
  <c r="C252" i="7" a="1"/>
  <c r="B279" i="7" a="1"/>
  <c r="I53" i="7" a="1"/>
  <c r="D72" i="7" a="1"/>
  <c r="H290" i="7" a="1"/>
  <c r="F185" i="7" a="1"/>
  <c r="F242" i="7" a="1"/>
  <c r="E223" i="7" a="1"/>
  <c r="I272" i="7" a="1"/>
  <c r="B271" i="7" a="1"/>
  <c r="B220" i="7" a="1"/>
  <c r="E187" i="7" a="1"/>
  <c r="B274" i="7" a="1"/>
  <c r="C139" i="7" a="1"/>
  <c r="I278" i="7" a="1"/>
  <c r="F247" i="7" a="1"/>
  <c r="H116" i="7" a="1"/>
  <c r="I106" i="7" a="1"/>
  <c r="C207" i="7" a="1"/>
  <c r="I65" i="7" a="1"/>
  <c r="I99" i="7" a="1"/>
  <c r="D276" i="7" a="1"/>
  <c r="C88" i="7" a="1"/>
  <c r="D178" i="7" a="1"/>
  <c r="F82" i="7" a="1"/>
  <c r="H282" i="7" a="1"/>
  <c r="D2" i="7" a="1"/>
  <c r="C186" i="7" a="1"/>
  <c r="F253" i="7" a="1"/>
  <c r="C61" i="7" a="1"/>
  <c r="B124" i="7" a="1"/>
  <c r="F232" i="7" a="1"/>
  <c r="E78" i="7" a="1"/>
  <c r="F61" i="7" a="1"/>
  <c r="D96" i="7" a="1"/>
  <c r="I161" i="7" a="1"/>
  <c r="I165" i="7" a="1"/>
  <c r="B193" i="7" a="1"/>
  <c r="C175" i="7" a="1"/>
  <c r="C269" i="7" a="1"/>
  <c r="F140" i="7" a="1"/>
  <c r="I61" i="7" a="1"/>
  <c r="I137" i="7" a="1"/>
  <c r="B295" i="7" a="1"/>
  <c r="I260" i="7" a="1"/>
  <c r="B122" i="7" a="1"/>
  <c r="C202" i="7" a="1"/>
  <c r="H196" i="7" a="1"/>
  <c r="C182" i="7" a="1"/>
  <c r="D29" i="7" a="1"/>
  <c r="C152" i="7" a="1"/>
  <c r="I237" i="7" a="1"/>
  <c r="D175" i="7" a="1"/>
  <c r="B81" i="7" a="1"/>
  <c r="D59" i="7" a="1"/>
  <c r="F226" i="7" a="1"/>
  <c r="I68" i="7" a="1"/>
  <c r="H186" i="7" a="1"/>
  <c r="H84" i="7" a="1"/>
  <c r="E291" i="7" a="1"/>
  <c r="C107" i="7" a="1"/>
  <c r="I86" i="7" a="1"/>
  <c r="D300" i="7" a="1"/>
  <c r="F78" i="7" a="1"/>
  <c r="H36" i="7" a="1"/>
  <c r="E111" i="7" a="1"/>
  <c r="H55" i="7" a="1"/>
  <c r="I74" i="7" a="1"/>
  <c r="I168" i="7" a="1"/>
  <c r="D23" i="7" a="1"/>
  <c r="H39" i="7" a="1"/>
  <c r="H169" i="7" a="1"/>
  <c r="B116" i="7" a="1"/>
  <c r="C161" i="7" a="1"/>
  <c r="F299" i="7" a="1"/>
  <c r="I55" i="7" a="1"/>
  <c r="F5" i="7" a="1"/>
  <c r="I224" i="7" a="1"/>
  <c r="H171" i="7" a="1"/>
  <c r="D163" i="7" a="1"/>
  <c r="C111" i="7" a="1"/>
  <c r="C172" i="7" a="1"/>
  <c r="H91" i="7" a="1"/>
  <c r="D230" i="7" a="1"/>
  <c r="H7" i="7" a="1"/>
  <c r="I267" i="7" a="1"/>
  <c r="D106" i="7" a="1"/>
  <c r="E104" i="7" a="1"/>
  <c r="I253" i="7" a="1"/>
  <c r="E297" i="7" a="1"/>
  <c r="C158" i="7" a="1"/>
  <c r="B47" i="7" a="1"/>
  <c r="D263" i="7" a="1"/>
  <c r="H27" i="7" a="1"/>
  <c r="H273" i="7" a="1"/>
  <c r="E141" i="7" a="1"/>
  <c r="C189" i="7" a="1"/>
  <c r="B237" i="7" a="1"/>
  <c r="C249" i="7" a="1"/>
  <c r="B126" i="7" a="1"/>
  <c r="E99" i="7" a="1"/>
  <c r="F296" i="7" a="1"/>
  <c r="D111" i="7" a="1"/>
  <c r="B85" i="7" a="1"/>
  <c r="B270" i="7" a="1"/>
  <c r="C74" i="7" a="1"/>
  <c r="C87" i="7" a="1"/>
  <c r="I92" i="7" a="1"/>
  <c r="F221" i="7" a="1"/>
  <c r="H41" i="7" a="1"/>
  <c r="E153" i="7" a="1"/>
  <c r="E247" i="7" a="1"/>
  <c r="D181" i="7" a="1"/>
  <c r="C53" i="7" a="1"/>
  <c r="D271" i="7" a="1"/>
  <c r="F47" i="7" a="1"/>
  <c r="B241" i="7" a="1"/>
  <c r="D118" i="7" a="1"/>
  <c r="B158" i="7" a="1"/>
  <c r="C284" i="7" a="1"/>
  <c r="C58" i="7" a="1"/>
  <c r="B242" i="7" a="1"/>
  <c r="E184" i="7" a="1"/>
  <c r="C128" i="7" a="1"/>
  <c r="E40" i="7" a="1"/>
  <c r="C70" i="7" a="1"/>
  <c r="H132" i="7" a="1"/>
  <c r="H176" i="7" a="1"/>
  <c r="F166" i="7" a="1"/>
  <c r="I130" i="7" a="1"/>
  <c r="C300" i="7" a="1"/>
  <c r="D169" i="7" a="1"/>
  <c r="B251" i="7" a="1"/>
  <c r="I144" i="7" a="1"/>
  <c r="B223" i="7" a="1"/>
  <c r="I94" i="7" a="1"/>
  <c r="I166" i="7" a="1"/>
  <c r="E91" i="7" a="1"/>
  <c r="E256" i="7" a="1"/>
  <c r="F146" i="7" a="1"/>
  <c r="C147" i="7" a="1"/>
  <c r="E85" i="7" a="1"/>
  <c r="F231" i="7" a="1"/>
  <c r="I178" i="7" a="1"/>
  <c r="H139" i="7" a="1"/>
  <c r="H3" i="7" a="1"/>
  <c r="C146" i="7" a="1"/>
  <c r="C179" i="7" a="1"/>
  <c r="D121" i="7" a="1"/>
  <c r="E157" i="7" a="1"/>
  <c r="E138" i="7" a="1"/>
  <c r="E23" i="7" a="1"/>
  <c r="H189" i="7" a="1"/>
  <c r="H80" i="7" a="1"/>
  <c r="C268" i="7" a="1"/>
  <c r="I283" i="7" a="1"/>
  <c r="E71" i="7" a="1"/>
  <c r="F165" i="7" a="1"/>
  <c r="C239" i="7" a="1"/>
  <c r="H162" i="7" a="1"/>
  <c r="E34" i="7" a="1"/>
  <c r="H26" i="7" a="1"/>
  <c r="H50" i="7" a="1"/>
  <c r="I270" i="7" a="1"/>
  <c r="I211" i="7" a="1"/>
  <c r="B217" i="7" a="1"/>
  <c r="B230" i="7" a="1"/>
  <c r="E44" i="7" a="1"/>
  <c r="F266" i="7" a="1"/>
  <c r="D62" i="7" a="1"/>
  <c r="C286" i="7" a="1"/>
  <c r="H182" i="7" a="1"/>
  <c r="E151" i="7" a="1"/>
  <c r="H175" i="7" a="1"/>
  <c r="H262" i="7" a="1"/>
  <c r="I254" i="7" a="1"/>
  <c r="I220" i="7" a="1"/>
  <c r="F40" i="7" a="1"/>
  <c r="I59" i="7" a="1"/>
  <c r="C63" i="7" a="1"/>
  <c r="B168" i="7" a="1"/>
  <c r="D113" i="7" a="1"/>
  <c r="H267" i="7" a="1"/>
  <c r="E205" i="7" a="1"/>
  <c r="B70" i="7" a="1"/>
  <c r="C67" i="7" a="1"/>
  <c r="D212" i="7" a="1"/>
  <c r="B110" i="7" a="1"/>
  <c r="H165" i="7" a="1"/>
  <c r="I294" i="7" a="1"/>
  <c r="F180" i="7" a="1"/>
  <c r="F163" i="7" a="1"/>
  <c r="E75" i="7" a="1"/>
  <c r="I295" i="7" a="1"/>
  <c r="D237" i="7" a="1"/>
  <c r="D39" i="7" a="1"/>
  <c r="F159" i="7" a="1"/>
  <c r="H93" i="7" a="1"/>
  <c r="E105" i="7" a="1"/>
  <c r="I285" i="7" a="1"/>
  <c r="I38" i="7" a="1"/>
  <c r="D266" i="7" a="1"/>
  <c r="D188" i="7" a="1"/>
  <c r="D235" i="7" a="1"/>
  <c r="C62" i="7" a="1"/>
  <c r="D238" i="7" a="1"/>
  <c r="I207" i="7" a="1"/>
  <c r="F174" i="7" a="1"/>
  <c r="B55" i="7" a="1"/>
  <c r="I263" i="7" a="1"/>
  <c r="H211" i="7" a="1"/>
  <c r="F288" i="7" a="1"/>
  <c r="I24" i="7" a="1"/>
  <c r="D293" i="7" a="1"/>
  <c r="C205" i="7" a="1"/>
  <c r="C228" i="7" a="1"/>
  <c r="H131" i="7" a="1"/>
  <c r="E160" i="7" a="1"/>
  <c r="C121" i="7" a="1"/>
  <c r="H217" i="7" a="1"/>
  <c r="C296" i="7" a="1"/>
  <c r="E97" i="7" a="1"/>
  <c r="B225" i="7" a="1"/>
  <c r="E192" i="7" a="1"/>
  <c r="F215" i="7" a="1"/>
  <c r="E273" i="7" a="1"/>
  <c r="I73" i="7" a="1"/>
  <c r="D234" i="7" a="1"/>
  <c r="H277" i="7" a="1"/>
  <c r="I275" i="7" a="1"/>
  <c r="D196" i="7" a="1"/>
  <c r="H188" i="7" a="1"/>
  <c r="E49" i="7" a="1"/>
  <c r="F119" i="7" a="1"/>
  <c r="I30" i="7" a="1"/>
  <c r="F176" i="7" a="1"/>
  <c r="I194" i="7" a="1"/>
  <c r="H248" i="7" a="1"/>
  <c r="H125" i="7" a="1"/>
  <c r="C277" i="7" a="1"/>
  <c r="B196" i="7" a="1"/>
  <c r="F258" i="7" a="1"/>
  <c r="C167" i="7" a="1"/>
  <c r="H105" i="7" a="1"/>
  <c r="E250" i="7" a="1"/>
  <c r="B142" i="7" a="1"/>
  <c r="C188" i="7" a="1"/>
  <c r="B144" i="7" a="1"/>
  <c r="D172" i="7" a="1"/>
  <c r="C255" i="7" a="1"/>
  <c r="F182" i="7" a="1"/>
  <c r="F80" i="7" a="1"/>
  <c r="E228" i="7" a="1"/>
  <c r="F142" i="7" a="1"/>
  <c r="I120" i="7" a="1"/>
  <c r="H88" i="7" a="1"/>
  <c r="C209" i="7" a="1"/>
  <c r="H242" i="7" a="1"/>
  <c r="D288" i="7" a="1"/>
  <c r="E145" i="7" a="1"/>
  <c r="H209" i="7" a="1"/>
  <c r="B285" i="7" a="1"/>
  <c r="F208" i="7" a="1"/>
  <c r="B248" i="7" a="1"/>
  <c r="F39" i="7" a="1"/>
  <c r="C234" i="7" a="1"/>
  <c r="B299" i="7" a="1"/>
  <c r="F218" i="7" a="1"/>
  <c r="I87" i="7" a="1"/>
  <c r="C90" i="7" a="1"/>
  <c r="F145" i="7" a="1"/>
  <c r="C3" i="7" a="1"/>
  <c r="I108" i="7" a="1"/>
  <c r="H298" i="7" a="1"/>
  <c r="E64" i="7" a="1"/>
  <c r="H75" i="7" a="1"/>
  <c r="I287" i="7" a="1"/>
  <c r="E244" i="7" a="1"/>
  <c r="H166" i="7" a="1"/>
  <c r="H142" i="7" a="1"/>
  <c r="E7" i="7" a="1"/>
  <c r="F199" i="7" a="1"/>
  <c r="B120" i="7" a="1"/>
  <c r="H174" i="7" a="1"/>
  <c r="E236" i="7" a="1"/>
  <c r="I183" i="7" a="1"/>
  <c r="I77" i="7" a="1"/>
  <c r="C60" i="7" a="1"/>
  <c r="I124" i="7" a="1"/>
  <c r="F194" i="7" a="1"/>
  <c r="B154" i="7" a="1"/>
  <c r="B257" i="7" a="1"/>
  <c r="B211" i="7" a="1"/>
  <c r="B192" i="7" a="1"/>
  <c r="E281" i="7" a="1"/>
  <c r="E198" i="7" a="1"/>
  <c r="E296" i="7" a="1"/>
  <c r="C83" i="7" a="1"/>
  <c r="D247" i="7" a="1"/>
  <c r="C94" i="7" a="1"/>
  <c r="D64" i="7" a="1"/>
  <c r="B221" i="7" a="1"/>
  <c r="F230" i="7" a="1"/>
  <c r="C64" i="7" a="1"/>
  <c r="I32" i="7" a="1"/>
  <c r="I52" i="7" a="1"/>
  <c r="I8" i="7" a="1"/>
  <c r="B247" i="7" a="1"/>
  <c r="I7" i="7" a="1"/>
  <c r="D232" i="7" a="1"/>
  <c r="D162" i="7" a="1"/>
  <c r="E195" i="7" a="1"/>
  <c r="I292" i="7" a="1"/>
  <c r="H114" i="7" a="1"/>
  <c r="D241" i="7" a="1"/>
  <c r="C151" i="7" a="1"/>
  <c r="I281" i="7" a="1"/>
  <c r="F92" i="7" a="1"/>
  <c r="B289" i="7" a="1"/>
  <c r="I96" i="7" a="1"/>
  <c r="C227" i="7" a="1"/>
  <c r="H288" i="7" a="1"/>
  <c r="C264" i="7" a="1"/>
  <c r="H177" i="7" a="1"/>
  <c r="I28" i="7" a="1"/>
  <c r="F151" i="7" a="1"/>
  <c r="F161" i="7" a="1"/>
  <c r="I93" i="7" a="1"/>
  <c r="H283" i="7" a="1"/>
  <c r="D246" i="7" a="1"/>
  <c r="F260" i="7" a="1"/>
  <c r="D105" i="7" a="1"/>
  <c r="C145" i="7" a="1"/>
  <c r="C241" i="7" a="1"/>
  <c r="E215" i="7" a="1"/>
  <c r="E74" i="7" a="1"/>
  <c r="H228" i="7" a="1"/>
  <c r="F228" i="7" a="1"/>
  <c r="F251" i="7" a="1"/>
  <c r="H170" i="7" a="1"/>
  <c r="B118" i="7" a="1"/>
  <c r="H224" i="7" a="1"/>
  <c r="E268" i="7" a="1"/>
  <c r="I277" i="7" a="1"/>
  <c r="D185" i="7" a="1"/>
  <c r="F124" i="7" a="1"/>
  <c r="B205" i="7" a="1"/>
  <c r="C220" i="7" a="1"/>
  <c r="B265" i="7" a="1"/>
  <c r="B101" i="7" a="1"/>
  <c r="E278" i="7" a="1"/>
  <c r="D173" i="7" a="1"/>
  <c r="C180" i="7" a="1"/>
  <c r="B204" i="7" a="1"/>
  <c r="H103" i="7" a="1"/>
  <c r="C114" i="7" a="1"/>
  <c r="D154" i="7" a="1"/>
  <c r="F187" i="7" a="1"/>
  <c r="F273" i="7" a="1"/>
  <c r="B141" i="7" a="1"/>
  <c r="I76" i="7" a="1"/>
  <c r="E126" i="7" a="1"/>
  <c r="F285" i="7" a="1"/>
  <c r="C48" i="7" a="1"/>
  <c r="H279" i="7" a="1"/>
  <c r="C218" i="7" a="1"/>
  <c r="C187" i="7" a="1"/>
  <c r="H221" i="7" a="1"/>
  <c r="F217" i="7" a="1"/>
  <c r="D95" i="7" a="1"/>
  <c r="F209" i="7" a="1"/>
  <c r="E77" i="7" a="1"/>
  <c r="F134" i="7" a="1"/>
  <c r="H113" i="7" a="1"/>
  <c r="F203" i="7" a="1"/>
  <c r="H254" i="7" a="1"/>
  <c r="E240" i="7" a="1"/>
  <c r="I298" i="7" a="1"/>
  <c r="H4" i="7" a="1"/>
  <c r="B151" i="7" a="1"/>
  <c r="D117" i="7" a="1"/>
  <c r="D140" i="7" a="1"/>
  <c r="D123" i="7" a="1"/>
  <c r="D123" i="7" l="1"/>
  <c r="D140" i="7"/>
  <c r="D117" i="7"/>
  <c r="B151" i="7"/>
  <c r="H4" i="7"/>
  <c r="I298" i="7"/>
  <c r="E240" i="7"/>
  <c r="H254" i="7"/>
  <c r="F203" i="7"/>
  <c r="H113" i="7"/>
  <c r="F134" i="7"/>
  <c r="E77" i="7"/>
  <c r="F209" i="7"/>
  <c r="D95" i="7"/>
  <c r="F217" i="7"/>
  <c r="H221" i="7"/>
  <c r="C187" i="7"/>
  <c r="C218" i="7"/>
  <c r="H279" i="7"/>
  <c r="C48" i="7"/>
  <c r="F285" i="7"/>
  <c r="E126" i="7"/>
  <c r="I76" i="7"/>
  <c r="B141" i="7"/>
  <c r="F273" i="7"/>
  <c r="F187" i="7"/>
  <c r="D154" i="7"/>
  <c r="C114" i="7"/>
  <c r="H103" i="7"/>
  <c r="B204" i="7"/>
  <c r="C180" i="7"/>
  <c r="D173" i="7"/>
  <c r="E278" i="7"/>
  <c r="B101" i="7"/>
  <c r="B265" i="7"/>
  <c r="C220" i="7"/>
  <c r="B205" i="7"/>
  <c r="F124" i="7"/>
  <c r="D185" i="7"/>
  <c r="I277" i="7"/>
  <c r="E268" i="7"/>
  <c r="H224" i="7"/>
  <c r="B118" i="7"/>
  <c r="H170" i="7"/>
  <c r="F251" i="7"/>
  <c r="F228" i="7"/>
  <c r="H228" i="7"/>
  <c r="E74" i="7"/>
  <c r="E215" i="7"/>
  <c r="C241" i="7"/>
  <c r="C145" i="7"/>
  <c r="D105" i="7"/>
  <c r="F260" i="7"/>
  <c r="D246" i="7"/>
  <c r="H283" i="7"/>
  <c r="I93" i="7"/>
  <c r="F161" i="7"/>
  <c r="F151" i="7"/>
  <c r="I28" i="7"/>
  <c r="H177" i="7"/>
  <c r="C264" i="7"/>
  <c r="H288" i="7"/>
  <c r="C227" i="7"/>
  <c r="I96" i="7"/>
  <c r="B289" i="7"/>
  <c r="F92" i="7"/>
  <c r="I281" i="7"/>
  <c r="C151" i="7"/>
  <c r="D241" i="7"/>
  <c r="H114" i="7"/>
  <c r="I292" i="7"/>
  <c r="E195" i="7"/>
  <c r="D162" i="7"/>
  <c r="D232" i="7"/>
  <c r="I7" i="7"/>
  <c r="B247" i="7"/>
  <c r="I8" i="7"/>
  <c r="I52" i="7"/>
  <c r="I32" i="7"/>
  <c r="C64" i="7"/>
  <c r="F230" i="7"/>
  <c r="B221" i="7"/>
  <c r="D64" i="7"/>
  <c r="C94" i="7"/>
  <c r="D247" i="7"/>
  <c r="C83" i="7"/>
  <c r="E296" i="7"/>
  <c r="E198" i="7"/>
  <c r="E281" i="7"/>
  <c r="B192" i="7"/>
  <c r="B211" i="7"/>
  <c r="B257" i="7"/>
  <c r="B154" i="7"/>
  <c r="F194" i="7"/>
  <c r="I124" i="7"/>
  <c r="C60" i="7"/>
  <c r="I77" i="7"/>
  <c r="I183" i="7"/>
  <c r="E236" i="7"/>
  <c r="H174" i="7"/>
  <c r="B120" i="7"/>
  <c r="F199" i="7"/>
  <c r="E7" i="7"/>
  <c r="H142" i="7"/>
  <c r="H166" i="7"/>
  <c r="E244" i="7"/>
  <c r="I287" i="7"/>
  <c r="H75" i="7"/>
  <c r="E64" i="7"/>
  <c r="H298" i="7"/>
  <c r="I108" i="7"/>
  <c r="C3" i="7"/>
  <c r="F145" i="7"/>
  <c r="C90" i="7"/>
  <c r="I87" i="7"/>
  <c r="F218" i="7"/>
  <c r="B299" i="7"/>
  <c r="C234" i="7"/>
  <c r="F39" i="7"/>
  <c r="B248" i="7"/>
  <c r="F208" i="7"/>
  <c r="B285" i="7"/>
  <c r="H209" i="7"/>
  <c r="E145" i="7"/>
  <c r="D288" i="7"/>
  <c r="H242" i="7"/>
  <c r="C209" i="7"/>
  <c r="H88" i="7"/>
  <c r="I120" i="7"/>
  <c r="F142" i="7"/>
  <c r="E228" i="7"/>
  <c r="F80" i="7"/>
  <c r="F182" i="7"/>
  <c r="C255" i="7"/>
  <c r="D172" i="7"/>
  <c r="B144" i="7"/>
  <c r="C188" i="7"/>
  <c r="B142" i="7"/>
  <c r="E250" i="7"/>
  <c r="H105" i="7"/>
  <c r="C167" i="7"/>
  <c r="F258" i="7"/>
  <c r="B196" i="7"/>
  <c r="C277" i="7"/>
  <c r="H125" i="7"/>
  <c r="H248" i="7"/>
  <c r="I194" i="7"/>
  <c r="F176" i="7"/>
  <c r="I30" i="7"/>
  <c r="F119" i="7"/>
  <c r="E49" i="7"/>
  <c r="H188" i="7"/>
  <c r="D196" i="7"/>
  <c r="I275" i="7"/>
  <c r="H277" i="7"/>
  <c r="D234" i="7"/>
  <c r="I73" i="7"/>
  <c r="E273" i="7"/>
  <c r="F215" i="7"/>
  <c r="E192" i="7"/>
  <c r="B225" i="7"/>
  <c r="E97" i="7"/>
  <c r="C296" i="7"/>
  <c r="H217" i="7"/>
  <c r="C121" i="7"/>
  <c r="E160" i="7"/>
  <c r="H131" i="7"/>
  <c r="C228" i="7"/>
  <c r="C205" i="7"/>
  <c r="D293" i="7"/>
  <c r="I24" i="7"/>
  <c r="F288" i="7"/>
  <c r="H211" i="7"/>
  <c r="I263" i="7"/>
  <c r="B55" i="7"/>
  <c r="F174" i="7"/>
  <c r="I207" i="7"/>
  <c r="D238" i="7"/>
  <c r="C62" i="7"/>
  <c r="D235" i="7"/>
  <c r="D188" i="7"/>
  <c r="D266" i="7"/>
  <c r="I38" i="7"/>
  <c r="I285" i="7"/>
  <c r="E105" i="7"/>
  <c r="H93" i="7"/>
  <c r="F159" i="7"/>
  <c r="D39" i="7"/>
  <c r="D237" i="7"/>
  <c r="I295" i="7"/>
  <c r="E75" i="7"/>
  <c r="F163" i="7"/>
  <c r="F180" i="7"/>
  <c r="I294" i="7"/>
  <c r="H165" i="7"/>
  <c r="B110" i="7"/>
  <c r="D212" i="7"/>
  <c r="C67" i="7"/>
  <c r="B70" i="7"/>
  <c r="E205" i="7"/>
  <c r="H267" i="7"/>
  <c r="D113" i="7"/>
  <c r="B168" i="7"/>
  <c r="C63" i="7"/>
  <c r="I59" i="7"/>
  <c r="F40" i="7"/>
  <c r="I220" i="7"/>
  <c r="I254" i="7"/>
  <c r="H262" i="7"/>
  <c r="H175" i="7"/>
  <c r="E151" i="7"/>
  <c r="H182" i="7"/>
  <c r="C286" i="7"/>
  <c r="D62" i="7"/>
  <c r="F266" i="7"/>
  <c r="E44" i="7"/>
  <c r="B230" i="7"/>
  <c r="B217" i="7"/>
  <c r="I211" i="7"/>
  <c r="I270" i="7"/>
  <c r="H50" i="7"/>
  <c r="H26" i="7"/>
  <c r="E34" i="7"/>
  <c r="H162" i="7"/>
  <c r="C239" i="7"/>
  <c r="F165" i="7"/>
  <c r="E71" i="7"/>
  <c r="I283" i="7"/>
  <c r="C268" i="7"/>
  <c r="H80" i="7"/>
  <c r="H189" i="7"/>
  <c r="E23" i="7"/>
  <c r="E138" i="7"/>
  <c r="E157" i="7"/>
  <c r="D121" i="7"/>
  <c r="C179" i="7"/>
  <c r="C146" i="7"/>
  <c r="H3" i="7"/>
  <c r="H139" i="7"/>
  <c r="I178" i="7"/>
  <c r="F231" i="7"/>
  <c r="E85" i="7"/>
  <c r="C147" i="7"/>
  <c r="F146" i="7"/>
  <c r="E256" i="7"/>
  <c r="E91" i="7"/>
  <c r="I166" i="7"/>
  <c r="I94" i="7"/>
  <c r="B223" i="7"/>
  <c r="I144" i="7"/>
  <c r="B251" i="7"/>
  <c r="D169" i="7"/>
  <c r="C300" i="7"/>
  <c r="I130" i="7"/>
  <c r="F166" i="7"/>
  <c r="H176" i="7"/>
  <c r="H132" i="7"/>
  <c r="C70" i="7"/>
  <c r="E40" i="7"/>
  <c r="C128" i="7"/>
  <c r="E184" i="7"/>
  <c r="B242" i="7"/>
  <c r="C58" i="7"/>
  <c r="C284" i="7"/>
  <c r="B158" i="7"/>
  <c r="D118" i="7"/>
  <c r="B241" i="7"/>
  <c r="F47" i="7"/>
  <c r="D271" i="7"/>
  <c r="C53" i="7"/>
  <c r="D181" i="7"/>
  <c r="E247" i="7"/>
  <c r="E153" i="7"/>
  <c r="H41" i="7"/>
  <c r="F221" i="7"/>
  <c r="I92" i="7"/>
  <c r="C87" i="7"/>
  <c r="C74" i="7"/>
  <c r="B270" i="7"/>
  <c r="B85" i="7"/>
  <c r="D111" i="7"/>
  <c r="F296" i="7"/>
  <c r="E99" i="7"/>
  <c r="B126" i="7"/>
  <c r="C249" i="7"/>
  <c r="B237" i="7"/>
  <c r="C189" i="7"/>
  <c r="E141" i="7"/>
  <c r="H273" i="7"/>
  <c r="H27" i="7"/>
  <c r="D263" i="7"/>
  <c r="B47" i="7"/>
  <c r="C158" i="7"/>
  <c r="E297" i="7"/>
  <c r="I253" i="7"/>
  <c r="E104" i="7"/>
  <c r="D106" i="7"/>
  <c r="I267" i="7"/>
  <c r="H7" i="7"/>
  <c r="D230" i="7"/>
  <c r="H91" i="7"/>
  <c r="C172" i="7"/>
  <c r="C111" i="7"/>
  <c r="D163" i="7"/>
  <c r="H171" i="7"/>
  <c r="I224" i="7"/>
  <c r="F5" i="7"/>
  <c r="I55" i="7"/>
  <c r="F299" i="7"/>
  <c r="C161" i="7"/>
  <c r="B116" i="7"/>
  <c r="H169" i="7"/>
  <c r="H39" i="7"/>
  <c r="D23" i="7"/>
  <c r="I168" i="7"/>
  <c r="I74" i="7"/>
  <c r="H55" i="7"/>
  <c r="E111" i="7"/>
  <c r="H36" i="7"/>
  <c r="F78" i="7"/>
  <c r="D300" i="7"/>
  <c r="I86" i="7"/>
  <c r="C107" i="7"/>
  <c r="E291" i="7"/>
  <c r="H84" i="7"/>
  <c r="H186" i="7"/>
  <c r="I68" i="7"/>
  <c r="F226" i="7"/>
  <c r="D59" i="7"/>
  <c r="B81" i="7"/>
  <c r="D175" i="7"/>
  <c r="I237" i="7"/>
  <c r="C152" i="7"/>
  <c r="D29" i="7"/>
  <c r="C182" i="7"/>
  <c r="H196" i="7"/>
  <c r="C202" i="7"/>
  <c r="B122" i="7"/>
  <c r="I260" i="7"/>
  <c r="B295" i="7"/>
  <c r="I137" i="7"/>
  <c r="I61" i="7"/>
  <c r="F140" i="7"/>
  <c r="C269" i="7"/>
  <c r="C175" i="7"/>
  <c r="B193" i="7"/>
  <c r="I165" i="7"/>
  <c r="I161" i="7"/>
  <c r="D96" i="7"/>
  <c r="F61" i="7"/>
  <c r="E78" i="7"/>
  <c r="F232" i="7"/>
  <c r="B124" i="7"/>
  <c r="C61" i="7"/>
  <c r="F253" i="7"/>
  <c r="C186" i="7"/>
  <c r="D2" i="7"/>
  <c r="H282" i="7"/>
  <c r="F82" i="7"/>
  <c r="D178" i="7"/>
  <c r="C88" i="7"/>
  <c r="D276" i="7"/>
  <c r="I99" i="7"/>
  <c r="I65" i="7"/>
  <c r="C207" i="7"/>
  <c r="I106" i="7"/>
  <c r="H116" i="7"/>
  <c r="F247" i="7"/>
  <c r="I278" i="7"/>
  <c r="C139" i="7"/>
  <c r="B274" i="7"/>
  <c r="E187" i="7"/>
  <c r="B220" i="7"/>
  <c r="B271" i="7"/>
  <c r="I272" i="7"/>
  <c r="E223" i="7"/>
  <c r="F242" i="7"/>
  <c r="F185" i="7"/>
  <c r="H290" i="7"/>
  <c r="D72" i="7"/>
  <c r="I53" i="7"/>
  <c r="B279" i="7"/>
  <c r="C252" i="7"/>
  <c r="F206" i="7"/>
  <c r="E38" i="7"/>
  <c r="B176" i="7"/>
  <c r="H214" i="7"/>
  <c r="I83" i="7"/>
  <c r="I249" i="7"/>
  <c r="I225" i="7"/>
  <c r="D283" i="7"/>
  <c r="C96" i="7"/>
  <c r="E69" i="7"/>
  <c r="I81" i="7"/>
  <c r="E270" i="7"/>
  <c r="I31" i="7"/>
  <c r="D100" i="7"/>
  <c r="B148" i="7"/>
  <c r="I182" i="7"/>
  <c r="H233" i="7"/>
  <c r="I266" i="7"/>
  <c r="F116" i="7"/>
  <c r="H208" i="7"/>
  <c r="I215" i="7"/>
  <c r="H280" i="7"/>
  <c r="C244" i="7"/>
  <c r="I210" i="7"/>
  <c r="D48" i="7"/>
  <c r="H56" i="7"/>
  <c r="C5" i="7"/>
  <c r="F100" i="7"/>
  <c r="E31" i="7"/>
  <c r="I243" i="7"/>
  <c r="F277" i="7"/>
  <c r="I223" i="7"/>
  <c r="F99" i="7"/>
  <c r="F292" i="7"/>
  <c r="H37" i="7"/>
  <c r="C150" i="7"/>
  <c r="B177" i="7"/>
  <c r="E242" i="7"/>
  <c r="E300" i="7"/>
  <c r="C110" i="7"/>
  <c r="H33" i="7"/>
  <c r="I145" i="7"/>
  <c r="D273" i="7"/>
  <c r="I212" i="7"/>
  <c r="E98" i="7"/>
  <c r="D155" i="7"/>
  <c r="B258" i="7"/>
  <c r="H30" i="7"/>
  <c r="D171" i="7"/>
  <c r="H135" i="7"/>
  <c r="I149" i="7"/>
  <c r="E212" i="7"/>
  <c r="E144" i="7"/>
  <c r="I191" i="7"/>
  <c r="F155" i="7"/>
  <c r="C196" i="7"/>
  <c r="C169" i="7"/>
  <c r="F211" i="7"/>
  <c r="D133" i="7"/>
  <c r="H255" i="7"/>
  <c r="B66" i="7"/>
  <c r="H63" i="7"/>
  <c r="D206" i="7"/>
  <c r="E119" i="7"/>
  <c r="E79" i="7"/>
  <c r="I188" i="7"/>
  <c r="D103" i="7"/>
  <c r="I268" i="7"/>
  <c r="E234" i="7"/>
  <c r="B181" i="7"/>
  <c r="C97" i="7"/>
  <c r="I122" i="7"/>
  <c r="C56" i="7"/>
  <c r="H278" i="7"/>
  <c r="D240" i="7"/>
  <c r="E140" i="7"/>
  <c r="C68" i="7"/>
  <c r="I193" i="7"/>
  <c r="E203" i="7"/>
  <c r="E286" i="7"/>
  <c r="F25" i="7"/>
  <c r="D200" i="7"/>
  <c r="I240" i="7"/>
  <c r="F227" i="7"/>
  <c r="I140" i="7"/>
  <c r="B235" i="7"/>
  <c r="B180" i="7"/>
  <c r="H244" i="7"/>
  <c r="H236" i="7"/>
  <c r="H216" i="7"/>
  <c r="F73" i="7"/>
  <c r="H51" i="7"/>
  <c r="I91" i="7"/>
  <c r="D159" i="7"/>
  <c r="E150" i="7"/>
  <c r="E72" i="7"/>
  <c r="D187" i="7"/>
  <c r="F293" i="7"/>
  <c r="D77" i="7"/>
  <c r="E188" i="7"/>
  <c r="B218" i="7"/>
  <c r="B152" i="7"/>
  <c r="E253" i="7"/>
  <c r="H74" i="7"/>
  <c r="D207" i="7"/>
  <c r="B43" i="7"/>
  <c r="H154" i="7"/>
  <c r="H260" i="7"/>
  <c r="I171" i="7"/>
  <c r="E131" i="7"/>
  <c r="D66" i="7"/>
  <c r="B136" i="7"/>
  <c r="D285" i="7"/>
  <c r="B84" i="7"/>
  <c r="H8" i="7"/>
  <c r="H249" i="7"/>
  <c r="F58" i="7"/>
  <c r="E114" i="7"/>
  <c r="B100" i="7"/>
  <c r="I200" i="7"/>
  <c r="I153" i="7"/>
  <c r="E133" i="7"/>
  <c r="C174" i="7"/>
  <c r="C178" i="7"/>
  <c r="B143" i="7"/>
  <c r="C91" i="7"/>
  <c r="F64" i="7"/>
  <c r="D108" i="7"/>
  <c r="E159" i="7"/>
  <c r="E252" i="7"/>
  <c r="I154" i="7"/>
  <c r="I235" i="7"/>
  <c r="B96" i="7"/>
  <c r="B51" i="7"/>
  <c r="C142" i="7"/>
  <c r="H31" i="7"/>
  <c r="E294" i="7"/>
  <c r="D28" i="7"/>
  <c r="I174" i="7"/>
  <c r="F94" i="7"/>
  <c r="E172" i="7"/>
  <c r="D147" i="7"/>
  <c r="D166" i="7"/>
  <c r="F186" i="7"/>
  <c r="I199" i="7"/>
  <c r="F170" i="7"/>
  <c r="I80" i="7"/>
  <c r="C166" i="7"/>
  <c r="H118" i="7"/>
  <c r="D3" i="7"/>
  <c r="F56" i="7"/>
  <c r="H192" i="7"/>
  <c r="C141" i="7"/>
  <c r="F44" i="7"/>
  <c r="E206" i="7"/>
  <c r="I44" i="7"/>
  <c r="F275" i="7"/>
  <c r="B291" i="7"/>
  <c r="I132" i="7"/>
  <c r="H90" i="7"/>
  <c r="H109" i="7"/>
  <c r="D251" i="7"/>
  <c r="E284" i="7"/>
  <c r="D286" i="7"/>
  <c r="F171" i="7"/>
  <c r="H60" i="7"/>
  <c r="I184" i="7"/>
  <c r="C289" i="7"/>
  <c r="F30" i="7"/>
  <c r="F65" i="7"/>
  <c r="E135" i="7"/>
  <c r="B63" i="7"/>
  <c r="F157" i="7"/>
  <c r="H239" i="7"/>
  <c r="I259" i="7"/>
  <c r="E277" i="7"/>
  <c r="B91" i="7"/>
  <c r="E5" i="7"/>
  <c r="D281" i="7"/>
  <c r="D127" i="7"/>
  <c r="H275" i="7"/>
  <c r="F38" i="7"/>
  <c r="E201" i="7"/>
  <c r="C168" i="7"/>
  <c r="D153" i="7"/>
  <c r="H167" i="7"/>
  <c r="H2" i="7"/>
  <c r="B245" i="7"/>
  <c r="I141" i="7"/>
  <c r="D109" i="7"/>
  <c r="H172" i="7"/>
  <c r="D25" i="7"/>
  <c r="E210" i="7"/>
  <c r="H82" i="7"/>
  <c r="D209" i="7"/>
  <c r="C203" i="7"/>
  <c r="C267" i="7"/>
  <c r="D165" i="7"/>
  <c r="H92" i="7"/>
  <c r="B106" i="7"/>
  <c r="B200" i="7"/>
  <c r="C119" i="7"/>
  <c r="B287" i="7"/>
  <c r="D78" i="7"/>
  <c r="I257" i="7"/>
  <c r="D114" i="7"/>
  <c r="D193" i="7"/>
  <c r="H270" i="7"/>
  <c r="D254" i="7"/>
  <c r="I205" i="7"/>
  <c r="H141" i="7"/>
  <c r="I239" i="7"/>
  <c r="H144" i="7"/>
  <c r="D192" i="7"/>
  <c r="D57" i="7"/>
  <c r="H136" i="7"/>
  <c r="F162" i="7"/>
  <c r="F238" i="7"/>
  <c r="F6" i="7"/>
  <c r="B178" i="7"/>
  <c r="H300" i="7"/>
  <c r="B183" i="7"/>
  <c r="H52" i="7"/>
  <c r="C266" i="7"/>
  <c r="I102" i="7"/>
  <c r="H54" i="7"/>
  <c r="E262" i="7"/>
  <c r="C236" i="7"/>
  <c r="I186" i="7"/>
  <c r="E81" i="7"/>
  <c r="D299" i="7"/>
  <c r="D253" i="7"/>
  <c r="D68" i="7"/>
  <c r="E232" i="7"/>
  <c r="I241" i="7"/>
  <c r="H5" i="7"/>
  <c r="I269" i="7"/>
  <c r="H111" i="7"/>
  <c r="F169" i="7"/>
  <c r="I128" i="7"/>
  <c r="H95" i="7"/>
  <c r="F153" i="7"/>
  <c r="E265" i="7"/>
  <c r="I185" i="7"/>
  <c r="I238" i="7"/>
  <c r="I201" i="7"/>
  <c r="B252" i="7"/>
  <c r="D99" i="7"/>
  <c r="D223" i="7"/>
  <c r="H83" i="7"/>
  <c r="H28" i="7"/>
  <c r="C162" i="7"/>
  <c r="F135" i="7"/>
  <c r="F90" i="7"/>
  <c r="F51" i="7"/>
  <c r="H147" i="7"/>
  <c r="F243" i="7"/>
  <c r="H120" i="7"/>
  <c r="B194" i="7"/>
  <c r="B167" i="7"/>
  <c r="C194" i="7"/>
  <c r="D61" i="7"/>
  <c r="F91" i="7"/>
  <c r="B57" i="7"/>
  <c r="H265" i="7"/>
  <c r="H204" i="7"/>
  <c r="I138" i="7"/>
  <c r="I190" i="7"/>
  <c r="I209" i="7"/>
  <c r="D21" i="7"/>
  <c r="B206" i="7"/>
  <c r="C274" i="7"/>
  <c r="H108" i="7"/>
  <c r="F154" i="7"/>
  <c r="C285" i="7"/>
  <c r="E180" i="7"/>
  <c r="C242" i="7"/>
  <c r="E257" i="7"/>
  <c r="I133" i="7"/>
  <c r="I40" i="7"/>
  <c r="E54" i="7"/>
  <c r="D128" i="7"/>
  <c r="C204" i="7"/>
  <c r="B212" i="7"/>
  <c r="B164" i="7"/>
  <c r="D45" i="7"/>
  <c r="E82" i="7"/>
  <c r="H253" i="7"/>
  <c r="F136" i="7"/>
  <c r="B56" i="7"/>
  <c r="E235" i="7"/>
  <c r="B140" i="7"/>
  <c r="C273" i="7"/>
  <c r="H223" i="7"/>
  <c r="E156" i="7"/>
  <c r="D129" i="7"/>
  <c r="I90" i="7"/>
  <c r="H159" i="7"/>
  <c r="F132" i="7"/>
  <c r="H34" i="7"/>
  <c r="E245" i="7"/>
  <c r="D231" i="7"/>
  <c r="F276" i="7"/>
  <c r="E122" i="7"/>
  <c r="C42" i="7"/>
  <c r="C238" i="7"/>
  <c r="D229" i="7"/>
  <c r="H158" i="7"/>
  <c r="E248" i="7"/>
  <c r="H44" i="7"/>
  <c r="C78" i="7"/>
  <c r="E56" i="7"/>
  <c r="H210" i="7"/>
  <c r="B109" i="7"/>
  <c r="I143" i="7"/>
  <c r="D183" i="7"/>
  <c r="C102" i="7"/>
  <c r="D248" i="7"/>
  <c r="I119" i="7"/>
  <c r="E251" i="7"/>
  <c r="H76" i="7"/>
  <c r="D31" i="7"/>
  <c r="E207" i="7"/>
  <c r="I177" i="7"/>
  <c r="C59" i="7"/>
  <c r="H269" i="7"/>
  <c r="D222" i="7"/>
  <c r="I4" i="7"/>
  <c r="C131" i="7"/>
  <c r="C294" i="7"/>
  <c r="E170" i="7"/>
  <c r="D34" i="7"/>
  <c r="F224" i="7"/>
  <c r="E29" i="7"/>
  <c r="C260" i="7"/>
  <c r="C283" i="7"/>
  <c r="C279" i="7"/>
  <c r="D260" i="7"/>
  <c r="E115" i="7"/>
  <c r="H69" i="7"/>
  <c r="E202" i="7"/>
  <c r="C173" i="7"/>
  <c r="D233" i="7"/>
  <c r="D55" i="7"/>
  <c r="H246" i="7"/>
  <c r="E162" i="7"/>
  <c r="D262" i="7"/>
  <c r="F287" i="7"/>
  <c r="F280" i="7"/>
  <c r="B117" i="7"/>
  <c r="F188" i="7"/>
  <c r="C276" i="7"/>
  <c r="F222" i="7"/>
  <c r="F123" i="7"/>
  <c r="F248" i="7"/>
  <c r="B231" i="7"/>
  <c r="E130" i="7"/>
  <c r="F143" i="7"/>
  <c r="B4" i="7"/>
  <c r="I242" i="7"/>
  <c r="H46" i="7"/>
  <c r="H299" i="7"/>
  <c r="C278" i="7"/>
  <c r="D89" i="7"/>
  <c r="D41" i="7"/>
  <c r="I250" i="7"/>
  <c r="I118" i="7"/>
  <c r="I274" i="7"/>
  <c r="E51" i="7"/>
  <c r="B75" i="7"/>
  <c r="E148" i="7"/>
  <c r="B107" i="7"/>
  <c r="H150" i="7"/>
  <c r="F274" i="7"/>
  <c r="E120" i="7"/>
  <c r="I157" i="7"/>
  <c r="D74" i="7"/>
  <c r="H195" i="7"/>
  <c r="E230" i="7"/>
  <c r="F121" i="7"/>
  <c r="B172" i="7"/>
  <c r="F68" i="7"/>
  <c r="F26" i="7"/>
  <c r="H193" i="7"/>
  <c r="F181" i="7"/>
  <c r="B162" i="7"/>
  <c r="I18" i="7"/>
  <c r="D65" i="7"/>
  <c r="F233" i="7"/>
  <c r="F22" i="7"/>
  <c r="B219" i="7"/>
  <c r="F147" i="7"/>
  <c r="I299" i="7"/>
  <c r="F103" i="7"/>
  <c r="C92" i="7"/>
  <c r="F164" i="7"/>
  <c r="D239" i="7"/>
  <c r="D104" i="7"/>
  <c r="B161" i="7"/>
  <c r="B99" i="7"/>
  <c r="B54" i="7"/>
  <c r="E266" i="7"/>
  <c r="E229" i="7"/>
  <c r="F106" i="7"/>
  <c r="I109" i="7"/>
  <c r="B103" i="7"/>
  <c r="F168" i="7"/>
  <c r="F223" i="7"/>
  <c r="D228" i="7"/>
  <c r="C248" i="7"/>
  <c r="H110" i="7"/>
  <c r="D73" i="7"/>
  <c r="C120" i="7"/>
  <c r="D8" i="7"/>
  <c r="F93" i="7"/>
  <c r="B104" i="7"/>
  <c r="D216" i="7"/>
  <c r="F175" i="7"/>
  <c r="F7" i="7"/>
  <c r="D83" i="7"/>
  <c r="D116" i="7"/>
  <c r="C229" i="7"/>
  <c r="B290" i="7"/>
  <c r="C245" i="7"/>
  <c r="D255" i="7"/>
  <c r="I218" i="7"/>
  <c r="B121" i="7"/>
  <c r="B65" i="7"/>
  <c r="H62" i="7"/>
  <c r="E22" i="7"/>
  <c r="F34" i="7"/>
  <c r="I46" i="7"/>
  <c r="D210" i="7"/>
  <c r="B255" i="7"/>
  <c r="B254" i="7"/>
  <c r="E264" i="7"/>
  <c r="H57" i="7"/>
  <c r="I26" i="7"/>
  <c r="B53" i="7"/>
  <c r="F110" i="7"/>
  <c r="F21" i="7"/>
  <c r="B68" i="7"/>
  <c r="D220" i="7"/>
  <c r="B179" i="7"/>
  <c r="H181" i="7"/>
  <c r="I276" i="7"/>
  <c r="D295" i="7"/>
  <c r="I123" i="7"/>
  <c r="I48" i="7"/>
  <c r="I284" i="7"/>
  <c r="I155" i="7"/>
  <c r="B166" i="7"/>
  <c r="B131" i="7"/>
  <c r="C134" i="7"/>
  <c r="D32" i="7"/>
  <c r="C233" i="7"/>
  <c r="B249" i="7"/>
  <c r="E269" i="7"/>
  <c r="B92" i="7"/>
  <c r="B80" i="7"/>
  <c r="H201" i="7"/>
  <c r="E260" i="7"/>
  <c r="I221" i="7"/>
  <c r="F108" i="7"/>
  <c r="E161" i="7"/>
  <c r="D94" i="7"/>
  <c r="E28" i="7"/>
  <c r="H264" i="7"/>
  <c r="C183" i="7"/>
  <c r="C49" i="7"/>
  <c r="E118" i="7"/>
  <c r="B155" i="7"/>
  <c r="F202" i="7"/>
  <c r="I110" i="7"/>
  <c r="E285" i="7"/>
  <c r="C140" i="7"/>
  <c r="D208" i="7"/>
  <c r="C80" i="7"/>
  <c r="F111" i="7"/>
  <c r="I217" i="7"/>
  <c r="F281" i="7"/>
  <c r="F53" i="7"/>
  <c r="B50" i="7"/>
  <c r="H67" i="7"/>
  <c r="B145" i="7"/>
  <c r="C240" i="7"/>
  <c r="I103" i="7"/>
  <c r="F122" i="7"/>
  <c r="B232" i="7"/>
  <c r="E276" i="7"/>
  <c r="I288" i="7"/>
  <c r="D199" i="7"/>
  <c r="C288" i="7"/>
  <c r="H157" i="7"/>
  <c r="D219" i="7"/>
  <c r="C219" i="7"/>
  <c r="B95" i="7"/>
  <c r="D215" i="7"/>
  <c r="E42" i="7"/>
  <c r="D279" i="7"/>
  <c r="C259" i="7"/>
  <c r="C130" i="7"/>
  <c r="E96" i="7"/>
  <c r="D87" i="7"/>
  <c r="I60" i="7"/>
  <c r="B276" i="7"/>
  <c r="I82" i="7"/>
  <c r="C287" i="7"/>
  <c r="H73" i="7"/>
  <c r="I17" i="7"/>
  <c r="D214" i="7"/>
  <c r="D267" i="7"/>
  <c r="E155" i="7"/>
  <c r="E4" i="7"/>
  <c r="H143" i="7"/>
  <c r="I181" i="7"/>
  <c r="I196" i="7"/>
  <c r="B45" i="7"/>
  <c r="I125" i="7"/>
  <c r="C197" i="7"/>
  <c r="E89" i="7"/>
  <c r="D124" i="7"/>
  <c r="F55" i="7"/>
  <c r="C247" i="7"/>
  <c r="F198" i="7"/>
  <c r="H257" i="7"/>
  <c r="B260" i="7"/>
  <c r="F86" i="7"/>
  <c r="E171" i="7"/>
  <c r="B72" i="7"/>
  <c r="B97" i="7"/>
  <c r="F112" i="7"/>
  <c r="C290" i="7"/>
  <c r="F270" i="7"/>
  <c r="E222" i="7"/>
  <c r="F75" i="7"/>
  <c r="C165" i="7"/>
  <c r="C192" i="7"/>
  <c r="C212" i="7"/>
  <c r="E60" i="7"/>
  <c r="E288" i="7"/>
  <c r="E53" i="7"/>
  <c r="B224" i="7"/>
  <c r="F137" i="7"/>
  <c r="F245" i="7"/>
  <c r="C41" i="7"/>
  <c r="I72" i="7"/>
  <c r="H163" i="7"/>
  <c r="C108" i="7"/>
  <c r="I289" i="7"/>
  <c r="F229" i="7"/>
  <c r="H117" i="7"/>
  <c r="I148" i="7"/>
  <c r="C105" i="7"/>
  <c r="I296" i="7"/>
  <c r="H35" i="7"/>
  <c r="B129" i="7"/>
  <c r="D277" i="7"/>
  <c r="E137" i="7"/>
  <c r="D44" i="7"/>
  <c r="I222" i="7"/>
  <c r="D168" i="7"/>
  <c r="C181" i="7"/>
  <c r="B40" i="7"/>
  <c r="F271" i="7"/>
  <c r="D226" i="7"/>
  <c r="E189" i="7"/>
  <c r="F66" i="7"/>
  <c r="B228" i="7"/>
  <c r="C7" i="7"/>
  <c r="D157" i="7"/>
  <c r="F32" i="7"/>
  <c r="C137" i="7"/>
  <c r="H191" i="7"/>
  <c r="C85" i="7"/>
  <c r="D275" i="7"/>
  <c r="F192" i="7"/>
  <c r="E299" i="7"/>
  <c r="B233" i="7"/>
  <c r="C103" i="7"/>
  <c r="E261" i="7"/>
  <c r="I129" i="7"/>
  <c r="C79" i="7"/>
  <c r="H287" i="7"/>
  <c r="I226" i="7"/>
  <c r="E47" i="7"/>
  <c r="E55" i="7"/>
  <c r="F190" i="7"/>
  <c r="D213" i="7"/>
  <c r="H115" i="7"/>
  <c r="D91" i="7"/>
  <c r="I150" i="7"/>
  <c r="D30" i="7"/>
  <c r="B113" i="7"/>
  <c r="B272" i="7"/>
  <c r="I14" i="7"/>
  <c r="B216" i="7"/>
  <c r="D191" i="7"/>
  <c r="F158" i="7"/>
  <c r="H185" i="7"/>
  <c r="E128" i="7"/>
  <c r="H21" i="7"/>
  <c r="F284" i="7"/>
  <c r="C292" i="7"/>
  <c r="E25" i="7"/>
  <c r="B264" i="7"/>
  <c r="I264" i="7"/>
  <c r="B60" i="7"/>
  <c r="E27" i="7"/>
  <c r="E287" i="7"/>
  <c r="F88" i="7"/>
  <c r="E213" i="7"/>
  <c r="D184" i="7"/>
  <c r="I104" i="7"/>
  <c r="B119" i="7"/>
  <c r="E139" i="7"/>
  <c r="D176" i="7"/>
  <c r="H71" i="7"/>
  <c r="D126" i="7"/>
  <c r="H190" i="7"/>
  <c r="I5" i="7"/>
  <c r="B163" i="7"/>
  <c r="B292" i="7"/>
  <c r="I261" i="7"/>
  <c r="H219" i="7"/>
  <c r="B239" i="7"/>
  <c r="I117" i="7"/>
  <c r="E176" i="7"/>
  <c r="I248" i="7"/>
  <c r="E152" i="7"/>
  <c r="I6" i="7"/>
  <c r="C177" i="7"/>
  <c r="F201" i="7"/>
  <c r="F118" i="7"/>
  <c r="H296" i="7"/>
  <c r="B263" i="7"/>
  <c r="H243" i="7"/>
  <c r="F297" i="7"/>
  <c r="I11" i="7"/>
  <c r="E94" i="7"/>
  <c r="C40" i="7"/>
  <c r="C198" i="7"/>
  <c r="D27" i="7"/>
  <c r="D134" i="7"/>
  <c r="I206" i="7"/>
  <c r="D101" i="7"/>
  <c r="F152" i="7"/>
  <c r="C235" i="7"/>
  <c r="B137" i="7"/>
  <c r="C193" i="7"/>
  <c r="D282" i="7"/>
  <c r="F98" i="7"/>
  <c r="B269" i="7"/>
  <c r="E50" i="7"/>
  <c r="B115" i="7"/>
  <c r="H161" i="7"/>
  <c r="I116" i="7"/>
  <c r="D67" i="7"/>
  <c r="H72" i="7"/>
  <c r="D5" i="7"/>
  <c r="C117" i="7"/>
  <c r="H64" i="7"/>
  <c r="D80" i="7"/>
  <c r="C262" i="7"/>
  <c r="E129" i="7"/>
  <c r="F254" i="7"/>
  <c r="E239" i="7"/>
  <c r="I179" i="7"/>
  <c r="F41" i="7"/>
  <c r="E107" i="7"/>
  <c r="B195" i="7"/>
  <c r="D296" i="7"/>
  <c r="H148" i="7"/>
  <c r="E292" i="7"/>
  <c r="D54" i="7"/>
  <c r="F120" i="7"/>
  <c r="D145" i="7"/>
  <c r="H179" i="7"/>
  <c r="B2" i="7"/>
  <c r="E227" i="7"/>
  <c r="F69" i="7"/>
  <c r="E175" i="7"/>
  <c r="D82" i="7"/>
  <c r="D60" i="7"/>
  <c r="E48" i="7"/>
  <c r="E271" i="7"/>
  <c r="I29" i="7"/>
  <c r="B89" i="7"/>
  <c r="D268" i="7"/>
  <c r="H112" i="7"/>
  <c r="I251" i="7"/>
  <c r="H184" i="7"/>
  <c r="F240" i="7"/>
  <c r="I79" i="7"/>
  <c r="C123" i="7"/>
  <c r="F282" i="7"/>
  <c r="H77" i="7"/>
  <c r="B191" i="7"/>
  <c r="H285" i="7"/>
  <c r="I233" i="7"/>
  <c r="I43" i="7"/>
  <c r="I213" i="7"/>
  <c r="F294" i="7"/>
  <c r="D236" i="7"/>
  <c r="B244" i="7"/>
  <c r="B236" i="7"/>
  <c r="F244" i="7"/>
  <c r="E95" i="7"/>
  <c r="B135" i="7"/>
  <c r="B157" i="7"/>
  <c r="E116" i="7"/>
  <c r="C124" i="7"/>
  <c r="C43" i="7"/>
  <c r="H241" i="7"/>
  <c r="F97" i="7"/>
  <c r="C208" i="7"/>
  <c r="I25" i="7"/>
  <c r="E134" i="7"/>
  <c r="C225" i="7"/>
  <c r="I151" i="7"/>
  <c r="D167" i="7"/>
  <c r="F54" i="7"/>
  <c r="B273" i="7"/>
  <c r="D131" i="7"/>
  <c r="H271" i="7"/>
  <c r="I262" i="7"/>
  <c r="F257" i="7"/>
  <c r="H281" i="7"/>
  <c r="D122" i="7"/>
  <c r="C73" i="7"/>
  <c r="H212" i="7"/>
  <c r="E194" i="7"/>
  <c r="H124" i="7"/>
  <c r="B76" i="7"/>
  <c r="I2" i="7"/>
  <c r="F67" i="7"/>
  <c r="F178" i="7"/>
  <c r="D243" i="7"/>
  <c r="B87" i="7"/>
  <c r="F263" i="7"/>
  <c r="B156" i="7"/>
  <c r="H295" i="7"/>
  <c r="I78" i="7"/>
  <c r="D186" i="7"/>
  <c r="F144" i="7"/>
  <c r="F252" i="7"/>
  <c r="B105" i="7"/>
  <c r="F298" i="7"/>
  <c r="I42" i="7"/>
  <c r="C265" i="7"/>
  <c r="E62" i="7"/>
  <c r="D284" i="7"/>
  <c r="C51" i="7"/>
  <c r="I21" i="7"/>
  <c r="I256" i="7"/>
  <c r="I195" i="7"/>
  <c r="E259" i="7"/>
  <c r="E125" i="7"/>
  <c r="C232" i="7"/>
  <c r="B207" i="7"/>
  <c r="C156" i="7"/>
  <c r="C55" i="7"/>
  <c r="D201" i="7"/>
  <c r="C89" i="7"/>
  <c r="E67" i="7"/>
  <c r="F148" i="7"/>
  <c r="F45" i="7"/>
  <c r="H68" i="7"/>
  <c r="B102" i="7"/>
  <c r="E216" i="7"/>
  <c r="H155" i="7"/>
  <c r="D86" i="7"/>
  <c r="F115" i="7"/>
  <c r="B210" i="7"/>
  <c r="D170" i="7"/>
  <c r="H240" i="7"/>
  <c r="E218" i="7"/>
  <c r="D278" i="7"/>
  <c r="H123" i="7"/>
  <c r="F4" i="7"/>
  <c r="I27" i="7"/>
  <c r="B173" i="7"/>
  <c r="B188" i="7"/>
  <c r="C223" i="7"/>
  <c r="H252" i="7"/>
  <c r="F33" i="7"/>
  <c r="H145" i="7"/>
  <c r="I100" i="7"/>
  <c r="B293" i="7"/>
  <c r="D43" i="7"/>
  <c r="H138" i="7"/>
  <c r="C52" i="7"/>
  <c r="D180" i="7"/>
  <c r="E241" i="7"/>
  <c r="H137" i="7"/>
  <c r="F172" i="7"/>
  <c r="C100" i="7"/>
  <c r="B147" i="7"/>
  <c r="E83" i="7"/>
  <c r="B174" i="7"/>
  <c r="D298" i="7"/>
  <c r="C215" i="7"/>
  <c r="I89" i="7"/>
  <c r="B8" i="7"/>
  <c r="E165" i="7"/>
  <c r="H61" i="7"/>
  <c r="I255" i="7"/>
  <c r="H187" i="7"/>
  <c r="B209" i="7"/>
  <c r="F191" i="7"/>
  <c r="D146" i="7"/>
  <c r="I139" i="7"/>
  <c r="E88" i="7"/>
  <c r="E290" i="7"/>
  <c r="D144" i="7"/>
  <c r="H42" i="7"/>
  <c r="H173" i="7"/>
  <c r="B94" i="7"/>
  <c r="H128" i="7"/>
  <c r="H266" i="7"/>
  <c r="F129" i="7"/>
  <c r="F125" i="7"/>
  <c r="C143" i="7"/>
  <c r="F286" i="7"/>
  <c r="D257" i="7"/>
  <c r="B44" i="7"/>
  <c r="H250" i="7"/>
  <c r="H149" i="7"/>
  <c r="H24" i="7"/>
  <c r="B59" i="7"/>
  <c r="D297" i="7"/>
  <c r="E112" i="7"/>
  <c r="I126" i="7"/>
  <c r="D4" i="7"/>
  <c r="H86" i="7"/>
  <c r="D63" i="7"/>
  <c r="C250" i="7"/>
  <c r="F267" i="7"/>
  <c r="H261" i="7"/>
  <c r="F77" i="7"/>
  <c r="I131" i="7"/>
  <c r="H96" i="7"/>
  <c r="D161" i="7"/>
  <c r="F84" i="7"/>
  <c r="D38" i="7"/>
  <c r="F52" i="7"/>
  <c r="E214" i="7"/>
  <c r="F85" i="7"/>
  <c r="B6" i="7"/>
  <c r="B138" i="7"/>
  <c r="F249" i="7"/>
  <c r="I163" i="7"/>
  <c r="E191" i="7"/>
  <c r="F300" i="7"/>
  <c r="I97" i="7"/>
  <c r="C222" i="7"/>
  <c r="F72" i="7"/>
  <c r="F24" i="7"/>
  <c r="E100" i="7"/>
  <c r="E158" i="7"/>
  <c r="D205" i="7"/>
  <c r="E68" i="7"/>
  <c r="D135" i="7"/>
  <c r="E106" i="7"/>
  <c r="F27" i="7"/>
  <c r="H235" i="7"/>
  <c r="B58" i="7"/>
  <c r="D194" i="7"/>
  <c r="D158" i="7"/>
  <c r="H292" i="7"/>
  <c r="D70" i="7"/>
  <c r="E52" i="7"/>
  <c r="B86" i="7"/>
  <c r="D174" i="7"/>
  <c r="B275" i="7"/>
  <c r="I23" i="7"/>
  <c r="F3" i="7"/>
  <c r="I105" i="7"/>
  <c r="F200" i="7"/>
  <c r="E6" i="7"/>
  <c r="H229" i="7"/>
  <c r="H153" i="7"/>
  <c r="F43" i="7"/>
  <c r="F173" i="7"/>
  <c r="D24" i="7"/>
  <c r="F130" i="7"/>
  <c r="D53" i="7"/>
  <c r="E217" i="7"/>
  <c r="I12" i="7"/>
  <c r="F83" i="7"/>
  <c r="I70" i="7"/>
  <c r="C163" i="7"/>
  <c r="E80" i="7"/>
  <c r="D125" i="7"/>
  <c r="I180" i="7"/>
  <c r="H40" i="7"/>
  <c r="B88" i="7"/>
  <c r="C210" i="7"/>
  <c r="I71" i="7"/>
  <c r="E2" i="7"/>
  <c r="B185" i="7"/>
  <c r="I121" i="7"/>
  <c r="B49" i="7"/>
  <c r="H49" i="7"/>
  <c r="I41" i="7"/>
  <c r="C293" i="7"/>
  <c r="I47" i="7"/>
  <c r="H294" i="7"/>
  <c r="D164" i="7"/>
  <c r="D250" i="7"/>
  <c r="C95" i="7"/>
  <c r="E65" i="7"/>
  <c r="D98" i="7"/>
  <c r="C8" i="7"/>
  <c r="E208" i="7"/>
  <c r="C297" i="7"/>
  <c r="H289" i="7"/>
  <c r="E76" i="7"/>
  <c r="I175" i="7"/>
  <c r="C148" i="7"/>
  <c r="B296" i="7"/>
  <c r="I101" i="7"/>
  <c r="C133" i="7"/>
  <c r="I169" i="7"/>
  <c r="D202" i="7"/>
  <c r="B280" i="7"/>
  <c r="H220" i="7"/>
  <c r="I134" i="7"/>
  <c r="I50" i="7"/>
  <c r="E43" i="7"/>
  <c r="I13" i="7"/>
  <c r="C216" i="7"/>
  <c r="E254" i="7"/>
  <c r="B234" i="7"/>
  <c r="C155" i="7"/>
  <c r="B114" i="7"/>
  <c r="D26" i="7"/>
  <c r="B298" i="7"/>
  <c r="D287" i="7"/>
  <c r="H237" i="7"/>
  <c r="E238" i="7"/>
  <c r="B112" i="7"/>
  <c r="E199" i="7"/>
  <c r="H59" i="7"/>
  <c r="B197" i="7"/>
  <c r="H130" i="7"/>
  <c r="E178" i="7"/>
  <c r="H258" i="7"/>
  <c r="D69" i="7"/>
  <c r="I160" i="7"/>
  <c r="B7" i="7"/>
  <c r="I208" i="7"/>
  <c r="E66" i="7"/>
  <c r="E21" i="7"/>
  <c r="D218" i="7"/>
  <c r="H218" i="7"/>
  <c r="E93" i="7"/>
  <c r="H22" i="7"/>
  <c r="I265" i="7"/>
  <c r="I234" i="7"/>
  <c r="C206" i="7"/>
  <c r="C69" i="7"/>
  <c r="H127" i="7"/>
  <c r="H247" i="7"/>
  <c r="E237" i="7"/>
  <c r="H194" i="7"/>
  <c r="F2" i="7"/>
  <c r="F196" i="7"/>
  <c r="F105" i="7"/>
  <c r="D261" i="7"/>
  <c r="I107" i="7"/>
  <c r="C113" i="7"/>
  <c r="E39" i="7"/>
  <c r="H43" i="7"/>
  <c r="E57" i="7"/>
  <c r="H291" i="7"/>
  <c r="E46" i="7"/>
  <c r="C65" i="7"/>
  <c r="F207" i="7"/>
  <c r="E173" i="7"/>
  <c r="B253" i="7"/>
  <c r="H160" i="7"/>
  <c r="E220" i="7"/>
  <c r="D195" i="7"/>
  <c r="E181" i="7"/>
  <c r="C115" i="7"/>
  <c r="D97" i="7"/>
  <c r="F74" i="7"/>
  <c r="F264" i="7"/>
  <c r="I245" i="7"/>
  <c r="D119" i="7"/>
  <c r="F262" i="7"/>
  <c r="F138" i="7"/>
  <c r="I69" i="7"/>
  <c r="I258" i="7"/>
  <c r="F133" i="7"/>
  <c r="F212" i="7"/>
  <c r="C258" i="7"/>
  <c r="H227" i="7"/>
  <c r="H168" i="7"/>
  <c r="B175" i="7"/>
  <c r="D204" i="7"/>
  <c r="E58" i="7"/>
  <c r="D225" i="7"/>
  <c r="D112" i="7"/>
  <c r="I85" i="7"/>
  <c r="I147" i="7"/>
  <c r="E123" i="7"/>
  <c r="I84" i="7"/>
  <c r="H122" i="7"/>
  <c r="H284" i="7"/>
  <c r="I164" i="7"/>
  <c r="E149" i="7"/>
  <c r="F156" i="7"/>
  <c r="D264" i="7"/>
  <c r="E86" i="7"/>
  <c r="F279" i="7"/>
  <c r="E61" i="7"/>
  <c r="F265" i="7"/>
  <c r="C2" i="7"/>
  <c r="I279" i="7"/>
  <c r="B48" i="7"/>
  <c r="F126" i="7"/>
  <c r="H272" i="7"/>
  <c r="E30" i="7"/>
  <c r="I136" i="7"/>
  <c r="C221" i="7"/>
  <c r="E221" i="7"/>
  <c r="I22" i="7"/>
  <c r="E59" i="7"/>
  <c r="D156" i="7"/>
  <c r="B297" i="7"/>
  <c r="B199" i="7"/>
  <c r="I49" i="7"/>
  <c r="D177" i="7"/>
  <c r="E267" i="7"/>
  <c r="C299" i="7"/>
  <c r="E167" i="7"/>
  <c r="F289" i="7"/>
  <c r="B133" i="7"/>
  <c r="I95" i="7"/>
  <c r="I203" i="7"/>
  <c r="D227" i="7"/>
  <c r="I232" i="7"/>
  <c r="C230" i="7"/>
  <c r="I290" i="7"/>
  <c r="H140" i="7"/>
  <c r="E70" i="7"/>
  <c r="I142" i="7"/>
  <c r="B227" i="7"/>
  <c r="B130" i="7"/>
  <c r="I230" i="7"/>
  <c r="B67" i="7"/>
  <c r="I170" i="7"/>
  <c r="C191" i="7"/>
  <c r="E63" i="7"/>
  <c r="D110" i="7"/>
  <c r="D189" i="7"/>
  <c r="F57" i="7"/>
  <c r="H234" i="7"/>
  <c r="I158" i="7"/>
  <c r="C201" i="7"/>
  <c r="B214" i="7"/>
  <c r="H203" i="7"/>
  <c r="F79" i="7"/>
  <c r="B3" i="7"/>
  <c r="D84" i="7"/>
  <c r="D291" i="7"/>
  <c r="C291" i="7"/>
  <c r="D58" i="7"/>
  <c r="H202" i="7"/>
  <c r="F269" i="7"/>
  <c r="F50" i="7"/>
  <c r="C82" i="7"/>
  <c r="B256" i="7"/>
  <c r="F290" i="7"/>
  <c r="I15" i="7"/>
  <c r="F114" i="7"/>
  <c r="H79" i="7"/>
  <c r="H297" i="7"/>
  <c r="F150" i="7"/>
  <c r="B78" i="7"/>
  <c r="B202" i="7"/>
  <c r="B77" i="7"/>
  <c r="F197" i="7"/>
  <c r="D290" i="7"/>
  <c r="E168" i="7"/>
  <c r="F184" i="7"/>
  <c r="E154" i="7"/>
  <c r="H263" i="7"/>
  <c r="D151" i="7"/>
  <c r="C104" i="7"/>
  <c r="B111" i="7"/>
  <c r="H133" i="7"/>
  <c r="H230" i="7"/>
  <c r="C185" i="7"/>
  <c r="D152" i="7"/>
  <c r="B61" i="7"/>
  <c r="F96" i="7"/>
  <c r="I159" i="7"/>
  <c r="I228" i="7"/>
  <c r="C263" i="7"/>
  <c r="C214" i="7"/>
  <c r="F63" i="7"/>
  <c r="I229" i="7"/>
  <c r="H25" i="7"/>
  <c r="C184" i="7"/>
  <c r="D224" i="7"/>
  <c r="D132" i="7"/>
  <c r="B281" i="7"/>
  <c r="B108" i="7"/>
  <c r="D52" i="7"/>
  <c r="C261" i="7"/>
  <c r="B278" i="7"/>
  <c r="C164" i="7"/>
  <c r="F62" i="7"/>
  <c r="D211" i="7"/>
  <c r="C295" i="7"/>
  <c r="D88" i="7"/>
  <c r="F216" i="7"/>
  <c r="H81" i="7"/>
  <c r="H65" i="7"/>
  <c r="I114" i="7"/>
  <c r="B146" i="7"/>
  <c r="B139" i="7"/>
  <c r="B250" i="7"/>
  <c r="E183" i="7"/>
  <c r="D198" i="7"/>
  <c r="D244" i="7"/>
  <c r="H102" i="7"/>
  <c r="D137" i="7"/>
  <c r="F141" i="7"/>
  <c r="C154" i="7"/>
  <c r="D265" i="7"/>
  <c r="E147" i="7"/>
  <c r="D142" i="7"/>
  <c r="I45" i="7"/>
  <c r="B267" i="7"/>
  <c r="E177" i="7"/>
  <c r="C93" i="7"/>
  <c r="C170" i="7"/>
  <c r="C176" i="7"/>
  <c r="H231" i="7"/>
  <c r="B93" i="7"/>
  <c r="H198" i="7"/>
  <c r="E289" i="7"/>
  <c r="C246" i="7"/>
  <c r="I219" i="7"/>
  <c r="D258" i="7"/>
  <c r="D182" i="7"/>
  <c r="F195" i="7"/>
  <c r="C66" i="7"/>
  <c r="E163" i="7"/>
  <c r="F46" i="7"/>
  <c r="E3" i="7"/>
  <c r="F213" i="7"/>
  <c r="I172" i="7"/>
  <c r="I135" i="7"/>
  <c r="E293" i="7"/>
  <c r="D79" i="7"/>
  <c r="C171" i="7"/>
  <c r="C149" i="7"/>
  <c r="B132" i="7"/>
  <c r="H180" i="7"/>
  <c r="B71" i="7"/>
  <c r="E146" i="7"/>
  <c r="C135" i="7"/>
  <c r="H238" i="7"/>
  <c r="I286" i="7"/>
  <c r="H276" i="7"/>
  <c r="F8" i="7"/>
  <c r="C6" i="7"/>
  <c r="D75" i="7"/>
  <c r="I291" i="7"/>
  <c r="I112" i="7"/>
  <c r="I282" i="7"/>
  <c r="E274" i="7"/>
  <c r="B79" i="7"/>
  <c r="I113" i="7"/>
  <c r="H226" i="7"/>
  <c r="C4" i="7"/>
  <c r="E121" i="7"/>
  <c r="H164" i="7"/>
  <c r="F101" i="7"/>
  <c r="E109" i="7"/>
  <c r="I216" i="7"/>
  <c r="B238" i="7"/>
  <c r="C81" i="7"/>
  <c r="D49" i="7"/>
  <c r="H146" i="7"/>
  <c r="C71" i="7"/>
  <c r="B46" i="7"/>
  <c r="F239" i="7"/>
  <c r="B283" i="7"/>
  <c r="F278" i="7"/>
  <c r="C44" i="7"/>
  <c r="F272" i="7"/>
  <c r="D115" i="7"/>
  <c r="D90" i="7"/>
  <c r="E209" i="7"/>
  <c r="E193" i="7"/>
  <c r="E132" i="7"/>
  <c r="F205" i="7"/>
  <c r="I33" i="7"/>
  <c r="C157" i="7"/>
  <c r="E101" i="7"/>
  <c r="D221" i="7"/>
  <c r="D143" i="7"/>
  <c r="E197" i="7"/>
  <c r="B159" i="7"/>
  <c r="F109" i="7"/>
  <c r="H152" i="7"/>
  <c r="D33" i="7"/>
  <c r="C298" i="7"/>
  <c r="C125" i="7"/>
  <c r="C84" i="7"/>
  <c r="E204" i="7"/>
  <c r="I67" i="7"/>
  <c r="B189" i="7"/>
  <c r="D102" i="7"/>
  <c r="B127" i="7"/>
  <c r="C275" i="7"/>
  <c r="I236" i="7"/>
  <c r="H183" i="7"/>
  <c r="E124" i="7"/>
  <c r="E186" i="7"/>
  <c r="I146" i="7"/>
  <c r="D42" i="7"/>
  <c r="I214" i="7"/>
  <c r="C195" i="7"/>
  <c r="B64" i="7"/>
  <c r="H268" i="7"/>
  <c r="D50" i="7"/>
  <c r="B300" i="7"/>
  <c r="F107" i="7"/>
  <c r="D203" i="7"/>
  <c r="B222" i="7"/>
  <c r="F131" i="7"/>
  <c r="D269" i="7"/>
  <c r="F256" i="7"/>
  <c r="E73" i="7"/>
  <c r="B169" i="7"/>
  <c r="D259" i="7"/>
  <c r="I62" i="7"/>
  <c r="D249" i="7"/>
  <c r="B240" i="7"/>
  <c r="F261" i="7"/>
  <c r="H32" i="7"/>
  <c r="B282" i="7"/>
  <c r="B201" i="7"/>
  <c r="C122" i="7"/>
  <c r="I198" i="7"/>
  <c r="H38" i="7"/>
  <c r="C101" i="7"/>
  <c r="C217" i="7"/>
  <c r="H101" i="7"/>
  <c r="I56" i="7"/>
  <c r="F219" i="7"/>
  <c r="C254" i="7"/>
  <c r="I189" i="7"/>
  <c r="F236" i="7"/>
  <c r="D179" i="7"/>
  <c r="E211" i="7"/>
  <c r="B259" i="7"/>
  <c r="H200" i="7"/>
  <c r="H66" i="7"/>
  <c r="E272" i="7"/>
  <c r="E226" i="7"/>
  <c r="E33" i="7"/>
  <c r="B243" i="7"/>
  <c r="I227" i="7"/>
  <c r="I197" i="7"/>
  <c r="E263" i="7"/>
  <c r="C190" i="7"/>
  <c r="D92" i="7"/>
  <c r="B190" i="7"/>
  <c r="B286" i="7"/>
  <c r="B5" i="7"/>
  <c r="D272" i="7"/>
  <c r="I231" i="7"/>
  <c r="E182" i="7"/>
  <c r="E136" i="7"/>
  <c r="D150" i="7"/>
  <c r="I54" i="7"/>
  <c r="B150" i="7"/>
  <c r="F259" i="7"/>
  <c r="H45" i="7"/>
  <c r="I64" i="7"/>
  <c r="D85" i="7"/>
  <c r="F295" i="7"/>
  <c r="E108" i="7"/>
  <c r="B208" i="7"/>
  <c r="I297" i="7"/>
  <c r="F214" i="7"/>
  <c r="E233" i="7"/>
  <c r="B277" i="7"/>
  <c r="H259" i="7"/>
  <c r="C116" i="7"/>
  <c r="C136" i="7"/>
  <c r="I293" i="7"/>
  <c r="I51" i="7"/>
  <c r="D51" i="7"/>
  <c r="I173" i="7"/>
  <c r="I176" i="7"/>
  <c r="F268" i="7"/>
  <c r="I39" i="7"/>
  <c r="E143" i="7"/>
  <c r="F76" i="7"/>
  <c r="H99" i="7"/>
  <c r="F149" i="7"/>
  <c r="I187" i="7"/>
  <c r="H206" i="7"/>
  <c r="C112" i="7"/>
  <c r="I156" i="7"/>
  <c r="B41" i="7"/>
  <c r="I3" i="7"/>
  <c r="I57" i="7"/>
  <c r="B42" i="7"/>
  <c r="C226" i="7"/>
  <c r="E282" i="7"/>
  <c r="B165" i="7"/>
  <c r="F225" i="7"/>
  <c r="C46" i="7"/>
  <c r="I111" i="7"/>
  <c r="D274" i="7"/>
  <c r="B90" i="7"/>
  <c r="E200" i="7"/>
  <c r="D47" i="7"/>
  <c r="D138" i="7"/>
  <c r="D71" i="7"/>
  <c r="H104" i="7"/>
  <c r="C280" i="7"/>
  <c r="I300" i="7"/>
  <c r="E117" i="7"/>
  <c r="E174" i="7"/>
  <c r="F183" i="7"/>
  <c r="H119" i="7"/>
  <c r="D149" i="7"/>
  <c r="D294" i="7"/>
  <c r="D242" i="7"/>
  <c r="F189" i="7"/>
  <c r="F250" i="7"/>
  <c r="D6" i="7"/>
  <c r="D197" i="7"/>
  <c r="F177" i="7"/>
  <c r="C256" i="7"/>
  <c r="B82" i="7"/>
  <c r="C153" i="7"/>
  <c r="B98" i="7"/>
  <c r="D56" i="7"/>
  <c r="H98" i="7"/>
  <c r="F48" i="7"/>
  <c r="F167" i="7"/>
  <c r="D256" i="7"/>
  <c r="B134" i="7"/>
  <c r="B171" i="7"/>
  <c r="D22" i="7"/>
  <c r="E224" i="7"/>
  <c r="E87" i="7"/>
  <c r="I75" i="7"/>
  <c r="D139" i="7"/>
  <c r="B261" i="7"/>
  <c r="C132" i="7"/>
  <c r="H251" i="7"/>
  <c r="C224" i="7"/>
  <c r="C47" i="7"/>
  <c r="D252" i="7"/>
  <c r="C199" i="7"/>
  <c r="B198" i="7"/>
  <c r="C243" i="7"/>
  <c r="H245" i="7"/>
  <c r="H225" i="7"/>
  <c r="E127" i="7"/>
  <c r="B184" i="7"/>
  <c r="E255" i="7"/>
  <c r="C211" i="7"/>
  <c r="C118" i="7"/>
  <c r="C160" i="7"/>
  <c r="C129" i="7"/>
  <c r="H78" i="7"/>
  <c r="I58" i="7"/>
  <c r="I19" i="7"/>
  <c r="B123" i="7"/>
  <c r="C72" i="7"/>
  <c r="D289" i="7"/>
  <c r="B187" i="7"/>
  <c r="F117" i="7"/>
  <c r="I152" i="7"/>
  <c r="C98" i="7"/>
  <c r="D217" i="7"/>
  <c r="B52" i="7"/>
  <c r="E283" i="7"/>
  <c r="H94" i="7"/>
  <c r="C77" i="7"/>
  <c r="C57" i="7"/>
  <c r="H205" i="7"/>
  <c r="C282" i="7"/>
  <c r="E190" i="7"/>
  <c r="D190" i="7"/>
  <c r="F31" i="7"/>
  <c r="H29" i="7"/>
  <c r="I246" i="7"/>
  <c r="B153" i="7"/>
  <c r="I127" i="7"/>
  <c r="F179" i="7"/>
  <c r="E113" i="7"/>
  <c r="F139" i="7"/>
  <c r="H47" i="7"/>
  <c r="F71" i="7"/>
  <c r="C200" i="7"/>
  <c r="E26" i="7"/>
  <c r="D280" i="7"/>
  <c r="H222" i="7"/>
  <c r="B203" i="7"/>
  <c r="E280" i="7"/>
  <c r="H256" i="7"/>
  <c r="F283" i="7"/>
  <c r="F237" i="7"/>
  <c r="H70" i="7"/>
  <c r="H293" i="7"/>
  <c r="E166" i="7"/>
  <c r="I252" i="7"/>
  <c r="H207" i="7"/>
  <c r="F49" i="7"/>
  <c r="H6" i="7"/>
  <c r="B226" i="7"/>
  <c r="F160" i="7"/>
  <c r="E219" i="7"/>
  <c r="B74" i="7"/>
  <c r="H106" i="7"/>
  <c r="H97" i="7"/>
  <c r="H274" i="7"/>
  <c r="C253" i="7"/>
  <c r="C86" i="7"/>
  <c r="I280" i="7"/>
  <c r="D120" i="7"/>
  <c r="E142" i="7"/>
  <c r="E110" i="7"/>
  <c r="H100" i="7"/>
  <c r="F210" i="7"/>
  <c r="I63" i="7"/>
  <c r="B294" i="7"/>
  <c r="B160" i="7"/>
  <c r="H48" i="7"/>
  <c r="B186" i="7"/>
  <c r="H134" i="7"/>
  <c r="I16" i="7"/>
  <c r="D160" i="7"/>
  <c r="I115" i="7"/>
  <c r="F42" i="7"/>
  <c r="E84" i="7"/>
  <c r="D76" i="7"/>
  <c r="C127" i="7"/>
  <c r="F127" i="7"/>
  <c r="B69" i="7"/>
  <c r="H87" i="7"/>
  <c r="C50" i="7"/>
  <c r="D148" i="7"/>
  <c r="E258" i="7"/>
  <c r="E298" i="7"/>
  <c r="B83" i="7"/>
  <c r="E275" i="7"/>
  <c r="E90" i="7"/>
  <c r="B246" i="7"/>
  <c r="F193" i="7"/>
  <c r="D40" i="7"/>
  <c r="F89" i="7"/>
  <c r="F60" i="7"/>
  <c r="H107" i="7"/>
  <c r="E246" i="7"/>
  <c r="C138" i="7"/>
  <c r="F102" i="7"/>
  <c r="C45" i="7"/>
  <c r="H286" i="7"/>
  <c r="B284" i="7"/>
  <c r="I20" i="7"/>
  <c r="H178" i="7"/>
  <c r="D93" i="7"/>
  <c r="H215" i="7"/>
  <c r="F29" i="7"/>
  <c r="F246" i="7"/>
  <c r="C109" i="7"/>
  <c r="F113" i="7"/>
  <c r="C231" i="7"/>
  <c r="I167" i="7"/>
  <c r="F70" i="7"/>
  <c r="D107" i="7"/>
  <c r="C271" i="7"/>
  <c r="C272" i="7"/>
  <c r="C270" i="7"/>
  <c r="F234" i="7"/>
  <c r="B149" i="7"/>
  <c r="B268" i="7"/>
  <c r="I202" i="7"/>
  <c r="E196" i="7"/>
  <c r="H199" i="7"/>
  <c r="E102" i="7"/>
  <c r="I192" i="7"/>
  <c r="H129" i="7"/>
  <c r="D245" i="7"/>
  <c r="F235" i="7"/>
  <c r="C75" i="7"/>
  <c r="C213" i="7"/>
  <c r="H156" i="7"/>
  <c r="H89" i="7"/>
  <c r="E179" i="7"/>
  <c r="B266" i="7"/>
  <c r="E24" i="7"/>
  <c r="H232" i="7"/>
  <c r="C99" i="7"/>
  <c r="D141" i="7"/>
  <c r="I162" i="7"/>
  <c r="H58" i="7"/>
  <c r="D136" i="7"/>
  <c r="F23" i="7"/>
  <c r="F87" i="7"/>
  <c r="F241" i="7"/>
  <c r="E41" i="7"/>
  <c r="B62" i="7"/>
  <c r="B128" i="7"/>
  <c r="D81" i="7"/>
  <c r="B215" i="7"/>
  <c r="F291" i="7"/>
  <c r="C257" i="7"/>
  <c r="E92" i="7"/>
  <c r="B170" i="7"/>
  <c r="E243" i="7"/>
  <c r="H85" i="7"/>
  <c r="E164" i="7"/>
  <c r="B262" i="7"/>
  <c r="I244" i="7"/>
  <c r="C144" i="7"/>
  <c r="H23" i="7"/>
  <c r="B73" i="7"/>
  <c r="D130" i="7"/>
  <c r="I88" i="7"/>
  <c r="D46" i="7"/>
  <c r="H126" i="7"/>
  <c r="H151" i="7"/>
  <c r="C126" i="7"/>
  <c r="I66" i="7"/>
  <c r="B213" i="7"/>
  <c r="E295" i="7"/>
  <c r="C159" i="7"/>
  <c r="F95" i="7"/>
  <c r="D292" i="7"/>
  <c r="F104" i="7"/>
  <c r="E249" i="7"/>
  <c r="E32" i="7"/>
  <c r="F81" i="7"/>
  <c r="E185" i="7"/>
  <c r="D7" i="7"/>
  <c r="I98" i="7"/>
  <c r="D270" i="7"/>
  <c r="F28" i="7"/>
  <c r="E169" i="7"/>
  <c r="H197" i="7"/>
  <c r="B182" i="7"/>
  <c r="E8" i="7"/>
  <c r="C106" i="7"/>
  <c r="C281" i="7"/>
  <c r="E103" i="7"/>
  <c r="I273" i="7"/>
  <c r="F128" i="7"/>
  <c r="F255" i="7"/>
  <c r="B229" i="7"/>
  <c r="E45" i="7"/>
  <c r="F220" i="7"/>
  <c r="C54" i="7"/>
  <c r="B288" i="7"/>
  <c r="H53" i="7"/>
  <c r="B125" i="7"/>
  <c r="I247" i="7"/>
  <c r="I34" i="7"/>
  <c r="H121" i="7"/>
  <c r="E231" i="7"/>
  <c r="E225" i="7"/>
  <c r="C76" i="7"/>
  <c r="I204" i="7"/>
  <c r="F59" i="7"/>
  <c r="C251" i="7"/>
  <c r="C237" i="7"/>
  <c r="E279" i="7"/>
  <c r="I271" i="7"/>
  <c r="F204" i="7"/>
  <c r="H213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<sst xmlns="http://schemas.openxmlformats.org/spreadsheetml/2006/main" count="268" uniqueCount="90">
  <si>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</si>
  <si>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</si>
  <si>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</si>
  <si>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</si>
  <si>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</si>
  <si>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</si>
  <si>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</si>
  <si>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</si>
  <si>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</si>
  <si>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</si>
  <si>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</si>
  <si>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</si>
  <si>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</si>
  <si>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</si>
  <si>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</si>
  <si>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</si>
  <si>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</si>
  <si>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</si>
  <si>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</si>
  <si>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</si>
  <si>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</si>
  <si>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</si>
  <si>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</si>
  <si>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Main Contract</t>
  </si>
  <si>
    <t>Payment for Advance</t>
  </si>
  <si>
    <t>N/A</t>
  </si>
  <si>
    <t>THB</t>
  </si>
  <si>
    <t>Payment No.01</t>
  </si>
  <si>
    <t>Kick off Meeting (KOM) and Submission of APPROVED PROJECT Execution plan and Organization Chart.</t>
  </si>
  <si>
    <t>Payment No.02</t>
  </si>
  <si>
    <t>Procurement of Bulk Material. ** Note</t>
  </si>
  <si>
    <t>Payment No.03</t>
  </si>
  <si>
    <t>Completion of Civil Work ** Note</t>
  </si>
  <si>
    <t>Payment No.04</t>
  </si>
  <si>
    <t>Construction &amp; Mechanical Completion. ** Note</t>
  </si>
  <si>
    <t>Payment No.05</t>
  </si>
  <si>
    <t>Procurement of Bulk Material. ** Note
Construction &amp; Mechanical Completion. ** Note</t>
  </si>
  <si>
    <t>Payment No.06</t>
  </si>
  <si>
    <t>Payment No.07</t>
  </si>
  <si>
    <t>Construction &amp; Mechanical Completion ** Note</t>
  </si>
  <si>
    <t>Payment No.08</t>
  </si>
  <si>
    <t>Payment No.09</t>
  </si>
  <si>
    <t>Commissioning Work, Testing and PLANT Startup</t>
  </si>
  <si>
    <t>Payment No.10</t>
  </si>
  <si>
    <t>Final payment Milestone</t>
  </si>
  <si>
    <t>Payment No.11</t>
  </si>
  <si>
    <t>Payment No.12</t>
  </si>
  <si>
    <t>Payment No.13</t>
  </si>
  <si>
    <t>Payment No.14</t>
  </si>
  <si>
    <t>Payment No.15</t>
  </si>
  <si>
    <t>Payment No.16</t>
  </si>
  <si>
    <t>Payment No.17</t>
  </si>
  <si>
    <t>Payment No.18</t>
  </si>
  <si>
    <t>Payment No.19</t>
  </si>
  <si>
    <t>Payment No.20</t>
  </si>
  <si>
    <t>Payment No.21</t>
  </si>
  <si>
    <t>Payment No.22</t>
  </si>
  <si>
    <t>Payment No.23</t>
  </si>
  <si>
    <t>Payment No.24</t>
  </si>
  <si>
    <t>Change Order</t>
  </si>
  <si>
    <t>CO Payment No.01</t>
  </si>
  <si>
    <t>CO Payment No.02</t>
  </si>
  <si>
    <t>CO Payment No.03</t>
  </si>
  <si>
    <t>CO Payment No.04</t>
  </si>
  <si>
    <t>CO Payment No.05</t>
  </si>
  <si>
    <t>NVARCHAR(50)</t>
  </si>
  <si>
    <t>NVARCHAR(255)</t>
  </si>
  <si>
    <t>DATE</t>
  </si>
  <si>
    <t>NVARCHAR(20)</t>
  </si>
  <si>
    <t>DECIMAL(13,2)</t>
  </si>
  <si>
    <t>NVARCHAR(5)</t>
  </si>
  <si>
    <t>NVARCHAR(MAX)</t>
  </si>
  <si>
    <t>Yes</t>
  </si>
  <si>
    <t>range_start</t>
  </si>
  <si>
    <t>range_stop</t>
  </si>
  <si>
    <t>project_active_start</t>
  </si>
  <si>
    <t>project_inactive_end</t>
  </si>
  <si>
    <t>relate_document</t>
  </si>
  <si>
    <t>Credit Term (Day)</t>
  </si>
  <si>
    <t>Project Exchange Rate</t>
  </si>
  <si>
    <t>B12</t>
  </si>
  <si>
    <t>X?</t>
  </si>
  <si>
    <t>01. Project Information</t>
  </si>
  <si>
    <t>F44</t>
  </si>
  <si>
    <t>E53</t>
  </si>
  <si>
    <t>F53</t>
  </si>
  <si>
    <t>col_number</t>
  </si>
  <si>
    <t>Currency</t>
  </si>
  <si>
    <t>Project Exchange Rate THB/USD</t>
  </si>
  <si>
    <t>1. Prj Information-Edited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</si>
</sst>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[$-409]mmm/yy;@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4" fontId="0" fillId="0" borderId="0" xfId="0" applyNumberFormat="1"/>
    <xf numFmtId="14" fontId="0" fillId="0" borderId="0" xfId="0" applyNumberFormat="1"/>
    <xf numFmtId="164" fontId="0" fillId="0" borderId="0" xfId="0" applyNumberFormat="1" applyAlignment="1">
      <alignment horizontal="center"/>
    </xf>
    <xf numFmtId="0" fontId="1" fillId="0" borderId="0" xfId="0" applyFont="1" applyAlignment="1">
      <alignment horizontal="center" vertical="top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43" fontId="3" fillId="0" borderId="0" xfId="1" applyFont="1" applyFill="1" applyBorder="1" applyAlignment="1">
      <alignment horizontal="center"/>
    </xf>
    <xf numFmtId="0" fontId="0" fillId="0" borderId="0" xfId="0" quotePrefix="1"/>
    <xf numFmtId="14" fontId="1" fillId="2" borderId="1" xfId="0" applyNumberFormat="1" applyFont="1" applyFill="1" applyBorder="1" applyAlignment="1">
      <alignment horizontal="center" vertical="top" wrapText="1"/>
    </xf>
    <xf numFmtId="0" fontId="0" fillId="0" borderId="2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3" xfId="0" applyBorder="1"/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0" xfId="0" applyFill="1"/>
    <xf numFmtId="0" fontId="0" fillId="4" borderId="0" xfId="0" applyFill="1" applyAlignment="1">
      <alignment horizontal="center"/>
    </xf>
    <xf numFmtId="0" fontId="0" fillId="0" borderId="0" xfId="0" quotePrefix="1" applyAlignment="1">
      <alignment wrapText="1"/>
    </xf>
  </cellXfs>
  <cellStyles count="7">
    <cellStyle name="Comma" xfId="1" builtinId="3"/>
    <cellStyle name="Comma 2 3" xfId="2" xr:uid="{902E92DD-3110-4647-A98A-7D202CCAEE6A}"/>
    <cellStyle name="Comma 36" xfId="6" xr:uid="{DE683853-DADE-4EF6-8532-287075E5E4D3}"/>
    <cellStyle name="Normal" xfId="0" builtinId="0"/>
    <cellStyle name="Normal 2" xfId="3" xr:uid="{46F721A4-244C-4DC2-A975-8DF9B1D60E3F}"/>
    <cellStyle name="Normal 23" xfId="4" xr:uid="{FEB093D0-035B-4A62-8602-73ABB928D8C5}"/>
    <cellStyle name="Percent 26" xfId="5" xr:uid="{50B7C996-179F-4DFB-B84D-0119610A6C1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1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46C2C-D7B3-421E-80A9-28EC1B6B6FDF}">
  <sheetPr codeName="Sheet1"/>
  <dimension ref="B1:X139"/>
  <sheetViews>
    <sheetView zoomScale="85" zoomScaleNormal="85" workbookViewId="0">
      <selection activeCell="R4" sqref="R4"/>
    </sheetView>
  </sheetViews>
  <sheetFormatPr defaultRowHeight="15" x14ac:dyDescent="0.25"/>
  <cols>
    <col min="2" max="2" width="9.85546875" bestFit="1" customWidth="1"/>
    <col min="3" max="3" width="14.85546875" bestFit="1" customWidth="1"/>
    <col min="4" max="4" width="10.5703125" style="3" customWidth="1"/>
    <col min="5" max="5" width="25" bestFit="1" customWidth="1"/>
    <col min="6" max="6" width="10.85546875" customWidth="1"/>
    <col min="18" max="18" width="9.28515625" bestFit="1" customWidth="1"/>
    <col min="24" max="24" width="16.42578125" customWidth="1"/>
  </cols>
  <sheetData>
    <row r="1" spans="2:24" x14ac:dyDescent="0.25">
      <c r="G1" s="5"/>
      <c r="H1" s="5"/>
    </row>
    <row r="11" spans="2:24" x14ac:dyDescent="0.25">
      <c r="B11" s="1" t="s">
        <v>0</v>
      </c>
      <c r="C11" s="1" t="s">
        <v>1</v>
      </c>
      <c r="D11" s="11" t="s">
        <v>2</v>
      </c>
      <c r="E11" s="1" t="s">
        <v>3</v>
      </c>
      <c r="F11" s="1" t="s">
        <v>4</v>
      </c>
      <c r="G11" s="1" t="s">
        <v>5</v>
      </c>
      <c r="H11" s="11" t="s">
        <v>6</v>
      </c>
      <c r="I11" s="1" t="s">
        <v>7</v>
      </c>
      <c r="J11" s="1" t="s">
        <v>8</v>
      </c>
      <c r="K11" s="1" t="s">
        <v>9</v>
      </c>
      <c r="L11" s="1" t="s">
        <v>10</v>
      </c>
      <c r="M11" s="11" t="s">
        <v>11</v>
      </c>
      <c r="N11" s="1" t="s">
        <v>12</v>
      </c>
      <c r="O11" s="1" t="s">
        <v>13</v>
      </c>
      <c r="P11" s="11" t="s">
        <v>14</v>
      </c>
      <c r="Q11" s="1" t="s">
        <v>15</v>
      </c>
      <c r="R11" s="1" t="s">
        <v>16</v>
      </c>
      <c r="S11" s="11" t="s">
        <v>17</v>
      </c>
      <c r="T11" s="1" t="s">
        <v>18</v>
      </c>
      <c r="U11" s="1" t="s">
        <v>19</v>
      </c>
      <c r="V11" s="11" t="s">
        <v>20</v>
      </c>
      <c r="W11" s="1" t="s">
        <v>21</v>
      </c>
      <c r="X11" s="11" t="s">
        <v>22</v>
      </c>
    </row>
    <row r="12" spans="2:24" x14ac:dyDescent="0.25">
      <c r="B12" t="s">
        <v>23</v>
      </c>
      <c r="C12" s="9" t="s">
        <v>24</v>
      </c>
      <c r="D12" s="10" t="s">
        <v>25</v>
      </c>
      <c r="E12" s="2"/>
      <c r="F12" s="3"/>
      <c r="M12">
        <v>0</v>
      </c>
      <c r="P12" s="3"/>
      <c r="T12">
        <v>0</v>
      </c>
      <c r="U12" t="s">
        <v>26</v>
      </c>
      <c r="V12">
        <v>35.700000000000003</v>
      </c>
      <c r="W12">
        <v>0</v>
      </c>
    </row>
    <row r="13" spans="2:24" x14ac:dyDescent="0.25">
      <c r="B13" t="s">
        <v>23</v>
      </c>
      <c r="C13" s="9" t="s">
        <v>27</v>
      </c>
      <c r="D13" s="10" t="s">
        <v>28</v>
      </c>
      <c r="E13" s="2">
        <v>45595</v>
      </c>
      <c r="F13" s="3">
        <v>45597</v>
      </c>
      <c r="G13">
        <v>10142810</v>
      </c>
      <c r="J13" s="3"/>
      <c r="M13">
        <v>0</v>
      </c>
      <c r="P13" s="3"/>
      <c r="Q13" s="3"/>
      <c r="T13">
        <v>0</v>
      </c>
      <c r="U13" t="s">
        <v>26</v>
      </c>
      <c r="W13">
        <v>0</v>
      </c>
    </row>
    <row r="14" spans="2:24" x14ac:dyDescent="0.25">
      <c r="B14" t="s">
        <v>23</v>
      </c>
      <c r="C14" s="9" t="s">
        <v>29</v>
      </c>
      <c r="D14" s="10" t="s">
        <v>30</v>
      </c>
      <c r="E14" s="2">
        <v>45656</v>
      </c>
      <c r="F14" s="3">
        <v>45658</v>
      </c>
      <c r="G14">
        <v>10142810</v>
      </c>
      <c r="J14" s="3"/>
      <c r="M14">
        <v>0</v>
      </c>
      <c r="P14" s="3"/>
      <c r="Q14" s="3"/>
      <c r="T14">
        <v>0</v>
      </c>
      <c r="U14" t="s">
        <v>26</v>
      </c>
      <c r="W14">
        <v>0</v>
      </c>
    </row>
    <row r="15" spans="2:24" x14ac:dyDescent="0.25">
      <c r="B15" t="s">
        <v>23</v>
      </c>
      <c r="C15" s="9" t="s">
        <v>31</v>
      </c>
      <c r="D15" s="10" t="s">
        <v>32</v>
      </c>
      <c r="E15" s="2">
        <v>45658</v>
      </c>
      <c r="F15" s="3">
        <v>45689</v>
      </c>
      <c r="G15">
        <v>11157091</v>
      </c>
      <c r="J15" s="3"/>
      <c r="M15">
        <v>0</v>
      </c>
      <c r="P15" s="3"/>
      <c r="Q15" s="3"/>
      <c r="T15">
        <v>0</v>
      </c>
      <c r="U15" t="s">
        <v>26</v>
      </c>
      <c r="W15">
        <v>0</v>
      </c>
    </row>
    <row r="16" spans="2:24" x14ac:dyDescent="0.25">
      <c r="B16" t="s">
        <v>23</v>
      </c>
      <c r="C16" s="9" t="s">
        <v>33</v>
      </c>
      <c r="D16" s="10" t="s">
        <v>34</v>
      </c>
      <c r="E16" s="2">
        <v>45716</v>
      </c>
      <c r="F16" s="3">
        <v>45717</v>
      </c>
      <c r="G16">
        <v>1014281</v>
      </c>
      <c r="J16" s="3"/>
      <c r="M16">
        <v>0</v>
      </c>
      <c r="P16" s="3"/>
      <c r="Q16" s="3"/>
      <c r="T16">
        <v>0</v>
      </c>
      <c r="U16" t="s">
        <v>26</v>
      </c>
      <c r="W16">
        <v>0</v>
      </c>
    </row>
    <row r="17" spans="2:23" ht="150" x14ac:dyDescent="0.25">
      <c r="B17" t="s">
        <v>23</v>
      </c>
      <c r="C17" s="9" t="s">
        <v>35</v>
      </c>
      <c r="D17" s="18" t="s">
        <v>36</v>
      </c>
      <c r="E17" s="2">
        <v>45747</v>
      </c>
      <c r="F17" s="3">
        <v>45748</v>
      </c>
      <c r="G17">
        <v>4057124</v>
      </c>
      <c r="J17" s="3"/>
      <c r="M17">
        <v>0</v>
      </c>
      <c r="P17" s="3"/>
      <c r="Q17" s="3"/>
      <c r="T17">
        <v>0</v>
      </c>
      <c r="U17" t="s">
        <v>26</v>
      </c>
      <c r="W17">
        <v>0</v>
      </c>
    </row>
    <row r="18" spans="2:23" x14ac:dyDescent="0.25">
      <c r="B18" t="s">
        <v>23</v>
      </c>
      <c r="C18" s="9" t="s">
        <v>37</v>
      </c>
      <c r="D18" s="10" t="s">
        <v>34</v>
      </c>
      <c r="E18" s="2">
        <v>45777</v>
      </c>
      <c r="F18" s="3">
        <v>45778</v>
      </c>
      <c r="G18">
        <v>32710562.250000004</v>
      </c>
      <c r="J18" s="3"/>
      <c r="M18">
        <v>0</v>
      </c>
      <c r="P18" s="3"/>
      <c r="Q18" s="3"/>
      <c r="T18">
        <v>0</v>
      </c>
      <c r="U18" t="s">
        <v>26</v>
      </c>
      <c r="W18">
        <v>0</v>
      </c>
    </row>
    <row r="19" spans="2:23" x14ac:dyDescent="0.25">
      <c r="B19" t="s">
        <v>23</v>
      </c>
      <c r="C19" s="9" t="s">
        <v>38</v>
      </c>
      <c r="D19" s="10" t="s">
        <v>39</v>
      </c>
      <c r="E19" s="2">
        <v>45807</v>
      </c>
      <c r="F19" s="3">
        <v>45809</v>
      </c>
      <c r="G19">
        <v>8874958.75</v>
      </c>
      <c r="J19" s="3"/>
      <c r="M19">
        <v>0</v>
      </c>
      <c r="P19" s="3"/>
      <c r="Q19" s="3"/>
      <c r="T19">
        <v>0</v>
      </c>
      <c r="U19" t="s">
        <v>26</v>
      </c>
      <c r="W19">
        <v>0</v>
      </c>
    </row>
    <row r="20" spans="2:23" ht="14.1" customHeight="1" x14ac:dyDescent="0.25">
      <c r="B20" t="s">
        <v>23</v>
      </c>
      <c r="C20" s="9" t="s">
        <v>40</v>
      </c>
      <c r="D20" s="10" t="s">
        <v>39</v>
      </c>
      <c r="E20" s="2">
        <v>45838</v>
      </c>
      <c r="F20" s="3">
        <v>45839</v>
      </c>
      <c r="G20">
        <v>3042843</v>
      </c>
      <c r="J20" s="3"/>
      <c r="M20">
        <v>0</v>
      </c>
      <c r="P20" s="3"/>
      <c r="T20">
        <v>0</v>
      </c>
      <c r="U20" t="s">
        <v>26</v>
      </c>
      <c r="W20">
        <v>0</v>
      </c>
    </row>
    <row r="21" spans="2:23" x14ac:dyDescent="0.25">
      <c r="B21" t="s">
        <v>23</v>
      </c>
      <c r="C21" s="9" t="s">
        <v>41</v>
      </c>
      <c r="D21" s="10" t="s">
        <v>42</v>
      </c>
      <c r="E21" s="2">
        <v>45961</v>
      </c>
      <c r="F21" s="3">
        <v>45962</v>
      </c>
      <c r="G21">
        <v>15214215</v>
      </c>
      <c r="J21" s="3"/>
      <c r="M21">
        <v>0</v>
      </c>
      <c r="P21" s="3"/>
      <c r="T21">
        <v>0</v>
      </c>
      <c r="U21" t="s">
        <v>26</v>
      </c>
      <c r="W21">
        <v>0</v>
      </c>
    </row>
    <row r="22" spans="2:23" x14ac:dyDescent="0.25">
      <c r="B22" t="s">
        <v>23</v>
      </c>
      <c r="C22" s="9" t="s">
        <v>43</v>
      </c>
      <c r="D22" s="10" t="s">
        <v>44</v>
      </c>
      <c r="E22" s="2">
        <v>46022</v>
      </c>
      <c r="F22" s="3">
        <v>46023</v>
      </c>
      <c r="G22">
        <v>5071405</v>
      </c>
      <c r="M22">
        <v>0</v>
      </c>
      <c r="T22">
        <v>0</v>
      </c>
      <c r="U22" t="s">
        <v>26</v>
      </c>
      <c r="W22">
        <v>0</v>
      </c>
    </row>
    <row r="23" spans="2:23" x14ac:dyDescent="0.25">
      <c r="B23" t="s">
        <v>23</v>
      </c>
      <c r="C23" s="9" t="s">
        <v>45</v>
      </c>
      <c r="D23" s="10"/>
      <c r="E23" s="2"/>
      <c r="M23">
        <v>0</v>
      </c>
      <c r="T23">
        <v>0</v>
      </c>
      <c r="U23" t="s">
        <v>26</v>
      </c>
      <c r="W23">
        <v>0</v>
      </c>
    </row>
    <row r="24" spans="2:23" x14ac:dyDescent="0.25">
      <c r="B24" t="s">
        <v>23</v>
      </c>
      <c r="C24" s="9" t="s">
        <v>46</v>
      </c>
      <c r="D24" s="10"/>
      <c r="E24" s="2"/>
      <c r="M24">
        <v>0</v>
      </c>
      <c r="T24">
        <v>0</v>
      </c>
      <c r="U24" t="s">
        <v>26</v>
      </c>
      <c r="W24">
        <v>0</v>
      </c>
    </row>
    <row r="25" spans="2:23" x14ac:dyDescent="0.25">
      <c r="B25" t="s">
        <v>23</v>
      </c>
      <c r="C25" s="9" t="s">
        <v>47</v>
      </c>
      <c r="D25" s="10"/>
      <c r="E25" s="2"/>
      <c r="M25">
        <v>0</v>
      </c>
      <c r="T25">
        <v>0</v>
      </c>
      <c r="U25" t="s">
        <v>26</v>
      </c>
      <c r="W25">
        <v>0</v>
      </c>
    </row>
    <row r="26" spans="2:23" x14ac:dyDescent="0.25">
      <c r="B26" t="s">
        <v>23</v>
      </c>
      <c r="C26" s="9" t="s">
        <v>48</v>
      </c>
      <c r="D26" s="10"/>
      <c r="E26" s="2"/>
      <c r="M26">
        <v>0</v>
      </c>
      <c r="T26">
        <v>0</v>
      </c>
      <c r="U26" t="s">
        <v>26</v>
      </c>
      <c r="W26">
        <v>0</v>
      </c>
    </row>
    <row r="27" spans="2:23" x14ac:dyDescent="0.25">
      <c r="B27" t="s">
        <v>23</v>
      </c>
      <c r="C27" s="9" t="s">
        <v>49</v>
      </c>
      <c r="D27" s="10"/>
      <c r="E27" s="2"/>
      <c r="M27">
        <v>0</v>
      </c>
      <c r="T27">
        <v>0</v>
      </c>
      <c r="U27" t="s">
        <v>26</v>
      </c>
      <c r="W27">
        <v>0</v>
      </c>
    </row>
    <row r="28" spans="2:23" x14ac:dyDescent="0.25">
      <c r="B28" t="s">
        <v>23</v>
      </c>
      <c r="C28" s="9" t="s">
        <v>50</v>
      </c>
      <c r="D28" s="10"/>
      <c r="E28" s="2"/>
      <c r="M28">
        <v>0</v>
      </c>
      <c r="T28">
        <v>0</v>
      </c>
      <c r="U28" t="s">
        <v>26</v>
      </c>
      <c r="W28">
        <v>0</v>
      </c>
    </row>
    <row r="29" spans="2:23" x14ac:dyDescent="0.25">
      <c r="B29" t="s">
        <v>23</v>
      </c>
      <c r="C29" s="9" t="s">
        <v>51</v>
      </c>
      <c r="D29" s="10"/>
      <c r="E29" s="2"/>
      <c r="M29">
        <v>0</v>
      </c>
      <c r="T29">
        <v>0</v>
      </c>
      <c r="U29" t="s">
        <v>26</v>
      </c>
      <c r="W29">
        <v>0</v>
      </c>
    </row>
    <row r="30" spans="2:23" x14ac:dyDescent="0.25">
      <c r="B30" t="s">
        <v>23</v>
      </c>
      <c r="C30" s="9" t="s">
        <v>52</v>
      </c>
      <c r="D30" s="10"/>
      <c r="E30" s="2"/>
      <c r="M30">
        <v>0</v>
      </c>
      <c r="T30">
        <v>0</v>
      </c>
      <c r="U30" t="s">
        <v>26</v>
      </c>
      <c r="W30">
        <v>0</v>
      </c>
    </row>
    <row r="31" spans="2:23" x14ac:dyDescent="0.25">
      <c r="B31" t="s">
        <v>23</v>
      </c>
      <c r="C31" s="9" t="s">
        <v>53</v>
      </c>
      <c r="D31" s="10"/>
      <c r="E31" s="2"/>
      <c r="M31">
        <v>0</v>
      </c>
      <c r="T31">
        <v>0</v>
      </c>
      <c r="U31" t="s">
        <v>26</v>
      </c>
      <c r="W31">
        <v>0</v>
      </c>
    </row>
    <row r="32" spans="2:23" x14ac:dyDescent="0.25">
      <c r="B32" t="s">
        <v>23</v>
      </c>
      <c r="C32" s="9" t="s">
        <v>54</v>
      </c>
      <c r="D32" s="10"/>
      <c r="E32" s="2"/>
      <c r="M32">
        <v>0</v>
      </c>
      <c r="T32">
        <v>0</v>
      </c>
      <c r="U32" t="s">
        <v>26</v>
      </c>
      <c r="W32">
        <v>0</v>
      </c>
    </row>
    <row r="33" spans="2:23" x14ac:dyDescent="0.25">
      <c r="B33" t="s">
        <v>23</v>
      </c>
      <c r="C33" s="9" t="s">
        <v>55</v>
      </c>
      <c r="D33" s="10"/>
      <c r="E33" s="2"/>
      <c r="M33">
        <v>0</v>
      </c>
      <c r="T33">
        <v>0</v>
      </c>
      <c r="U33" t="s">
        <v>26</v>
      </c>
      <c r="W33">
        <v>0</v>
      </c>
    </row>
    <row r="34" spans="2:23" x14ac:dyDescent="0.25">
      <c r="B34" t="s">
        <v>23</v>
      </c>
      <c r="C34" s="9" t="s">
        <v>56</v>
      </c>
      <c r="D34" s="10"/>
      <c r="E34" s="2"/>
      <c r="M34">
        <v>0</v>
      </c>
      <c r="T34">
        <v>0</v>
      </c>
      <c r="U34" t="s">
        <v>26</v>
      </c>
      <c r="W34">
        <v>0</v>
      </c>
    </row>
    <row r="35" spans="2:23" x14ac:dyDescent="0.25">
      <c r="B35" t="s">
        <v>23</v>
      </c>
      <c r="C35" s="9" t="s">
        <v>57</v>
      </c>
      <c r="D35" s="10"/>
      <c r="E35" s="2"/>
      <c r="M35">
        <v>0</v>
      </c>
      <c r="T35">
        <v>0</v>
      </c>
      <c r="U35" t="s">
        <v>26</v>
      </c>
      <c r="W35">
        <v>0</v>
      </c>
    </row>
    <row r="36" spans="2:23" x14ac:dyDescent="0.25">
      <c r="B36" t="s">
        <v>23</v>
      </c>
      <c r="C36" s="9" t="s">
        <v>58</v>
      </c>
      <c r="D36" s="10"/>
      <c r="E36" s="2"/>
      <c r="M36">
        <v>0</v>
      </c>
      <c r="T36">
        <v>0</v>
      </c>
      <c r="U36" t="s">
        <v>26</v>
      </c>
      <c r="W36">
        <v>0</v>
      </c>
    </row>
    <row r="37" spans="2:23" x14ac:dyDescent="0.25">
      <c r="B37" t="s">
        <v>59</v>
      </c>
      <c r="C37" s="9" t="s">
        <v>60</v>
      </c>
      <c r="D37" s="10"/>
      <c r="E37" s="2"/>
      <c r="F37" s="3"/>
      <c r="M37">
        <v>0</v>
      </c>
      <c r="T37">
        <v>0</v>
      </c>
      <c r="U37" t="s">
        <v>26</v>
      </c>
      <c r="W37">
        <v>0</v>
      </c>
    </row>
    <row r="38" spans="2:23" x14ac:dyDescent="0.25">
      <c r="B38" t="s">
        <v>59</v>
      </c>
      <c r="C38" s="9" t="s">
        <v>61</v>
      </c>
      <c r="D38" s="10"/>
      <c r="E38" s="2"/>
      <c r="F38" s="3"/>
      <c r="M38">
        <v>0</v>
      </c>
      <c r="T38">
        <v>0</v>
      </c>
      <c r="U38" t="s">
        <v>26</v>
      </c>
      <c r="W38">
        <v>0</v>
      </c>
    </row>
    <row r="39" spans="2:23" x14ac:dyDescent="0.25">
      <c r="B39" t="s">
        <v>59</v>
      </c>
      <c r="C39" s="9" t="s">
        <v>62</v>
      </c>
      <c r="D39" s="10"/>
      <c r="E39" s="2"/>
      <c r="F39" s="3"/>
      <c r="M39">
        <v>0</v>
      </c>
      <c r="T39">
        <v>0</v>
      </c>
      <c r="U39" t="s">
        <v>26</v>
      </c>
      <c r="W39">
        <v>0</v>
      </c>
    </row>
    <row r="40" spans="2:23" x14ac:dyDescent="0.25">
      <c r="B40" t="s">
        <v>59</v>
      </c>
      <c r="C40" s="9" t="s">
        <v>63</v>
      </c>
      <c r="D40" s="10"/>
      <c r="E40" s="2"/>
      <c r="M40">
        <v>0</v>
      </c>
      <c r="T40">
        <v>0</v>
      </c>
    </row>
    <row r="41" spans="2:23" x14ac:dyDescent="0.25">
      <c r="B41" t="s">
        <v>59</v>
      </c>
      <c r="C41" s="9" t="s">
        <v>64</v>
      </c>
      <c r="D41" s="10"/>
      <c r="E41" s="2"/>
      <c r="M41">
        <v>0</v>
      </c>
      <c r="T41">
        <v>0</v>
      </c>
    </row>
    <row r="42" spans="2:23" x14ac:dyDescent="0.25">
      <c r="C42" s="9"/>
      <c r="D42" s="10"/>
      <c r="E42" s="2"/>
    </row>
    <row r="43" spans="2:23" x14ac:dyDescent="0.25">
      <c r="C43" s="9"/>
      <c r="D43" s="10"/>
      <c r="E43" s="2"/>
    </row>
    <row r="44" spans="2:23" x14ac:dyDescent="0.25">
      <c r="C44" s="9"/>
      <c r="D44" s="10"/>
      <c r="E44" s="2"/>
    </row>
    <row r="45" spans="2:23" x14ac:dyDescent="0.25">
      <c r="C45" s="9"/>
      <c r="D45" s="10"/>
      <c r="E45" s="2"/>
    </row>
    <row r="46" spans="2:23" x14ac:dyDescent="0.25">
      <c r="C46" s="9"/>
      <c r="D46" s="10"/>
      <c r="E46" s="2"/>
    </row>
    <row r="47" spans="2:23" x14ac:dyDescent="0.25">
      <c r="C47" s="9"/>
      <c r="D47" s="10"/>
      <c r="E47" s="2"/>
    </row>
    <row r="48" spans="2:23" x14ac:dyDescent="0.25">
      <c r="C48" s="9"/>
      <c r="D48" s="10"/>
      <c r="E48" s="2"/>
    </row>
    <row r="49" spans="3:5" x14ac:dyDescent="0.25">
      <c r="C49" s="9"/>
      <c r="D49" s="10"/>
      <c r="E49" s="2"/>
    </row>
    <row r="50" spans="3:5" x14ac:dyDescent="0.25">
      <c r="C50" s="9"/>
      <c r="D50" s="10"/>
      <c r="E50" s="2"/>
    </row>
    <row r="51" spans="3:5" x14ac:dyDescent="0.25">
      <c r="C51" s="9"/>
      <c r="D51" s="10"/>
      <c r="E51" s="2"/>
    </row>
    <row r="52" spans="3:5" x14ac:dyDescent="0.25">
      <c r="C52" s="9"/>
      <c r="D52" s="10"/>
      <c r="E52" s="2"/>
    </row>
    <row r="53" spans="3:5" x14ac:dyDescent="0.25">
      <c r="C53" s="9"/>
      <c r="D53" s="10"/>
      <c r="E53" s="2"/>
    </row>
    <row r="54" spans="3:5" x14ac:dyDescent="0.25">
      <c r="C54" s="9"/>
      <c r="D54" s="10"/>
      <c r="E54" s="2"/>
    </row>
    <row r="55" spans="3:5" x14ac:dyDescent="0.25">
      <c r="C55" s="9"/>
      <c r="D55" s="10"/>
      <c r="E55" s="2"/>
    </row>
    <row r="56" spans="3:5" x14ac:dyDescent="0.25">
      <c r="C56" s="9"/>
      <c r="D56" s="10"/>
      <c r="E56" s="2"/>
    </row>
    <row r="57" spans="3:5" x14ac:dyDescent="0.25">
      <c r="C57" s="9"/>
      <c r="D57" s="10"/>
      <c r="E57" s="2"/>
    </row>
    <row r="58" spans="3:5" x14ac:dyDescent="0.25">
      <c r="C58" s="9"/>
      <c r="D58" s="10"/>
      <c r="E58" s="2"/>
    </row>
    <row r="59" spans="3:5" x14ac:dyDescent="0.25">
      <c r="C59" s="9"/>
      <c r="D59" s="10"/>
      <c r="E59" s="2"/>
    </row>
    <row r="60" spans="3:5" x14ac:dyDescent="0.25">
      <c r="C60" s="9"/>
      <c r="D60" s="10"/>
      <c r="E60" s="2"/>
    </row>
    <row r="61" spans="3:5" x14ac:dyDescent="0.25">
      <c r="C61" s="9"/>
      <c r="D61" s="10"/>
      <c r="E61" s="2"/>
    </row>
    <row r="62" spans="3:5" x14ac:dyDescent="0.25">
      <c r="C62" s="9"/>
      <c r="D62" s="10"/>
      <c r="E62" s="2"/>
    </row>
    <row r="63" spans="3:5" x14ac:dyDescent="0.25">
      <c r="C63" s="9"/>
      <c r="D63" s="10"/>
      <c r="E63" s="2"/>
    </row>
    <row r="64" spans="3:5" x14ac:dyDescent="0.25">
      <c r="C64" s="9"/>
      <c r="D64" s="10"/>
      <c r="E64" s="2"/>
    </row>
    <row r="65" spans="3:5" x14ac:dyDescent="0.25">
      <c r="C65" s="9"/>
      <c r="D65" s="10"/>
      <c r="E65" s="2"/>
    </row>
    <row r="66" spans="3:5" x14ac:dyDescent="0.25">
      <c r="C66" s="9"/>
      <c r="D66" s="10"/>
      <c r="E66" s="2"/>
    </row>
    <row r="67" spans="3:5" x14ac:dyDescent="0.25">
      <c r="C67" s="9"/>
      <c r="D67" s="10"/>
      <c r="E67" s="2"/>
    </row>
    <row r="68" spans="3:5" x14ac:dyDescent="0.25">
      <c r="C68" s="9"/>
      <c r="D68" s="10"/>
      <c r="E68" s="2"/>
    </row>
    <row r="69" spans="3:5" x14ac:dyDescent="0.25">
      <c r="C69" s="9"/>
      <c r="D69" s="10"/>
      <c r="E69" s="2"/>
    </row>
    <row r="70" spans="3:5" x14ac:dyDescent="0.25">
      <c r="C70" s="9"/>
      <c r="D70" s="10"/>
      <c r="E70" s="2"/>
    </row>
    <row r="71" spans="3:5" x14ac:dyDescent="0.25">
      <c r="C71" s="9"/>
      <c r="D71" s="10"/>
      <c r="E71" s="2"/>
    </row>
    <row r="72" spans="3:5" x14ac:dyDescent="0.25">
      <c r="C72" s="9"/>
      <c r="D72" s="10"/>
      <c r="E72" s="2"/>
    </row>
    <row r="73" spans="3:5" x14ac:dyDescent="0.25">
      <c r="C73" s="9"/>
      <c r="D73" s="10"/>
      <c r="E73" s="2"/>
    </row>
    <row r="74" spans="3:5" x14ac:dyDescent="0.25">
      <c r="C74" s="9"/>
      <c r="D74" s="10"/>
      <c r="E74" s="2"/>
    </row>
    <row r="75" spans="3:5" x14ac:dyDescent="0.25">
      <c r="C75" s="9"/>
      <c r="D75" s="10"/>
      <c r="E75" s="2"/>
    </row>
    <row r="76" spans="3:5" x14ac:dyDescent="0.25">
      <c r="C76" s="9"/>
      <c r="D76" s="10"/>
      <c r="E76" s="2"/>
    </row>
    <row r="77" spans="3:5" x14ac:dyDescent="0.25">
      <c r="C77" s="9"/>
      <c r="D77" s="10"/>
      <c r="E77" s="2"/>
    </row>
    <row r="78" spans="3:5" x14ac:dyDescent="0.25">
      <c r="C78" s="9"/>
      <c r="D78" s="10"/>
      <c r="E78" s="2"/>
    </row>
    <row r="79" spans="3:5" x14ac:dyDescent="0.25">
      <c r="C79" s="9"/>
      <c r="D79" s="10"/>
      <c r="E79" s="2"/>
    </row>
    <row r="80" spans="3:5" x14ac:dyDescent="0.25">
      <c r="C80" s="9"/>
      <c r="D80" s="10"/>
      <c r="E80" s="2"/>
    </row>
    <row r="81" spans="3:5" x14ac:dyDescent="0.25">
      <c r="C81" s="9"/>
      <c r="D81" s="10"/>
      <c r="E81" s="2"/>
    </row>
    <row r="82" spans="3:5" x14ac:dyDescent="0.25">
      <c r="C82" s="9"/>
      <c r="D82" s="10"/>
      <c r="E82" s="2"/>
    </row>
    <row r="83" spans="3:5" x14ac:dyDescent="0.25">
      <c r="C83" s="9"/>
      <c r="D83" s="10"/>
      <c r="E83" s="2"/>
    </row>
    <row r="84" spans="3:5" x14ac:dyDescent="0.25">
      <c r="C84" s="9"/>
      <c r="D84" s="10"/>
      <c r="E84" s="2"/>
    </row>
    <row r="85" spans="3:5" x14ac:dyDescent="0.25">
      <c r="C85" s="9"/>
      <c r="D85" s="10"/>
      <c r="E85" s="2"/>
    </row>
    <row r="86" spans="3:5" x14ac:dyDescent="0.25">
      <c r="C86" s="9"/>
      <c r="D86" s="10"/>
      <c r="E86" s="2"/>
    </row>
    <row r="87" spans="3:5" x14ac:dyDescent="0.25">
      <c r="C87" s="9"/>
      <c r="D87" s="10"/>
      <c r="E87" s="2"/>
    </row>
    <row r="88" spans="3:5" x14ac:dyDescent="0.25">
      <c r="C88" s="9"/>
      <c r="D88" s="10"/>
      <c r="E88" s="2"/>
    </row>
    <row r="89" spans="3:5" x14ac:dyDescent="0.25">
      <c r="C89" s="9"/>
      <c r="D89" s="10"/>
      <c r="E89" s="2"/>
    </row>
    <row r="90" spans="3:5" x14ac:dyDescent="0.25">
      <c r="C90" s="9"/>
      <c r="D90" s="10"/>
      <c r="E90" s="2"/>
    </row>
    <row r="91" spans="3:5" x14ac:dyDescent="0.25">
      <c r="C91" s="9"/>
      <c r="D91" s="10"/>
      <c r="E91" s="2"/>
    </row>
    <row r="92" spans="3:5" x14ac:dyDescent="0.25">
      <c r="C92" s="9"/>
      <c r="D92" s="10"/>
      <c r="E92" s="2"/>
    </row>
    <row r="93" spans="3:5" x14ac:dyDescent="0.25">
      <c r="C93" s="9"/>
      <c r="D93" s="10"/>
      <c r="E93" s="2"/>
    </row>
    <row r="94" spans="3:5" x14ac:dyDescent="0.25">
      <c r="C94" s="9"/>
      <c r="D94" s="10"/>
      <c r="E94" s="2"/>
    </row>
    <row r="95" spans="3:5" x14ac:dyDescent="0.25">
      <c r="C95" s="9"/>
      <c r="D95" s="10"/>
      <c r="E95" s="2"/>
    </row>
    <row r="96" spans="3:5" x14ac:dyDescent="0.25">
      <c r="C96" s="9"/>
      <c r="D96" s="10"/>
      <c r="E96" s="2"/>
    </row>
    <row r="97" spans="3:5" x14ac:dyDescent="0.25">
      <c r="C97" s="9"/>
      <c r="D97" s="10"/>
      <c r="E97" s="2"/>
    </row>
    <row r="98" spans="3:5" x14ac:dyDescent="0.25">
      <c r="C98" s="9"/>
      <c r="D98" s="10"/>
      <c r="E98" s="2"/>
    </row>
    <row r="99" spans="3:5" x14ac:dyDescent="0.25">
      <c r="C99" s="9"/>
      <c r="D99" s="10"/>
      <c r="E99" s="2"/>
    </row>
    <row r="100" spans="3:5" x14ac:dyDescent="0.25">
      <c r="C100" s="9"/>
      <c r="D100" s="10"/>
      <c r="E100" s="2"/>
    </row>
    <row r="101" spans="3:5" x14ac:dyDescent="0.25">
      <c r="C101" s="9"/>
      <c r="D101" s="10"/>
      <c r="E101" s="2"/>
    </row>
    <row r="102" spans="3:5" x14ac:dyDescent="0.25">
      <c r="C102" s="9"/>
      <c r="D102" s="10"/>
      <c r="E102" s="2"/>
    </row>
    <row r="103" spans="3:5" x14ac:dyDescent="0.25">
      <c r="C103" s="9"/>
      <c r="D103" s="10"/>
      <c r="E103" s="2"/>
    </row>
    <row r="104" spans="3:5" x14ac:dyDescent="0.25">
      <c r="C104" s="9"/>
      <c r="D104" s="10"/>
      <c r="E104" s="2"/>
    </row>
    <row r="105" spans="3:5" x14ac:dyDescent="0.25">
      <c r="C105" s="9"/>
      <c r="D105" s="10"/>
      <c r="E105" s="2"/>
    </row>
    <row r="106" spans="3:5" x14ac:dyDescent="0.25">
      <c r="C106" s="9"/>
      <c r="D106" s="10"/>
      <c r="E106" s="2"/>
    </row>
    <row r="107" spans="3:5" x14ac:dyDescent="0.25">
      <c r="C107" s="9"/>
      <c r="D107" s="10"/>
      <c r="E107" s="2"/>
    </row>
    <row r="108" spans="3:5" x14ac:dyDescent="0.25">
      <c r="C108" s="9"/>
      <c r="D108" s="10"/>
      <c r="E108" s="2"/>
    </row>
    <row r="109" spans="3:5" x14ac:dyDescent="0.25">
      <c r="C109" s="9"/>
      <c r="D109" s="10"/>
      <c r="E109" s="2"/>
    </row>
    <row r="110" spans="3:5" x14ac:dyDescent="0.25">
      <c r="C110" s="9"/>
      <c r="D110" s="10"/>
      <c r="E110" s="2"/>
    </row>
    <row r="111" spans="3:5" x14ac:dyDescent="0.25">
      <c r="C111" s="9"/>
      <c r="D111" s="10"/>
      <c r="E111" s="2"/>
    </row>
    <row r="112" spans="3:5" x14ac:dyDescent="0.25">
      <c r="C112" s="9"/>
      <c r="D112" s="10"/>
      <c r="E112" s="2"/>
    </row>
    <row r="113" spans="3:5" x14ac:dyDescent="0.25">
      <c r="C113" s="9"/>
      <c r="D113" s="10"/>
      <c r="E113" s="2"/>
    </row>
    <row r="114" spans="3:5" x14ac:dyDescent="0.25">
      <c r="C114" s="9"/>
      <c r="D114" s="10"/>
      <c r="E114" s="2"/>
    </row>
    <row r="115" spans="3:5" x14ac:dyDescent="0.25">
      <c r="C115" s="9"/>
      <c r="D115" s="10"/>
      <c r="E115" s="2"/>
    </row>
    <row r="116" spans="3:5" x14ac:dyDescent="0.25">
      <c r="C116" s="9"/>
      <c r="D116" s="10"/>
      <c r="E116" s="2"/>
    </row>
    <row r="117" spans="3:5" x14ac:dyDescent="0.25">
      <c r="C117" s="9"/>
      <c r="D117" s="10"/>
      <c r="E117" s="2"/>
    </row>
    <row r="118" spans="3:5" x14ac:dyDescent="0.25">
      <c r="C118" s="9"/>
      <c r="D118" s="10"/>
      <c r="E118" s="2"/>
    </row>
    <row r="119" spans="3:5" x14ac:dyDescent="0.25">
      <c r="C119" s="9"/>
      <c r="D119" s="10"/>
      <c r="E119" s="2"/>
    </row>
    <row r="120" spans="3:5" x14ac:dyDescent="0.25">
      <c r="C120" s="9"/>
      <c r="D120" s="10"/>
      <c r="E120" s="2"/>
    </row>
    <row r="121" spans="3:5" x14ac:dyDescent="0.25">
      <c r="C121" s="9"/>
      <c r="D121" s="10"/>
      <c r="E121" s="2"/>
    </row>
    <row r="122" spans="3:5" x14ac:dyDescent="0.25">
      <c r="C122" s="9"/>
      <c r="D122" s="10"/>
      <c r="E122" s="2"/>
    </row>
    <row r="123" spans="3:5" x14ac:dyDescent="0.25">
      <c r="C123" s="9"/>
      <c r="D123" s="10"/>
      <c r="E123" s="2"/>
    </row>
    <row r="124" spans="3:5" x14ac:dyDescent="0.25">
      <c r="C124" s="9"/>
      <c r="D124" s="10"/>
      <c r="E124" s="2"/>
    </row>
    <row r="125" spans="3:5" x14ac:dyDescent="0.25">
      <c r="C125" s="9"/>
      <c r="D125" s="10"/>
      <c r="E125" s="2"/>
    </row>
    <row r="126" spans="3:5" x14ac:dyDescent="0.25">
      <c r="C126" s="9"/>
      <c r="D126" s="10"/>
      <c r="E126" s="2"/>
    </row>
    <row r="127" spans="3:5" x14ac:dyDescent="0.25">
      <c r="C127" s="9"/>
      <c r="D127" s="10"/>
      <c r="E127" s="2"/>
    </row>
    <row r="128" spans="3:5" x14ac:dyDescent="0.25">
      <c r="C128" s="9"/>
      <c r="D128" s="10"/>
      <c r="E128" s="2"/>
    </row>
    <row r="129" spans="3:5" x14ac:dyDescent="0.25">
      <c r="C129" s="9"/>
      <c r="D129" s="10"/>
      <c r="E129" s="2"/>
    </row>
    <row r="130" spans="3:5" x14ac:dyDescent="0.25">
      <c r="C130" s="9"/>
      <c r="D130" s="10"/>
      <c r="E130" s="2"/>
    </row>
    <row r="131" spans="3:5" x14ac:dyDescent="0.25">
      <c r="C131" s="9"/>
      <c r="D131" s="10"/>
      <c r="E131" s="2"/>
    </row>
    <row r="132" spans="3:5" x14ac:dyDescent="0.25">
      <c r="C132" s="9"/>
      <c r="D132" s="10"/>
      <c r="E132" s="2"/>
    </row>
    <row r="133" spans="3:5" x14ac:dyDescent="0.25">
      <c r="C133" s="9"/>
      <c r="D133" s="10"/>
      <c r="E133" s="2"/>
    </row>
    <row r="134" spans="3:5" x14ac:dyDescent="0.25">
      <c r="C134" s="9"/>
      <c r="D134" s="10"/>
      <c r="E134" s="2"/>
    </row>
    <row r="135" spans="3:5" x14ac:dyDescent="0.25">
      <c r="C135" s="9"/>
      <c r="D135" s="10"/>
      <c r="E135" s="2"/>
    </row>
    <row r="136" spans="3:5" x14ac:dyDescent="0.25">
      <c r="C136" s="9"/>
      <c r="D136" s="10"/>
      <c r="E136" s="2"/>
    </row>
    <row r="137" spans="3:5" x14ac:dyDescent="0.25">
      <c r="C137" s="9"/>
      <c r="D137" s="10"/>
      <c r="E137" s="2"/>
    </row>
    <row r="138" spans="3:5" x14ac:dyDescent="0.25">
      <c r="C138" s="9"/>
      <c r="D138" s="10"/>
      <c r="E138" s="2"/>
    </row>
    <row r="139" spans="3:5" x14ac:dyDescent="0.25">
      <c r="C139" s="9"/>
      <c r="D139" s="10"/>
      <c r="E139" s="2"/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81D95-26CE-43F7-841E-F601B36516B5}">
  <sheetPr codeName="Sheet2"/>
  <dimension ref="B10:X251"/>
  <sheetViews>
    <sheetView topLeftCell="A7" zoomScale="70" zoomScaleNormal="70" workbookViewId="0">
      <selection activeCell="H62" sqref="H62"/>
    </sheetView>
  </sheetViews>
  <sheetFormatPr defaultRowHeight="15" x14ac:dyDescent="0.25"/>
  <sheetData>
    <row r="10" spans="2:24" x14ac:dyDescent="0.25">
      <c r="B10" s="12" t="b">
        <v>0</v>
      </c>
      <c r="C10" s="12" t="b">
        <v>0</v>
      </c>
      <c r="D10" s="12" t="b">
        <v>0</v>
      </c>
      <c r="E10" s="12" t="b">
        <v>0</v>
      </c>
      <c r="F10" s="12" t="b">
        <v>0</v>
      </c>
      <c r="G10" s="12" t="b">
        <v>0</v>
      </c>
      <c r="H10" s="12" t="b">
        <v>0</v>
      </c>
      <c r="I10" s="12" t="b">
        <v>0</v>
      </c>
      <c r="J10" s="12" t="b">
        <v>0</v>
      </c>
      <c r="K10" s="12" t="b">
        <v>0</v>
      </c>
      <c r="L10" s="12" t="b">
        <v>0</v>
      </c>
      <c r="M10" s="12" t="b">
        <v>0</v>
      </c>
      <c r="N10" s="12" t="b">
        <v>0</v>
      </c>
      <c r="O10" s="12" t="b">
        <v>0</v>
      </c>
      <c r="P10" s="12" t="b">
        <v>0</v>
      </c>
      <c r="Q10" s="12" t="b">
        <v>0</v>
      </c>
      <c r="R10" s="12" t="b">
        <v>0</v>
      </c>
      <c r="S10" s="12" t="b">
        <v>0</v>
      </c>
      <c r="T10" s="12" t="b">
        <v>0</v>
      </c>
      <c r="U10" s="12" t="b">
        <v>0</v>
      </c>
      <c r="V10" s="12" t="b">
        <v>0</v>
      </c>
      <c r="W10" s="12" t="b">
        <v>0</v>
      </c>
      <c r="X10" s="12" t="b">
        <v>0</v>
      </c>
    </row>
    <row r="11" spans="2:24" x14ac:dyDescent="0.25">
      <c r="B11" s="1" t="s">
        <v>0</v>
      </c>
      <c r="C11" s="1" t="s">
        <v>1</v>
      </c>
      <c r="D11" s="11" t="s">
        <v>2</v>
      </c>
      <c r="E11" s="1" t="s">
        <v>3</v>
      </c>
      <c r="F11" s="1" t="s">
        <v>4</v>
      </c>
      <c r="G11" s="1" t="s">
        <v>5</v>
      </c>
      <c r="H11" s="11" t="s">
        <v>6</v>
      </c>
      <c r="I11" s="1" t="s">
        <v>7</v>
      </c>
      <c r="J11" s="1" t="s">
        <v>8</v>
      </c>
      <c r="K11" s="1" t="s">
        <v>9</v>
      </c>
      <c r="L11" s="1" t="s">
        <v>10</v>
      </c>
      <c r="M11" s="11" t="s">
        <v>11</v>
      </c>
      <c r="N11" s="1" t="s">
        <v>12</v>
      </c>
      <c r="O11" s="1" t="s">
        <v>13</v>
      </c>
      <c r="P11" s="11" t="s">
        <v>14</v>
      </c>
      <c r="Q11" s="1" t="s">
        <v>15</v>
      </c>
      <c r="R11" s="1" t="s">
        <v>16</v>
      </c>
      <c r="S11" s="11" t="s">
        <v>17</v>
      </c>
      <c r="T11" s="1" t="s">
        <v>18</v>
      </c>
      <c r="U11" s="1" t="s">
        <v>19</v>
      </c>
      <c r="V11" s="11" t="s">
        <v>20</v>
      </c>
      <c r="W11" s="1" t="s">
        <v>21</v>
      </c>
      <c r="X11" s="11" t="s">
        <v>22</v>
      </c>
    </row>
    <row r="12" spans="2:24" x14ac:dyDescent="0.25"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</row>
    <row r="13" spans="2:24" x14ac:dyDescent="0.25"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</row>
    <row r="14" spans="2:24" x14ac:dyDescent="0.25"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</row>
    <row r="15" spans="2:24" x14ac:dyDescent="0.25"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</row>
    <row r="16" spans="2:24" x14ac:dyDescent="0.25"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</row>
    <row r="17" spans="2:24" x14ac:dyDescent="0.25"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</row>
    <row r="18" spans="2:24" x14ac:dyDescent="0.25"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 spans="2:24" x14ac:dyDescent="0.25"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</row>
    <row r="20" spans="2:24" x14ac:dyDescent="0.25"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</row>
    <row r="21" spans="2:24" x14ac:dyDescent="0.25"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</row>
    <row r="22" spans="2:24" x14ac:dyDescent="0.25"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</row>
    <row r="23" spans="2:24" x14ac:dyDescent="0.25"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</row>
    <row r="24" spans="2:24" x14ac:dyDescent="0.25"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</row>
    <row r="25" spans="2:24" x14ac:dyDescent="0.25"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</row>
    <row r="26" spans="2:24" x14ac:dyDescent="0.25"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</row>
    <row r="27" spans="2:24" x14ac:dyDescent="0.25"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</row>
    <row r="28" spans="2:24" x14ac:dyDescent="0.25"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</row>
    <row r="29" spans="2:24" x14ac:dyDescent="0.25"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</row>
    <row r="30" spans="2:24" x14ac:dyDescent="0.25"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</row>
    <row r="31" spans="2:24" x14ac:dyDescent="0.25"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</row>
    <row r="32" spans="2:24" x14ac:dyDescent="0.25"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</row>
    <row r="33" spans="2:24" x14ac:dyDescent="0.25"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</row>
    <row r="34" spans="2:24" x14ac:dyDescent="0.25"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</row>
    <row r="35" spans="2:24" x14ac:dyDescent="0.25"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</row>
    <row r="36" spans="2:24" x14ac:dyDescent="0.25"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</row>
    <row r="37" spans="2:24" x14ac:dyDescent="0.25"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</row>
    <row r="38" spans="2:24" x14ac:dyDescent="0.25"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</row>
    <row r="39" spans="2:24" x14ac:dyDescent="0.25"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</row>
    <row r="40" spans="2:24" x14ac:dyDescent="0.25"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</row>
    <row r="41" spans="2:24" x14ac:dyDescent="0.25"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</row>
    <row r="42" spans="2:24" x14ac:dyDescent="0.25"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</row>
    <row r="43" spans="2:24" x14ac:dyDescent="0.25"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</row>
    <row r="44" spans="2:24" x14ac:dyDescent="0.25"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</row>
    <row r="45" spans="2:24" x14ac:dyDescent="0.25"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</row>
    <row r="46" spans="2:24" x14ac:dyDescent="0.25"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</row>
    <row r="47" spans="2:24" x14ac:dyDescent="0.25"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</row>
    <row r="48" spans="2:24" x14ac:dyDescent="0.25"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</row>
    <row r="49" spans="2:24" x14ac:dyDescent="0.25"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</row>
    <row r="50" spans="2:24" x14ac:dyDescent="0.25"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</row>
    <row r="51" spans="2:24" x14ac:dyDescent="0.25"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</row>
    <row r="52" spans="2:24" x14ac:dyDescent="0.25"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</row>
    <row r="53" spans="2:24" x14ac:dyDescent="0.25"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</row>
    <row r="54" spans="2:24" x14ac:dyDescent="0.25"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</row>
    <row r="55" spans="2:24" x14ac:dyDescent="0.25"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</row>
    <row r="56" spans="2:24" x14ac:dyDescent="0.25"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</row>
    <row r="57" spans="2:24" x14ac:dyDescent="0.25"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</row>
    <row r="58" spans="2:24" x14ac:dyDescent="0.25"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</row>
    <row r="59" spans="2:24" x14ac:dyDescent="0.25"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</row>
    <row r="60" spans="2:24" x14ac:dyDescent="0.25"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</row>
    <row r="61" spans="2:24" x14ac:dyDescent="0.25"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</row>
    <row r="62" spans="2:24" x14ac:dyDescent="0.25"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</row>
    <row r="63" spans="2:24" x14ac:dyDescent="0.25"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</row>
    <row r="64" spans="2:24" x14ac:dyDescent="0.25"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</row>
    <row r="65" spans="2:24" x14ac:dyDescent="0.25"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</row>
    <row r="66" spans="2:24" x14ac:dyDescent="0.25"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</row>
    <row r="67" spans="2:24" x14ac:dyDescent="0.25"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</row>
    <row r="68" spans="2:24" x14ac:dyDescent="0.25"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</row>
    <row r="69" spans="2:24" x14ac:dyDescent="0.25"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</row>
    <row r="70" spans="2:24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</row>
    <row r="71" spans="2:24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</row>
    <row r="72" spans="2:24" x14ac:dyDescent="0.25"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</row>
    <row r="73" spans="2:24" x14ac:dyDescent="0.25"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</row>
    <row r="74" spans="2:24" x14ac:dyDescent="0.25"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</row>
    <row r="75" spans="2:24" x14ac:dyDescent="0.25"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</row>
    <row r="76" spans="2:24" x14ac:dyDescent="0.25"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</row>
    <row r="77" spans="2:24" x14ac:dyDescent="0.25"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</row>
    <row r="78" spans="2:24" x14ac:dyDescent="0.25"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</row>
    <row r="79" spans="2:24" x14ac:dyDescent="0.25"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</row>
    <row r="80" spans="2:24" x14ac:dyDescent="0.25"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</row>
    <row r="81" spans="2:24" x14ac:dyDescent="0.25"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</row>
    <row r="82" spans="2:24" x14ac:dyDescent="0.25"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</row>
    <row r="83" spans="2:24" x14ac:dyDescent="0.25"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</row>
    <row r="84" spans="2:24" x14ac:dyDescent="0.25"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</row>
    <row r="85" spans="2:24" x14ac:dyDescent="0.25"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</row>
    <row r="86" spans="2:24" x14ac:dyDescent="0.25"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</row>
    <row r="87" spans="2:24" x14ac:dyDescent="0.25"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</row>
    <row r="88" spans="2:24" x14ac:dyDescent="0.25"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</row>
    <row r="89" spans="2:24" x14ac:dyDescent="0.25"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</row>
    <row r="90" spans="2:24" x14ac:dyDescent="0.25"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</row>
    <row r="91" spans="2:24" x14ac:dyDescent="0.25"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</row>
    <row r="92" spans="2:24" x14ac:dyDescent="0.25"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</row>
    <row r="93" spans="2:24" x14ac:dyDescent="0.25"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</row>
    <row r="94" spans="2:24" x14ac:dyDescent="0.25"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</row>
    <row r="95" spans="2:24" x14ac:dyDescent="0.25"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</row>
    <row r="96" spans="2:24" x14ac:dyDescent="0.25"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</row>
    <row r="97" spans="2:24" x14ac:dyDescent="0.25"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</row>
    <row r="98" spans="2:24" x14ac:dyDescent="0.25"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</row>
    <row r="99" spans="2:24" x14ac:dyDescent="0.25"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</row>
    <row r="100" spans="2:24" x14ac:dyDescent="0.25"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</row>
    <row r="101" spans="2:24" x14ac:dyDescent="0.25"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</row>
    <row r="102" spans="2:24" x14ac:dyDescent="0.25"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</row>
    <row r="103" spans="2:24" x14ac:dyDescent="0.25"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</row>
    <row r="104" spans="2:24" x14ac:dyDescent="0.25"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</row>
    <row r="105" spans="2:24" x14ac:dyDescent="0.25"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</row>
    <row r="106" spans="2:24" x14ac:dyDescent="0.25"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</row>
    <row r="107" spans="2:24" x14ac:dyDescent="0.25"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</row>
    <row r="108" spans="2:24" x14ac:dyDescent="0.25"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</row>
    <row r="109" spans="2:24" x14ac:dyDescent="0.25"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</row>
    <row r="110" spans="2:24" x14ac:dyDescent="0.25"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</row>
    <row r="111" spans="2:24" x14ac:dyDescent="0.25"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</row>
    <row r="112" spans="2:24" x14ac:dyDescent="0.25"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</row>
    <row r="113" spans="2:24" x14ac:dyDescent="0.25"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</row>
    <row r="114" spans="2:24" x14ac:dyDescent="0.25"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</row>
    <row r="115" spans="2:24" x14ac:dyDescent="0.25"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</row>
    <row r="116" spans="2:24" x14ac:dyDescent="0.25"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</row>
    <row r="117" spans="2:24" x14ac:dyDescent="0.25"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</row>
    <row r="118" spans="2:24" x14ac:dyDescent="0.25"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</row>
    <row r="119" spans="2:24" x14ac:dyDescent="0.25"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</row>
    <row r="120" spans="2:24" x14ac:dyDescent="0.25"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</row>
    <row r="121" spans="2:24" x14ac:dyDescent="0.25"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</row>
    <row r="122" spans="2:24" x14ac:dyDescent="0.25"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</row>
    <row r="123" spans="2:24" x14ac:dyDescent="0.25"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</row>
    <row r="124" spans="2:24" x14ac:dyDescent="0.25"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</row>
    <row r="125" spans="2:24" x14ac:dyDescent="0.25"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</row>
    <row r="126" spans="2:24" x14ac:dyDescent="0.25"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</row>
    <row r="127" spans="2:24" x14ac:dyDescent="0.25"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</row>
    <row r="128" spans="2:24" x14ac:dyDescent="0.25"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</row>
    <row r="129" spans="2:24" x14ac:dyDescent="0.25"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</row>
    <row r="130" spans="2:24" x14ac:dyDescent="0.25"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</row>
    <row r="131" spans="2:24" x14ac:dyDescent="0.25"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</row>
    <row r="132" spans="2:24" x14ac:dyDescent="0.25"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</row>
    <row r="133" spans="2:24" x14ac:dyDescent="0.25"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</row>
    <row r="134" spans="2:24" x14ac:dyDescent="0.25"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</row>
    <row r="135" spans="2:24" x14ac:dyDescent="0.25"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</row>
    <row r="136" spans="2:24" x14ac:dyDescent="0.25"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</row>
    <row r="137" spans="2:24" x14ac:dyDescent="0.25"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</row>
    <row r="138" spans="2:24" x14ac:dyDescent="0.25"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</row>
    <row r="139" spans="2:24" x14ac:dyDescent="0.25"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</row>
    <row r="140" spans="2:24" x14ac:dyDescent="0.25"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</row>
    <row r="141" spans="2:24" x14ac:dyDescent="0.25"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</row>
    <row r="142" spans="2:24" x14ac:dyDescent="0.25"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</row>
    <row r="143" spans="2:24" x14ac:dyDescent="0.25"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</row>
    <row r="144" spans="2:24" x14ac:dyDescent="0.25"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</row>
    <row r="145" spans="2:22" x14ac:dyDescent="0.25"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</row>
    <row r="146" spans="2:22" x14ac:dyDescent="0.25"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</row>
    <row r="147" spans="2:22" x14ac:dyDescent="0.25"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</row>
    <row r="148" spans="2:22" x14ac:dyDescent="0.25"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</row>
    <row r="149" spans="2:22" x14ac:dyDescent="0.25"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</row>
    <row r="150" spans="2:22" x14ac:dyDescent="0.25"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</row>
    <row r="151" spans="2:22" x14ac:dyDescent="0.25"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</row>
    <row r="152" spans="2:22" x14ac:dyDescent="0.25"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</row>
    <row r="153" spans="2:22" x14ac:dyDescent="0.25"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</row>
    <row r="154" spans="2:22" x14ac:dyDescent="0.25"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</row>
    <row r="155" spans="2:22" x14ac:dyDescent="0.25"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</row>
    <row r="156" spans="2:22" x14ac:dyDescent="0.25"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</row>
    <row r="157" spans="2:22" x14ac:dyDescent="0.25"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</row>
    <row r="158" spans="2:22" x14ac:dyDescent="0.25"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</row>
    <row r="159" spans="2:22" x14ac:dyDescent="0.25"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</row>
    <row r="160" spans="2:22" x14ac:dyDescent="0.25"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</row>
    <row r="161" spans="2:22" x14ac:dyDescent="0.25"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</row>
    <row r="162" spans="2:22" x14ac:dyDescent="0.25"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</row>
    <row r="163" spans="2:22" x14ac:dyDescent="0.25"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</row>
    <row r="164" spans="2:22" x14ac:dyDescent="0.25"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</row>
    <row r="165" spans="2:22" x14ac:dyDescent="0.25"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</row>
    <row r="166" spans="2:22" x14ac:dyDescent="0.25"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</row>
    <row r="167" spans="2:22" x14ac:dyDescent="0.25"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</row>
    <row r="168" spans="2:22" x14ac:dyDescent="0.25"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</row>
    <row r="169" spans="2:22" x14ac:dyDescent="0.25"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</row>
    <row r="170" spans="2:22" x14ac:dyDescent="0.25"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</row>
    <row r="171" spans="2:22" x14ac:dyDescent="0.25"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</row>
    <row r="172" spans="2:22" x14ac:dyDescent="0.25"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</row>
    <row r="173" spans="2:22" x14ac:dyDescent="0.25"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</row>
    <row r="174" spans="2:22" x14ac:dyDescent="0.25"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</row>
    <row r="175" spans="2:22" x14ac:dyDescent="0.25"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</row>
    <row r="176" spans="2:22" x14ac:dyDescent="0.25"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</row>
    <row r="177" spans="2:22" x14ac:dyDescent="0.25"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</row>
    <row r="178" spans="2:22" x14ac:dyDescent="0.25"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</row>
    <row r="179" spans="2:22" x14ac:dyDescent="0.25"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</row>
    <row r="180" spans="2:22" x14ac:dyDescent="0.25"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</row>
    <row r="181" spans="2:22" x14ac:dyDescent="0.25"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</row>
    <row r="182" spans="2:22" x14ac:dyDescent="0.25"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</row>
    <row r="183" spans="2:22" x14ac:dyDescent="0.25"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</row>
    <row r="184" spans="2:22" x14ac:dyDescent="0.25"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</row>
    <row r="185" spans="2:22" x14ac:dyDescent="0.25"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</row>
    <row r="186" spans="2:22" x14ac:dyDescent="0.25"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</row>
    <row r="187" spans="2:22" x14ac:dyDescent="0.25"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</row>
    <row r="188" spans="2:22" x14ac:dyDescent="0.25"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</row>
    <row r="189" spans="2:22" x14ac:dyDescent="0.25"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</row>
    <row r="190" spans="2:22" x14ac:dyDescent="0.25"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</row>
    <row r="191" spans="2:22" x14ac:dyDescent="0.25"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</row>
    <row r="192" spans="2:22" x14ac:dyDescent="0.25"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</row>
    <row r="193" spans="2:22" x14ac:dyDescent="0.25"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</row>
    <row r="194" spans="2:22" x14ac:dyDescent="0.25"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</row>
    <row r="195" spans="2:22" x14ac:dyDescent="0.25"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</row>
    <row r="196" spans="2:22" x14ac:dyDescent="0.25"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</row>
    <row r="197" spans="2:22" x14ac:dyDescent="0.25"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</row>
    <row r="198" spans="2:22" x14ac:dyDescent="0.25"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</row>
    <row r="199" spans="2:22" x14ac:dyDescent="0.25"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</row>
    <row r="200" spans="2:22" x14ac:dyDescent="0.25"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</row>
    <row r="201" spans="2:22" x14ac:dyDescent="0.25"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</row>
    <row r="202" spans="2:22" x14ac:dyDescent="0.25"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</row>
    <row r="203" spans="2:22" x14ac:dyDescent="0.25"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</row>
    <row r="204" spans="2:22" x14ac:dyDescent="0.25"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</row>
    <row r="205" spans="2:22" x14ac:dyDescent="0.25"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</row>
    <row r="206" spans="2:22" x14ac:dyDescent="0.25"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</row>
    <row r="207" spans="2:22" x14ac:dyDescent="0.25"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</row>
    <row r="208" spans="2:22" x14ac:dyDescent="0.25"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</row>
    <row r="209" spans="2:22" x14ac:dyDescent="0.25"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</row>
    <row r="210" spans="2:22" x14ac:dyDescent="0.25"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</row>
    <row r="211" spans="2:22" x14ac:dyDescent="0.25"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</row>
    <row r="212" spans="2:22" x14ac:dyDescent="0.25"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</row>
    <row r="213" spans="2:22" x14ac:dyDescent="0.25"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</row>
    <row r="214" spans="2:22" x14ac:dyDescent="0.25"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</row>
    <row r="215" spans="2:22" x14ac:dyDescent="0.25"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</row>
    <row r="216" spans="2:22" x14ac:dyDescent="0.25"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</row>
    <row r="217" spans="2:22" x14ac:dyDescent="0.25"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</row>
    <row r="218" spans="2:22" x14ac:dyDescent="0.25"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</row>
    <row r="219" spans="2:22" x14ac:dyDescent="0.25"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</row>
    <row r="220" spans="2:22" x14ac:dyDescent="0.25"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</row>
    <row r="221" spans="2:22" x14ac:dyDescent="0.25"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</row>
    <row r="222" spans="2:22" x14ac:dyDescent="0.25"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</row>
    <row r="223" spans="2:22" x14ac:dyDescent="0.25"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</row>
    <row r="224" spans="2:22" x14ac:dyDescent="0.25"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</row>
    <row r="225" spans="2:22" x14ac:dyDescent="0.25"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</row>
    <row r="226" spans="2:22" x14ac:dyDescent="0.25"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</row>
    <row r="227" spans="2:22" x14ac:dyDescent="0.25"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</row>
    <row r="228" spans="2:22" x14ac:dyDescent="0.25"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</row>
    <row r="229" spans="2:22" x14ac:dyDescent="0.25"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</row>
    <row r="230" spans="2:22" x14ac:dyDescent="0.25"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</row>
    <row r="231" spans="2:22" x14ac:dyDescent="0.25"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</row>
    <row r="232" spans="2:22" x14ac:dyDescent="0.25"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</row>
    <row r="233" spans="2:22" x14ac:dyDescent="0.25"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</row>
    <row r="234" spans="2:22" x14ac:dyDescent="0.25"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</row>
    <row r="235" spans="2:22" x14ac:dyDescent="0.25"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</row>
    <row r="236" spans="2:22" x14ac:dyDescent="0.25"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</row>
    <row r="237" spans="2:22" x14ac:dyDescent="0.25"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</row>
    <row r="238" spans="2:22" x14ac:dyDescent="0.25"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</row>
    <row r="239" spans="2:22" x14ac:dyDescent="0.25"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</row>
    <row r="240" spans="2:22" x14ac:dyDescent="0.25"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</row>
    <row r="241" spans="2:22" x14ac:dyDescent="0.25"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</row>
    <row r="242" spans="2:22" x14ac:dyDescent="0.25"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</row>
    <row r="243" spans="2:22" x14ac:dyDescent="0.25"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</row>
    <row r="244" spans="2:22" x14ac:dyDescent="0.25"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</row>
    <row r="245" spans="2:22" x14ac:dyDescent="0.25"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</row>
    <row r="246" spans="2:22" x14ac:dyDescent="0.25"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</row>
    <row r="247" spans="2:22" x14ac:dyDescent="0.25"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</row>
    <row r="248" spans="2:22" x14ac:dyDescent="0.25"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</row>
    <row r="249" spans="2:22" x14ac:dyDescent="0.25"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</row>
    <row r="250" spans="2:22" x14ac:dyDescent="0.25"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</row>
    <row r="251" spans="2:22" x14ac:dyDescent="0.25"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8D6E9-4551-4DC0-BFBA-022E6C837EEA}">
  <sheetPr codeName="Sheet3"/>
  <dimension ref="B10:X251"/>
  <sheetViews>
    <sheetView topLeftCell="A8" zoomScale="55" zoomScaleNormal="55" workbookViewId="0">
      <pane ySplit="4" topLeftCell="A12" activePane="bottomLeft" state="frozen"/>
      <selection activeCell="A8" sqref="A8"/>
      <selection pane="bottomLeft" activeCell="A12" sqref="A12"/>
    </sheetView>
  </sheetViews>
  <sheetFormatPr defaultRowHeight="15" x14ac:dyDescent="0.25"/>
  <cols>
    <col min="2" max="6" width="15.5703125" style="8" customWidth="1"/>
    <col min="7" max="24" width="15.5703125" customWidth="1"/>
  </cols>
  <sheetData>
    <row r="10" spans="2:24" s="8" customFormat="1" x14ac:dyDescent="0.25">
      <c r="B10" s="14" t="s">
        <v>65</v>
      </c>
      <c r="C10" s="14" t="s">
        <v>65</v>
      </c>
      <c r="D10" s="14" t="s">
        <v>66</v>
      </c>
      <c r="E10" s="14" t="s">
        <v>67</v>
      </c>
      <c r="F10" s="14" t="s">
        <v>68</v>
      </c>
      <c r="G10" s="7" t="s">
        <v>69</v>
      </c>
      <c r="H10" s="7" t="s">
        <v>69</v>
      </c>
      <c r="I10" s="14" t="s">
        <v>65</v>
      </c>
      <c r="J10" s="14" t="s">
        <v>67</v>
      </c>
      <c r="K10" s="7" t="s">
        <v>69</v>
      </c>
      <c r="L10" s="7" t="s">
        <v>69</v>
      </c>
      <c r="M10" s="7" t="s">
        <v>69</v>
      </c>
      <c r="N10" s="7" t="s">
        <v>69</v>
      </c>
      <c r="O10" s="7" t="s">
        <v>69</v>
      </c>
      <c r="P10" s="14" t="s">
        <v>67</v>
      </c>
      <c r="Q10" s="14" t="s">
        <v>67</v>
      </c>
      <c r="R10" s="7" t="s">
        <v>69</v>
      </c>
      <c r="S10" s="7" t="s">
        <v>69</v>
      </c>
      <c r="T10" s="7" t="s">
        <v>69</v>
      </c>
      <c r="U10" s="14" t="s">
        <v>70</v>
      </c>
      <c r="V10" s="7" t="s">
        <v>69</v>
      </c>
      <c r="W10" s="7" t="s">
        <v>69</v>
      </c>
      <c r="X10" s="14" t="s">
        <v>71</v>
      </c>
    </row>
    <row r="11" spans="2:24" x14ac:dyDescent="0.25">
      <c r="B11" s="1" t="s">
        <v>0</v>
      </c>
      <c r="C11" s="1" t="s">
        <v>1</v>
      </c>
      <c r="D11" s="11" t="s">
        <v>2</v>
      </c>
      <c r="E11" s="1" t="s">
        <v>3</v>
      </c>
      <c r="F11" s="1" t="s">
        <v>4</v>
      </c>
      <c r="G11" s="1" t="s">
        <v>5</v>
      </c>
      <c r="H11" s="11" t="s">
        <v>6</v>
      </c>
      <c r="I11" s="1" t="s">
        <v>7</v>
      </c>
      <c r="J11" s="1" t="s">
        <v>8</v>
      </c>
      <c r="K11" s="1" t="s">
        <v>9</v>
      </c>
      <c r="L11" s="1" t="s">
        <v>10</v>
      </c>
      <c r="M11" s="11" t="s">
        <v>11</v>
      </c>
      <c r="N11" s="1" t="s">
        <v>12</v>
      </c>
      <c r="O11" s="1" t="s">
        <v>13</v>
      </c>
      <c r="P11" s="11" t="s">
        <v>14</v>
      </c>
      <c r="Q11" s="1" t="s">
        <v>15</v>
      </c>
      <c r="R11" s="1" t="s">
        <v>16</v>
      </c>
      <c r="S11" s="11" t="s">
        <v>17</v>
      </c>
      <c r="T11" s="1" t="s">
        <v>18</v>
      </c>
      <c r="U11" s="1" t="s">
        <v>19</v>
      </c>
      <c r="V11" s="11" t="s">
        <v>20</v>
      </c>
      <c r="W11" s="1" t="s">
        <v>21</v>
      </c>
      <c r="X11" s="11" t="s">
        <v>22</v>
      </c>
    </row>
    <row r="12" spans="2:24" x14ac:dyDescent="0.25">
      <c r="B12" s="7" t="str" cm="1">
        <f t="array" aca="1" ref="B12" ca="1">IFERROR(IF(OR('Raw Data'!B12="",LEN(TRIM('Raw Data'!B12))=0),"",IF(AND(LEN('Raw Data'!B12) &lt;= 50,LEN('Raw Data'!B12)&gt; 0),"",_xlfn.REGEXEXTRACT(CELL("address",'Raw Data'!B12),"\$([A-Z]+)\$[0-9]+"))),_xlfn.REGEXEXTRACT(CELL("address",'Raw Data'!B12),"\$([A-Z]+)\$[0-9]+"))</f>
        <v/>
      </c>
      <c r="C12" s="7" t="str" cm="1">
        <f t="array" aca="1" ref="C12" ca="1">IFERROR(IF(OR('Raw Data'!C12="",LEN(TRIM('Raw Data'!C12))=0),"",IF(AND(LEN('Raw Data'!C12) &lt;= 50,LEN('Raw Data'!C12)&gt; 0),"",_xlfn.REGEXEXTRACT(CELL("address",'Raw Data'!C12),"\$([A-Z]+)\$[0-9]+"))),_xlfn.REGEXEXTRACT(CELL("address",'Raw Data'!C12),"\$([A-Z]+)\$[0-9]+"))</f>
        <v/>
      </c>
      <c r="D12" s="7" t="str" cm="1">
        <f t="array" aca="1" ref="D12" ca="1">IFERROR(IF(OR('Raw Data'!D12="",LEN(TRIM('Raw Data'!D12))=0),"",IF(AND(LEN('Raw Data'!D12) &lt;= 255,LEN('Raw Data'!D12)&gt; 0),"",_xlfn.REGEXEXTRACT(CELL("address",'Raw Data'!D12),"\$([A-Z]+)\$[0-9]+"))),_xlfn.REGEXEXTRACT(CELL("address",'Raw Data'!D12),"\$([A-Z]+)\$[0-9]+"))</f>
        <v/>
      </c>
      <c r="E12" s="7" t="str" cm="1">
        <f t="array" aca="1" ref="E12" ca="1">IFERROR(IF(OR('Raw Data'!E12="",LEN(TRIM('Raw Data'!E12))=0),"",IF(AND(ISNUMBER('Raw Data'!E12),'Raw Data'!E12&gt;=Configuration!$D$2),"",_xlfn.REGEXEXTRACT(CELL("address",'Raw Data'!E12),"\$([A-Z]+)\$[0-9]+"))),_xlfn.REGEXEXTRACT(CELL("address",E12), "\$([A-Z]+)\$[0-9]+"))</f>
        <v/>
      </c>
      <c r="F12" s="7" t="str" cm="1">
        <f t="array" aca="1" ref="F12" ca="1">IFERROR(IF(OR('Raw Data'!F12="",LEN(TRIM('Raw Data'!F12))=0),"",IF(AND(LEN('Raw Data'!F12) &lt;= 20,LEN('Raw Data'!F12)&gt; 0),"",_xlfn.REGEXEXTRACT(CELL("address",'Raw Data'!F12),"\$([A-Z]+)\$[0-9]+"))),_xlfn.REGEXEXTRACT(CELL("address",'Raw Data'!F12),"\$([A-Z]+)\$[0-9]+"))</f>
        <v/>
      </c>
      <c r="G12" s="7" t="str" cm="1">
        <f t="array" aca="1" ref="G12" ca="1">IFERROR(IF(OR('Raw Data'!G12="",LEN(TRIM('Raw Data'!G12))=0),"",IF(AND(ISNUMBER('Raw Data'!G12), IFERROR('Raw Data'!G12 = ROUND('Raw Data'!G12, 2),FALSE)),"",_xlfn.REGEXEXTRACT(CELL("address",G12), "\$([A-Z]+)\$[0-9]+"))),_xlfn.REGEXEXTRACT(CELL("address",G12), "\$([A-Z]+)\$[0-9]+"))</f>
        <v/>
      </c>
      <c r="H12" s="7" t="str" cm="1">
        <f t="array" aca="1" ref="H12" ca="1">IFERROR(IF(OR('Raw Data'!H12="",LEN(TRIM('Raw Data'!H12))=0),"",IF(AND(ISNUMBER('Raw Data'!H12), IFERROR('Raw Data'!H12 = ROUND('Raw Data'!H12, 2),FALSE)),"",_xlfn.REGEXEXTRACT(CELL("address",H12), "\$([A-Z]+)\$[0-9]+"))),_xlfn.REGEXEXTRACT(CELL("address",H12), "\$([A-Z]+)\$[0-9]+"))</f>
        <v/>
      </c>
      <c r="I12" s="7" t="str" cm="1">
        <f t="array" aca="1" ref="I12" ca="1">IFERROR(IF(OR('Raw Data'!I12="",LEN(TRIM('Raw Data'!I12))=0),"",IF(AND(LEN('Raw Data'!I12) &lt;= 50,LEN('Raw Data'!I12)&gt; 0),"",_xlfn.REGEXEXTRACT(CELL("address",'Raw Data'!I12),"\$([A-Z]+)\$[0-9]+"))),_xlfn.REGEXEXTRACT(CELL("address",'Raw Data'!I12),"\$([A-Z]+)\$[0-9]+"))</f>
        <v/>
      </c>
      <c r="J12" s="7" t="str" cm="1">
        <f t="array" aca="1" ref="J12" ca="1">IFERROR(IF(OR('Raw Data'!J12="",LEN(TRIM('Raw Data'!J12))=0),"",IF(AND(ISNUMBER('Raw Data'!J12),'Raw Data'!J12&gt;=Configuration!$D$2),"",_xlfn.REGEXEXTRACT(CELL("address",'Raw Data'!J12),"\$([A-Z]+)\$[0-9]+"))),_xlfn.REGEXEXTRACT(CELL("address",J12), "\$([A-Z]+)\$[0-9]+"))</f>
        <v/>
      </c>
      <c r="K12" s="7" t="str" cm="1">
        <f t="array" aca="1" ref="K12" ca="1">IFERROR(IF(OR('Raw Data'!K12="",LEN(TRIM('Raw Data'!K12))=0),"",IF(AND(ISNUMBER('Raw Data'!K12), IFERROR('Raw Data'!K12 = ROUND('Raw Data'!K12, 2),FALSE)),"",_xlfn.REGEXEXTRACT(CELL("address",K12), "\$([A-Z]+)\$[0-9]+"))),_xlfn.REGEXEXTRACT(CELL("address",K12), "\$([A-Z]+)\$[0-9]+"))</f>
        <v/>
      </c>
      <c r="L12" s="7" t="str" cm="1">
        <f t="array" aca="1" ref="L12" ca="1">IFERROR(IF(OR('Raw Data'!L12="",LEN(TRIM('Raw Data'!L12))=0),"",IF(AND(ISNUMBER('Raw Data'!L12), IFERROR('Raw Data'!L12 = ROUND('Raw Data'!L12, 2),FALSE)),"",_xlfn.REGEXEXTRACT(CELL("address",L12), "\$([A-Z]+)\$[0-9]+"))),_xlfn.REGEXEXTRACT(CELL("address",L12), "\$([A-Z]+)\$[0-9]+"))</f>
        <v/>
      </c>
      <c r="M12" s="7" t="str" cm="1">
        <f t="array" aca="1" ref="M12" ca="1">IFERROR(IF(OR('Raw Data'!M12="",LEN(TRIM('Raw Data'!M12))=0),"",IF(AND(ISNUMBER('Raw Data'!M12), IFERROR('Raw Data'!M12 = ROUND('Raw Data'!M12, 2),FALSE)),"",_xlfn.REGEXEXTRACT(CELL("address",M12), "\$([A-Z]+)\$[0-9]+"))),_xlfn.REGEXEXTRACT(CELL("address",M12), "\$([A-Z]+)\$[0-9]+"))</f>
        <v/>
      </c>
      <c r="N12" s="7" t="str" cm="1">
        <f t="array" aca="1" ref="N12" ca="1">IFERROR(IF(OR('Raw Data'!N12="",LEN(TRIM('Raw Data'!N12))=0),"",IF(AND(ISNUMBER('Raw Data'!N12), IFERROR('Raw Data'!N12 = ROUND('Raw Data'!N12, 2),FALSE)),"",_xlfn.REGEXEXTRACT(CELL("address",N12), "\$([A-Z]+)\$[0-9]+"))),_xlfn.REGEXEXTRACT(CELL("address",N12), "\$([A-Z]+)\$[0-9]+"))</f>
        <v/>
      </c>
      <c r="O12" s="7" t="str" cm="1">
        <f t="array" aca="1" ref="O12" ca="1">IFERROR(IF(OR('Raw Data'!O12="",LEN(TRIM('Raw Data'!O12))=0),"",IF(AND(ISNUMBER('Raw Data'!O12), IFERROR('Raw Data'!O12 = ROUND('Raw Data'!O12, 2),FALSE)),"",_xlfn.REGEXEXTRACT(CELL("address",O12), "\$([A-Z]+)\$[0-9]+"))),_xlfn.REGEXEXTRACT(CELL("address",O12), "\$([A-Z]+)\$[0-9]+"))</f>
        <v/>
      </c>
      <c r="P12" s="7" t="str" cm="1">
        <f t="array" aca="1" ref="P12" ca="1">IFERROR(IF(OR('Raw Data'!P12="",LEN(TRIM('Raw Data'!P12))=0),"",IF(AND(ISNUMBER('Raw Data'!P12),'Raw Data'!P12&gt;=Configuration!$D$2),"",_xlfn.REGEXEXTRACT(CELL("address",'Raw Data'!P12),"\$([A-Z]+)\$[0-9]+"))),_xlfn.REGEXEXTRACT(CELL("address",P12), "\$([A-Z]+)\$[0-9]+"))</f>
        <v/>
      </c>
      <c r="Q12" s="7" t="str" cm="1">
        <f t="array" aca="1" ref="Q12" ca="1">IFERROR(IF(OR('Raw Data'!Q12="",LEN(TRIM('Raw Data'!Q12))=0),"",IF(AND(ISNUMBER('Raw Data'!Q12),'Raw Data'!Q12&gt;=Configuration!$D$2),"",_xlfn.REGEXEXTRACT(CELL("address",'Raw Data'!Q12),"\$([A-Z]+)\$[0-9]+"))),_xlfn.REGEXEXTRACT(CELL("address",Q12), "\$([A-Z]+)\$[0-9]+"))</f>
        <v/>
      </c>
      <c r="R12" s="7" t="str" cm="1">
        <f t="array" aca="1" ref="R12" ca="1">IFERROR(IF(OR('Raw Data'!R12="",LEN(TRIM('Raw Data'!R12))=0),"",IF(AND(ISNUMBER('Raw Data'!R12), IFERROR('Raw Data'!R12 = ROUND('Raw Data'!R12, 2),FALSE)),"",_xlfn.REGEXEXTRACT(CELL("address",R12), "\$([A-Z]+)\$[0-9]+"))),_xlfn.REGEXEXTRACT(CELL("address",R12), "\$([A-Z]+)\$[0-9]+"))</f>
        <v/>
      </c>
      <c r="S12" s="7" t="str" cm="1">
        <f t="array" aca="1" ref="S12" ca="1">IFERROR(IF(OR('Raw Data'!S12="",LEN(TRIM('Raw Data'!S12))=0),"",IF(AND(ISNUMBER('Raw Data'!S12), IFERROR('Raw Data'!S12 = ROUND('Raw Data'!S12, 2),FALSE)),"",_xlfn.REGEXEXTRACT(CELL("address",S12), "\$([A-Z]+)\$[0-9]+"))),_xlfn.REGEXEXTRACT(CELL("address",S12), "\$([A-Z]+)\$[0-9]+"))</f>
        <v/>
      </c>
      <c r="T12" s="7" t="str" cm="1">
        <f t="array" aca="1" ref="T12" ca="1">IFERROR(IF(OR('Raw Data'!T12="",LEN(TRIM('Raw Data'!T12))=0),"",IF(AND(ISNUMBER('Raw Data'!T12), IFERROR('Raw Data'!T12 = ROUND('Raw Data'!T12, 2),FALSE)),"",_xlfn.REGEXEXTRACT(CELL("address",T12), "\$([A-Z]+)\$[0-9]+"))),_xlfn.REGEXEXTRACT(CELL("address",T12), "\$([A-Z]+)\$[0-9]+"))</f>
        <v/>
      </c>
      <c r="U12" s="7" t="str" cm="1">
        <f t="array" aca="1" ref="U12" ca="1">IFERROR(IF(OR('Raw Data'!U12="",LEN(TRIM('Raw Data'!U12))=0),"",IF(AND(LEN('Raw Data'!U12) &lt;= 5,LEN('Raw Data'!U12)&gt; 0),"",_xlfn.REGEXEXTRACT(CELL("address",'Raw Data'!U12),"\$([A-Z]+)\$[0-9]+"))),_xlfn.REGEXEXTRACT(CELL("address",'Raw Data'!U12),"\$([A-Z]+)\$[0-9]+"))</f>
        <v/>
      </c>
      <c r="V12" s="7" t="str" cm="1">
        <f t="array" aca="1" ref="V12" ca="1">IFERROR(IF(OR('Raw Data'!V12="",LEN(TRIM('Raw Data'!V12))=0),"",IF(AND(ISNUMBER('Raw Data'!V12), IFERROR('Raw Data'!V12 = ROUND('Raw Data'!V12, 2),FALSE)),"",_xlfn.REGEXEXTRACT(CELL("address",V12), "\$([A-Z]+)\$[0-9]+"))),_xlfn.REGEXEXTRACT(CELL("address",V12), "\$([A-Z]+)\$[0-9]+"))</f>
        <v/>
      </c>
      <c r="W12" s="7" t="str" cm="1">
        <f t="array" aca="1" ref="W12" ca="1">IFERROR(IF(OR('Raw Data'!W12="",LEN(TRIM('Raw Data'!W12))=0),"",IF(AND(ISNUMBER('Raw Data'!W12), IFERROR('Raw Data'!W12 = ROUND('Raw Data'!W12, 2),FALSE)),"",_xlfn.REGEXEXTRACT(CELL("address",W12), "\$([A-Z]+)\$[0-9]+"))),_xlfn.REGEXEXTRACT(CELL("address",W12), "\$([A-Z]+)\$[0-9]+"))</f>
        <v/>
      </c>
      <c r="X12" s="7" t="str" cm="1">
        <f t="array" aca="1" ref="X12" ca="1">IFERROR(IF(OR('Raw Data'!X12="",LEN(TRIM('Raw Data'!X12))=0),"",IF(AND(LEN('Raw Data'!X12)&gt; 0),"",_xlfn.REGEXEXTRACT(CELL("address",'Raw Data'!X12),"\$([A-Z]+)\$[0-9]+"))),_xlfn.REGEXEXTRACT(CELL("address",'Raw Data'!X12),"\$([A-Z]+)\$[0-9]+"))</f>
        <v/>
      </c>
    </row>
    <row r="13" spans="2:24" x14ac:dyDescent="0.25">
      <c r="B13" s="7" t="str" cm="1">
        <f t="array" aca="1" ref="B13" ca="1">IFERROR(IF(OR('Raw Data'!B13="",LEN(TRIM('Raw Data'!B13))=0),"",IF(AND(LEN('Raw Data'!B13) &lt;= 50,LEN('Raw Data'!B13)&gt; 0),"",_xlfn.REGEXEXTRACT(CELL("address",'Raw Data'!B13),"\$([A-Z]+)\$[0-9]+"))),_xlfn.REGEXEXTRACT(CELL("address",'Raw Data'!B13),"\$([A-Z]+)\$[0-9]+"))</f>
        <v/>
      </c>
      <c r="C13" s="7" t="str" cm="1">
        <f t="array" aca="1" ref="C13" ca="1">IFERROR(IF(OR('Raw Data'!C13="",LEN(TRIM('Raw Data'!C13))=0),"",IF(AND(LEN('Raw Data'!C13) &lt;= 50,LEN('Raw Data'!C13)&gt; 0),"",_xlfn.REGEXEXTRACT(CELL("address",'Raw Data'!C13),"\$([A-Z]+)\$[0-9]+"))),_xlfn.REGEXEXTRACT(CELL("address",'Raw Data'!C13),"\$([A-Z]+)\$[0-9]+"))</f>
        <v/>
      </c>
      <c r="D13" s="7" t="str" cm="1">
        <f t="array" aca="1" ref="D13" ca="1">IFERROR(IF(OR('Raw Data'!D13="",LEN(TRIM('Raw Data'!D13))=0),"",IF(AND(LEN('Raw Data'!D13) &lt;= 255,LEN('Raw Data'!D13)&gt; 0),"",_xlfn.REGEXEXTRACT(CELL("address",'Raw Data'!D13),"\$([A-Z]+)\$[0-9]+"))),_xlfn.REGEXEXTRACT(CELL("address",'Raw Data'!D13),"\$([A-Z]+)\$[0-9]+"))</f>
        <v/>
      </c>
      <c r="E13" s="7" t="str" cm="1">
        <f t="array" aca="1" ref="E13" ca="1">IFERROR(IF(OR('Raw Data'!E13="",LEN(TRIM('Raw Data'!E13))=0),"",IF(AND(ISNUMBER('Raw Data'!E13),'Raw Data'!E13&gt;=Configuration!$D$2),"",_xlfn.REGEXEXTRACT(CELL("address",'Raw Data'!E13),"\$([A-Z]+)\$[0-9]+"))),_xlfn.REGEXEXTRACT(CELL("address",E13), "\$([A-Z]+)\$[0-9]+"))</f>
        <v/>
      </c>
      <c r="F13" s="7" t="str" cm="1">
        <f t="array" aca="1" ref="F13" ca="1">IFERROR(IF(OR('Raw Data'!F13="",LEN(TRIM('Raw Data'!F13))=0),"",IF(AND(LEN('Raw Data'!F13) &lt;= 20,LEN('Raw Data'!F13)&gt; 0),"",_xlfn.REGEXEXTRACT(CELL("address",'Raw Data'!F13),"\$([A-Z]+)\$[0-9]+"))),_xlfn.REGEXEXTRACT(CELL("address",'Raw Data'!F13),"\$([A-Z]+)\$[0-9]+"))</f>
        <v/>
      </c>
      <c r="G13" s="7" t="str" cm="1">
        <f t="array" aca="1" ref="G13" ca="1">IFERROR(IF(OR('Raw Data'!G13="",LEN(TRIM('Raw Data'!G13))=0),"",IF(AND(ISNUMBER('Raw Data'!G13), IFERROR('Raw Data'!G13 = ROUND('Raw Data'!G13, 2),FALSE)),"",_xlfn.REGEXEXTRACT(CELL("address",G13), "\$([A-Z]+)\$[0-9]+"))),_xlfn.REGEXEXTRACT(CELL("address",G13), "\$([A-Z]+)\$[0-9]+"))</f>
        <v/>
      </c>
      <c r="H13" s="7" t="str" cm="1">
        <f t="array" aca="1" ref="H13" ca="1">IFERROR(IF(OR('Raw Data'!H13="",LEN(TRIM('Raw Data'!H13))=0),"",IF(AND(ISNUMBER('Raw Data'!H13), IFERROR('Raw Data'!H13 = ROUND('Raw Data'!H13, 2),FALSE)),"",_xlfn.REGEXEXTRACT(CELL("address",H13), "\$([A-Z]+)\$[0-9]+"))),_xlfn.REGEXEXTRACT(CELL("address",H13), "\$([A-Z]+)\$[0-9]+"))</f>
        <v/>
      </c>
      <c r="I13" s="7" t="str" cm="1">
        <f t="array" aca="1" ref="I13" ca="1">IFERROR(IF(OR('Raw Data'!I13="",LEN(TRIM('Raw Data'!I13))=0),"",IF(AND(LEN('Raw Data'!I13) &lt;= 50,LEN('Raw Data'!I13)&gt; 0),"",_xlfn.REGEXEXTRACT(CELL("address",'Raw Data'!I13),"\$([A-Z]+)\$[0-9]+"))),_xlfn.REGEXEXTRACT(CELL("address",'Raw Data'!I13),"\$([A-Z]+)\$[0-9]+"))</f>
        <v/>
      </c>
      <c r="J13" s="7" t="str" cm="1">
        <f t="array" aca="1" ref="J13" ca="1">IFERROR(IF(OR('Raw Data'!J13="",LEN(TRIM('Raw Data'!J13))=0),"",IF(AND(ISNUMBER('Raw Data'!J13),'Raw Data'!J13&gt;=Configuration!$D$2),"",_xlfn.REGEXEXTRACT(CELL("address",'Raw Data'!J13),"\$([A-Z]+)\$[0-9]+"))),_xlfn.REGEXEXTRACT(CELL("address",J13), "\$([A-Z]+)\$[0-9]+"))</f>
        <v/>
      </c>
      <c r="K13" s="7" t="str" cm="1">
        <f t="array" aca="1" ref="K13" ca="1">IFERROR(IF(OR('Raw Data'!K13="",LEN(TRIM('Raw Data'!K13))=0),"",IF(AND(ISNUMBER('Raw Data'!K13), IFERROR('Raw Data'!K13 = ROUND('Raw Data'!K13, 2),FALSE)),"",_xlfn.REGEXEXTRACT(CELL("address",K13), "\$([A-Z]+)\$[0-9]+"))),_xlfn.REGEXEXTRACT(CELL("address",K13), "\$([A-Z]+)\$[0-9]+"))</f>
        <v/>
      </c>
      <c r="L13" s="7" t="str" cm="1">
        <f t="array" aca="1" ref="L13" ca="1">IFERROR(IF(OR('Raw Data'!L13="",LEN(TRIM('Raw Data'!L13))=0),"",IF(AND(ISNUMBER('Raw Data'!L13), IFERROR('Raw Data'!L13 = ROUND('Raw Data'!L13, 2),FALSE)),"",_xlfn.REGEXEXTRACT(CELL("address",L13), "\$([A-Z]+)\$[0-9]+"))),_xlfn.REGEXEXTRACT(CELL("address",L13), "\$([A-Z]+)\$[0-9]+"))</f>
        <v/>
      </c>
      <c r="M13" s="7" t="str" cm="1">
        <f t="array" aca="1" ref="M13" ca="1">IFERROR(IF(OR('Raw Data'!M13="",LEN(TRIM('Raw Data'!M13))=0),"",IF(AND(ISNUMBER('Raw Data'!M13), IFERROR('Raw Data'!M13 = ROUND('Raw Data'!M13, 2),FALSE)),"",_xlfn.REGEXEXTRACT(CELL("address",M13), "\$([A-Z]+)\$[0-9]+"))),_xlfn.REGEXEXTRACT(CELL("address",M13), "\$([A-Z]+)\$[0-9]+"))</f>
        <v/>
      </c>
      <c r="N13" s="7" t="str" cm="1">
        <f t="array" aca="1" ref="N13" ca="1">IFERROR(IF(OR('Raw Data'!N13="",LEN(TRIM('Raw Data'!N13))=0),"",IF(AND(ISNUMBER('Raw Data'!N13), IFERROR('Raw Data'!N13 = ROUND('Raw Data'!N13, 2),FALSE)),"",_xlfn.REGEXEXTRACT(CELL("address",N13), "\$([A-Z]+)\$[0-9]+"))),_xlfn.REGEXEXTRACT(CELL("address",N13), "\$([A-Z]+)\$[0-9]+"))</f>
        <v/>
      </c>
      <c r="O13" s="7" t="str" cm="1">
        <f t="array" aca="1" ref="O13" ca="1">IFERROR(IF(OR('Raw Data'!O13="",LEN(TRIM('Raw Data'!O13))=0),"",IF(AND(ISNUMBER('Raw Data'!O13), IFERROR('Raw Data'!O13 = ROUND('Raw Data'!O13, 2),FALSE)),"",_xlfn.REGEXEXTRACT(CELL("address",O13), "\$([A-Z]+)\$[0-9]+"))),_xlfn.REGEXEXTRACT(CELL("address",O13), "\$([A-Z]+)\$[0-9]+"))</f>
        <v/>
      </c>
      <c r="P13" s="7" t="str" cm="1">
        <f t="array" aca="1" ref="P13" ca="1">IFERROR(IF(OR('Raw Data'!P13="",LEN(TRIM('Raw Data'!P13))=0),"",IF(AND(ISNUMBER('Raw Data'!P13),'Raw Data'!P13&gt;=Configuration!$D$2),"",_xlfn.REGEXEXTRACT(CELL("address",'Raw Data'!P13),"\$([A-Z]+)\$[0-9]+"))),_xlfn.REGEXEXTRACT(CELL("address",P13), "\$([A-Z]+)\$[0-9]+"))</f>
        <v/>
      </c>
      <c r="Q13" s="7" t="str" cm="1">
        <f t="array" aca="1" ref="Q13" ca="1">IFERROR(IF(OR('Raw Data'!Q13="",LEN(TRIM('Raw Data'!Q13))=0),"",IF(AND(ISNUMBER('Raw Data'!Q13),'Raw Data'!Q13&gt;=Configuration!$D$2),"",_xlfn.REGEXEXTRACT(CELL("address",'Raw Data'!Q13),"\$([A-Z]+)\$[0-9]+"))),_xlfn.REGEXEXTRACT(CELL("address",Q13), "\$([A-Z]+)\$[0-9]+"))</f>
        <v/>
      </c>
      <c r="R13" s="7" t="str" cm="1">
        <f t="array" aca="1" ref="R13" ca="1">IFERROR(IF(OR('Raw Data'!R13="",LEN(TRIM('Raw Data'!R13))=0),"",IF(AND(ISNUMBER('Raw Data'!R13), IFERROR('Raw Data'!R13 = ROUND('Raw Data'!R13, 2),FALSE)),"",_xlfn.REGEXEXTRACT(CELL("address",R13), "\$([A-Z]+)\$[0-9]+"))),_xlfn.REGEXEXTRACT(CELL("address",R13), "\$([A-Z]+)\$[0-9]+"))</f>
        <v/>
      </c>
      <c r="S13" s="7" t="str" cm="1">
        <f t="array" aca="1" ref="S13" ca="1">IFERROR(IF(OR('Raw Data'!S13="",LEN(TRIM('Raw Data'!S13))=0),"",IF(AND(ISNUMBER('Raw Data'!S13), IFERROR('Raw Data'!S13 = ROUND('Raw Data'!S13, 2),FALSE)),"",_xlfn.REGEXEXTRACT(CELL("address",S13), "\$([A-Z]+)\$[0-9]+"))),_xlfn.REGEXEXTRACT(CELL("address",S13), "\$([A-Z]+)\$[0-9]+"))</f>
        <v/>
      </c>
      <c r="T13" s="7" t="str" cm="1">
        <f t="array" aca="1" ref="T13" ca="1">IFERROR(IF(OR('Raw Data'!T13="",LEN(TRIM('Raw Data'!T13))=0),"",IF(AND(ISNUMBER('Raw Data'!T13), IFERROR('Raw Data'!T13 = ROUND('Raw Data'!T13, 2),FALSE)),"",_xlfn.REGEXEXTRACT(CELL("address",T13), "\$([A-Z]+)\$[0-9]+"))),_xlfn.REGEXEXTRACT(CELL("address",T13), "\$([A-Z]+)\$[0-9]+"))</f>
        <v/>
      </c>
      <c r="U13" s="7" t="str" cm="1">
        <f t="array" aca="1" ref="U13" ca="1">IFERROR(IF(OR('Raw Data'!U13="",LEN(TRIM('Raw Data'!U13))=0),"",IF(AND(LEN('Raw Data'!U13) &lt;= 5,LEN('Raw Data'!U13)&gt; 0),"",_xlfn.REGEXEXTRACT(CELL("address",'Raw Data'!U13),"\$([A-Z]+)\$[0-9]+"))),_xlfn.REGEXEXTRACT(CELL("address",'Raw Data'!U13),"\$([A-Z]+)\$[0-9]+"))</f>
        <v/>
      </c>
      <c r="V13" s="7" t="str" cm="1">
        <f t="array" aca="1" ref="V13" ca="1">IFERROR(IF(OR('Raw Data'!V13="",LEN(TRIM('Raw Data'!V13))=0),"",IF(AND(ISNUMBER('Raw Data'!V13), IFERROR('Raw Data'!V13 = ROUND('Raw Data'!V13, 2),FALSE)),"",_xlfn.REGEXEXTRACT(CELL("address",V13), "\$([A-Z]+)\$[0-9]+"))),_xlfn.REGEXEXTRACT(CELL("address",V13), "\$([A-Z]+)\$[0-9]+"))</f>
        <v/>
      </c>
      <c r="W13" s="7" t="str" cm="1">
        <f t="array" aca="1" ref="W13" ca="1">IFERROR(IF(OR('Raw Data'!W13="",LEN(TRIM('Raw Data'!W13))=0),"",IF(AND(ISNUMBER('Raw Data'!W13), IFERROR('Raw Data'!W13 = ROUND('Raw Data'!W13, 2),FALSE)),"",_xlfn.REGEXEXTRACT(CELL("address",W13), "\$([A-Z]+)\$[0-9]+"))),_xlfn.REGEXEXTRACT(CELL("address",W13), "\$([A-Z]+)\$[0-9]+"))</f>
        <v/>
      </c>
      <c r="X13" s="7" t="str" cm="1">
        <f t="array" aca="1" ref="X13" ca="1">IFERROR(IF(OR('Raw Data'!X13="",LEN(TRIM('Raw Data'!X13))=0),"",IF(AND(ISNUMBER('Raw Data'!X13), IFERROR('Raw Data'!X13 = ROUND('Raw Data'!X13, 2),FALSE)),"",_xlfn.REGEXEXTRACT(CELL("address",X13), "\$([A-Z]+)\$[0-9]+"))),_xlfn.REGEXEXTRACT(CELL("address",X13), "\$([A-Z]+)\$[0-9]+"))</f>
        <v/>
      </c>
    </row>
    <row r="14" spans="2:24" x14ac:dyDescent="0.25">
      <c r="B14" s="7" t="str" cm="1">
        <f t="array" aca="1" ref="B14" ca="1">IFERROR(IF(OR('Raw Data'!B14="",LEN(TRIM('Raw Data'!B14))=0),"",IF(AND(LEN('Raw Data'!B14) &lt;= 50,LEN('Raw Data'!B14)&gt; 0),"",_xlfn.REGEXEXTRACT(CELL("address",'Raw Data'!B14),"\$([A-Z]+)\$[0-9]+"))),_xlfn.REGEXEXTRACT(CELL("address",'Raw Data'!B14),"\$([A-Z]+)\$[0-9]+"))</f>
        <v/>
      </c>
      <c r="C14" s="7" t="str" cm="1">
        <f t="array" aca="1" ref="C14" ca="1">IFERROR(IF(OR('Raw Data'!C14="",LEN(TRIM('Raw Data'!C14))=0),"",IF(AND(LEN('Raw Data'!C14) &lt;= 50,LEN('Raw Data'!C14)&gt; 0),"",_xlfn.REGEXEXTRACT(CELL("address",'Raw Data'!C14),"\$([A-Z]+)\$[0-9]+"))),_xlfn.REGEXEXTRACT(CELL("address",'Raw Data'!C14),"\$([A-Z]+)\$[0-9]+"))</f>
        <v/>
      </c>
      <c r="D14" s="7" t="str" cm="1">
        <f t="array" aca="1" ref="D14" ca="1">IFERROR(IF(OR('Raw Data'!D14="",LEN(TRIM('Raw Data'!D14))=0),"",IF(AND(LEN('Raw Data'!D14) &lt;= 255,LEN('Raw Data'!D14)&gt; 0),"",_xlfn.REGEXEXTRACT(CELL("address",'Raw Data'!D14),"\$([A-Z]+)\$[0-9]+"))),_xlfn.REGEXEXTRACT(CELL("address",'Raw Data'!D14),"\$([A-Z]+)\$[0-9]+"))</f>
        <v/>
      </c>
      <c r="E14" s="7" t="str" cm="1">
        <f t="array" aca="1" ref="E14" ca="1">IFERROR(IF(OR('Raw Data'!E14="",LEN(TRIM('Raw Data'!E14))=0),"",IF(AND(ISNUMBER('Raw Data'!E14),'Raw Data'!E14&gt;=Configuration!$D$2),"",_xlfn.REGEXEXTRACT(CELL("address",'Raw Data'!E14),"\$([A-Z]+)\$[0-9]+"))),_xlfn.REGEXEXTRACT(CELL("address",E14), "\$([A-Z]+)\$[0-9]+"))</f>
        <v/>
      </c>
      <c r="F14" s="7" t="str" cm="1">
        <f t="array" aca="1" ref="F14" ca="1">IFERROR(IF(OR('Raw Data'!F14="",LEN(TRIM('Raw Data'!F14))=0),"",IF(AND(LEN('Raw Data'!F14) &lt;= 20,LEN('Raw Data'!F14)&gt; 0),"",_xlfn.REGEXEXTRACT(CELL("address",'Raw Data'!F14),"\$([A-Z]+)\$[0-9]+"))),_xlfn.REGEXEXTRACT(CELL("address",'Raw Data'!F14),"\$([A-Z]+)\$[0-9]+"))</f>
        <v/>
      </c>
      <c r="G14" s="7" t="str" cm="1">
        <f t="array" aca="1" ref="G14" ca="1">IFERROR(IF(OR('Raw Data'!G14="",LEN(TRIM('Raw Data'!G14))=0),"",IF(AND(ISNUMBER('Raw Data'!G14), IFERROR('Raw Data'!G14 = ROUND('Raw Data'!G14, 2),FALSE)),"",_xlfn.REGEXEXTRACT(CELL("address",G14), "\$([A-Z]+)\$[0-9]+"))),_xlfn.REGEXEXTRACT(CELL("address",G14), "\$([A-Z]+)\$[0-9]+"))</f>
        <v/>
      </c>
      <c r="H14" s="7" t="str" cm="1">
        <f t="array" aca="1" ref="H14" ca="1">IFERROR(IF(OR('Raw Data'!H14="",LEN(TRIM('Raw Data'!H14))=0),"",IF(AND(ISNUMBER('Raw Data'!H14), IFERROR('Raw Data'!H14 = ROUND('Raw Data'!H14, 2),FALSE)),"",_xlfn.REGEXEXTRACT(CELL("address",H14), "\$([A-Z]+)\$[0-9]+"))),_xlfn.REGEXEXTRACT(CELL("address",H14), "\$([A-Z]+)\$[0-9]+"))</f>
        <v/>
      </c>
      <c r="I14" s="7" t="str" cm="1">
        <f t="array" aca="1" ref="I14" ca="1">IFERROR(IF(OR('Raw Data'!I14="",LEN(TRIM('Raw Data'!I14))=0),"",IF(AND(LEN('Raw Data'!I14) &lt;= 50,LEN('Raw Data'!I14)&gt; 0),"",_xlfn.REGEXEXTRACT(CELL("address",'Raw Data'!I14),"\$([A-Z]+)\$[0-9]+"))),_xlfn.REGEXEXTRACT(CELL("address",'Raw Data'!I14),"\$([A-Z]+)\$[0-9]+"))</f>
        <v/>
      </c>
      <c r="J14" s="7" t="str" cm="1">
        <f t="array" aca="1" ref="J14" ca="1">IFERROR(IF(OR('Raw Data'!J14="",LEN(TRIM('Raw Data'!J14))=0),"",IF(AND(ISNUMBER('Raw Data'!J14),'Raw Data'!J14&gt;=Configuration!$D$2),"",_xlfn.REGEXEXTRACT(CELL("address",'Raw Data'!J14),"\$([A-Z]+)\$[0-9]+"))),_xlfn.REGEXEXTRACT(CELL("address",J14), "\$([A-Z]+)\$[0-9]+"))</f>
        <v/>
      </c>
      <c r="K14" s="7" t="str" cm="1">
        <f t="array" aca="1" ref="K14" ca="1">IFERROR(IF(OR('Raw Data'!K14="",LEN(TRIM('Raw Data'!K14))=0),"",IF(AND(ISNUMBER('Raw Data'!K14), IFERROR('Raw Data'!K14 = ROUND('Raw Data'!K14, 2),FALSE)),"",_xlfn.REGEXEXTRACT(CELL("address",K14), "\$([A-Z]+)\$[0-9]+"))),_xlfn.REGEXEXTRACT(CELL("address",K14), "\$([A-Z]+)\$[0-9]+"))</f>
        <v/>
      </c>
      <c r="L14" s="7" t="str" cm="1">
        <f t="array" aca="1" ref="L14" ca="1">IFERROR(IF(OR('Raw Data'!L14="",LEN(TRIM('Raw Data'!L14))=0),"",IF(AND(ISNUMBER('Raw Data'!L14), IFERROR('Raw Data'!L14 = ROUND('Raw Data'!L14, 2),FALSE)),"",_xlfn.REGEXEXTRACT(CELL("address",L14), "\$([A-Z]+)\$[0-9]+"))),_xlfn.REGEXEXTRACT(CELL("address",L14), "\$([A-Z]+)\$[0-9]+"))</f>
        <v/>
      </c>
      <c r="M14" s="7" t="str" cm="1">
        <f t="array" aca="1" ref="M14" ca="1">IFERROR(IF(OR('Raw Data'!M14="",LEN(TRIM('Raw Data'!M14))=0),"",IF(AND(ISNUMBER('Raw Data'!M14), IFERROR('Raw Data'!M14 = ROUND('Raw Data'!M14, 2),FALSE)),"",_xlfn.REGEXEXTRACT(CELL("address",M14), "\$([A-Z]+)\$[0-9]+"))),_xlfn.REGEXEXTRACT(CELL("address",M14), "\$([A-Z]+)\$[0-9]+"))</f>
        <v/>
      </c>
      <c r="N14" s="7" t="str" cm="1">
        <f t="array" aca="1" ref="N14" ca="1">IFERROR(IF(OR('Raw Data'!N14="",LEN(TRIM('Raw Data'!N14))=0),"",IF(AND(ISNUMBER('Raw Data'!N14), IFERROR('Raw Data'!N14 = ROUND('Raw Data'!N14, 2),FALSE)),"",_xlfn.REGEXEXTRACT(CELL("address",N14), "\$([A-Z]+)\$[0-9]+"))),_xlfn.REGEXEXTRACT(CELL("address",N14), "\$([A-Z]+)\$[0-9]+"))</f>
        <v/>
      </c>
      <c r="O14" s="7" t="str" cm="1">
        <f t="array" aca="1" ref="O14" ca="1">IFERROR(IF(OR('Raw Data'!O14="",LEN(TRIM('Raw Data'!O14))=0),"",IF(AND(ISNUMBER('Raw Data'!O14), IFERROR('Raw Data'!O14 = ROUND('Raw Data'!O14, 2),FALSE)),"",_xlfn.REGEXEXTRACT(CELL("address",O14), "\$([A-Z]+)\$[0-9]+"))),_xlfn.REGEXEXTRACT(CELL("address",O14), "\$([A-Z]+)\$[0-9]+"))</f>
        <v/>
      </c>
      <c r="P14" s="7" t="str" cm="1">
        <f t="array" aca="1" ref="P14" ca="1">IFERROR(IF(OR('Raw Data'!P14="",LEN(TRIM('Raw Data'!P14))=0),"",IF(AND(ISNUMBER('Raw Data'!P14),'Raw Data'!P14&gt;=Configuration!$D$2),"",_xlfn.REGEXEXTRACT(CELL("address",'Raw Data'!P14),"\$([A-Z]+)\$[0-9]+"))),_xlfn.REGEXEXTRACT(CELL("address",P14), "\$([A-Z]+)\$[0-9]+"))</f>
        <v/>
      </c>
      <c r="Q14" s="7" t="str" cm="1">
        <f t="array" aca="1" ref="Q14" ca="1">IFERROR(IF(OR('Raw Data'!Q14="",LEN(TRIM('Raw Data'!Q14))=0),"",IF(AND(ISNUMBER('Raw Data'!Q14),'Raw Data'!Q14&gt;=Configuration!$D$2),"",_xlfn.REGEXEXTRACT(CELL("address",'Raw Data'!Q14),"\$([A-Z]+)\$[0-9]+"))),_xlfn.REGEXEXTRACT(CELL("address",Q14), "\$([A-Z]+)\$[0-9]+"))</f>
        <v/>
      </c>
      <c r="R14" s="7" t="str" cm="1">
        <f t="array" aca="1" ref="R14" ca="1">IFERROR(IF(OR('Raw Data'!R14="",LEN(TRIM('Raw Data'!R14))=0),"",IF(AND(ISNUMBER('Raw Data'!R14), IFERROR('Raw Data'!R14 = ROUND('Raw Data'!R14, 2),FALSE)),"",_xlfn.REGEXEXTRACT(CELL("address",R14), "\$([A-Z]+)\$[0-9]+"))),_xlfn.REGEXEXTRACT(CELL("address",R14), "\$([A-Z]+)\$[0-9]+"))</f>
        <v/>
      </c>
      <c r="S14" s="7" t="str" cm="1">
        <f t="array" aca="1" ref="S14" ca="1">IFERROR(IF(OR('Raw Data'!S14="",LEN(TRIM('Raw Data'!S14))=0),"",IF(AND(ISNUMBER('Raw Data'!S14), IFERROR('Raw Data'!S14 = ROUND('Raw Data'!S14, 2),FALSE)),"",_xlfn.REGEXEXTRACT(CELL("address",S14), "\$([A-Z]+)\$[0-9]+"))),_xlfn.REGEXEXTRACT(CELL("address",S14), "\$([A-Z]+)\$[0-9]+"))</f>
        <v/>
      </c>
      <c r="T14" s="7" t="str" cm="1">
        <f t="array" aca="1" ref="T14" ca="1">IFERROR(IF(OR('Raw Data'!T14="",LEN(TRIM('Raw Data'!T14))=0),"",IF(AND(ISNUMBER('Raw Data'!T14), IFERROR('Raw Data'!T14 = ROUND('Raw Data'!T14, 2),FALSE)),"",_xlfn.REGEXEXTRACT(CELL("address",T14), "\$([A-Z]+)\$[0-9]+"))),_xlfn.REGEXEXTRACT(CELL("address",T14), "\$([A-Z]+)\$[0-9]+"))</f>
        <v/>
      </c>
      <c r="U14" s="7" t="str" cm="1">
        <f t="array" aca="1" ref="U14" ca="1">IFERROR(IF(OR('Raw Data'!U14="",LEN(TRIM('Raw Data'!U14))=0),"",IF(AND(LEN('Raw Data'!U14) &lt;= 5,LEN('Raw Data'!U14)&gt; 0),"",_xlfn.REGEXEXTRACT(CELL("address",'Raw Data'!U14),"\$([A-Z]+)\$[0-9]+"))),_xlfn.REGEXEXTRACT(CELL("address",'Raw Data'!U14),"\$([A-Z]+)\$[0-9]+"))</f>
        <v/>
      </c>
      <c r="V14" s="7" t="str" cm="1">
        <f t="array" aca="1" ref="V14" ca="1">IFERROR(IF(OR('Raw Data'!V14="",LEN(TRIM('Raw Data'!V14))=0),"",IF(AND(ISNUMBER('Raw Data'!V14), IFERROR('Raw Data'!V14 = ROUND('Raw Data'!V14, 2),FALSE)),"",_xlfn.REGEXEXTRACT(CELL("address",V14), "\$([A-Z]+)\$[0-9]+"))),_xlfn.REGEXEXTRACT(CELL("address",V14), "\$([A-Z]+)\$[0-9]+"))</f>
        <v/>
      </c>
      <c r="W14" s="7" t="str" cm="1">
        <f t="array" aca="1" ref="W14" ca="1">IFERROR(IF(OR('Raw Data'!W14="",LEN(TRIM('Raw Data'!W14))=0),"",IF(AND(ISNUMBER('Raw Data'!W14), IFERROR('Raw Data'!W14 = ROUND('Raw Data'!W14, 2),FALSE)),"",_xlfn.REGEXEXTRACT(CELL("address",W14), "\$([A-Z]+)\$[0-9]+"))),_xlfn.REGEXEXTRACT(CELL("address",W14), "\$([A-Z]+)\$[0-9]+"))</f>
        <v/>
      </c>
      <c r="X14" s="7" t="str" cm="1">
        <f t="array" aca="1" ref="X14" ca="1">IFERROR(IF(OR('Raw Data'!X14="",LEN(TRIM('Raw Data'!X14))=0),"",IF(AND(ISNUMBER('Raw Data'!X14), IFERROR('Raw Data'!X14 = ROUND('Raw Data'!X14, 2),FALSE)),"",_xlfn.REGEXEXTRACT(CELL("address",X14), "\$([A-Z]+)\$[0-9]+"))),_xlfn.REGEXEXTRACT(CELL("address",X14), "\$([A-Z]+)\$[0-9]+"))</f>
        <v/>
      </c>
    </row>
    <row r="15" spans="2:24" x14ac:dyDescent="0.25">
      <c r="B15" s="7" t="str" cm="1">
        <f t="array" aca="1" ref="B15" ca="1">IFERROR(IF(OR('Raw Data'!B15="",LEN(TRIM('Raw Data'!B15))=0),"",IF(AND(LEN('Raw Data'!B15) &lt;= 50,LEN('Raw Data'!B15)&gt; 0),"",_xlfn.REGEXEXTRACT(CELL("address",'Raw Data'!B15),"\$([A-Z]+)\$[0-9]+"))),_xlfn.REGEXEXTRACT(CELL("address",'Raw Data'!B15),"\$([A-Z]+)\$[0-9]+"))</f>
        <v/>
      </c>
      <c r="C15" s="7" t="str" cm="1">
        <f t="array" aca="1" ref="C15" ca="1">IFERROR(IF(OR('Raw Data'!C15="",LEN(TRIM('Raw Data'!C15))=0),"",IF(AND(LEN('Raw Data'!C15) &lt;= 50,LEN('Raw Data'!C15)&gt; 0),"",_xlfn.REGEXEXTRACT(CELL("address",'Raw Data'!C15),"\$([A-Z]+)\$[0-9]+"))),_xlfn.REGEXEXTRACT(CELL("address",'Raw Data'!C15),"\$([A-Z]+)\$[0-9]+"))</f>
        <v/>
      </c>
      <c r="D15" s="7" t="str" cm="1">
        <f t="array" aca="1" ref="D15" ca="1">IFERROR(IF(OR('Raw Data'!D15="",LEN(TRIM('Raw Data'!D15))=0),"",IF(AND(LEN('Raw Data'!D15) &lt;= 255,LEN('Raw Data'!D15)&gt; 0),"",_xlfn.REGEXEXTRACT(CELL("address",'Raw Data'!D15),"\$([A-Z]+)\$[0-9]+"))),_xlfn.REGEXEXTRACT(CELL("address",'Raw Data'!D15),"\$([A-Z]+)\$[0-9]+"))</f>
        <v/>
      </c>
      <c r="E15" s="7" t="str" cm="1">
        <f t="array" aca="1" ref="E15" ca="1">IFERROR(IF(OR('Raw Data'!E15="",LEN(TRIM('Raw Data'!E15))=0),"",IF(AND(ISNUMBER('Raw Data'!E15),'Raw Data'!E15&gt;=Configuration!$D$2),"",_xlfn.REGEXEXTRACT(CELL("address",'Raw Data'!E15),"\$([A-Z]+)\$[0-9]+"))),_xlfn.REGEXEXTRACT(CELL("address",E15), "\$([A-Z]+)\$[0-9]+"))</f>
        <v/>
      </c>
      <c r="F15" s="7" t="str" cm="1">
        <f t="array" aca="1" ref="F15" ca="1">IFERROR(IF(OR('Raw Data'!F15="",LEN(TRIM('Raw Data'!F15))=0),"",IF(AND(LEN('Raw Data'!F15) &lt;= 20,LEN('Raw Data'!F15)&gt; 0),"",_xlfn.REGEXEXTRACT(CELL("address",'Raw Data'!F15),"\$([A-Z]+)\$[0-9]+"))),_xlfn.REGEXEXTRACT(CELL("address",'Raw Data'!F15),"\$([A-Z]+)\$[0-9]+"))</f>
        <v/>
      </c>
      <c r="G15" s="7" t="str" cm="1">
        <f t="array" aca="1" ref="G15" ca="1">IFERROR(IF(OR('Raw Data'!G15="",LEN(TRIM('Raw Data'!G15))=0),"",IF(AND(ISNUMBER('Raw Data'!G15), IFERROR('Raw Data'!G15 = ROUND('Raw Data'!G15, 2),FALSE)),"",_xlfn.REGEXEXTRACT(CELL("address",G15), "\$([A-Z]+)\$[0-9]+"))),_xlfn.REGEXEXTRACT(CELL("address",G15), "\$([A-Z]+)\$[0-9]+"))</f>
        <v/>
      </c>
      <c r="H15" s="7" t="str" cm="1">
        <f t="array" aca="1" ref="H15" ca="1">IFERROR(IF(OR('Raw Data'!H15="",LEN(TRIM('Raw Data'!H15))=0),"",IF(AND(ISNUMBER('Raw Data'!H15), IFERROR('Raw Data'!H15 = ROUND('Raw Data'!H15, 2),FALSE)),"",_xlfn.REGEXEXTRACT(CELL("address",H15), "\$([A-Z]+)\$[0-9]+"))),_xlfn.REGEXEXTRACT(CELL("address",H15), "\$([A-Z]+)\$[0-9]+"))</f>
        <v/>
      </c>
      <c r="I15" s="7" t="str" cm="1">
        <f t="array" aca="1" ref="I15" ca="1">IFERROR(IF(OR('Raw Data'!I15="",LEN(TRIM('Raw Data'!I15))=0),"",IF(AND(LEN('Raw Data'!I15) &lt;= 50,LEN('Raw Data'!I15)&gt; 0),"",_xlfn.REGEXEXTRACT(CELL("address",'Raw Data'!I15),"\$([A-Z]+)\$[0-9]+"))),_xlfn.REGEXEXTRACT(CELL("address",'Raw Data'!I15),"\$([A-Z]+)\$[0-9]+"))</f>
        <v/>
      </c>
      <c r="J15" s="7" t="str" cm="1">
        <f t="array" aca="1" ref="J15" ca="1">IFERROR(IF(OR('Raw Data'!J15="",LEN(TRIM('Raw Data'!J15))=0),"",IF(AND(ISNUMBER('Raw Data'!J15),'Raw Data'!J15&gt;=Configuration!$D$2),"",_xlfn.REGEXEXTRACT(CELL("address",'Raw Data'!J15),"\$([A-Z]+)\$[0-9]+"))),_xlfn.REGEXEXTRACT(CELL("address",J15), "\$([A-Z]+)\$[0-9]+"))</f>
        <v/>
      </c>
      <c r="K15" s="7" t="str" cm="1">
        <f t="array" aca="1" ref="K15" ca="1">IFERROR(IF(OR('Raw Data'!K15="",LEN(TRIM('Raw Data'!K15))=0),"",IF(AND(ISNUMBER('Raw Data'!K15), IFERROR('Raw Data'!K15 = ROUND('Raw Data'!K15, 2),FALSE)),"",_xlfn.REGEXEXTRACT(CELL("address",K15), "\$([A-Z]+)\$[0-9]+"))),_xlfn.REGEXEXTRACT(CELL("address",K15), "\$([A-Z]+)\$[0-9]+"))</f>
        <v/>
      </c>
      <c r="L15" s="7" t="str" cm="1">
        <f t="array" aca="1" ref="L15" ca="1">IFERROR(IF(OR('Raw Data'!L15="",LEN(TRIM('Raw Data'!L15))=0),"",IF(AND(ISNUMBER('Raw Data'!L15), IFERROR('Raw Data'!L15 = ROUND('Raw Data'!L15, 2),FALSE)),"",_xlfn.REGEXEXTRACT(CELL("address",L15), "\$([A-Z]+)\$[0-9]+"))),_xlfn.REGEXEXTRACT(CELL("address",L15), "\$([A-Z]+)\$[0-9]+"))</f>
        <v/>
      </c>
      <c r="M15" s="7" t="str" cm="1">
        <f t="array" aca="1" ref="M15" ca="1">IFERROR(IF(OR('Raw Data'!M15="",LEN(TRIM('Raw Data'!M15))=0),"",IF(AND(ISNUMBER('Raw Data'!M15), IFERROR('Raw Data'!M15 = ROUND('Raw Data'!M15, 2),FALSE)),"",_xlfn.REGEXEXTRACT(CELL("address",M15), "\$([A-Z]+)\$[0-9]+"))),_xlfn.REGEXEXTRACT(CELL("address",M15), "\$([A-Z]+)\$[0-9]+"))</f>
        <v/>
      </c>
      <c r="N15" s="7" t="str" cm="1">
        <f t="array" aca="1" ref="N15" ca="1">IFERROR(IF(OR('Raw Data'!N15="",LEN(TRIM('Raw Data'!N15))=0),"",IF(AND(ISNUMBER('Raw Data'!N15), IFERROR('Raw Data'!N15 = ROUND('Raw Data'!N15, 2),FALSE)),"",_xlfn.REGEXEXTRACT(CELL("address",N15), "\$([A-Z]+)\$[0-9]+"))),_xlfn.REGEXEXTRACT(CELL("address",N15), "\$([A-Z]+)\$[0-9]+"))</f>
        <v/>
      </c>
      <c r="O15" s="7" t="str" cm="1">
        <f t="array" aca="1" ref="O15" ca="1">IFERROR(IF(OR('Raw Data'!O15="",LEN(TRIM('Raw Data'!O15))=0),"",IF(AND(ISNUMBER('Raw Data'!O15), IFERROR('Raw Data'!O15 = ROUND('Raw Data'!O15, 2),FALSE)),"",_xlfn.REGEXEXTRACT(CELL("address",O15), "\$([A-Z]+)\$[0-9]+"))),_xlfn.REGEXEXTRACT(CELL("address",O15), "\$([A-Z]+)\$[0-9]+"))</f>
        <v/>
      </c>
      <c r="P15" s="7" t="str" cm="1">
        <f t="array" aca="1" ref="P15" ca="1">IFERROR(IF(OR('Raw Data'!P15="",LEN(TRIM('Raw Data'!P15))=0),"",IF(AND(ISNUMBER('Raw Data'!P15),'Raw Data'!P15&gt;=Configuration!$D$2),"",_xlfn.REGEXEXTRACT(CELL("address",'Raw Data'!P15),"\$([A-Z]+)\$[0-9]+"))),_xlfn.REGEXEXTRACT(CELL("address",P15), "\$([A-Z]+)\$[0-9]+"))</f>
        <v/>
      </c>
      <c r="Q15" s="7" t="str" cm="1">
        <f t="array" aca="1" ref="Q15" ca="1">IFERROR(IF(OR('Raw Data'!Q15="",LEN(TRIM('Raw Data'!Q15))=0),"",IF(AND(ISNUMBER('Raw Data'!Q15),'Raw Data'!Q15&gt;=Configuration!$D$2),"",_xlfn.REGEXEXTRACT(CELL("address",'Raw Data'!Q15),"\$([A-Z]+)\$[0-9]+"))),_xlfn.REGEXEXTRACT(CELL("address",Q15), "\$([A-Z]+)\$[0-9]+"))</f>
        <v/>
      </c>
      <c r="R15" s="7" t="str" cm="1">
        <f t="array" aca="1" ref="R15" ca="1">IFERROR(IF(OR('Raw Data'!R15="",LEN(TRIM('Raw Data'!R15))=0),"",IF(AND(ISNUMBER('Raw Data'!R15), IFERROR('Raw Data'!R15 = ROUND('Raw Data'!R15, 2),FALSE)),"",_xlfn.REGEXEXTRACT(CELL("address",R15), "\$([A-Z]+)\$[0-9]+"))),_xlfn.REGEXEXTRACT(CELL("address",R15), "\$([A-Z]+)\$[0-9]+"))</f>
        <v/>
      </c>
      <c r="S15" s="7" t="str" cm="1">
        <f t="array" aca="1" ref="S15" ca="1">IFERROR(IF(OR('Raw Data'!S15="",LEN(TRIM('Raw Data'!S15))=0),"",IF(AND(ISNUMBER('Raw Data'!S15), IFERROR('Raw Data'!S15 = ROUND('Raw Data'!S15, 2),FALSE)),"",_xlfn.REGEXEXTRACT(CELL("address",S15), "\$([A-Z]+)\$[0-9]+"))),_xlfn.REGEXEXTRACT(CELL("address",S15), "\$([A-Z]+)\$[0-9]+"))</f>
        <v/>
      </c>
      <c r="T15" s="7" t="str" cm="1">
        <f t="array" aca="1" ref="T15" ca="1">IFERROR(IF(OR('Raw Data'!T15="",LEN(TRIM('Raw Data'!T15))=0),"",IF(AND(ISNUMBER('Raw Data'!T15), IFERROR('Raw Data'!T15 = ROUND('Raw Data'!T15, 2),FALSE)),"",_xlfn.REGEXEXTRACT(CELL("address",T15), "\$([A-Z]+)\$[0-9]+"))),_xlfn.REGEXEXTRACT(CELL("address",T15), "\$([A-Z]+)\$[0-9]+"))</f>
        <v/>
      </c>
      <c r="U15" s="7" t="str" cm="1">
        <f t="array" aca="1" ref="U15" ca="1">IFERROR(IF(OR('Raw Data'!U15="",LEN(TRIM('Raw Data'!U15))=0),"",IF(AND(LEN('Raw Data'!U15) &lt;= 5,LEN('Raw Data'!U15)&gt; 0),"",_xlfn.REGEXEXTRACT(CELL("address",'Raw Data'!U15),"\$([A-Z]+)\$[0-9]+"))),_xlfn.REGEXEXTRACT(CELL("address",'Raw Data'!U15),"\$([A-Z]+)\$[0-9]+"))</f>
        <v/>
      </c>
      <c r="V15" s="7" t="str" cm="1">
        <f t="array" aca="1" ref="V15" ca="1">IFERROR(IF(OR('Raw Data'!V15="",LEN(TRIM('Raw Data'!V15))=0),"",IF(AND(ISNUMBER('Raw Data'!V15), IFERROR('Raw Data'!V15 = ROUND('Raw Data'!V15, 2),FALSE)),"",_xlfn.REGEXEXTRACT(CELL("address",V15), "\$([A-Z]+)\$[0-9]+"))),_xlfn.REGEXEXTRACT(CELL("address",V15), "\$([A-Z]+)\$[0-9]+"))</f>
        <v/>
      </c>
      <c r="W15" s="7" t="str" cm="1">
        <f t="array" aca="1" ref="W15" ca="1">IFERROR(IF(OR('Raw Data'!W15="",LEN(TRIM('Raw Data'!W15))=0),"",IF(AND(ISNUMBER('Raw Data'!W15), IFERROR('Raw Data'!W15 = ROUND('Raw Data'!W15, 2),FALSE)),"",_xlfn.REGEXEXTRACT(CELL("address",W15), "\$([A-Z]+)\$[0-9]+"))),_xlfn.REGEXEXTRACT(CELL("address",W15), "\$([A-Z]+)\$[0-9]+"))</f>
        <v/>
      </c>
      <c r="X15" s="7" t="str" cm="1">
        <f t="array" aca="1" ref="X15" ca="1">IFERROR(IF(OR('Raw Data'!X15="",LEN(TRIM('Raw Data'!X15))=0),"",IF(AND(ISNUMBER('Raw Data'!X15), IFERROR('Raw Data'!X15 = ROUND('Raw Data'!X15, 2),FALSE)),"",_xlfn.REGEXEXTRACT(CELL("address",X15), "\$([A-Z]+)\$[0-9]+"))),_xlfn.REGEXEXTRACT(CELL("address",X15), "\$([A-Z]+)\$[0-9]+"))</f>
        <v/>
      </c>
    </row>
    <row r="16" spans="2:24" x14ac:dyDescent="0.25">
      <c r="B16" s="7" t="str" cm="1">
        <f t="array" aca="1" ref="B16" ca="1">IFERROR(IF(OR('Raw Data'!B16="",LEN(TRIM('Raw Data'!B16))=0),"",IF(AND(LEN('Raw Data'!B16) &lt;= 50,LEN('Raw Data'!B16)&gt; 0),"",_xlfn.REGEXEXTRACT(CELL("address",'Raw Data'!B16),"\$([A-Z]+)\$[0-9]+"))),_xlfn.REGEXEXTRACT(CELL("address",'Raw Data'!B16),"\$([A-Z]+)\$[0-9]+"))</f>
        <v/>
      </c>
      <c r="C16" s="7" t="str" cm="1">
        <f t="array" aca="1" ref="C16" ca="1">IFERROR(IF(OR('Raw Data'!C16="",LEN(TRIM('Raw Data'!C16))=0),"",IF(AND(LEN('Raw Data'!C16) &lt;= 50,LEN('Raw Data'!C16)&gt; 0),"",_xlfn.REGEXEXTRACT(CELL("address",'Raw Data'!C16),"\$([A-Z]+)\$[0-9]+"))),_xlfn.REGEXEXTRACT(CELL("address",'Raw Data'!C16),"\$([A-Z]+)\$[0-9]+"))</f>
        <v/>
      </c>
      <c r="D16" s="7" t="str" cm="1">
        <f t="array" aca="1" ref="D16" ca="1">IFERROR(IF(OR('Raw Data'!D16="",LEN(TRIM('Raw Data'!D16))=0),"",IF(AND(LEN('Raw Data'!D16) &lt;= 255,LEN('Raw Data'!D16)&gt; 0),"",_xlfn.REGEXEXTRACT(CELL("address",'Raw Data'!D16),"\$([A-Z]+)\$[0-9]+"))),_xlfn.REGEXEXTRACT(CELL("address",'Raw Data'!D16),"\$([A-Z]+)\$[0-9]+"))</f>
        <v/>
      </c>
      <c r="E16" s="7" t="str" cm="1">
        <f t="array" aca="1" ref="E16" ca="1">IFERROR(IF(OR('Raw Data'!E16="",LEN(TRIM('Raw Data'!E16))=0),"",IF(AND(ISNUMBER('Raw Data'!E16),'Raw Data'!E16&gt;=Configuration!$D$2),"",_xlfn.REGEXEXTRACT(CELL("address",'Raw Data'!E16),"\$([A-Z]+)\$[0-9]+"))),_xlfn.REGEXEXTRACT(CELL("address",E16), "\$([A-Z]+)\$[0-9]+"))</f>
        <v/>
      </c>
      <c r="F16" s="7" t="str" cm="1">
        <f t="array" aca="1" ref="F16" ca="1">IFERROR(IF(OR('Raw Data'!F16="",LEN(TRIM('Raw Data'!F16))=0),"",IF(AND(LEN('Raw Data'!F16) &lt;= 20,LEN('Raw Data'!F16)&gt; 0),"",_xlfn.REGEXEXTRACT(CELL("address",'Raw Data'!F16),"\$([A-Z]+)\$[0-9]+"))),_xlfn.REGEXEXTRACT(CELL("address",'Raw Data'!F16),"\$([A-Z]+)\$[0-9]+"))</f>
        <v/>
      </c>
      <c r="G16" s="7" t="str" cm="1">
        <f t="array" aca="1" ref="G16" ca="1">IFERROR(IF(OR('Raw Data'!G16="",LEN(TRIM('Raw Data'!G16))=0),"",IF(AND(ISNUMBER('Raw Data'!G16), IFERROR('Raw Data'!G16 = ROUND('Raw Data'!G16, 2),FALSE)),"",_xlfn.REGEXEXTRACT(CELL("address",G16), "\$([A-Z]+)\$[0-9]+"))),_xlfn.REGEXEXTRACT(CELL("address",G16), "\$([A-Z]+)\$[0-9]+"))</f>
        <v/>
      </c>
      <c r="H16" s="7" t="str" cm="1">
        <f t="array" aca="1" ref="H16" ca="1">IFERROR(IF(OR('Raw Data'!H16="",LEN(TRIM('Raw Data'!H16))=0),"",IF(AND(ISNUMBER('Raw Data'!H16), IFERROR('Raw Data'!H16 = ROUND('Raw Data'!H16, 2),FALSE)),"",_xlfn.REGEXEXTRACT(CELL("address",H16), "\$([A-Z]+)\$[0-9]+"))),_xlfn.REGEXEXTRACT(CELL("address",H16), "\$([A-Z]+)\$[0-9]+"))</f>
        <v/>
      </c>
      <c r="I16" s="7" t="str" cm="1">
        <f t="array" aca="1" ref="I16" ca="1">IFERROR(IF(OR('Raw Data'!I16="",LEN(TRIM('Raw Data'!I16))=0),"",IF(AND(LEN('Raw Data'!I16) &lt;= 50,LEN('Raw Data'!I16)&gt; 0),"",_xlfn.REGEXEXTRACT(CELL("address",'Raw Data'!I16),"\$([A-Z]+)\$[0-9]+"))),_xlfn.REGEXEXTRACT(CELL("address",'Raw Data'!I16),"\$([A-Z]+)\$[0-9]+"))</f>
        <v/>
      </c>
      <c r="J16" s="7" t="str" cm="1">
        <f t="array" aca="1" ref="J16" ca="1">IFERROR(IF(OR('Raw Data'!J16="",LEN(TRIM('Raw Data'!J16))=0),"",IF(AND(ISNUMBER('Raw Data'!J16),'Raw Data'!J16&gt;=Configuration!$D$2),"",_xlfn.REGEXEXTRACT(CELL("address",'Raw Data'!J16),"\$([A-Z]+)\$[0-9]+"))),_xlfn.REGEXEXTRACT(CELL("address",J16), "\$([A-Z]+)\$[0-9]+"))</f>
        <v/>
      </c>
      <c r="K16" s="7" t="str" cm="1">
        <f t="array" aca="1" ref="K16" ca="1">IFERROR(IF(OR('Raw Data'!K16="",LEN(TRIM('Raw Data'!K16))=0),"",IF(AND(ISNUMBER('Raw Data'!K16), IFERROR('Raw Data'!K16 = ROUND('Raw Data'!K16, 2),FALSE)),"",_xlfn.REGEXEXTRACT(CELL("address",K16), "\$([A-Z]+)\$[0-9]+"))),_xlfn.REGEXEXTRACT(CELL("address",K16), "\$([A-Z]+)\$[0-9]+"))</f>
        <v/>
      </c>
      <c r="L16" s="7" t="str" cm="1">
        <f t="array" aca="1" ref="L16" ca="1">IFERROR(IF(OR('Raw Data'!L16="",LEN(TRIM('Raw Data'!L16))=0),"",IF(AND(ISNUMBER('Raw Data'!L16), IFERROR('Raw Data'!L16 = ROUND('Raw Data'!L16, 2),FALSE)),"",_xlfn.REGEXEXTRACT(CELL("address",L16), "\$([A-Z]+)\$[0-9]+"))),_xlfn.REGEXEXTRACT(CELL("address",L16), "\$([A-Z]+)\$[0-9]+"))</f>
        <v/>
      </c>
      <c r="M16" s="7" t="str" cm="1">
        <f t="array" aca="1" ref="M16" ca="1">IFERROR(IF(OR('Raw Data'!M16="",LEN(TRIM('Raw Data'!M16))=0),"",IF(AND(ISNUMBER('Raw Data'!M16), IFERROR('Raw Data'!M16 = ROUND('Raw Data'!M16, 2),FALSE)),"",_xlfn.REGEXEXTRACT(CELL("address",M16), "\$([A-Z]+)\$[0-9]+"))),_xlfn.REGEXEXTRACT(CELL("address",M16), "\$([A-Z]+)\$[0-9]+"))</f>
        <v/>
      </c>
      <c r="N16" s="7" t="str" cm="1">
        <f t="array" aca="1" ref="N16" ca="1">IFERROR(IF(OR('Raw Data'!N16="",LEN(TRIM('Raw Data'!N16))=0),"",IF(AND(ISNUMBER('Raw Data'!N16), IFERROR('Raw Data'!N16 = ROUND('Raw Data'!N16, 2),FALSE)),"",_xlfn.REGEXEXTRACT(CELL("address",N16), "\$([A-Z]+)\$[0-9]+"))),_xlfn.REGEXEXTRACT(CELL("address",N16), "\$([A-Z]+)\$[0-9]+"))</f>
        <v/>
      </c>
      <c r="O16" s="7" t="str" cm="1">
        <f t="array" aca="1" ref="O16" ca="1">IFERROR(IF(OR('Raw Data'!O16="",LEN(TRIM('Raw Data'!O16))=0),"",IF(AND(ISNUMBER('Raw Data'!O16), IFERROR('Raw Data'!O16 = ROUND('Raw Data'!O16, 2),FALSE)),"",_xlfn.REGEXEXTRACT(CELL("address",O16), "\$([A-Z]+)\$[0-9]+"))),_xlfn.REGEXEXTRACT(CELL("address",O16), "\$([A-Z]+)\$[0-9]+"))</f>
        <v/>
      </c>
      <c r="P16" s="7" t="str" cm="1">
        <f t="array" aca="1" ref="P16" ca="1">IFERROR(IF(OR('Raw Data'!P16="",LEN(TRIM('Raw Data'!P16))=0),"",IF(AND(ISNUMBER('Raw Data'!P16),'Raw Data'!P16&gt;=Configuration!$D$2),"",_xlfn.REGEXEXTRACT(CELL("address",'Raw Data'!P16),"\$([A-Z]+)\$[0-9]+"))),_xlfn.REGEXEXTRACT(CELL("address",P16), "\$([A-Z]+)\$[0-9]+"))</f>
        <v/>
      </c>
      <c r="Q16" s="7" t="str" cm="1">
        <f t="array" aca="1" ref="Q16" ca="1">IFERROR(IF(OR('Raw Data'!Q16="",LEN(TRIM('Raw Data'!Q16))=0),"",IF(AND(ISNUMBER('Raw Data'!Q16),'Raw Data'!Q16&gt;=Configuration!$D$2),"",_xlfn.REGEXEXTRACT(CELL("address",'Raw Data'!Q16),"\$([A-Z]+)\$[0-9]+"))),_xlfn.REGEXEXTRACT(CELL("address",Q16), "\$([A-Z]+)\$[0-9]+"))</f>
        <v/>
      </c>
      <c r="R16" s="7" t="str" cm="1">
        <f t="array" aca="1" ref="R16" ca="1">IFERROR(IF(OR('Raw Data'!R16="",LEN(TRIM('Raw Data'!R16))=0),"",IF(AND(ISNUMBER('Raw Data'!R16), IFERROR('Raw Data'!R16 = ROUND('Raw Data'!R16, 2),FALSE)),"",_xlfn.REGEXEXTRACT(CELL("address",R16), "\$([A-Z]+)\$[0-9]+"))),_xlfn.REGEXEXTRACT(CELL("address",R16), "\$([A-Z]+)\$[0-9]+"))</f>
        <v/>
      </c>
      <c r="S16" s="7" t="str" cm="1">
        <f t="array" aca="1" ref="S16" ca="1">IFERROR(IF(OR('Raw Data'!S16="",LEN(TRIM('Raw Data'!S16))=0),"",IF(AND(ISNUMBER('Raw Data'!S16), IFERROR('Raw Data'!S16 = ROUND('Raw Data'!S16, 2),FALSE)),"",_xlfn.REGEXEXTRACT(CELL("address",S16), "\$([A-Z]+)\$[0-9]+"))),_xlfn.REGEXEXTRACT(CELL("address",S16), "\$([A-Z]+)\$[0-9]+"))</f>
        <v/>
      </c>
      <c r="T16" s="7" t="str" cm="1">
        <f t="array" aca="1" ref="T16" ca="1">IFERROR(IF(OR('Raw Data'!T16="",LEN(TRIM('Raw Data'!T16))=0),"",IF(AND(ISNUMBER('Raw Data'!T16), IFERROR('Raw Data'!T16 = ROUND('Raw Data'!T16, 2),FALSE)),"",_xlfn.REGEXEXTRACT(CELL("address",T16), "\$([A-Z]+)\$[0-9]+"))),_xlfn.REGEXEXTRACT(CELL("address",T16), "\$([A-Z]+)\$[0-9]+"))</f>
        <v/>
      </c>
      <c r="U16" s="7" t="str" cm="1">
        <f t="array" aca="1" ref="U16" ca="1">IFERROR(IF(OR('Raw Data'!U16="",LEN(TRIM('Raw Data'!U16))=0),"",IF(AND(LEN('Raw Data'!U16) &lt;= 5,LEN('Raw Data'!U16)&gt; 0),"",_xlfn.REGEXEXTRACT(CELL("address",'Raw Data'!U16),"\$([A-Z]+)\$[0-9]+"))),_xlfn.REGEXEXTRACT(CELL("address",'Raw Data'!U16),"\$([A-Z]+)\$[0-9]+"))</f>
        <v/>
      </c>
      <c r="V16" s="7" t="str" cm="1">
        <f t="array" aca="1" ref="V16" ca="1">IFERROR(IF(OR('Raw Data'!V16="",LEN(TRIM('Raw Data'!V16))=0),"",IF(AND(ISNUMBER('Raw Data'!V16), IFERROR('Raw Data'!V16 = ROUND('Raw Data'!V16, 2),FALSE)),"",_xlfn.REGEXEXTRACT(CELL("address",V16), "\$([A-Z]+)\$[0-9]+"))),_xlfn.REGEXEXTRACT(CELL("address",V16), "\$([A-Z]+)\$[0-9]+"))</f>
        <v/>
      </c>
      <c r="W16" s="7" t="str" cm="1">
        <f t="array" aca="1" ref="W16" ca="1">IFERROR(IF(OR('Raw Data'!W16="",LEN(TRIM('Raw Data'!W16))=0),"",IF(AND(ISNUMBER('Raw Data'!W16), IFERROR('Raw Data'!W16 = ROUND('Raw Data'!W16, 2),FALSE)),"",_xlfn.REGEXEXTRACT(CELL("address",W16), "\$([A-Z]+)\$[0-9]+"))),_xlfn.REGEXEXTRACT(CELL("address",W16), "\$([A-Z]+)\$[0-9]+"))</f>
        <v/>
      </c>
      <c r="X16" s="7" t="str" cm="1">
        <f t="array" aca="1" ref="X16" ca="1">IFERROR(IF(OR('Raw Data'!X16="",LEN(TRIM('Raw Data'!X16))=0),"",IF(AND(ISNUMBER('Raw Data'!X16), IFERROR('Raw Data'!X16 = ROUND('Raw Data'!X16, 2),FALSE)),"",_xlfn.REGEXEXTRACT(CELL("address",X16), "\$([A-Z]+)\$[0-9]+"))),_xlfn.REGEXEXTRACT(CELL("address",X16), "\$([A-Z]+)\$[0-9]+"))</f>
        <v/>
      </c>
    </row>
    <row r="17" spans="2:24" x14ac:dyDescent="0.25">
      <c r="B17" s="7" t="str" cm="1">
        <f t="array" aca="1" ref="B17" ca="1">IFERROR(IF(OR('Raw Data'!B17="",LEN(TRIM('Raw Data'!B17))=0),"",IF(AND(LEN('Raw Data'!B17) &lt;= 50,LEN('Raw Data'!B17)&gt; 0),"",_xlfn.REGEXEXTRACT(CELL("address",'Raw Data'!B17),"\$([A-Z]+)\$[0-9]+"))),_xlfn.REGEXEXTRACT(CELL("address",'Raw Data'!B17),"\$([A-Z]+)\$[0-9]+"))</f>
        <v/>
      </c>
      <c r="C17" s="7" t="str" cm="1">
        <f t="array" aca="1" ref="C17" ca="1">IFERROR(IF(OR('Raw Data'!C17="",LEN(TRIM('Raw Data'!C17))=0),"",IF(AND(LEN('Raw Data'!C17) &lt;= 50,LEN('Raw Data'!C17)&gt; 0),"",_xlfn.REGEXEXTRACT(CELL("address",'Raw Data'!C17),"\$([A-Z]+)\$[0-9]+"))),_xlfn.REGEXEXTRACT(CELL("address",'Raw Data'!C17),"\$([A-Z]+)\$[0-9]+"))</f>
        <v/>
      </c>
      <c r="D17" s="7" t="str" cm="1">
        <f t="array" aca="1" ref="D17" ca="1">IFERROR(IF(OR('Raw Data'!D17="",LEN(TRIM('Raw Data'!D17))=0),"",IF(AND(LEN('Raw Data'!D17) &lt;= 255,LEN('Raw Data'!D17)&gt; 0),"",_xlfn.REGEXEXTRACT(CELL("address",'Raw Data'!D17),"\$([A-Z]+)\$[0-9]+"))),_xlfn.REGEXEXTRACT(CELL("address",'Raw Data'!D17),"\$([A-Z]+)\$[0-9]+"))</f>
        <v/>
      </c>
      <c r="E17" s="7" t="str" cm="1">
        <f t="array" aca="1" ref="E17" ca="1">IFERROR(IF(OR('Raw Data'!E17="",LEN(TRIM('Raw Data'!E17))=0),"",IF(AND(ISNUMBER('Raw Data'!E17),'Raw Data'!E17&gt;=Configuration!$D$2),"",_xlfn.REGEXEXTRACT(CELL("address",'Raw Data'!E17),"\$([A-Z]+)\$[0-9]+"))),_xlfn.REGEXEXTRACT(CELL("address",E17), "\$([A-Z]+)\$[0-9]+"))</f>
        <v/>
      </c>
      <c r="F17" s="7" t="str" cm="1">
        <f t="array" aca="1" ref="F17" ca="1">IFERROR(IF(OR('Raw Data'!F17="",LEN(TRIM('Raw Data'!F17))=0),"",IF(AND(LEN('Raw Data'!F17) &lt;= 20,LEN('Raw Data'!F17)&gt; 0),"",_xlfn.REGEXEXTRACT(CELL("address",'Raw Data'!F17),"\$([A-Z]+)\$[0-9]+"))),_xlfn.REGEXEXTRACT(CELL("address",'Raw Data'!F17),"\$([A-Z]+)\$[0-9]+"))</f>
        <v/>
      </c>
      <c r="G17" s="7" t="str" cm="1">
        <f t="array" aca="1" ref="G17" ca="1">IFERROR(IF(OR('Raw Data'!G17="",LEN(TRIM('Raw Data'!G17))=0),"",IF(AND(ISNUMBER('Raw Data'!G17), IFERROR('Raw Data'!G17 = ROUND('Raw Data'!G17, 2),FALSE)),"",_xlfn.REGEXEXTRACT(CELL("address",G17), "\$([A-Z]+)\$[0-9]+"))),_xlfn.REGEXEXTRACT(CELL("address",G17), "\$([A-Z]+)\$[0-9]+"))</f>
        <v/>
      </c>
      <c r="H17" s="7" t="str" cm="1">
        <f t="array" aca="1" ref="H17" ca="1">IFERROR(IF(OR('Raw Data'!H17="",LEN(TRIM('Raw Data'!H17))=0),"",IF(AND(ISNUMBER('Raw Data'!H17), IFERROR('Raw Data'!H17 = ROUND('Raw Data'!H17, 2),FALSE)),"",_xlfn.REGEXEXTRACT(CELL("address",H17), "\$([A-Z]+)\$[0-9]+"))),_xlfn.REGEXEXTRACT(CELL("address",H17), "\$([A-Z]+)\$[0-9]+"))</f>
        <v/>
      </c>
      <c r="I17" s="7" t="str" cm="1">
        <f t="array" aca="1" ref="I17" ca="1">IFERROR(IF(OR('Raw Data'!I17="",LEN(TRIM('Raw Data'!I17))=0),"",IF(AND(LEN('Raw Data'!I17) &lt;= 50,LEN('Raw Data'!I17)&gt; 0),"",_xlfn.REGEXEXTRACT(CELL("address",'Raw Data'!I17),"\$([A-Z]+)\$[0-9]+"))),_xlfn.REGEXEXTRACT(CELL("address",'Raw Data'!I17),"\$([A-Z]+)\$[0-9]+"))</f>
        <v/>
      </c>
      <c r="J17" s="7" t="str" cm="1">
        <f t="array" aca="1" ref="J17" ca="1">IFERROR(IF(OR('Raw Data'!J17="",LEN(TRIM('Raw Data'!J17))=0),"",IF(AND(ISNUMBER('Raw Data'!J17),'Raw Data'!J17&gt;=Configuration!$D$2),"",_xlfn.REGEXEXTRACT(CELL("address",'Raw Data'!J17),"\$([A-Z]+)\$[0-9]+"))),_xlfn.REGEXEXTRACT(CELL("address",J17), "\$([A-Z]+)\$[0-9]+"))</f>
        <v/>
      </c>
      <c r="K17" s="7" t="str" cm="1">
        <f t="array" aca="1" ref="K17" ca="1">IFERROR(IF(OR('Raw Data'!K17="",LEN(TRIM('Raw Data'!K17))=0),"",IF(AND(ISNUMBER('Raw Data'!K17), IFERROR('Raw Data'!K17 = ROUND('Raw Data'!K17, 2),FALSE)),"",_xlfn.REGEXEXTRACT(CELL("address",K17), "\$([A-Z]+)\$[0-9]+"))),_xlfn.REGEXEXTRACT(CELL("address",K17), "\$([A-Z]+)\$[0-9]+"))</f>
        <v/>
      </c>
      <c r="L17" s="7" t="str" cm="1">
        <f t="array" aca="1" ref="L17" ca="1">IFERROR(IF(OR('Raw Data'!L17="",LEN(TRIM('Raw Data'!L17))=0),"",IF(AND(ISNUMBER('Raw Data'!L17), IFERROR('Raw Data'!L17 = ROUND('Raw Data'!L17, 2),FALSE)),"",_xlfn.REGEXEXTRACT(CELL("address",L17), "\$([A-Z]+)\$[0-9]+"))),_xlfn.REGEXEXTRACT(CELL("address",L17), "\$([A-Z]+)\$[0-9]+"))</f>
        <v/>
      </c>
      <c r="M17" s="7" t="str" cm="1">
        <f t="array" aca="1" ref="M17" ca="1">IFERROR(IF(OR('Raw Data'!M17="",LEN(TRIM('Raw Data'!M17))=0),"",IF(AND(ISNUMBER('Raw Data'!M17), IFERROR('Raw Data'!M17 = ROUND('Raw Data'!M17, 2),FALSE)),"",_xlfn.REGEXEXTRACT(CELL("address",M17), "\$([A-Z]+)\$[0-9]+"))),_xlfn.REGEXEXTRACT(CELL("address",M17), "\$([A-Z]+)\$[0-9]+"))</f>
        <v/>
      </c>
      <c r="N17" s="7" t="str" cm="1">
        <f t="array" aca="1" ref="N17" ca="1">IFERROR(IF(OR('Raw Data'!N17="",LEN(TRIM('Raw Data'!N17))=0),"",IF(AND(ISNUMBER('Raw Data'!N17), IFERROR('Raw Data'!N17 = ROUND('Raw Data'!N17, 2),FALSE)),"",_xlfn.REGEXEXTRACT(CELL("address",N17), "\$([A-Z]+)\$[0-9]+"))),_xlfn.REGEXEXTRACT(CELL("address",N17), "\$([A-Z]+)\$[0-9]+"))</f>
        <v/>
      </c>
      <c r="O17" s="7" t="str" cm="1">
        <f t="array" aca="1" ref="O17" ca="1">IFERROR(IF(OR('Raw Data'!O17="",LEN(TRIM('Raw Data'!O17))=0),"",IF(AND(ISNUMBER('Raw Data'!O17), IFERROR('Raw Data'!O17 = ROUND('Raw Data'!O17, 2),FALSE)),"",_xlfn.REGEXEXTRACT(CELL("address",O17), "\$([A-Z]+)\$[0-9]+"))),_xlfn.REGEXEXTRACT(CELL("address",O17), "\$([A-Z]+)\$[0-9]+"))</f>
        <v/>
      </c>
      <c r="P17" s="7" t="str" cm="1">
        <f t="array" aca="1" ref="P17" ca="1">IFERROR(IF(OR('Raw Data'!P17="",LEN(TRIM('Raw Data'!P17))=0),"",IF(AND(ISNUMBER('Raw Data'!P17),'Raw Data'!P17&gt;=Configuration!$D$2),"",_xlfn.REGEXEXTRACT(CELL("address",'Raw Data'!P17),"\$([A-Z]+)\$[0-9]+"))),_xlfn.REGEXEXTRACT(CELL("address",P17), "\$([A-Z]+)\$[0-9]+"))</f>
        <v/>
      </c>
      <c r="Q17" s="7" t="str" cm="1">
        <f t="array" aca="1" ref="Q17" ca="1">IFERROR(IF(OR('Raw Data'!Q17="",LEN(TRIM('Raw Data'!Q17))=0),"",IF(AND(ISNUMBER('Raw Data'!Q17),'Raw Data'!Q17&gt;=Configuration!$D$2),"",_xlfn.REGEXEXTRACT(CELL("address",'Raw Data'!Q17),"\$([A-Z]+)\$[0-9]+"))),_xlfn.REGEXEXTRACT(CELL("address",Q17), "\$([A-Z]+)\$[0-9]+"))</f>
        <v/>
      </c>
      <c r="R17" s="7" t="str" cm="1">
        <f t="array" aca="1" ref="R17" ca="1">IFERROR(IF(OR('Raw Data'!R17="",LEN(TRIM('Raw Data'!R17))=0),"",IF(AND(ISNUMBER('Raw Data'!R17), IFERROR('Raw Data'!R17 = ROUND('Raw Data'!R17, 2),FALSE)),"",_xlfn.REGEXEXTRACT(CELL("address",R17), "\$([A-Z]+)\$[0-9]+"))),_xlfn.REGEXEXTRACT(CELL("address",R17), "\$([A-Z]+)\$[0-9]+"))</f>
        <v/>
      </c>
      <c r="S17" s="7" t="str" cm="1">
        <f t="array" aca="1" ref="S17" ca="1">IFERROR(IF(OR('Raw Data'!S17="",LEN(TRIM('Raw Data'!S17))=0),"",IF(AND(ISNUMBER('Raw Data'!S17), IFERROR('Raw Data'!S17 = ROUND('Raw Data'!S17, 2),FALSE)),"",_xlfn.REGEXEXTRACT(CELL("address",S17), "\$([A-Z]+)\$[0-9]+"))),_xlfn.REGEXEXTRACT(CELL("address",S17), "\$([A-Z]+)\$[0-9]+"))</f>
        <v/>
      </c>
      <c r="T17" s="7" t="str" cm="1">
        <f t="array" aca="1" ref="T17" ca="1">IFERROR(IF(OR('Raw Data'!T17="",LEN(TRIM('Raw Data'!T17))=0),"",IF(AND(ISNUMBER('Raw Data'!T17), IFERROR('Raw Data'!T17 = ROUND('Raw Data'!T17, 2),FALSE)),"",_xlfn.REGEXEXTRACT(CELL("address",T17), "\$([A-Z]+)\$[0-9]+"))),_xlfn.REGEXEXTRACT(CELL("address",T17), "\$([A-Z]+)\$[0-9]+"))</f>
        <v/>
      </c>
      <c r="U17" s="7" t="str" cm="1">
        <f t="array" aca="1" ref="U17" ca="1">IFERROR(IF(OR('Raw Data'!U17="",LEN(TRIM('Raw Data'!U17))=0),"",IF(AND(LEN('Raw Data'!U17) &lt;= 5,LEN('Raw Data'!U17)&gt; 0),"",_xlfn.REGEXEXTRACT(CELL("address",'Raw Data'!U17),"\$([A-Z]+)\$[0-9]+"))),_xlfn.REGEXEXTRACT(CELL("address",'Raw Data'!U17),"\$([A-Z]+)\$[0-9]+"))</f>
        <v/>
      </c>
      <c r="V17" s="7" t="str" cm="1">
        <f t="array" aca="1" ref="V17" ca="1">IFERROR(IF(OR('Raw Data'!V17="",LEN(TRIM('Raw Data'!V17))=0),"",IF(AND(ISNUMBER('Raw Data'!V17), IFERROR('Raw Data'!V17 = ROUND('Raw Data'!V17, 2),FALSE)),"",_xlfn.REGEXEXTRACT(CELL("address",V17), "\$([A-Z]+)\$[0-9]+"))),_xlfn.REGEXEXTRACT(CELL("address",V17), "\$([A-Z]+)\$[0-9]+"))</f>
        <v/>
      </c>
      <c r="W17" s="7" t="str" cm="1">
        <f t="array" aca="1" ref="W17" ca="1">IFERROR(IF(OR('Raw Data'!W17="",LEN(TRIM('Raw Data'!W17))=0),"",IF(AND(ISNUMBER('Raw Data'!W17), IFERROR('Raw Data'!W17 = ROUND('Raw Data'!W17, 2),FALSE)),"",_xlfn.REGEXEXTRACT(CELL("address",W17), "\$([A-Z]+)\$[0-9]+"))),_xlfn.REGEXEXTRACT(CELL("address",W17), "\$([A-Z]+)\$[0-9]+"))</f>
        <v/>
      </c>
      <c r="X17" s="7" t="str" cm="1">
        <f t="array" aca="1" ref="X17" ca="1">IFERROR(IF(OR('Raw Data'!X17="",LEN(TRIM('Raw Data'!X17))=0),"",IF(AND(ISNUMBER('Raw Data'!X17), IFERROR('Raw Data'!X17 = ROUND('Raw Data'!X17, 2),FALSE)),"",_xlfn.REGEXEXTRACT(CELL("address",X17), "\$([A-Z]+)\$[0-9]+"))),_xlfn.REGEXEXTRACT(CELL("address",X17), "\$([A-Z]+)\$[0-9]+"))</f>
        <v/>
      </c>
    </row>
    <row r="18" spans="2:24" x14ac:dyDescent="0.25">
      <c r="B18" s="7" t="str" cm="1">
        <f t="array" aca="1" ref="B18" ca="1">IFERROR(IF(OR('Raw Data'!B18="",LEN(TRIM('Raw Data'!B18))=0),"",IF(AND(LEN('Raw Data'!B18) &lt;= 50,LEN('Raw Data'!B18)&gt; 0),"",_xlfn.REGEXEXTRACT(CELL("address",'Raw Data'!B18),"\$([A-Z]+)\$[0-9]+"))),_xlfn.REGEXEXTRACT(CELL("address",'Raw Data'!B18),"\$([A-Z]+)\$[0-9]+"))</f>
        <v/>
      </c>
      <c r="C18" s="7" t="str" cm="1">
        <f t="array" aca="1" ref="C18" ca="1">IFERROR(IF(OR('Raw Data'!C18="",LEN(TRIM('Raw Data'!C18))=0),"",IF(AND(LEN('Raw Data'!C18) &lt;= 50,LEN('Raw Data'!C18)&gt; 0),"",_xlfn.REGEXEXTRACT(CELL("address",'Raw Data'!C18),"\$([A-Z]+)\$[0-9]+"))),_xlfn.REGEXEXTRACT(CELL("address",'Raw Data'!C18),"\$([A-Z]+)\$[0-9]+"))</f>
        <v/>
      </c>
      <c r="D18" s="7" t="str" cm="1">
        <f t="array" aca="1" ref="D18" ca="1">IFERROR(IF(OR('Raw Data'!D18="",LEN(TRIM('Raw Data'!D18))=0),"",IF(AND(LEN('Raw Data'!D18) &lt;= 255,LEN('Raw Data'!D18)&gt; 0),"",_xlfn.REGEXEXTRACT(CELL("address",'Raw Data'!D18),"\$([A-Z]+)\$[0-9]+"))),_xlfn.REGEXEXTRACT(CELL("address",'Raw Data'!D18),"\$([A-Z]+)\$[0-9]+"))</f>
        <v/>
      </c>
      <c r="E18" s="7" t="str" cm="1">
        <f t="array" aca="1" ref="E18" ca="1">IFERROR(IF(OR('Raw Data'!E18="",LEN(TRIM('Raw Data'!E18))=0),"",IF(AND(ISNUMBER('Raw Data'!E18),'Raw Data'!E18&gt;=Configuration!$D$2),"",_xlfn.REGEXEXTRACT(CELL("address",'Raw Data'!E18),"\$([A-Z]+)\$[0-9]+"))),_xlfn.REGEXEXTRACT(CELL("address",E18), "\$([A-Z]+)\$[0-9]+"))</f>
        <v/>
      </c>
      <c r="F18" s="7" t="str" cm="1">
        <f t="array" aca="1" ref="F18" ca="1">IFERROR(IF(OR('Raw Data'!F18="",LEN(TRIM('Raw Data'!F18))=0),"",IF(AND(LEN('Raw Data'!F18) &lt;= 20,LEN('Raw Data'!F18)&gt; 0),"",_xlfn.REGEXEXTRACT(CELL("address",'Raw Data'!F18),"\$([A-Z]+)\$[0-9]+"))),_xlfn.REGEXEXTRACT(CELL("address",'Raw Data'!F18),"\$([A-Z]+)\$[0-9]+"))</f>
        <v/>
      </c>
      <c r="G18" s="7" t="str" cm="1">
        <f t="array" aca="1" ref="G18" ca="1">IFERROR(IF(OR('Raw Data'!G18="",LEN(TRIM('Raw Data'!G18))=0),"",IF(AND(ISNUMBER('Raw Data'!G18), IFERROR('Raw Data'!G18 = ROUND('Raw Data'!G18, 2),FALSE)),"",_xlfn.REGEXEXTRACT(CELL("address",G18), "\$([A-Z]+)\$[0-9]+"))),_xlfn.REGEXEXTRACT(CELL("address",G18), "\$([A-Z]+)\$[0-9]+"))</f>
        <v/>
      </c>
      <c r="H18" s="7" t="str" cm="1">
        <f t="array" aca="1" ref="H18" ca="1">IFERROR(IF(OR('Raw Data'!H18="",LEN(TRIM('Raw Data'!H18))=0),"",IF(AND(ISNUMBER('Raw Data'!H18), IFERROR('Raw Data'!H18 = ROUND('Raw Data'!H18, 2),FALSE)),"",_xlfn.REGEXEXTRACT(CELL("address",H18), "\$([A-Z]+)\$[0-9]+"))),_xlfn.REGEXEXTRACT(CELL("address",H18), "\$([A-Z]+)\$[0-9]+"))</f>
        <v/>
      </c>
      <c r="I18" s="7" t="str" cm="1">
        <f t="array" aca="1" ref="I18" ca="1">IFERROR(IF(OR('Raw Data'!I18="",LEN(TRIM('Raw Data'!I18))=0),"",IF(AND(LEN('Raw Data'!I18) &lt;= 50,LEN('Raw Data'!I18)&gt; 0),"",_xlfn.REGEXEXTRACT(CELL("address",'Raw Data'!I18),"\$([A-Z]+)\$[0-9]+"))),_xlfn.REGEXEXTRACT(CELL("address",'Raw Data'!I18),"\$([A-Z]+)\$[0-9]+"))</f>
        <v/>
      </c>
      <c r="J18" s="7" t="str" cm="1">
        <f t="array" aca="1" ref="J18" ca="1">IFERROR(IF(OR('Raw Data'!J18="",LEN(TRIM('Raw Data'!J18))=0),"",IF(AND(ISNUMBER('Raw Data'!J18),'Raw Data'!J18&gt;=Configuration!$D$2),"",_xlfn.REGEXEXTRACT(CELL("address",'Raw Data'!J18),"\$([A-Z]+)\$[0-9]+"))),_xlfn.REGEXEXTRACT(CELL("address",J18), "\$([A-Z]+)\$[0-9]+"))</f>
        <v/>
      </c>
      <c r="K18" s="7" t="str" cm="1">
        <f t="array" aca="1" ref="K18" ca="1">IFERROR(IF(OR('Raw Data'!K18="",LEN(TRIM('Raw Data'!K18))=0),"",IF(AND(ISNUMBER('Raw Data'!K18), IFERROR('Raw Data'!K18 = ROUND('Raw Data'!K18, 2),FALSE)),"",_xlfn.REGEXEXTRACT(CELL("address",K18), "\$([A-Z]+)\$[0-9]+"))),_xlfn.REGEXEXTRACT(CELL("address",K18), "\$([A-Z]+)\$[0-9]+"))</f>
        <v/>
      </c>
      <c r="L18" s="7" t="str" cm="1">
        <f t="array" aca="1" ref="L18" ca="1">IFERROR(IF(OR('Raw Data'!L18="",LEN(TRIM('Raw Data'!L18))=0),"",IF(AND(ISNUMBER('Raw Data'!L18), IFERROR('Raw Data'!L18 = ROUND('Raw Data'!L18, 2),FALSE)),"",_xlfn.REGEXEXTRACT(CELL("address",L18), "\$([A-Z]+)\$[0-9]+"))),_xlfn.REGEXEXTRACT(CELL("address",L18), "\$([A-Z]+)\$[0-9]+"))</f>
        <v/>
      </c>
      <c r="M18" s="7" t="str" cm="1">
        <f t="array" aca="1" ref="M18" ca="1">IFERROR(IF(OR('Raw Data'!M18="",LEN(TRIM('Raw Data'!M18))=0),"",IF(AND(ISNUMBER('Raw Data'!M18), IFERROR('Raw Data'!M18 = ROUND('Raw Data'!M18, 2),FALSE)),"",_xlfn.REGEXEXTRACT(CELL("address",M18), "\$([A-Z]+)\$[0-9]+"))),_xlfn.REGEXEXTRACT(CELL("address",M18), "\$([A-Z]+)\$[0-9]+"))</f>
        <v/>
      </c>
      <c r="N18" s="7" t="str" cm="1">
        <f t="array" aca="1" ref="N18" ca="1">IFERROR(IF(OR('Raw Data'!N18="",LEN(TRIM('Raw Data'!N18))=0),"",IF(AND(ISNUMBER('Raw Data'!N18), IFERROR('Raw Data'!N18 = ROUND('Raw Data'!N18, 2),FALSE)),"",_xlfn.REGEXEXTRACT(CELL("address",N18), "\$([A-Z]+)\$[0-9]+"))),_xlfn.REGEXEXTRACT(CELL("address",N18), "\$([A-Z]+)\$[0-9]+"))</f>
        <v/>
      </c>
      <c r="O18" s="7" t="str" cm="1">
        <f t="array" aca="1" ref="O18" ca="1">IFERROR(IF(OR('Raw Data'!O18="",LEN(TRIM('Raw Data'!O18))=0),"",IF(AND(ISNUMBER('Raw Data'!O18), IFERROR('Raw Data'!O18 = ROUND('Raw Data'!O18, 2),FALSE)),"",_xlfn.REGEXEXTRACT(CELL("address",O18), "\$([A-Z]+)\$[0-9]+"))),_xlfn.REGEXEXTRACT(CELL("address",O18), "\$([A-Z]+)\$[0-9]+"))</f>
        <v/>
      </c>
      <c r="P18" s="7" t="str" cm="1">
        <f t="array" aca="1" ref="P18" ca="1">IFERROR(IF(OR('Raw Data'!P18="",LEN(TRIM('Raw Data'!P18))=0),"",IF(AND(ISNUMBER('Raw Data'!P18),'Raw Data'!P18&gt;=Configuration!$D$2),"",_xlfn.REGEXEXTRACT(CELL("address",'Raw Data'!P18),"\$([A-Z]+)\$[0-9]+"))),_xlfn.REGEXEXTRACT(CELL("address",P18), "\$([A-Z]+)\$[0-9]+"))</f>
        <v/>
      </c>
      <c r="Q18" s="7" t="str" cm="1">
        <f t="array" aca="1" ref="Q18" ca="1">IFERROR(IF(OR('Raw Data'!Q18="",LEN(TRIM('Raw Data'!Q18))=0),"",IF(AND(ISNUMBER('Raw Data'!Q18),'Raw Data'!Q18&gt;=Configuration!$D$2),"",_xlfn.REGEXEXTRACT(CELL("address",'Raw Data'!Q18),"\$([A-Z]+)\$[0-9]+"))),_xlfn.REGEXEXTRACT(CELL("address",Q18), "\$([A-Z]+)\$[0-9]+"))</f>
        <v/>
      </c>
      <c r="R18" s="7" t="str" cm="1">
        <f t="array" aca="1" ref="R18" ca="1">IFERROR(IF(OR('Raw Data'!R18="",LEN(TRIM('Raw Data'!R18))=0),"",IF(AND(ISNUMBER('Raw Data'!R18), IFERROR('Raw Data'!R18 = ROUND('Raw Data'!R18, 2),FALSE)),"",_xlfn.REGEXEXTRACT(CELL("address",R18), "\$([A-Z]+)\$[0-9]+"))),_xlfn.REGEXEXTRACT(CELL("address",R18), "\$([A-Z]+)\$[0-9]+"))</f>
        <v/>
      </c>
      <c r="S18" s="7" t="str" cm="1">
        <f t="array" aca="1" ref="S18" ca="1">IFERROR(IF(OR('Raw Data'!S18="",LEN(TRIM('Raw Data'!S18))=0),"",IF(AND(ISNUMBER('Raw Data'!S18), IFERROR('Raw Data'!S18 = ROUND('Raw Data'!S18, 2),FALSE)),"",_xlfn.REGEXEXTRACT(CELL("address",S18), "\$([A-Z]+)\$[0-9]+"))),_xlfn.REGEXEXTRACT(CELL("address",S18), "\$([A-Z]+)\$[0-9]+"))</f>
        <v/>
      </c>
      <c r="T18" s="7" t="str" cm="1">
        <f t="array" aca="1" ref="T18" ca="1">IFERROR(IF(OR('Raw Data'!T18="",LEN(TRIM('Raw Data'!T18))=0),"",IF(AND(ISNUMBER('Raw Data'!T18), IFERROR('Raw Data'!T18 = ROUND('Raw Data'!T18, 2),FALSE)),"",_xlfn.REGEXEXTRACT(CELL("address",T18), "\$([A-Z]+)\$[0-9]+"))),_xlfn.REGEXEXTRACT(CELL("address",T18), "\$([A-Z]+)\$[0-9]+"))</f>
        <v/>
      </c>
      <c r="U18" s="7" t="str" cm="1">
        <f t="array" aca="1" ref="U18" ca="1">IFERROR(IF(OR('Raw Data'!U18="",LEN(TRIM('Raw Data'!U18))=0),"",IF(AND(LEN('Raw Data'!U18) &lt;= 5,LEN('Raw Data'!U18)&gt; 0),"",_xlfn.REGEXEXTRACT(CELL("address",'Raw Data'!U18),"\$([A-Z]+)\$[0-9]+"))),_xlfn.REGEXEXTRACT(CELL("address",'Raw Data'!U18),"\$([A-Z]+)\$[0-9]+"))</f>
        <v/>
      </c>
      <c r="V18" s="7" t="str" cm="1">
        <f t="array" aca="1" ref="V18" ca="1">IFERROR(IF(OR('Raw Data'!V18="",LEN(TRIM('Raw Data'!V18))=0),"",IF(AND(ISNUMBER('Raw Data'!V18), IFERROR('Raw Data'!V18 = ROUND('Raw Data'!V18, 2),FALSE)),"",_xlfn.REGEXEXTRACT(CELL("address",V18), "\$([A-Z]+)\$[0-9]+"))),_xlfn.REGEXEXTRACT(CELL("address",V18), "\$([A-Z]+)\$[0-9]+"))</f>
        <v/>
      </c>
      <c r="W18" s="7" t="str" cm="1">
        <f t="array" aca="1" ref="W18" ca="1">IFERROR(IF(OR('Raw Data'!W18="",LEN(TRIM('Raw Data'!W18))=0),"",IF(AND(ISNUMBER('Raw Data'!W18), IFERROR('Raw Data'!W18 = ROUND('Raw Data'!W18, 2),FALSE)),"",_xlfn.REGEXEXTRACT(CELL("address",W18), "\$([A-Z]+)\$[0-9]+"))),_xlfn.REGEXEXTRACT(CELL("address",W18), "\$([A-Z]+)\$[0-9]+"))</f>
        <v/>
      </c>
      <c r="X18" s="7" t="str" cm="1">
        <f t="array" aca="1" ref="X18" ca="1">IFERROR(IF(OR('Raw Data'!X18="",LEN(TRIM('Raw Data'!X18))=0),"",IF(AND(ISNUMBER('Raw Data'!X18), IFERROR('Raw Data'!X18 = ROUND('Raw Data'!X18, 2),FALSE)),"",_xlfn.REGEXEXTRACT(CELL("address",X18), "\$([A-Z]+)\$[0-9]+"))),_xlfn.REGEXEXTRACT(CELL("address",X18), "\$([A-Z]+)\$[0-9]+"))</f>
        <v/>
      </c>
    </row>
    <row r="19" spans="2:24" x14ac:dyDescent="0.25">
      <c r="B19" s="7" t="str" cm="1">
        <f t="array" aca="1" ref="B19" ca="1">IFERROR(IF(OR('Raw Data'!B19="",LEN(TRIM('Raw Data'!B19))=0),"",IF(AND(LEN('Raw Data'!B19) &lt;= 50,LEN('Raw Data'!B19)&gt; 0),"",_xlfn.REGEXEXTRACT(CELL("address",'Raw Data'!B19),"\$([A-Z]+)\$[0-9]+"))),_xlfn.REGEXEXTRACT(CELL("address",'Raw Data'!B19),"\$([A-Z]+)\$[0-9]+"))</f>
        <v/>
      </c>
      <c r="C19" s="7" t="str" cm="1">
        <f t="array" aca="1" ref="C19" ca="1">IFERROR(IF(OR('Raw Data'!C19="",LEN(TRIM('Raw Data'!C19))=0),"",IF(AND(LEN('Raw Data'!C19) &lt;= 50,LEN('Raw Data'!C19)&gt; 0),"",_xlfn.REGEXEXTRACT(CELL("address",'Raw Data'!C19),"\$([A-Z]+)\$[0-9]+"))),_xlfn.REGEXEXTRACT(CELL("address",'Raw Data'!C19),"\$([A-Z]+)\$[0-9]+"))</f>
        <v/>
      </c>
      <c r="D19" s="7" t="str" cm="1">
        <f t="array" aca="1" ref="D19" ca="1">IFERROR(IF(OR('Raw Data'!D19="",LEN(TRIM('Raw Data'!D19))=0),"",IF(AND(LEN('Raw Data'!D19) &lt;= 255,LEN('Raw Data'!D19)&gt; 0),"",_xlfn.REGEXEXTRACT(CELL("address",'Raw Data'!D19),"\$([A-Z]+)\$[0-9]+"))),_xlfn.REGEXEXTRACT(CELL("address",'Raw Data'!D19),"\$([A-Z]+)\$[0-9]+"))</f>
        <v/>
      </c>
      <c r="E19" s="7" t="str" cm="1">
        <f t="array" aca="1" ref="E19" ca="1">IFERROR(IF(OR('Raw Data'!E19="",LEN(TRIM('Raw Data'!E19))=0),"",IF(AND(ISNUMBER('Raw Data'!E19),'Raw Data'!E19&gt;=Configuration!$D$2),"",_xlfn.REGEXEXTRACT(CELL("address",'Raw Data'!E19),"\$([A-Z]+)\$[0-9]+"))),_xlfn.REGEXEXTRACT(CELL("address",E19), "\$([A-Z]+)\$[0-9]+"))</f>
        <v/>
      </c>
      <c r="F19" s="7" t="str" cm="1">
        <f t="array" aca="1" ref="F19" ca="1">IFERROR(IF(OR('Raw Data'!F19="",LEN(TRIM('Raw Data'!F19))=0),"",IF(AND(LEN('Raw Data'!F19) &lt;= 20,LEN('Raw Data'!F19)&gt; 0),"",_xlfn.REGEXEXTRACT(CELL("address",'Raw Data'!F19),"\$([A-Z]+)\$[0-9]+"))),_xlfn.REGEXEXTRACT(CELL("address",'Raw Data'!F19),"\$([A-Z]+)\$[0-9]+"))</f>
        <v/>
      </c>
      <c r="G19" s="7" t="str" cm="1">
        <f t="array" aca="1" ref="G19" ca="1">IFERROR(IF(OR('Raw Data'!G19="",LEN(TRIM('Raw Data'!G19))=0),"",IF(AND(ISNUMBER('Raw Data'!G19), IFERROR('Raw Data'!G19 = ROUND('Raw Data'!G19, 2),FALSE)),"",_xlfn.REGEXEXTRACT(CELL("address",G19), "\$([A-Z]+)\$[0-9]+"))),_xlfn.REGEXEXTRACT(CELL("address",G19), "\$([A-Z]+)\$[0-9]+"))</f>
        <v/>
      </c>
      <c r="H19" s="7" t="str" cm="1">
        <f t="array" aca="1" ref="H19" ca="1">IFERROR(IF(OR('Raw Data'!H19="",LEN(TRIM('Raw Data'!H19))=0),"",IF(AND(ISNUMBER('Raw Data'!H19), IFERROR('Raw Data'!H19 = ROUND('Raw Data'!H19, 2),FALSE)),"",_xlfn.REGEXEXTRACT(CELL("address",H19), "\$([A-Z]+)\$[0-9]+"))),_xlfn.REGEXEXTRACT(CELL("address",H19), "\$([A-Z]+)\$[0-9]+"))</f>
        <v/>
      </c>
      <c r="I19" s="7" t="str" cm="1">
        <f t="array" aca="1" ref="I19" ca="1">IFERROR(IF(OR('Raw Data'!I19="",LEN(TRIM('Raw Data'!I19))=0),"",IF(AND(LEN('Raw Data'!I19) &lt;= 50,LEN('Raw Data'!I19)&gt; 0),"",_xlfn.REGEXEXTRACT(CELL("address",'Raw Data'!I19),"\$([A-Z]+)\$[0-9]+"))),_xlfn.REGEXEXTRACT(CELL("address",'Raw Data'!I19),"\$([A-Z]+)\$[0-9]+"))</f>
        <v/>
      </c>
      <c r="J19" s="7" t="str" cm="1">
        <f t="array" aca="1" ref="J19" ca="1">IFERROR(IF(OR('Raw Data'!J19="",LEN(TRIM('Raw Data'!J19))=0),"",IF(AND(ISNUMBER('Raw Data'!J19),'Raw Data'!J19&gt;=Configuration!$D$2),"",_xlfn.REGEXEXTRACT(CELL("address",'Raw Data'!J19),"\$([A-Z]+)\$[0-9]+"))),_xlfn.REGEXEXTRACT(CELL("address",J19), "\$([A-Z]+)\$[0-9]+"))</f>
        <v/>
      </c>
      <c r="K19" s="7" t="str" cm="1">
        <f t="array" aca="1" ref="K19" ca="1">IFERROR(IF(OR('Raw Data'!K19="",LEN(TRIM('Raw Data'!K19))=0),"",IF(AND(ISNUMBER('Raw Data'!K19), IFERROR('Raw Data'!K19 = ROUND('Raw Data'!K19, 2),FALSE)),"",_xlfn.REGEXEXTRACT(CELL("address",K19), "\$([A-Z]+)\$[0-9]+"))),_xlfn.REGEXEXTRACT(CELL("address",K19), "\$([A-Z]+)\$[0-9]+"))</f>
        <v/>
      </c>
      <c r="L19" s="7" t="str" cm="1">
        <f t="array" aca="1" ref="L19" ca="1">IFERROR(IF(OR('Raw Data'!L19="",LEN(TRIM('Raw Data'!L19))=0),"",IF(AND(ISNUMBER('Raw Data'!L19), IFERROR('Raw Data'!L19 = ROUND('Raw Data'!L19, 2),FALSE)),"",_xlfn.REGEXEXTRACT(CELL("address",L19), "\$([A-Z]+)\$[0-9]+"))),_xlfn.REGEXEXTRACT(CELL("address",L19), "\$([A-Z]+)\$[0-9]+"))</f>
        <v/>
      </c>
      <c r="M19" s="7" t="str" cm="1">
        <f t="array" aca="1" ref="M19" ca="1">IFERROR(IF(OR('Raw Data'!M19="",LEN(TRIM('Raw Data'!M19))=0),"",IF(AND(ISNUMBER('Raw Data'!M19), IFERROR('Raw Data'!M19 = ROUND('Raw Data'!M19, 2),FALSE)),"",_xlfn.REGEXEXTRACT(CELL("address",M19), "\$([A-Z]+)\$[0-9]+"))),_xlfn.REGEXEXTRACT(CELL("address",M19), "\$([A-Z]+)\$[0-9]+"))</f>
        <v/>
      </c>
      <c r="N19" s="7" t="str" cm="1">
        <f t="array" aca="1" ref="N19" ca="1">IFERROR(IF(OR('Raw Data'!N19="",LEN(TRIM('Raw Data'!N19))=0),"",IF(AND(ISNUMBER('Raw Data'!N19), IFERROR('Raw Data'!N19 = ROUND('Raw Data'!N19, 2),FALSE)),"",_xlfn.REGEXEXTRACT(CELL("address",N19), "\$([A-Z]+)\$[0-9]+"))),_xlfn.REGEXEXTRACT(CELL("address",N19), "\$([A-Z]+)\$[0-9]+"))</f>
        <v/>
      </c>
      <c r="O19" s="7" t="str" cm="1">
        <f t="array" aca="1" ref="O19" ca="1">IFERROR(IF(OR('Raw Data'!O19="",LEN(TRIM('Raw Data'!O19))=0),"",IF(AND(ISNUMBER('Raw Data'!O19), IFERROR('Raw Data'!O19 = ROUND('Raw Data'!O19, 2),FALSE)),"",_xlfn.REGEXEXTRACT(CELL("address",O19), "\$([A-Z]+)\$[0-9]+"))),_xlfn.REGEXEXTRACT(CELL("address",O19), "\$([A-Z]+)\$[0-9]+"))</f>
        <v/>
      </c>
      <c r="P19" s="7" t="str" cm="1">
        <f t="array" aca="1" ref="P19" ca="1">IFERROR(IF(OR('Raw Data'!P19="",LEN(TRIM('Raw Data'!P19))=0),"",IF(AND(ISNUMBER('Raw Data'!P19),'Raw Data'!P19&gt;=Configuration!$D$2),"",_xlfn.REGEXEXTRACT(CELL("address",'Raw Data'!P19),"\$([A-Z]+)\$[0-9]+"))),_xlfn.REGEXEXTRACT(CELL("address",P19), "\$([A-Z]+)\$[0-9]+"))</f>
        <v/>
      </c>
      <c r="Q19" s="7" t="str" cm="1">
        <f t="array" aca="1" ref="Q19" ca="1">IFERROR(IF(OR('Raw Data'!Q19="",LEN(TRIM('Raw Data'!Q19))=0),"",IF(AND(ISNUMBER('Raw Data'!Q19),'Raw Data'!Q19&gt;=Configuration!$D$2),"",_xlfn.REGEXEXTRACT(CELL("address",'Raw Data'!Q19),"\$([A-Z]+)\$[0-9]+"))),_xlfn.REGEXEXTRACT(CELL("address",Q19), "\$([A-Z]+)\$[0-9]+"))</f>
        <v/>
      </c>
      <c r="R19" s="7" t="str" cm="1">
        <f t="array" aca="1" ref="R19" ca="1">IFERROR(IF(OR('Raw Data'!R19="",LEN(TRIM('Raw Data'!R19))=0),"",IF(AND(ISNUMBER('Raw Data'!R19), IFERROR('Raw Data'!R19 = ROUND('Raw Data'!R19, 2),FALSE)),"",_xlfn.REGEXEXTRACT(CELL("address",R19), "\$([A-Z]+)\$[0-9]+"))),_xlfn.REGEXEXTRACT(CELL("address",R19), "\$([A-Z]+)\$[0-9]+"))</f>
        <v/>
      </c>
      <c r="S19" s="7" t="str" cm="1">
        <f t="array" aca="1" ref="S19" ca="1">IFERROR(IF(OR('Raw Data'!S19="",LEN(TRIM('Raw Data'!S19))=0),"",IF(AND(ISNUMBER('Raw Data'!S19), IFERROR('Raw Data'!S19 = ROUND('Raw Data'!S19, 2),FALSE)),"",_xlfn.REGEXEXTRACT(CELL("address",S19), "\$([A-Z]+)\$[0-9]+"))),_xlfn.REGEXEXTRACT(CELL("address",S19), "\$([A-Z]+)\$[0-9]+"))</f>
        <v/>
      </c>
      <c r="T19" s="7" t="str" cm="1">
        <f t="array" aca="1" ref="T19" ca="1">IFERROR(IF(OR('Raw Data'!T19="",LEN(TRIM('Raw Data'!T19))=0),"",IF(AND(ISNUMBER('Raw Data'!T19), IFERROR('Raw Data'!T19 = ROUND('Raw Data'!T19, 2),FALSE)),"",_xlfn.REGEXEXTRACT(CELL("address",T19), "\$([A-Z]+)\$[0-9]+"))),_xlfn.REGEXEXTRACT(CELL("address",T19), "\$([A-Z]+)\$[0-9]+"))</f>
        <v/>
      </c>
      <c r="U19" s="7" t="str" cm="1">
        <f t="array" aca="1" ref="U19" ca="1">IFERROR(IF(OR('Raw Data'!U19="",LEN(TRIM('Raw Data'!U19))=0),"",IF(AND(LEN('Raw Data'!U19) &lt;= 5,LEN('Raw Data'!U19)&gt; 0),"",_xlfn.REGEXEXTRACT(CELL("address",'Raw Data'!U19),"\$([A-Z]+)\$[0-9]+"))),_xlfn.REGEXEXTRACT(CELL("address",'Raw Data'!U19),"\$([A-Z]+)\$[0-9]+"))</f>
        <v/>
      </c>
      <c r="V19" s="7" t="str" cm="1">
        <f t="array" aca="1" ref="V19" ca="1">IFERROR(IF(OR('Raw Data'!V19="",LEN(TRIM('Raw Data'!V19))=0),"",IF(AND(ISNUMBER('Raw Data'!V19), IFERROR('Raw Data'!V19 = ROUND('Raw Data'!V19, 2),FALSE)),"",_xlfn.REGEXEXTRACT(CELL("address",V19), "\$([A-Z]+)\$[0-9]+"))),_xlfn.REGEXEXTRACT(CELL("address",V19), "\$([A-Z]+)\$[0-9]+"))</f>
        <v/>
      </c>
      <c r="W19" s="7" t="str" cm="1">
        <f t="array" aca="1" ref="W19" ca="1">IFERROR(IF(OR('Raw Data'!W19="",LEN(TRIM('Raw Data'!W19))=0),"",IF(AND(ISNUMBER('Raw Data'!W19), IFERROR('Raw Data'!W19 = ROUND('Raw Data'!W19, 2),FALSE)),"",_xlfn.REGEXEXTRACT(CELL("address",W19), "\$([A-Z]+)\$[0-9]+"))),_xlfn.REGEXEXTRACT(CELL("address",W19), "\$([A-Z]+)\$[0-9]+"))</f>
        <v/>
      </c>
      <c r="X19" s="7" t="str" cm="1">
        <f t="array" aca="1" ref="X19" ca="1">IFERROR(IF(OR('Raw Data'!X19="",LEN(TRIM('Raw Data'!X19))=0),"",IF(AND(ISNUMBER('Raw Data'!X19), IFERROR('Raw Data'!X19 = ROUND('Raw Data'!X19, 2),FALSE)),"",_xlfn.REGEXEXTRACT(CELL("address",X19), "\$([A-Z]+)\$[0-9]+"))),_xlfn.REGEXEXTRACT(CELL("address",X19), "\$([A-Z]+)\$[0-9]+"))</f>
        <v/>
      </c>
    </row>
    <row r="20" spans="2:24" x14ac:dyDescent="0.25">
      <c r="B20" s="7" t="str" cm="1">
        <f t="array" aca="1" ref="B20" ca="1">IFERROR(IF(OR('Raw Data'!B20="",LEN(TRIM('Raw Data'!B20))=0),"",IF(AND(LEN('Raw Data'!B20) &lt;= 50,LEN('Raw Data'!B20)&gt; 0),"",_xlfn.REGEXEXTRACT(CELL("address",'Raw Data'!B20),"\$([A-Z]+)\$[0-9]+"))),_xlfn.REGEXEXTRACT(CELL("address",'Raw Data'!B20),"\$([A-Z]+)\$[0-9]+"))</f>
        <v/>
      </c>
      <c r="C20" s="7" t="str" cm="1">
        <f t="array" aca="1" ref="C20" ca="1">IFERROR(IF(OR('Raw Data'!C20="",LEN(TRIM('Raw Data'!C20))=0),"",IF(AND(LEN('Raw Data'!C20) &lt;= 50,LEN('Raw Data'!C20)&gt; 0),"",_xlfn.REGEXEXTRACT(CELL("address",'Raw Data'!C20),"\$([A-Z]+)\$[0-9]+"))),_xlfn.REGEXEXTRACT(CELL("address",'Raw Data'!C20),"\$([A-Z]+)\$[0-9]+"))</f>
        <v/>
      </c>
      <c r="D20" s="7" t="str" cm="1">
        <f t="array" aca="1" ref="D20" ca="1">IFERROR(IF(OR('Raw Data'!D20="",LEN(TRIM('Raw Data'!D20))=0),"",IF(AND(LEN('Raw Data'!D20) &lt;= 255,LEN('Raw Data'!D20)&gt; 0),"",_xlfn.REGEXEXTRACT(CELL("address",'Raw Data'!D20),"\$([A-Z]+)\$[0-9]+"))),_xlfn.REGEXEXTRACT(CELL("address",'Raw Data'!D20),"\$([A-Z]+)\$[0-9]+"))</f>
        <v/>
      </c>
      <c r="E20" s="7" t="str" cm="1">
        <f t="array" aca="1" ref="E20" ca="1">IFERROR(IF(OR('Raw Data'!E20="",LEN(TRIM('Raw Data'!E20))=0),"",IF(AND(ISNUMBER('Raw Data'!E20),'Raw Data'!E20&gt;=Configuration!$D$2),"",_xlfn.REGEXEXTRACT(CELL("address",'Raw Data'!E20),"\$([A-Z]+)\$[0-9]+"))),_xlfn.REGEXEXTRACT(CELL("address",E20), "\$([A-Z]+)\$[0-9]+"))</f>
        <v/>
      </c>
      <c r="F20" s="7" t="str" cm="1">
        <f t="array" aca="1" ref="F20" ca="1">IFERROR(IF(OR('Raw Data'!F20="",LEN(TRIM('Raw Data'!F20))=0),"",IF(AND(LEN('Raw Data'!F20) &lt;= 20,LEN('Raw Data'!F20)&gt; 0),"",_xlfn.REGEXEXTRACT(CELL("address",'Raw Data'!F20),"\$([A-Z]+)\$[0-9]+"))),_xlfn.REGEXEXTRACT(CELL("address",'Raw Data'!F20),"\$([A-Z]+)\$[0-9]+"))</f>
        <v/>
      </c>
      <c r="G20" s="7" t="str" cm="1">
        <f t="array" aca="1" ref="G20" ca="1">IFERROR(IF(OR('Raw Data'!G20="",LEN(TRIM('Raw Data'!G20))=0),"",IF(AND(ISNUMBER('Raw Data'!G20), IFERROR('Raw Data'!G20 = ROUND('Raw Data'!G20, 2),FALSE)),"",_xlfn.REGEXEXTRACT(CELL("address",G20), "\$([A-Z]+)\$[0-9]+"))),_xlfn.REGEXEXTRACT(CELL("address",G20), "\$([A-Z]+)\$[0-9]+"))</f>
        <v/>
      </c>
      <c r="H20" s="7" t="str" cm="1">
        <f t="array" aca="1" ref="H20" ca="1">IFERROR(IF(OR('Raw Data'!H20="",LEN(TRIM('Raw Data'!H20))=0),"",IF(AND(ISNUMBER('Raw Data'!H20), IFERROR('Raw Data'!H20 = ROUND('Raw Data'!H20, 2),FALSE)),"",_xlfn.REGEXEXTRACT(CELL("address",H20), "\$([A-Z]+)\$[0-9]+"))),_xlfn.REGEXEXTRACT(CELL("address",H20), "\$([A-Z]+)\$[0-9]+"))</f>
        <v/>
      </c>
      <c r="I20" s="7" t="str" cm="1">
        <f t="array" aca="1" ref="I20" ca="1">IFERROR(IF(OR('Raw Data'!I20="",LEN(TRIM('Raw Data'!I20))=0),"",IF(AND(LEN('Raw Data'!I20) &lt;= 50,LEN('Raw Data'!I20)&gt; 0),"",_xlfn.REGEXEXTRACT(CELL("address",'Raw Data'!I20),"\$([A-Z]+)\$[0-9]+"))),_xlfn.REGEXEXTRACT(CELL("address",'Raw Data'!I20),"\$([A-Z]+)\$[0-9]+"))</f>
        <v/>
      </c>
      <c r="J20" s="7" t="str" cm="1">
        <f t="array" aca="1" ref="J20" ca="1">IFERROR(IF(OR('Raw Data'!J20="",LEN(TRIM('Raw Data'!J20))=0),"",IF(AND(ISNUMBER('Raw Data'!J20),'Raw Data'!J20&gt;=Configuration!$D$2),"",_xlfn.REGEXEXTRACT(CELL("address",'Raw Data'!J20),"\$([A-Z]+)\$[0-9]+"))),_xlfn.REGEXEXTRACT(CELL("address",J20), "\$([A-Z]+)\$[0-9]+"))</f>
        <v/>
      </c>
      <c r="K20" s="7" t="str" cm="1">
        <f t="array" aca="1" ref="K20" ca="1">IFERROR(IF(OR('Raw Data'!K20="",LEN(TRIM('Raw Data'!K20))=0),"",IF(AND(ISNUMBER('Raw Data'!K20), IFERROR('Raw Data'!K20 = ROUND('Raw Data'!K20, 2),FALSE)),"",_xlfn.REGEXEXTRACT(CELL("address",K20), "\$([A-Z]+)\$[0-9]+"))),_xlfn.REGEXEXTRACT(CELL("address",K20), "\$([A-Z]+)\$[0-9]+"))</f>
        <v/>
      </c>
      <c r="L20" s="7" t="str" cm="1">
        <f t="array" aca="1" ref="L20" ca="1">IFERROR(IF(OR('Raw Data'!L20="",LEN(TRIM('Raw Data'!L20))=0),"",IF(AND(ISNUMBER('Raw Data'!L20), IFERROR('Raw Data'!L20 = ROUND('Raw Data'!L20, 2),FALSE)),"",_xlfn.REGEXEXTRACT(CELL("address",L20), "\$([A-Z]+)\$[0-9]+"))),_xlfn.REGEXEXTRACT(CELL("address",L20), "\$([A-Z]+)\$[0-9]+"))</f>
        <v/>
      </c>
      <c r="M20" s="7" t="str" cm="1">
        <f t="array" aca="1" ref="M20" ca="1">IFERROR(IF(OR('Raw Data'!M20="",LEN(TRIM('Raw Data'!M20))=0),"",IF(AND(ISNUMBER('Raw Data'!M20), IFERROR('Raw Data'!M20 = ROUND('Raw Data'!M20, 2),FALSE)),"",_xlfn.REGEXEXTRACT(CELL("address",M20), "\$([A-Z]+)\$[0-9]+"))),_xlfn.REGEXEXTRACT(CELL("address",M20), "\$([A-Z]+)\$[0-9]+"))</f>
        <v/>
      </c>
      <c r="N20" s="7" t="str" cm="1">
        <f t="array" aca="1" ref="N20" ca="1">IFERROR(IF(OR('Raw Data'!N20="",LEN(TRIM('Raw Data'!N20))=0),"",IF(AND(ISNUMBER('Raw Data'!N20), IFERROR('Raw Data'!N20 = ROUND('Raw Data'!N20, 2),FALSE)),"",_xlfn.REGEXEXTRACT(CELL("address",N20), "\$([A-Z]+)\$[0-9]+"))),_xlfn.REGEXEXTRACT(CELL("address",N20), "\$([A-Z]+)\$[0-9]+"))</f>
        <v/>
      </c>
      <c r="O20" s="7" t="str" cm="1">
        <f t="array" aca="1" ref="O20" ca="1">IFERROR(IF(OR('Raw Data'!O20="",LEN(TRIM('Raw Data'!O20))=0),"",IF(AND(ISNUMBER('Raw Data'!O20), IFERROR('Raw Data'!O20 = ROUND('Raw Data'!O20, 2),FALSE)),"",_xlfn.REGEXEXTRACT(CELL("address",O20), "\$([A-Z]+)\$[0-9]+"))),_xlfn.REGEXEXTRACT(CELL("address",O20), "\$([A-Z]+)\$[0-9]+"))</f>
        <v/>
      </c>
      <c r="P20" s="7" t="str" cm="1">
        <f t="array" aca="1" ref="P20" ca="1">IFERROR(IF(OR('Raw Data'!P20="",LEN(TRIM('Raw Data'!P20))=0),"",IF(AND(ISNUMBER('Raw Data'!P20),'Raw Data'!P20&gt;=Configuration!$D$2),"",_xlfn.REGEXEXTRACT(CELL("address",'Raw Data'!P20),"\$([A-Z]+)\$[0-9]+"))),_xlfn.REGEXEXTRACT(CELL("address",P20), "\$([A-Z]+)\$[0-9]+"))</f>
        <v/>
      </c>
      <c r="Q20" s="7" t="str" cm="1">
        <f t="array" aca="1" ref="Q20" ca="1">IFERROR(IF(OR('Raw Data'!Q20="",LEN(TRIM('Raw Data'!Q20))=0),"",IF(AND(ISNUMBER('Raw Data'!Q20),'Raw Data'!Q20&gt;=Configuration!$D$2),"",_xlfn.REGEXEXTRACT(CELL("address",'Raw Data'!Q20),"\$([A-Z]+)\$[0-9]+"))),_xlfn.REGEXEXTRACT(CELL("address",Q20), "\$([A-Z]+)\$[0-9]+"))</f>
        <v/>
      </c>
      <c r="R20" s="7" t="str" cm="1">
        <f t="array" aca="1" ref="R20" ca="1">IFERROR(IF(OR('Raw Data'!R20="",LEN(TRIM('Raw Data'!R20))=0),"",IF(AND(ISNUMBER('Raw Data'!R20), IFERROR('Raw Data'!R20 = ROUND('Raw Data'!R20, 2),FALSE)),"",_xlfn.REGEXEXTRACT(CELL("address",R20), "\$([A-Z]+)\$[0-9]+"))),_xlfn.REGEXEXTRACT(CELL("address",R20), "\$([A-Z]+)\$[0-9]+"))</f>
        <v/>
      </c>
      <c r="S20" s="7" t="str" cm="1">
        <f t="array" aca="1" ref="S20" ca="1">IFERROR(IF(OR('Raw Data'!S20="",LEN(TRIM('Raw Data'!S20))=0),"",IF(AND(ISNUMBER('Raw Data'!S20), IFERROR('Raw Data'!S20 = ROUND('Raw Data'!S20, 2),FALSE)),"",_xlfn.REGEXEXTRACT(CELL("address",S20), "\$([A-Z]+)\$[0-9]+"))),_xlfn.REGEXEXTRACT(CELL("address",S20), "\$([A-Z]+)\$[0-9]+"))</f>
        <v/>
      </c>
      <c r="T20" s="7" t="str" cm="1">
        <f t="array" aca="1" ref="T20" ca="1">IFERROR(IF(OR('Raw Data'!T20="",LEN(TRIM('Raw Data'!T20))=0),"",IF(AND(ISNUMBER('Raw Data'!T20), IFERROR('Raw Data'!T20 = ROUND('Raw Data'!T20, 2),FALSE)),"",_xlfn.REGEXEXTRACT(CELL("address",T20), "\$([A-Z]+)\$[0-9]+"))),_xlfn.REGEXEXTRACT(CELL("address",T20), "\$([A-Z]+)\$[0-9]+"))</f>
        <v/>
      </c>
      <c r="U20" s="7" t="str" cm="1">
        <f t="array" aca="1" ref="U20" ca="1">IFERROR(IF(OR('Raw Data'!U20="",LEN(TRIM('Raw Data'!U20))=0),"",IF(AND(LEN('Raw Data'!U20) &lt;= 5,LEN('Raw Data'!U20)&gt; 0),"",_xlfn.REGEXEXTRACT(CELL("address",'Raw Data'!U20),"\$([A-Z]+)\$[0-9]+"))),_xlfn.REGEXEXTRACT(CELL("address",'Raw Data'!U20),"\$([A-Z]+)\$[0-9]+"))</f>
        <v/>
      </c>
      <c r="V20" s="7" t="str" cm="1">
        <f t="array" aca="1" ref="V20" ca="1">IFERROR(IF(OR('Raw Data'!V20="",LEN(TRIM('Raw Data'!V20))=0),"",IF(AND(ISNUMBER('Raw Data'!V20), IFERROR('Raw Data'!V20 = ROUND('Raw Data'!V20, 2),FALSE)),"",_xlfn.REGEXEXTRACT(CELL("address",V20), "\$([A-Z]+)\$[0-9]+"))),_xlfn.REGEXEXTRACT(CELL("address",V20), "\$([A-Z]+)\$[0-9]+"))</f>
        <v/>
      </c>
      <c r="W20" s="7" t="str" cm="1">
        <f t="array" aca="1" ref="W20" ca="1">IFERROR(IF(OR('Raw Data'!W20="",LEN(TRIM('Raw Data'!W20))=0),"",IF(AND(ISNUMBER('Raw Data'!W20), IFERROR('Raw Data'!W20 = ROUND('Raw Data'!W20, 2),FALSE)),"",_xlfn.REGEXEXTRACT(CELL("address",W20), "\$([A-Z]+)\$[0-9]+"))),_xlfn.REGEXEXTRACT(CELL("address",W20), "\$([A-Z]+)\$[0-9]+"))</f>
        <v/>
      </c>
      <c r="X20" s="7" t="str" cm="1">
        <f t="array" aca="1" ref="X20" ca="1">IFERROR(IF(OR('Raw Data'!X20="",LEN(TRIM('Raw Data'!X20))=0),"",IF(AND(ISNUMBER('Raw Data'!X20), IFERROR('Raw Data'!X20 = ROUND('Raw Data'!X20, 2),FALSE)),"",_xlfn.REGEXEXTRACT(CELL("address",X20), "\$([A-Z]+)\$[0-9]+"))),_xlfn.REGEXEXTRACT(CELL("address",X20), "\$([A-Z]+)\$[0-9]+"))</f>
        <v/>
      </c>
    </row>
    <row r="21" spans="2:24" x14ac:dyDescent="0.25">
      <c r="B21" s="7" t="str" cm="1">
        <f t="array" aca="1" ref="B21" ca="1">IFERROR(IF(OR('Raw Data'!B21="",LEN(TRIM('Raw Data'!B21))=0),"",IF(AND(LEN('Raw Data'!B21) &lt;= 50,LEN('Raw Data'!B21)&gt; 0),"",_xlfn.REGEXEXTRACT(CELL("address",'Raw Data'!B21),"\$([A-Z]+)\$[0-9]+"))),_xlfn.REGEXEXTRACT(CELL("address",'Raw Data'!B21),"\$([A-Z]+)\$[0-9]+"))</f>
        <v/>
      </c>
      <c r="C21" s="7" t="str" cm="1">
        <f t="array" aca="1" ref="C21" ca="1">IFERROR(IF(OR('Raw Data'!C21="",LEN(TRIM('Raw Data'!C21))=0),"",IF(AND(LEN('Raw Data'!C21) &lt;= 50,LEN('Raw Data'!C21)&gt; 0),"",_xlfn.REGEXEXTRACT(CELL("address",'Raw Data'!C21),"\$([A-Z]+)\$[0-9]+"))),_xlfn.REGEXEXTRACT(CELL("address",'Raw Data'!C21),"\$([A-Z]+)\$[0-9]+"))</f>
        <v/>
      </c>
      <c r="D21" s="7" t="str" cm="1">
        <f t="array" aca="1" ref="D21" ca="1">IFERROR(IF(OR('Raw Data'!D21="",LEN(TRIM('Raw Data'!D21))=0),"",IF(AND(LEN('Raw Data'!D21) &lt;= 255,LEN('Raw Data'!D21)&gt; 0),"",_xlfn.REGEXEXTRACT(CELL("address",'Raw Data'!D21),"\$([A-Z]+)\$[0-9]+"))),_xlfn.REGEXEXTRACT(CELL("address",'Raw Data'!D21),"\$([A-Z]+)\$[0-9]+"))</f>
        <v/>
      </c>
      <c r="E21" s="7" t="str" cm="1">
        <f t="array" aca="1" ref="E21" ca="1">IFERROR(IF(OR('Raw Data'!E21="",LEN(TRIM('Raw Data'!E21))=0),"",IF(AND(ISNUMBER('Raw Data'!E21),'Raw Data'!E21&gt;=Configuration!$D$2),"",_xlfn.REGEXEXTRACT(CELL("address",'Raw Data'!E21),"\$([A-Z]+)\$[0-9]+"))),_xlfn.REGEXEXTRACT(CELL("address",E21), "\$([A-Z]+)\$[0-9]+"))</f>
        <v/>
      </c>
      <c r="F21" s="7" t="str" cm="1">
        <f t="array" aca="1" ref="F21" ca="1">IFERROR(IF(OR('Raw Data'!F21="",LEN(TRIM('Raw Data'!F21))=0),"",IF(AND(LEN('Raw Data'!F21) &lt;= 20,LEN('Raw Data'!F21)&gt; 0),"",_xlfn.REGEXEXTRACT(CELL("address",'Raw Data'!F21),"\$([A-Z]+)\$[0-9]+"))),_xlfn.REGEXEXTRACT(CELL("address",'Raw Data'!F21),"\$([A-Z]+)\$[0-9]+"))</f>
        <v/>
      </c>
      <c r="G21" s="7" t="str" cm="1">
        <f t="array" aca="1" ref="G21" ca="1">IFERROR(IF(OR('Raw Data'!G21="",LEN(TRIM('Raw Data'!G21))=0),"",IF(AND(ISNUMBER('Raw Data'!G21), IFERROR('Raw Data'!G21 = ROUND('Raw Data'!G21, 2),FALSE)),"",_xlfn.REGEXEXTRACT(CELL("address",G21), "\$([A-Z]+)\$[0-9]+"))),_xlfn.REGEXEXTRACT(CELL("address",G21), "\$([A-Z]+)\$[0-9]+"))</f>
        <v/>
      </c>
      <c r="H21" s="7" t="str" cm="1">
        <f t="array" aca="1" ref="H21" ca="1">IFERROR(IF(OR('Raw Data'!H21="",LEN(TRIM('Raw Data'!H21))=0),"",IF(AND(ISNUMBER('Raw Data'!H21), IFERROR('Raw Data'!H21 = ROUND('Raw Data'!H21, 2),FALSE)),"",_xlfn.REGEXEXTRACT(CELL("address",H21), "\$([A-Z]+)\$[0-9]+"))),_xlfn.REGEXEXTRACT(CELL("address",H21), "\$([A-Z]+)\$[0-9]+"))</f>
        <v/>
      </c>
      <c r="I21" s="7" t="str" cm="1">
        <f t="array" aca="1" ref="I21" ca="1">IFERROR(IF(OR('Raw Data'!I21="",LEN(TRIM('Raw Data'!I21))=0),"",IF(AND(LEN('Raw Data'!I21) &lt;= 50,LEN('Raw Data'!I21)&gt; 0),"",_xlfn.REGEXEXTRACT(CELL("address",'Raw Data'!I21),"\$([A-Z]+)\$[0-9]+"))),_xlfn.REGEXEXTRACT(CELL("address",'Raw Data'!I21),"\$([A-Z]+)\$[0-9]+"))</f>
        <v/>
      </c>
      <c r="J21" s="7" t="str" cm="1">
        <f t="array" aca="1" ref="J21" ca="1">IFERROR(IF(OR('Raw Data'!J21="",LEN(TRIM('Raw Data'!J21))=0),"",IF(AND(ISNUMBER('Raw Data'!J21),'Raw Data'!J21&gt;=Configuration!$D$2),"",_xlfn.REGEXEXTRACT(CELL("address",'Raw Data'!J21),"\$([A-Z]+)\$[0-9]+"))),_xlfn.REGEXEXTRACT(CELL("address",J21), "\$([A-Z]+)\$[0-9]+"))</f>
        <v/>
      </c>
      <c r="K21" s="7" t="str" cm="1">
        <f t="array" aca="1" ref="K21" ca="1">IFERROR(IF(OR('Raw Data'!K21="",LEN(TRIM('Raw Data'!K21))=0),"",IF(AND(ISNUMBER('Raw Data'!K21), IFERROR('Raw Data'!K21 = ROUND('Raw Data'!K21, 2),FALSE)),"",_xlfn.REGEXEXTRACT(CELL("address",K21), "\$([A-Z]+)\$[0-9]+"))),_xlfn.REGEXEXTRACT(CELL("address",K21), "\$([A-Z]+)\$[0-9]+"))</f>
        <v/>
      </c>
      <c r="L21" s="7" t="str" cm="1">
        <f t="array" aca="1" ref="L21" ca="1">IFERROR(IF(OR('Raw Data'!L21="",LEN(TRIM('Raw Data'!L21))=0),"",IF(AND(ISNUMBER('Raw Data'!L21), IFERROR('Raw Data'!L21 = ROUND('Raw Data'!L21, 2),FALSE)),"",_xlfn.REGEXEXTRACT(CELL("address",L21), "\$([A-Z]+)\$[0-9]+"))),_xlfn.REGEXEXTRACT(CELL("address",L21), "\$([A-Z]+)\$[0-9]+"))</f>
        <v/>
      </c>
      <c r="M21" s="7" t="str" cm="1">
        <f t="array" aca="1" ref="M21" ca="1">IFERROR(IF(OR('Raw Data'!M21="",LEN(TRIM('Raw Data'!M21))=0),"",IF(AND(ISNUMBER('Raw Data'!M21), IFERROR('Raw Data'!M21 = ROUND('Raw Data'!M21, 2),FALSE)),"",_xlfn.REGEXEXTRACT(CELL("address",M21), "\$([A-Z]+)\$[0-9]+"))),_xlfn.REGEXEXTRACT(CELL("address",M21), "\$([A-Z]+)\$[0-9]+"))</f>
        <v/>
      </c>
      <c r="N21" s="7" t="str" cm="1">
        <f t="array" aca="1" ref="N21" ca="1">IFERROR(IF(OR('Raw Data'!N21="",LEN(TRIM('Raw Data'!N21))=0),"",IF(AND(ISNUMBER('Raw Data'!N21), IFERROR('Raw Data'!N21 = ROUND('Raw Data'!N21, 2),FALSE)),"",_xlfn.REGEXEXTRACT(CELL("address",N21), "\$([A-Z]+)\$[0-9]+"))),_xlfn.REGEXEXTRACT(CELL("address",N21), "\$([A-Z]+)\$[0-9]+"))</f>
        <v/>
      </c>
      <c r="O21" s="7" t="str" cm="1">
        <f t="array" aca="1" ref="O21" ca="1">IFERROR(IF(OR('Raw Data'!O21="",LEN(TRIM('Raw Data'!O21))=0),"",IF(AND(ISNUMBER('Raw Data'!O21), IFERROR('Raw Data'!O21 = ROUND('Raw Data'!O21, 2),FALSE)),"",_xlfn.REGEXEXTRACT(CELL("address",O21), "\$([A-Z]+)\$[0-9]+"))),_xlfn.REGEXEXTRACT(CELL("address",O21), "\$([A-Z]+)\$[0-9]+"))</f>
        <v/>
      </c>
      <c r="P21" s="7" t="str" cm="1">
        <f t="array" aca="1" ref="P21" ca="1">IFERROR(IF(OR('Raw Data'!P21="",LEN(TRIM('Raw Data'!P21))=0),"",IF(AND(ISNUMBER('Raw Data'!P21),'Raw Data'!P21&gt;=Configuration!$D$2),"",_xlfn.REGEXEXTRACT(CELL("address",'Raw Data'!P21),"\$([A-Z]+)\$[0-9]+"))),_xlfn.REGEXEXTRACT(CELL("address",P21), "\$([A-Z]+)\$[0-9]+"))</f>
        <v/>
      </c>
      <c r="Q21" s="7" t="str" cm="1">
        <f t="array" aca="1" ref="Q21" ca="1">IFERROR(IF(OR('Raw Data'!Q21="",LEN(TRIM('Raw Data'!Q21))=0),"",IF(AND(ISNUMBER('Raw Data'!Q21),'Raw Data'!Q21&gt;=Configuration!$D$2),"",_xlfn.REGEXEXTRACT(CELL("address",'Raw Data'!Q21),"\$([A-Z]+)\$[0-9]+"))),_xlfn.REGEXEXTRACT(CELL("address",Q21), "\$([A-Z]+)\$[0-9]+"))</f>
        <v/>
      </c>
      <c r="R21" s="7" t="str" cm="1">
        <f t="array" aca="1" ref="R21" ca="1">IFERROR(IF(OR('Raw Data'!R21="",LEN(TRIM('Raw Data'!R21))=0),"",IF(AND(ISNUMBER('Raw Data'!R21), IFERROR('Raw Data'!R21 = ROUND('Raw Data'!R21, 2),FALSE)),"",_xlfn.REGEXEXTRACT(CELL("address",R21), "\$([A-Z]+)\$[0-9]+"))),_xlfn.REGEXEXTRACT(CELL("address",R21), "\$([A-Z]+)\$[0-9]+"))</f>
        <v/>
      </c>
      <c r="S21" s="7" t="str" cm="1">
        <f t="array" aca="1" ref="S21" ca="1">IFERROR(IF(OR('Raw Data'!S21="",LEN(TRIM('Raw Data'!S21))=0),"",IF(AND(ISNUMBER('Raw Data'!S21), IFERROR('Raw Data'!S21 = ROUND('Raw Data'!S21, 2),FALSE)),"",_xlfn.REGEXEXTRACT(CELL("address",S21), "\$([A-Z]+)\$[0-9]+"))),_xlfn.REGEXEXTRACT(CELL("address",S21), "\$([A-Z]+)\$[0-9]+"))</f>
        <v/>
      </c>
      <c r="T21" s="7" t="str" cm="1">
        <f t="array" aca="1" ref="T21" ca="1">IFERROR(IF(OR('Raw Data'!T21="",LEN(TRIM('Raw Data'!T21))=0),"",IF(AND(ISNUMBER('Raw Data'!T21), IFERROR('Raw Data'!T21 = ROUND('Raw Data'!T21, 2),FALSE)),"",_xlfn.REGEXEXTRACT(CELL("address",T21), "\$([A-Z]+)\$[0-9]+"))),_xlfn.REGEXEXTRACT(CELL("address",T21), "\$([A-Z]+)\$[0-9]+"))</f>
        <v/>
      </c>
      <c r="U21" s="7" t="str" cm="1">
        <f t="array" aca="1" ref="U21" ca="1">IFERROR(IF(OR('Raw Data'!U21="",LEN(TRIM('Raw Data'!U21))=0),"",IF(AND(LEN('Raw Data'!U21) &lt;= 5,LEN('Raw Data'!U21)&gt; 0),"",_xlfn.REGEXEXTRACT(CELL("address",'Raw Data'!U21),"\$([A-Z]+)\$[0-9]+"))),_xlfn.REGEXEXTRACT(CELL("address",'Raw Data'!U21),"\$([A-Z]+)\$[0-9]+"))</f>
        <v/>
      </c>
      <c r="V21" s="7" t="str" cm="1">
        <f t="array" aca="1" ref="V21" ca="1">IFERROR(IF(OR('Raw Data'!V21="",LEN(TRIM('Raw Data'!V21))=0),"",IF(AND(ISNUMBER('Raw Data'!V21), IFERROR('Raw Data'!V21 = ROUND('Raw Data'!V21, 2),FALSE)),"",_xlfn.REGEXEXTRACT(CELL("address",V21), "\$([A-Z]+)\$[0-9]+"))),_xlfn.REGEXEXTRACT(CELL("address",V21), "\$([A-Z]+)\$[0-9]+"))</f>
        <v/>
      </c>
      <c r="W21" s="7" t="str" cm="1">
        <f t="array" aca="1" ref="W21" ca="1">IFERROR(IF(OR('Raw Data'!W21="",LEN(TRIM('Raw Data'!W21))=0),"",IF(AND(ISNUMBER('Raw Data'!W21), IFERROR('Raw Data'!W21 = ROUND('Raw Data'!W21, 2),FALSE)),"",_xlfn.REGEXEXTRACT(CELL("address",W21), "\$([A-Z]+)\$[0-9]+"))),_xlfn.REGEXEXTRACT(CELL("address",W21), "\$([A-Z]+)\$[0-9]+"))</f>
        <v/>
      </c>
      <c r="X21" s="7" t="str" cm="1">
        <f t="array" aca="1" ref="X21" ca="1">IFERROR(IF(OR('Raw Data'!X21="",LEN(TRIM('Raw Data'!X21))=0),"",IF(AND(ISNUMBER('Raw Data'!X21), IFERROR('Raw Data'!X21 = ROUND('Raw Data'!X21, 2),FALSE)),"",_xlfn.REGEXEXTRACT(CELL("address",X21), "\$([A-Z]+)\$[0-9]+"))),_xlfn.REGEXEXTRACT(CELL("address",X21), "\$([A-Z]+)\$[0-9]+"))</f>
        <v/>
      </c>
    </row>
    <row r="22" spans="2:24" x14ac:dyDescent="0.25">
      <c r="B22" s="7" t="str" cm="1">
        <f t="array" aca="1" ref="B22" ca="1">IFERROR(IF(OR('Raw Data'!B22="",LEN(TRIM('Raw Data'!B22))=0),"",IF(AND(LEN('Raw Data'!B22) &lt;= 50,LEN('Raw Data'!B22)&gt; 0),"",_xlfn.REGEXEXTRACT(CELL("address",'Raw Data'!B22),"\$([A-Z]+)\$[0-9]+"))),_xlfn.REGEXEXTRACT(CELL("address",'Raw Data'!B22),"\$([A-Z]+)\$[0-9]+"))</f>
        <v/>
      </c>
      <c r="C22" s="7" t="str" cm="1">
        <f t="array" aca="1" ref="C22" ca="1">IFERROR(IF(OR('Raw Data'!C22="",LEN(TRIM('Raw Data'!C22))=0),"",IF(AND(LEN('Raw Data'!C22) &lt;= 50,LEN('Raw Data'!C22)&gt; 0),"",_xlfn.REGEXEXTRACT(CELL("address",'Raw Data'!C22),"\$([A-Z]+)\$[0-9]+"))),_xlfn.REGEXEXTRACT(CELL("address",'Raw Data'!C22),"\$([A-Z]+)\$[0-9]+"))</f>
        <v/>
      </c>
      <c r="D22" s="7" t="str" cm="1">
        <f t="array" aca="1" ref="D22" ca="1">IFERROR(IF(OR('Raw Data'!D22="",LEN(TRIM('Raw Data'!D22))=0),"",IF(AND(LEN('Raw Data'!D22) &lt;= 255,LEN('Raw Data'!D22)&gt; 0),"",_xlfn.REGEXEXTRACT(CELL("address",'Raw Data'!D22),"\$([A-Z]+)\$[0-9]+"))),_xlfn.REGEXEXTRACT(CELL("address",'Raw Data'!D22),"\$([A-Z]+)\$[0-9]+"))</f>
        <v/>
      </c>
      <c r="E22" s="7" t="str" cm="1">
        <f t="array" aca="1" ref="E22" ca="1">IFERROR(IF(OR('Raw Data'!E22="",LEN(TRIM('Raw Data'!E22))=0),"",IF(AND(ISNUMBER('Raw Data'!E22),'Raw Data'!E22&gt;=Configuration!$D$2),"",_xlfn.REGEXEXTRACT(CELL("address",'Raw Data'!E22),"\$([A-Z]+)\$[0-9]+"))),_xlfn.REGEXEXTRACT(CELL("address",E22), "\$([A-Z]+)\$[0-9]+"))</f>
        <v/>
      </c>
      <c r="F22" s="7" t="str" cm="1">
        <f t="array" aca="1" ref="F22" ca="1">IFERROR(IF(OR('Raw Data'!F22="",LEN(TRIM('Raw Data'!F22))=0),"",IF(AND(LEN('Raw Data'!F22) &lt;= 20,LEN('Raw Data'!F22)&gt; 0),"",_xlfn.REGEXEXTRACT(CELL("address",'Raw Data'!F22),"\$([A-Z]+)\$[0-9]+"))),_xlfn.REGEXEXTRACT(CELL("address",'Raw Data'!F22),"\$([A-Z]+)\$[0-9]+"))</f>
        <v/>
      </c>
      <c r="G22" s="7" t="str" cm="1">
        <f t="array" aca="1" ref="G22" ca="1">IFERROR(IF(OR('Raw Data'!G22="",LEN(TRIM('Raw Data'!G22))=0),"",IF(AND(ISNUMBER('Raw Data'!G22), IFERROR('Raw Data'!G22 = ROUND('Raw Data'!G22, 2),FALSE)),"",_xlfn.REGEXEXTRACT(CELL("address",G22), "\$([A-Z]+)\$[0-9]+"))),_xlfn.REGEXEXTRACT(CELL("address",G22), "\$([A-Z]+)\$[0-9]+"))</f>
        <v/>
      </c>
      <c r="H22" s="7" t="str" cm="1">
        <f t="array" aca="1" ref="H22" ca="1">IFERROR(IF(OR('Raw Data'!H22="",LEN(TRIM('Raw Data'!H22))=0),"",IF(AND(ISNUMBER('Raw Data'!H22), IFERROR('Raw Data'!H22 = ROUND('Raw Data'!H22, 2),FALSE)),"",_xlfn.REGEXEXTRACT(CELL("address",H22), "\$([A-Z]+)\$[0-9]+"))),_xlfn.REGEXEXTRACT(CELL("address",H22), "\$([A-Z]+)\$[0-9]+"))</f>
        <v/>
      </c>
      <c r="I22" s="7" t="str" cm="1">
        <f t="array" aca="1" ref="I22" ca="1">IFERROR(IF(OR('Raw Data'!I22="",LEN(TRIM('Raw Data'!I22))=0),"",IF(AND(LEN('Raw Data'!I22) &lt;= 50,LEN('Raw Data'!I22)&gt; 0),"",_xlfn.REGEXEXTRACT(CELL("address",'Raw Data'!I22),"\$([A-Z]+)\$[0-9]+"))),_xlfn.REGEXEXTRACT(CELL("address",'Raw Data'!I22),"\$([A-Z]+)\$[0-9]+"))</f>
        <v/>
      </c>
      <c r="J22" s="7" t="str" cm="1">
        <f t="array" aca="1" ref="J22" ca="1">IFERROR(IF(OR('Raw Data'!J22="",LEN(TRIM('Raw Data'!J22))=0),"",IF(AND(ISNUMBER('Raw Data'!J22),'Raw Data'!J22&gt;=Configuration!$D$2),"",_xlfn.REGEXEXTRACT(CELL("address",'Raw Data'!J22),"\$([A-Z]+)\$[0-9]+"))),_xlfn.REGEXEXTRACT(CELL("address",J22), "\$([A-Z]+)\$[0-9]+"))</f>
        <v/>
      </c>
      <c r="K22" s="7" t="str" cm="1">
        <f t="array" aca="1" ref="K22" ca="1">IFERROR(IF(OR('Raw Data'!K22="",LEN(TRIM('Raw Data'!K22))=0),"",IF(AND(ISNUMBER('Raw Data'!K22), IFERROR('Raw Data'!K22 = ROUND('Raw Data'!K22, 2),FALSE)),"",_xlfn.REGEXEXTRACT(CELL("address",K22), "\$([A-Z]+)\$[0-9]+"))),_xlfn.REGEXEXTRACT(CELL("address",K22), "\$([A-Z]+)\$[0-9]+"))</f>
        <v/>
      </c>
      <c r="L22" s="7" t="str" cm="1">
        <f t="array" aca="1" ref="L22" ca="1">IFERROR(IF(OR('Raw Data'!L22="",LEN(TRIM('Raw Data'!L22))=0),"",IF(AND(ISNUMBER('Raw Data'!L22), IFERROR('Raw Data'!L22 = ROUND('Raw Data'!L22, 2),FALSE)),"",_xlfn.REGEXEXTRACT(CELL("address",L22), "\$([A-Z]+)\$[0-9]+"))),_xlfn.REGEXEXTRACT(CELL("address",L22), "\$([A-Z]+)\$[0-9]+"))</f>
        <v/>
      </c>
      <c r="M22" s="7" t="str" cm="1">
        <f t="array" aca="1" ref="M22" ca="1">IFERROR(IF(OR('Raw Data'!M22="",LEN(TRIM('Raw Data'!M22))=0),"",IF(AND(ISNUMBER('Raw Data'!M22), IFERROR('Raw Data'!M22 = ROUND('Raw Data'!M22, 2),FALSE)),"",_xlfn.REGEXEXTRACT(CELL("address",M22), "\$([A-Z]+)\$[0-9]+"))),_xlfn.REGEXEXTRACT(CELL("address",M22), "\$([A-Z]+)\$[0-9]+"))</f>
        <v/>
      </c>
      <c r="N22" s="7" t="str" cm="1">
        <f t="array" aca="1" ref="N22" ca="1">IFERROR(IF(OR('Raw Data'!N22="",LEN(TRIM('Raw Data'!N22))=0),"",IF(AND(ISNUMBER('Raw Data'!N22), IFERROR('Raw Data'!N22 = ROUND('Raw Data'!N22, 2),FALSE)),"",_xlfn.REGEXEXTRACT(CELL("address",N22), "\$([A-Z]+)\$[0-9]+"))),_xlfn.REGEXEXTRACT(CELL("address",N22), "\$([A-Z]+)\$[0-9]+"))</f>
        <v/>
      </c>
      <c r="O22" s="7" t="str" cm="1">
        <f t="array" aca="1" ref="O22" ca="1">IFERROR(IF(OR('Raw Data'!O22="",LEN(TRIM('Raw Data'!O22))=0),"",IF(AND(ISNUMBER('Raw Data'!O22), IFERROR('Raw Data'!O22 = ROUND('Raw Data'!O22, 2),FALSE)),"",_xlfn.REGEXEXTRACT(CELL("address",O22), "\$([A-Z]+)\$[0-9]+"))),_xlfn.REGEXEXTRACT(CELL("address",O22), "\$([A-Z]+)\$[0-9]+"))</f>
        <v/>
      </c>
      <c r="P22" s="7" t="str" cm="1">
        <f t="array" aca="1" ref="P22" ca="1">IFERROR(IF(OR('Raw Data'!P22="",LEN(TRIM('Raw Data'!P22))=0),"",IF(AND(ISNUMBER('Raw Data'!P22),'Raw Data'!P22&gt;=Configuration!$D$2),"",_xlfn.REGEXEXTRACT(CELL("address",'Raw Data'!P22),"\$([A-Z]+)\$[0-9]+"))),_xlfn.REGEXEXTRACT(CELL("address",P22), "\$([A-Z]+)\$[0-9]+"))</f>
        <v/>
      </c>
      <c r="Q22" s="7" t="str" cm="1">
        <f t="array" aca="1" ref="Q22" ca="1">IFERROR(IF(OR('Raw Data'!Q22="",LEN(TRIM('Raw Data'!Q22))=0),"",IF(AND(ISNUMBER('Raw Data'!Q22),'Raw Data'!Q22&gt;=Configuration!$D$2),"",_xlfn.REGEXEXTRACT(CELL("address",'Raw Data'!Q22),"\$([A-Z]+)\$[0-9]+"))),_xlfn.REGEXEXTRACT(CELL("address",Q22), "\$([A-Z]+)\$[0-9]+"))</f>
        <v/>
      </c>
      <c r="R22" s="7" t="str" cm="1">
        <f t="array" aca="1" ref="R22" ca="1">IFERROR(IF(OR('Raw Data'!R22="",LEN(TRIM('Raw Data'!R22))=0),"",IF(AND(ISNUMBER('Raw Data'!R22), IFERROR('Raw Data'!R22 = ROUND('Raw Data'!R22, 2),FALSE)),"",_xlfn.REGEXEXTRACT(CELL("address",R22), "\$([A-Z]+)\$[0-9]+"))),_xlfn.REGEXEXTRACT(CELL("address",R22), "\$([A-Z]+)\$[0-9]+"))</f>
        <v/>
      </c>
      <c r="S22" s="7" t="str" cm="1">
        <f t="array" aca="1" ref="S22" ca="1">IFERROR(IF(OR('Raw Data'!S22="",LEN(TRIM('Raw Data'!S22))=0),"",IF(AND(ISNUMBER('Raw Data'!S22), IFERROR('Raw Data'!S22 = ROUND('Raw Data'!S22, 2),FALSE)),"",_xlfn.REGEXEXTRACT(CELL("address",S22), "\$([A-Z]+)\$[0-9]+"))),_xlfn.REGEXEXTRACT(CELL("address",S22), "\$([A-Z]+)\$[0-9]+"))</f>
        <v/>
      </c>
      <c r="T22" s="7" t="str" cm="1">
        <f t="array" aca="1" ref="T22" ca="1">IFERROR(IF(OR('Raw Data'!T22="",LEN(TRIM('Raw Data'!T22))=0),"",IF(AND(ISNUMBER('Raw Data'!T22), IFERROR('Raw Data'!T22 = ROUND('Raw Data'!T22, 2),FALSE)),"",_xlfn.REGEXEXTRACT(CELL("address",T22), "\$([A-Z]+)\$[0-9]+"))),_xlfn.REGEXEXTRACT(CELL("address",T22), "\$([A-Z]+)\$[0-9]+"))</f>
        <v/>
      </c>
      <c r="U22" s="7" t="str" cm="1">
        <f t="array" aca="1" ref="U22" ca="1">IFERROR(IF(OR('Raw Data'!U22="",LEN(TRIM('Raw Data'!U22))=0),"",IF(AND(LEN('Raw Data'!U22) &lt;= 5,LEN('Raw Data'!U22)&gt; 0),"",_xlfn.REGEXEXTRACT(CELL("address",'Raw Data'!U22),"\$([A-Z]+)\$[0-9]+"))),_xlfn.REGEXEXTRACT(CELL("address",'Raw Data'!U22),"\$([A-Z]+)\$[0-9]+"))</f>
        <v/>
      </c>
      <c r="V22" s="7" t="str" cm="1">
        <f t="array" aca="1" ref="V22" ca="1">IFERROR(IF(OR('Raw Data'!V22="",LEN(TRIM('Raw Data'!V22))=0),"",IF(AND(ISNUMBER('Raw Data'!V22), IFERROR('Raw Data'!V22 = ROUND('Raw Data'!V22, 2),FALSE)),"",_xlfn.REGEXEXTRACT(CELL("address",V22), "\$([A-Z]+)\$[0-9]+"))),_xlfn.REGEXEXTRACT(CELL("address",V22), "\$([A-Z]+)\$[0-9]+"))</f>
        <v/>
      </c>
      <c r="W22" s="7" t="str" cm="1">
        <f t="array" aca="1" ref="W22" ca="1">IFERROR(IF(OR('Raw Data'!W22="",LEN(TRIM('Raw Data'!W22))=0),"",IF(AND(ISNUMBER('Raw Data'!W22), IFERROR('Raw Data'!W22 = ROUND('Raw Data'!W22, 2),FALSE)),"",_xlfn.REGEXEXTRACT(CELL("address",W22), "\$([A-Z]+)\$[0-9]+"))),_xlfn.REGEXEXTRACT(CELL("address",W22), "\$([A-Z]+)\$[0-9]+"))</f>
        <v/>
      </c>
      <c r="X22" s="7" t="str" cm="1">
        <f t="array" aca="1" ref="X22" ca="1">IFERROR(IF(OR('Raw Data'!X22="",LEN(TRIM('Raw Data'!X22))=0),"",IF(AND(ISNUMBER('Raw Data'!X22), IFERROR('Raw Data'!X22 = ROUND('Raw Data'!X22, 2),FALSE)),"",_xlfn.REGEXEXTRACT(CELL("address",X22), "\$([A-Z]+)\$[0-9]+"))),_xlfn.REGEXEXTRACT(CELL("address",X22), "\$([A-Z]+)\$[0-9]+"))</f>
        <v/>
      </c>
    </row>
    <row r="23" spans="2:24" x14ac:dyDescent="0.25">
      <c r="B23" s="7" t="str" cm="1">
        <f t="array" aca="1" ref="B23" ca="1">IFERROR(IF(OR('Raw Data'!B23="",LEN(TRIM('Raw Data'!B23))=0),"",IF(AND(LEN('Raw Data'!B23) &lt;= 50,LEN('Raw Data'!B23)&gt; 0),"",_xlfn.REGEXEXTRACT(CELL("address",'Raw Data'!B23),"\$([A-Z]+)\$[0-9]+"))),_xlfn.REGEXEXTRACT(CELL("address",'Raw Data'!B23),"\$([A-Z]+)\$[0-9]+"))</f>
        <v/>
      </c>
      <c r="C23" s="7" t="str" cm="1">
        <f t="array" aca="1" ref="C23" ca="1">IFERROR(IF(OR('Raw Data'!C23="",LEN(TRIM('Raw Data'!C23))=0),"",IF(AND(LEN('Raw Data'!C23) &lt;= 50,LEN('Raw Data'!C23)&gt; 0),"",_xlfn.REGEXEXTRACT(CELL("address",'Raw Data'!C23),"\$([A-Z]+)\$[0-9]+"))),_xlfn.REGEXEXTRACT(CELL("address",'Raw Data'!C23),"\$([A-Z]+)\$[0-9]+"))</f>
        <v/>
      </c>
      <c r="D23" s="7" t="str" cm="1">
        <f t="array" aca="1" ref="D23" ca="1">IFERROR(IF(OR('Raw Data'!D23="",LEN(TRIM('Raw Data'!D23))=0),"",IF(AND(LEN('Raw Data'!D23) &lt;= 255,LEN('Raw Data'!D23)&gt; 0),"",_xlfn.REGEXEXTRACT(CELL("address",'Raw Data'!D23),"\$([A-Z]+)\$[0-9]+"))),_xlfn.REGEXEXTRACT(CELL("address",'Raw Data'!D23),"\$([A-Z]+)\$[0-9]+"))</f>
        <v/>
      </c>
      <c r="E23" s="7" t="str" cm="1">
        <f t="array" aca="1" ref="E23" ca="1">IFERROR(IF(OR('Raw Data'!E23="",LEN(TRIM('Raw Data'!E23))=0),"",IF(AND(ISNUMBER('Raw Data'!E23),'Raw Data'!E23&gt;=Configuration!$D$2),"",_xlfn.REGEXEXTRACT(CELL("address",'Raw Data'!E23),"\$([A-Z]+)\$[0-9]+"))),_xlfn.REGEXEXTRACT(CELL("address",E23), "\$([A-Z]+)\$[0-9]+"))</f>
        <v/>
      </c>
      <c r="F23" s="7" t="str" cm="1">
        <f t="array" aca="1" ref="F23" ca="1">IFERROR(IF(OR('Raw Data'!F23="",LEN(TRIM('Raw Data'!F23))=0),"",IF(AND(LEN('Raw Data'!F23) &lt;= 20,LEN('Raw Data'!F23)&gt; 0),"",_xlfn.REGEXEXTRACT(CELL("address",'Raw Data'!F23),"\$([A-Z]+)\$[0-9]+"))),_xlfn.REGEXEXTRACT(CELL("address",'Raw Data'!F23),"\$([A-Z]+)\$[0-9]+"))</f>
        <v/>
      </c>
      <c r="G23" s="7" t="str" cm="1">
        <f t="array" aca="1" ref="G23" ca="1">IFERROR(IF(OR('Raw Data'!G23="",LEN(TRIM('Raw Data'!G23))=0),"",IF(AND(ISNUMBER('Raw Data'!G23), IFERROR('Raw Data'!G23 = ROUND('Raw Data'!G23, 2),FALSE)),"",_xlfn.REGEXEXTRACT(CELL("address",G23), "\$([A-Z]+)\$[0-9]+"))),_xlfn.REGEXEXTRACT(CELL("address",G23), "\$([A-Z]+)\$[0-9]+"))</f>
        <v/>
      </c>
      <c r="H23" s="7" t="str" cm="1">
        <f t="array" aca="1" ref="H23" ca="1">IFERROR(IF(OR('Raw Data'!H23="",LEN(TRIM('Raw Data'!H23))=0),"",IF(AND(ISNUMBER('Raw Data'!H23), IFERROR('Raw Data'!H23 = ROUND('Raw Data'!H23, 2),FALSE)),"",_xlfn.REGEXEXTRACT(CELL("address",H23), "\$([A-Z]+)\$[0-9]+"))),_xlfn.REGEXEXTRACT(CELL("address",H23), "\$([A-Z]+)\$[0-9]+"))</f>
        <v/>
      </c>
      <c r="I23" s="7" t="str" cm="1">
        <f t="array" aca="1" ref="I23" ca="1">IFERROR(IF(OR('Raw Data'!I23="",LEN(TRIM('Raw Data'!I23))=0),"",IF(AND(LEN('Raw Data'!I23) &lt;= 50,LEN('Raw Data'!I23)&gt; 0),"",_xlfn.REGEXEXTRACT(CELL("address",'Raw Data'!I23),"\$([A-Z]+)\$[0-9]+"))),_xlfn.REGEXEXTRACT(CELL("address",'Raw Data'!I23),"\$([A-Z]+)\$[0-9]+"))</f>
        <v/>
      </c>
      <c r="J23" s="7" t="str" cm="1">
        <f t="array" aca="1" ref="J23" ca="1">IFERROR(IF(OR('Raw Data'!J23="",LEN(TRIM('Raw Data'!J23))=0),"",IF(AND(ISNUMBER('Raw Data'!J23),'Raw Data'!J23&gt;=Configuration!$D$2),"",_xlfn.REGEXEXTRACT(CELL("address",'Raw Data'!J23),"\$([A-Z]+)\$[0-9]+"))),_xlfn.REGEXEXTRACT(CELL("address",J23), "\$([A-Z]+)\$[0-9]+"))</f>
        <v/>
      </c>
      <c r="K23" s="7" t="str" cm="1">
        <f t="array" aca="1" ref="K23" ca="1">IFERROR(IF(OR('Raw Data'!K23="",LEN(TRIM('Raw Data'!K23))=0),"",IF(AND(ISNUMBER('Raw Data'!K23), IFERROR('Raw Data'!K23 = ROUND('Raw Data'!K23, 2),FALSE)),"",_xlfn.REGEXEXTRACT(CELL("address",K23), "\$([A-Z]+)\$[0-9]+"))),_xlfn.REGEXEXTRACT(CELL("address",K23), "\$([A-Z]+)\$[0-9]+"))</f>
        <v/>
      </c>
      <c r="L23" s="7" t="str" cm="1">
        <f t="array" aca="1" ref="L23" ca="1">IFERROR(IF(OR('Raw Data'!L23="",LEN(TRIM('Raw Data'!L23))=0),"",IF(AND(ISNUMBER('Raw Data'!L23), IFERROR('Raw Data'!L23 = ROUND('Raw Data'!L23, 2),FALSE)),"",_xlfn.REGEXEXTRACT(CELL("address",L23), "\$([A-Z]+)\$[0-9]+"))),_xlfn.REGEXEXTRACT(CELL("address",L23), "\$([A-Z]+)\$[0-9]+"))</f>
        <v/>
      </c>
      <c r="M23" s="7" t="str" cm="1">
        <f t="array" aca="1" ref="M23" ca="1">IFERROR(IF(OR('Raw Data'!M23="",LEN(TRIM('Raw Data'!M23))=0),"",IF(AND(ISNUMBER('Raw Data'!M23), IFERROR('Raw Data'!M23 = ROUND('Raw Data'!M23, 2),FALSE)),"",_xlfn.REGEXEXTRACT(CELL("address",M23), "\$([A-Z]+)\$[0-9]+"))),_xlfn.REGEXEXTRACT(CELL("address",M23), "\$([A-Z]+)\$[0-9]+"))</f>
        <v/>
      </c>
      <c r="N23" s="7" t="str" cm="1">
        <f t="array" aca="1" ref="N23" ca="1">IFERROR(IF(OR('Raw Data'!N23="",LEN(TRIM('Raw Data'!N23))=0),"",IF(AND(ISNUMBER('Raw Data'!N23), IFERROR('Raw Data'!N23 = ROUND('Raw Data'!N23, 2),FALSE)),"",_xlfn.REGEXEXTRACT(CELL("address",N23), "\$([A-Z]+)\$[0-9]+"))),_xlfn.REGEXEXTRACT(CELL("address",N23), "\$([A-Z]+)\$[0-9]+"))</f>
        <v/>
      </c>
      <c r="O23" s="7" t="str" cm="1">
        <f t="array" aca="1" ref="O23" ca="1">IFERROR(IF(OR('Raw Data'!O23="",LEN(TRIM('Raw Data'!O23))=0),"",IF(AND(ISNUMBER('Raw Data'!O23), IFERROR('Raw Data'!O23 = ROUND('Raw Data'!O23, 2),FALSE)),"",_xlfn.REGEXEXTRACT(CELL("address",O23), "\$([A-Z]+)\$[0-9]+"))),_xlfn.REGEXEXTRACT(CELL("address",O23), "\$([A-Z]+)\$[0-9]+"))</f>
        <v/>
      </c>
      <c r="P23" s="7" t="str" cm="1">
        <f t="array" aca="1" ref="P23" ca="1">IFERROR(IF(OR('Raw Data'!P23="",LEN(TRIM('Raw Data'!P23))=0),"",IF(AND(ISNUMBER('Raw Data'!P23),'Raw Data'!P23&gt;=Configuration!$D$2),"",_xlfn.REGEXEXTRACT(CELL("address",'Raw Data'!P23),"\$([A-Z]+)\$[0-9]+"))),_xlfn.REGEXEXTRACT(CELL("address",P23), "\$([A-Z]+)\$[0-9]+"))</f>
        <v/>
      </c>
      <c r="Q23" s="7" t="str" cm="1">
        <f t="array" aca="1" ref="Q23" ca="1">IFERROR(IF(OR('Raw Data'!Q23="",LEN(TRIM('Raw Data'!Q23))=0),"",IF(AND(ISNUMBER('Raw Data'!Q23),'Raw Data'!Q23&gt;=Configuration!$D$2),"",_xlfn.REGEXEXTRACT(CELL("address",'Raw Data'!Q23),"\$([A-Z]+)\$[0-9]+"))),_xlfn.REGEXEXTRACT(CELL("address",Q23), "\$([A-Z]+)\$[0-9]+"))</f>
        <v/>
      </c>
      <c r="R23" s="7" t="str" cm="1">
        <f t="array" aca="1" ref="R23" ca="1">IFERROR(IF(OR('Raw Data'!R23="",LEN(TRIM('Raw Data'!R23))=0),"",IF(AND(ISNUMBER('Raw Data'!R23), IFERROR('Raw Data'!R23 = ROUND('Raw Data'!R23, 2),FALSE)),"",_xlfn.REGEXEXTRACT(CELL("address",R23), "\$([A-Z]+)\$[0-9]+"))),_xlfn.REGEXEXTRACT(CELL("address",R23), "\$([A-Z]+)\$[0-9]+"))</f>
        <v/>
      </c>
      <c r="S23" s="7" t="str" cm="1">
        <f t="array" aca="1" ref="S23" ca="1">IFERROR(IF(OR('Raw Data'!S23="",LEN(TRIM('Raw Data'!S23))=0),"",IF(AND(ISNUMBER('Raw Data'!S23), IFERROR('Raw Data'!S23 = ROUND('Raw Data'!S23, 2),FALSE)),"",_xlfn.REGEXEXTRACT(CELL("address",S23), "\$([A-Z]+)\$[0-9]+"))),_xlfn.REGEXEXTRACT(CELL("address",S23), "\$([A-Z]+)\$[0-9]+"))</f>
        <v/>
      </c>
      <c r="T23" s="7" t="str" cm="1">
        <f t="array" aca="1" ref="T23" ca="1">IFERROR(IF(OR('Raw Data'!T23="",LEN(TRIM('Raw Data'!T23))=0),"",IF(AND(ISNUMBER('Raw Data'!T23), IFERROR('Raw Data'!T23 = ROUND('Raw Data'!T23, 2),FALSE)),"",_xlfn.REGEXEXTRACT(CELL("address",T23), "\$([A-Z]+)\$[0-9]+"))),_xlfn.REGEXEXTRACT(CELL("address",T23), "\$([A-Z]+)\$[0-9]+"))</f>
        <v/>
      </c>
      <c r="U23" s="7" t="str" cm="1">
        <f t="array" aca="1" ref="U23" ca="1">IFERROR(IF(OR('Raw Data'!U23="",LEN(TRIM('Raw Data'!U23))=0),"",IF(AND(LEN('Raw Data'!U23) &lt;= 5,LEN('Raw Data'!U23)&gt; 0),"",_xlfn.REGEXEXTRACT(CELL("address",'Raw Data'!U23),"\$([A-Z]+)\$[0-9]+"))),_xlfn.REGEXEXTRACT(CELL("address",'Raw Data'!U23),"\$([A-Z]+)\$[0-9]+"))</f>
        <v/>
      </c>
      <c r="V23" s="7" t="str" cm="1">
        <f t="array" aca="1" ref="V23" ca="1">IFERROR(IF(OR('Raw Data'!V23="",LEN(TRIM('Raw Data'!V23))=0),"",IF(AND(ISNUMBER('Raw Data'!V23), IFERROR('Raw Data'!V23 = ROUND('Raw Data'!V23, 2),FALSE)),"",_xlfn.REGEXEXTRACT(CELL("address",V23), "\$([A-Z]+)\$[0-9]+"))),_xlfn.REGEXEXTRACT(CELL("address",V23), "\$([A-Z]+)\$[0-9]+"))</f>
        <v/>
      </c>
      <c r="W23" s="7" t="str" cm="1">
        <f t="array" aca="1" ref="W23" ca="1">IFERROR(IF(OR('Raw Data'!W23="",LEN(TRIM('Raw Data'!W23))=0),"",IF(AND(ISNUMBER('Raw Data'!W23), IFERROR('Raw Data'!W23 = ROUND('Raw Data'!W23, 2),FALSE)),"",_xlfn.REGEXEXTRACT(CELL("address",W23), "\$([A-Z]+)\$[0-9]+"))),_xlfn.REGEXEXTRACT(CELL("address",W23), "\$([A-Z]+)\$[0-9]+"))</f>
        <v/>
      </c>
      <c r="X23" s="7" t="str" cm="1">
        <f t="array" aca="1" ref="X23" ca="1">IFERROR(IF(OR('Raw Data'!X23="",LEN(TRIM('Raw Data'!X23))=0),"",IF(AND(ISNUMBER('Raw Data'!X23), IFERROR('Raw Data'!X23 = ROUND('Raw Data'!X23, 2),FALSE)),"",_xlfn.REGEXEXTRACT(CELL("address",X23), "\$([A-Z]+)\$[0-9]+"))),_xlfn.REGEXEXTRACT(CELL("address",X23), "\$([A-Z]+)\$[0-9]+"))</f>
        <v/>
      </c>
    </row>
    <row r="24" spans="2:24" x14ac:dyDescent="0.25">
      <c r="B24" s="7" t="str" cm="1">
        <f t="array" aca="1" ref="B24" ca="1">IFERROR(IF(OR('Raw Data'!B24="",LEN(TRIM('Raw Data'!B24))=0),"",IF(AND(LEN('Raw Data'!B24) &lt;= 50,LEN('Raw Data'!B24)&gt; 0),"",_xlfn.REGEXEXTRACT(CELL("address",'Raw Data'!B24),"\$([A-Z]+)\$[0-9]+"))),_xlfn.REGEXEXTRACT(CELL("address",'Raw Data'!B24),"\$([A-Z]+)\$[0-9]+"))</f>
        <v/>
      </c>
      <c r="C24" s="7" t="str" cm="1">
        <f t="array" aca="1" ref="C24" ca="1">IFERROR(IF(OR('Raw Data'!C24="",LEN(TRIM('Raw Data'!C24))=0),"",IF(AND(LEN('Raw Data'!C24) &lt;= 50,LEN('Raw Data'!C24)&gt; 0),"",_xlfn.REGEXEXTRACT(CELL("address",'Raw Data'!C24),"\$([A-Z]+)\$[0-9]+"))),_xlfn.REGEXEXTRACT(CELL("address",'Raw Data'!C24),"\$([A-Z]+)\$[0-9]+"))</f>
        <v/>
      </c>
      <c r="D24" s="7" t="str" cm="1">
        <f t="array" aca="1" ref="D24" ca="1">IFERROR(IF(OR('Raw Data'!D24="",LEN(TRIM('Raw Data'!D24))=0),"",IF(AND(LEN('Raw Data'!D24) &lt;= 255,LEN('Raw Data'!D24)&gt; 0),"",_xlfn.REGEXEXTRACT(CELL("address",'Raw Data'!D24),"\$([A-Z]+)\$[0-9]+"))),_xlfn.REGEXEXTRACT(CELL("address",'Raw Data'!D24),"\$([A-Z]+)\$[0-9]+"))</f>
        <v/>
      </c>
      <c r="E24" s="7" t="str" cm="1">
        <f t="array" aca="1" ref="E24" ca="1">IFERROR(IF(OR('Raw Data'!E24="",LEN(TRIM('Raw Data'!E24))=0),"",IF(AND(ISNUMBER('Raw Data'!E24),'Raw Data'!E24&gt;=Configuration!$D$2),"",_xlfn.REGEXEXTRACT(CELL("address",'Raw Data'!E24),"\$([A-Z]+)\$[0-9]+"))),_xlfn.REGEXEXTRACT(CELL("address",E24), "\$([A-Z]+)\$[0-9]+"))</f>
        <v/>
      </c>
      <c r="F24" s="7" t="str" cm="1">
        <f t="array" aca="1" ref="F24" ca="1">IFERROR(IF(OR('Raw Data'!F24="",LEN(TRIM('Raw Data'!F24))=0),"",IF(AND(LEN('Raw Data'!F24) &lt;= 20,LEN('Raw Data'!F24)&gt; 0),"",_xlfn.REGEXEXTRACT(CELL("address",'Raw Data'!F24),"\$([A-Z]+)\$[0-9]+"))),_xlfn.REGEXEXTRACT(CELL("address",'Raw Data'!F24),"\$([A-Z]+)\$[0-9]+"))</f>
        <v/>
      </c>
      <c r="G24" s="7" t="str" cm="1">
        <f t="array" aca="1" ref="G24" ca="1">IFERROR(IF(OR('Raw Data'!G24="",LEN(TRIM('Raw Data'!G24))=0),"",IF(AND(ISNUMBER('Raw Data'!G24), IFERROR('Raw Data'!G24 = ROUND('Raw Data'!G24, 2),FALSE)),"",_xlfn.REGEXEXTRACT(CELL("address",G24), "\$([A-Z]+)\$[0-9]+"))),_xlfn.REGEXEXTRACT(CELL("address",G24), "\$([A-Z]+)\$[0-9]+"))</f>
        <v/>
      </c>
      <c r="H24" s="7" t="str" cm="1">
        <f t="array" aca="1" ref="H24" ca="1">IFERROR(IF(OR('Raw Data'!H24="",LEN(TRIM('Raw Data'!H24))=0),"",IF(AND(ISNUMBER('Raw Data'!H24), IFERROR('Raw Data'!H24 = ROUND('Raw Data'!H24, 2),FALSE)),"",_xlfn.REGEXEXTRACT(CELL("address",H24), "\$([A-Z]+)\$[0-9]+"))),_xlfn.REGEXEXTRACT(CELL("address",H24), "\$([A-Z]+)\$[0-9]+"))</f>
        <v/>
      </c>
      <c r="I24" s="7" t="str" cm="1">
        <f t="array" aca="1" ref="I24" ca="1">IFERROR(IF(OR('Raw Data'!I24="",LEN(TRIM('Raw Data'!I24))=0),"",IF(AND(LEN('Raw Data'!I24) &lt;= 50,LEN('Raw Data'!I24)&gt; 0),"",_xlfn.REGEXEXTRACT(CELL("address",'Raw Data'!I24),"\$([A-Z]+)\$[0-9]+"))),_xlfn.REGEXEXTRACT(CELL("address",'Raw Data'!I24),"\$([A-Z]+)\$[0-9]+"))</f>
        <v/>
      </c>
      <c r="J24" s="7" t="str" cm="1">
        <f t="array" aca="1" ref="J24" ca="1">IFERROR(IF(OR('Raw Data'!J24="",LEN(TRIM('Raw Data'!J24))=0),"",IF(AND(ISNUMBER('Raw Data'!J24),'Raw Data'!J24&gt;=Configuration!$D$2),"",_xlfn.REGEXEXTRACT(CELL("address",'Raw Data'!J24),"\$([A-Z]+)\$[0-9]+"))),_xlfn.REGEXEXTRACT(CELL("address",J24), "\$([A-Z]+)\$[0-9]+"))</f>
        <v/>
      </c>
      <c r="K24" s="7" t="str" cm="1">
        <f t="array" aca="1" ref="K24" ca="1">IFERROR(IF(OR('Raw Data'!K24="",LEN(TRIM('Raw Data'!K24))=0),"",IF(AND(ISNUMBER('Raw Data'!K24), IFERROR('Raw Data'!K24 = ROUND('Raw Data'!K24, 2),FALSE)),"",_xlfn.REGEXEXTRACT(CELL("address",K24), "\$([A-Z]+)\$[0-9]+"))),_xlfn.REGEXEXTRACT(CELL("address",K24), "\$([A-Z]+)\$[0-9]+"))</f>
        <v/>
      </c>
      <c r="L24" s="7" t="str" cm="1">
        <f t="array" aca="1" ref="L24" ca="1">IFERROR(IF(OR('Raw Data'!L24="",LEN(TRIM('Raw Data'!L24))=0),"",IF(AND(ISNUMBER('Raw Data'!L24), IFERROR('Raw Data'!L24 = ROUND('Raw Data'!L24, 2),FALSE)),"",_xlfn.REGEXEXTRACT(CELL("address",L24), "\$([A-Z]+)\$[0-9]+"))),_xlfn.REGEXEXTRACT(CELL("address",L24), "\$([A-Z]+)\$[0-9]+"))</f>
        <v/>
      </c>
      <c r="M24" s="7" t="str" cm="1">
        <f t="array" aca="1" ref="M24" ca="1">IFERROR(IF(OR('Raw Data'!M24="",LEN(TRIM('Raw Data'!M24))=0),"",IF(AND(ISNUMBER('Raw Data'!M24), IFERROR('Raw Data'!M24 = ROUND('Raw Data'!M24, 2),FALSE)),"",_xlfn.REGEXEXTRACT(CELL("address",M24), "\$([A-Z]+)\$[0-9]+"))),_xlfn.REGEXEXTRACT(CELL("address",M24), "\$([A-Z]+)\$[0-9]+"))</f>
        <v/>
      </c>
      <c r="N24" s="7" t="str" cm="1">
        <f t="array" aca="1" ref="N24" ca="1">IFERROR(IF(OR('Raw Data'!N24="",LEN(TRIM('Raw Data'!N24))=0),"",IF(AND(ISNUMBER('Raw Data'!N24), IFERROR('Raw Data'!N24 = ROUND('Raw Data'!N24, 2),FALSE)),"",_xlfn.REGEXEXTRACT(CELL("address",N24), "\$([A-Z]+)\$[0-9]+"))),_xlfn.REGEXEXTRACT(CELL("address",N24), "\$([A-Z]+)\$[0-9]+"))</f>
        <v/>
      </c>
      <c r="O24" s="7" t="str" cm="1">
        <f t="array" aca="1" ref="O24" ca="1">IFERROR(IF(OR('Raw Data'!O24="",LEN(TRIM('Raw Data'!O24))=0),"",IF(AND(ISNUMBER('Raw Data'!O24), IFERROR('Raw Data'!O24 = ROUND('Raw Data'!O24, 2),FALSE)),"",_xlfn.REGEXEXTRACT(CELL("address",O24), "\$([A-Z]+)\$[0-9]+"))),_xlfn.REGEXEXTRACT(CELL("address",O24), "\$([A-Z]+)\$[0-9]+"))</f>
        <v/>
      </c>
      <c r="P24" s="7" t="str" cm="1">
        <f t="array" aca="1" ref="P24" ca="1">IFERROR(IF(OR('Raw Data'!P24="",LEN(TRIM('Raw Data'!P24))=0),"",IF(AND(ISNUMBER('Raw Data'!P24),'Raw Data'!P24&gt;=Configuration!$D$2),"",_xlfn.REGEXEXTRACT(CELL("address",'Raw Data'!P24),"\$([A-Z]+)\$[0-9]+"))),_xlfn.REGEXEXTRACT(CELL("address",P24), "\$([A-Z]+)\$[0-9]+"))</f>
        <v/>
      </c>
      <c r="Q24" s="7" t="str" cm="1">
        <f t="array" aca="1" ref="Q24" ca="1">IFERROR(IF(OR('Raw Data'!Q24="",LEN(TRIM('Raw Data'!Q24))=0),"",IF(AND(ISNUMBER('Raw Data'!Q24),'Raw Data'!Q24&gt;=Configuration!$D$2),"",_xlfn.REGEXEXTRACT(CELL("address",'Raw Data'!Q24),"\$([A-Z]+)\$[0-9]+"))),_xlfn.REGEXEXTRACT(CELL("address",Q24), "\$([A-Z]+)\$[0-9]+"))</f>
        <v/>
      </c>
      <c r="R24" s="7" t="str" cm="1">
        <f t="array" aca="1" ref="R24" ca="1">IFERROR(IF(OR('Raw Data'!R24="",LEN(TRIM('Raw Data'!R24))=0),"",IF(AND(ISNUMBER('Raw Data'!R24), IFERROR('Raw Data'!R24 = ROUND('Raw Data'!R24, 2),FALSE)),"",_xlfn.REGEXEXTRACT(CELL("address",R24), "\$([A-Z]+)\$[0-9]+"))),_xlfn.REGEXEXTRACT(CELL("address",R24), "\$([A-Z]+)\$[0-9]+"))</f>
        <v/>
      </c>
      <c r="S24" s="7" t="str" cm="1">
        <f t="array" aca="1" ref="S24" ca="1">IFERROR(IF(OR('Raw Data'!S24="",LEN(TRIM('Raw Data'!S24))=0),"",IF(AND(ISNUMBER('Raw Data'!S24), IFERROR('Raw Data'!S24 = ROUND('Raw Data'!S24, 2),FALSE)),"",_xlfn.REGEXEXTRACT(CELL("address",S24), "\$([A-Z]+)\$[0-9]+"))),_xlfn.REGEXEXTRACT(CELL("address",S24), "\$([A-Z]+)\$[0-9]+"))</f>
        <v/>
      </c>
      <c r="T24" s="7" t="str" cm="1">
        <f t="array" aca="1" ref="T24" ca="1">IFERROR(IF(OR('Raw Data'!T24="",LEN(TRIM('Raw Data'!T24))=0),"",IF(AND(ISNUMBER('Raw Data'!T24), IFERROR('Raw Data'!T24 = ROUND('Raw Data'!T24, 2),FALSE)),"",_xlfn.REGEXEXTRACT(CELL("address",T24), "\$([A-Z]+)\$[0-9]+"))),_xlfn.REGEXEXTRACT(CELL("address",T24), "\$([A-Z]+)\$[0-9]+"))</f>
        <v/>
      </c>
      <c r="U24" s="7" t="str" cm="1">
        <f t="array" aca="1" ref="U24" ca="1">IFERROR(IF(OR('Raw Data'!U24="",LEN(TRIM('Raw Data'!U24))=0),"",IF(AND(LEN('Raw Data'!U24) &lt;= 5,LEN('Raw Data'!U24)&gt; 0),"",_xlfn.REGEXEXTRACT(CELL("address",'Raw Data'!U24),"\$([A-Z]+)\$[0-9]+"))),_xlfn.REGEXEXTRACT(CELL("address",'Raw Data'!U24),"\$([A-Z]+)\$[0-9]+"))</f>
        <v/>
      </c>
      <c r="V24" s="7" t="str" cm="1">
        <f t="array" aca="1" ref="V24" ca="1">IFERROR(IF(OR('Raw Data'!V24="",LEN(TRIM('Raw Data'!V24))=0),"",IF(AND(ISNUMBER('Raw Data'!V24), IFERROR('Raw Data'!V24 = ROUND('Raw Data'!V24, 2),FALSE)),"",_xlfn.REGEXEXTRACT(CELL("address",V24), "\$([A-Z]+)\$[0-9]+"))),_xlfn.REGEXEXTRACT(CELL("address",V24), "\$([A-Z]+)\$[0-9]+"))</f>
        <v/>
      </c>
      <c r="W24" s="7" t="str" cm="1">
        <f t="array" aca="1" ref="W24" ca="1">IFERROR(IF(OR('Raw Data'!W24="",LEN(TRIM('Raw Data'!W24))=0),"",IF(AND(ISNUMBER('Raw Data'!W24), IFERROR('Raw Data'!W24 = ROUND('Raw Data'!W24, 2),FALSE)),"",_xlfn.REGEXEXTRACT(CELL("address",W24), "\$([A-Z]+)\$[0-9]+"))),_xlfn.REGEXEXTRACT(CELL("address",W24), "\$([A-Z]+)\$[0-9]+"))</f>
        <v/>
      </c>
      <c r="X24" s="7" t="str" cm="1">
        <f t="array" aca="1" ref="X24" ca="1">IFERROR(IF(OR('Raw Data'!X24="",LEN(TRIM('Raw Data'!X24))=0),"",IF(AND(ISNUMBER('Raw Data'!X24), IFERROR('Raw Data'!X24 = ROUND('Raw Data'!X24, 2),FALSE)),"",_xlfn.REGEXEXTRACT(CELL("address",X24), "\$([A-Z]+)\$[0-9]+"))),_xlfn.REGEXEXTRACT(CELL("address",X24), "\$([A-Z]+)\$[0-9]+"))</f>
        <v/>
      </c>
    </row>
    <row r="25" spans="2:24" x14ac:dyDescent="0.25">
      <c r="B25" s="7" t="str" cm="1">
        <f t="array" aca="1" ref="B25" ca="1">IFERROR(IF(OR('Raw Data'!B25="",LEN(TRIM('Raw Data'!B25))=0),"",IF(AND(LEN('Raw Data'!B25) &lt;= 50,LEN('Raw Data'!B25)&gt; 0),"",_xlfn.REGEXEXTRACT(CELL("address",'Raw Data'!B25),"\$([A-Z]+)\$[0-9]+"))),_xlfn.REGEXEXTRACT(CELL("address",'Raw Data'!B25),"\$([A-Z]+)\$[0-9]+"))</f>
        <v/>
      </c>
      <c r="C25" s="7" t="str" cm="1">
        <f t="array" aca="1" ref="C25" ca="1">IFERROR(IF(OR('Raw Data'!C25="",LEN(TRIM('Raw Data'!C25))=0),"",IF(AND(LEN('Raw Data'!C25) &lt;= 50,LEN('Raw Data'!C25)&gt; 0),"",_xlfn.REGEXEXTRACT(CELL("address",'Raw Data'!C25),"\$([A-Z]+)\$[0-9]+"))),_xlfn.REGEXEXTRACT(CELL("address",'Raw Data'!C25),"\$([A-Z]+)\$[0-9]+"))</f>
        <v/>
      </c>
      <c r="D25" s="7" t="str" cm="1">
        <f t="array" aca="1" ref="D25" ca="1">IFERROR(IF(OR('Raw Data'!D25="",LEN(TRIM('Raw Data'!D25))=0),"",IF(AND(LEN('Raw Data'!D25) &lt;= 255,LEN('Raw Data'!D25)&gt; 0),"",_xlfn.REGEXEXTRACT(CELL("address",'Raw Data'!D25),"\$([A-Z]+)\$[0-9]+"))),_xlfn.REGEXEXTRACT(CELL("address",'Raw Data'!D25),"\$([A-Z]+)\$[0-9]+"))</f>
        <v/>
      </c>
      <c r="E25" s="7" t="str" cm="1">
        <f t="array" aca="1" ref="E25" ca="1">IFERROR(IF(OR('Raw Data'!E25="",LEN(TRIM('Raw Data'!E25))=0),"",IF(AND(ISNUMBER('Raw Data'!E25),'Raw Data'!E25&gt;=Configuration!$D$2),"",_xlfn.REGEXEXTRACT(CELL("address",'Raw Data'!E25),"\$([A-Z]+)\$[0-9]+"))),_xlfn.REGEXEXTRACT(CELL("address",E25), "\$([A-Z]+)\$[0-9]+"))</f>
        <v/>
      </c>
      <c r="F25" s="7" t="str" cm="1">
        <f t="array" aca="1" ref="F25" ca="1">IFERROR(IF(OR('Raw Data'!F25="",LEN(TRIM('Raw Data'!F25))=0),"",IF(AND(LEN('Raw Data'!F25) &lt;= 20,LEN('Raw Data'!F25)&gt; 0),"",_xlfn.REGEXEXTRACT(CELL("address",'Raw Data'!F25),"\$([A-Z]+)\$[0-9]+"))),_xlfn.REGEXEXTRACT(CELL("address",'Raw Data'!F25),"\$([A-Z]+)\$[0-9]+"))</f>
        <v/>
      </c>
      <c r="G25" s="7" t="str" cm="1">
        <f t="array" aca="1" ref="G25" ca="1">IFERROR(IF(OR('Raw Data'!G25="",LEN(TRIM('Raw Data'!G25))=0),"",IF(AND(ISNUMBER('Raw Data'!G25), IFERROR('Raw Data'!G25 = ROUND('Raw Data'!G25, 2),FALSE)),"",_xlfn.REGEXEXTRACT(CELL("address",G25), "\$([A-Z]+)\$[0-9]+"))),_xlfn.REGEXEXTRACT(CELL("address",G25), "\$([A-Z]+)\$[0-9]+"))</f>
        <v/>
      </c>
      <c r="H25" s="7" t="str" cm="1">
        <f t="array" aca="1" ref="H25" ca="1">IFERROR(IF(OR('Raw Data'!H25="",LEN(TRIM('Raw Data'!H25))=0),"",IF(AND(ISNUMBER('Raw Data'!H25), IFERROR('Raw Data'!H25 = ROUND('Raw Data'!H25, 2),FALSE)),"",_xlfn.REGEXEXTRACT(CELL("address",H25), "\$([A-Z]+)\$[0-9]+"))),_xlfn.REGEXEXTRACT(CELL("address",H25), "\$([A-Z]+)\$[0-9]+"))</f>
        <v/>
      </c>
      <c r="I25" s="7" t="str" cm="1">
        <f t="array" aca="1" ref="I25" ca="1">IFERROR(IF(OR('Raw Data'!I25="",LEN(TRIM('Raw Data'!I25))=0),"",IF(AND(LEN('Raw Data'!I25) &lt;= 50,LEN('Raw Data'!I25)&gt; 0),"",_xlfn.REGEXEXTRACT(CELL("address",'Raw Data'!I25),"\$([A-Z]+)\$[0-9]+"))),_xlfn.REGEXEXTRACT(CELL("address",'Raw Data'!I25),"\$([A-Z]+)\$[0-9]+"))</f>
        <v/>
      </c>
      <c r="J25" s="7" t="str" cm="1">
        <f t="array" aca="1" ref="J25" ca="1">IFERROR(IF(OR('Raw Data'!J25="",LEN(TRIM('Raw Data'!J25))=0),"",IF(AND(ISNUMBER('Raw Data'!J25),'Raw Data'!J25&gt;=Configuration!$D$2),"",_xlfn.REGEXEXTRACT(CELL("address",'Raw Data'!J25),"\$([A-Z]+)\$[0-9]+"))),_xlfn.REGEXEXTRACT(CELL("address",J25), "\$([A-Z]+)\$[0-9]+"))</f>
        <v/>
      </c>
      <c r="K25" s="7" t="str" cm="1">
        <f t="array" aca="1" ref="K25" ca="1">IFERROR(IF(OR('Raw Data'!K25="",LEN(TRIM('Raw Data'!K25))=0),"",IF(AND(ISNUMBER('Raw Data'!K25), IFERROR('Raw Data'!K25 = ROUND('Raw Data'!K25, 2),FALSE)),"",_xlfn.REGEXEXTRACT(CELL("address",K25), "\$([A-Z]+)\$[0-9]+"))),_xlfn.REGEXEXTRACT(CELL("address",K25), "\$([A-Z]+)\$[0-9]+"))</f>
        <v/>
      </c>
      <c r="L25" s="7" t="str" cm="1">
        <f t="array" aca="1" ref="L25" ca="1">IFERROR(IF(OR('Raw Data'!L25="",LEN(TRIM('Raw Data'!L25))=0),"",IF(AND(ISNUMBER('Raw Data'!L25), IFERROR('Raw Data'!L25 = ROUND('Raw Data'!L25, 2),FALSE)),"",_xlfn.REGEXEXTRACT(CELL("address",L25), "\$([A-Z]+)\$[0-9]+"))),_xlfn.REGEXEXTRACT(CELL("address",L25), "\$([A-Z]+)\$[0-9]+"))</f>
        <v/>
      </c>
      <c r="M25" s="7" t="str" cm="1">
        <f t="array" aca="1" ref="M25" ca="1">IFERROR(IF(OR('Raw Data'!M25="",LEN(TRIM('Raw Data'!M25))=0),"",IF(AND(ISNUMBER('Raw Data'!M25), IFERROR('Raw Data'!M25 = ROUND('Raw Data'!M25, 2),FALSE)),"",_xlfn.REGEXEXTRACT(CELL("address",M25), "\$([A-Z]+)\$[0-9]+"))),_xlfn.REGEXEXTRACT(CELL("address",M25), "\$([A-Z]+)\$[0-9]+"))</f>
        <v/>
      </c>
      <c r="N25" s="7" t="str" cm="1">
        <f t="array" aca="1" ref="N25" ca="1">IFERROR(IF(OR('Raw Data'!N25="",LEN(TRIM('Raw Data'!N25))=0),"",IF(AND(ISNUMBER('Raw Data'!N25), IFERROR('Raw Data'!N25 = ROUND('Raw Data'!N25, 2),FALSE)),"",_xlfn.REGEXEXTRACT(CELL("address",N25), "\$([A-Z]+)\$[0-9]+"))),_xlfn.REGEXEXTRACT(CELL("address",N25), "\$([A-Z]+)\$[0-9]+"))</f>
        <v/>
      </c>
      <c r="O25" s="7" t="str" cm="1">
        <f t="array" aca="1" ref="O25" ca="1">IFERROR(IF(OR('Raw Data'!O25="",LEN(TRIM('Raw Data'!O25))=0),"",IF(AND(ISNUMBER('Raw Data'!O25), IFERROR('Raw Data'!O25 = ROUND('Raw Data'!O25, 2),FALSE)),"",_xlfn.REGEXEXTRACT(CELL("address",O25), "\$([A-Z]+)\$[0-9]+"))),_xlfn.REGEXEXTRACT(CELL("address",O25), "\$([A-Z]+)\$[0-9]+"))</f>
        <v/>
      </c>
      <c r="P25" s="7" t="str" cm="1">
        <f t="array" aca="1" ref="P25" ca="1">IFERROR(IF(OR('Raw Data'!P25="",LEN(TRIM('Raw Data'!P25))=0),"",IF(AND(ISNUMBER('Raw Data'!P25),'Raw Data'!P25&gt;=Configuration!$D$2),"",_xlfn.REGEXEXTRACT(CELL("address",'Raw Data'!P25),"\$([A-Z]+)\$[0-9]+"))),_xlfn.REGEXEXTRACT(CELL("address",P25), "\$([A-Z]+)\$[0-9]+"))</f>
        <v/>
      </c>
      <c r="Q25" s="7" t="str" cm="1">
        <f t="array" aca="1" ref="Q25" ca="1">IFERROR(IF(OR('Raw Data'!Q25="",LEN(TRIM('Raw Data'!Q25))=0),"",IF(AND(ISNUMBER('Raw Data'!Q25),'Raw Data'!Q25&gt;=Configuration!$D$2),"",_xlfn.REGEXEXTRACT(CELL("address",'Raw Data'!Q25),"\$([A-Z]+)\$[0-9]+"))),_xlfn.REGEXEXTRACT(CELL("address",Q25), "\$([A-Z]+)\$[0-9]+"))</f>
        <v/>
      </c>
      <c r="R25" s="7" t="str" cm="1">
        <f t="array" aca="1" ref="R25" ca="1">IFERROR(IF(OR('Raw Data'!R25="",LEN(TRIM('Raw Data'!R25))=0),"",IF(AND(ISNUMBER('Raw Data'!R25), IFERROR('Raw Data'!R25 = ROUND('Raw Data'!R25, 2),FALSE)),"",_xlfn.REGEXEXTRACT(CELL("address",R25), "\$([A-Z]+)\$[0-9]+"))),_xlfn.REGEXEXTRACT(CELL("address",R25), "\$([A-Z]+)\$[0-9]+"))</f>
        <v/>
      </c>
      <c r="S25" s="7" t="str" cm="1">
        <f t="array" aca="1" ref="S25" ca="1">IFERROR(IF(OR('Raw Data'!S25="",LEN(TRIM('Raw Data'!S25))=0),"",IF(AND(ISNUMBER('Raw Data'!S25), IFERROR('Raw Data'!S25 = ROUND('Raw Data'!S25, 2),FALSE)),"",_xlfn.REGEXEXTRACT(CELL("address",S25), "\$([A-Z]+)\$[0-9]+"))),_xlfn.REGEXEXTRACT(CELL("address",S25), "\$([A-Z]+)\$[0-9]+"))</f>
        <v/>
      </c>
      <c r="T25" s="7" t="str" cm="1">
        <f t="array" aca="1" ref="T25" ca="1">IFERROR(IF(OR('Raw Data'!T25="",LEN(TRIM('Raw Data'!T25))=0),"",IF(AND(ISNUMBER('Raw Data'!T25), IFERROR('Raw Data'!T25 = ROUND('Raw Data'!T25, 2),FALSE)),"",_xlfn.REGEXEXTRACT(CELL("address",T25), "\$([A-Z]+)\$[0-9]+"))),_xlfn.REGEXEXTRACT(CELL("address",T25), "\$([A-Z]+)\$[0-9]+"))</f>
        <v/>
      </c>
      <c r="U25" s="7" t="str" cm="1">
        <f t="array" aca="1" ref="U25" ca="1">IFERROR(IF(OR('Raw Data'!U25="",LEN(TRIM('Raw Data'!U25))=0),"",IF(AND(LEN('Raw Data'!U25) &lt;= 5,LEN('Raw Data'!U25)&gt; 0),"",_xlfn.REGEXEXTRACT(CELL("address",'Raw Data'!U25),"\$([A-Z]+)\$[0-9]+"))),_xlfn.REGEXEXTRACT(CELL("address",'Raw Data'!U25),"\$([A-Z]+)\$[0-9]+"))</f>
        <v/>
      </c>
      <c r="V25" s="7" t="str" cm="1">
        <f t="array" aca="1" ref="V25" ca="1">IFERROR(IF(OR('Raw Data'!V25="",LEN(TRIM('Raw Data'!V25))=0),"",IF(AND(ISNUMBER('Raw Data'!V25), IFERROR('Raw Data'!V25 = ROUND('Raw Data'!V25, 2),FALSE)),"",_xlfn.REGEXEXTRACT(CELL("address",V25), "\$([A-Z]+)\$[0-9]+"))),_xlfn.REGEXEXTRACT(CELL("address",V25), "\$([A-Z]+)\$[0-9]+"))</f>
        <v/>
      </c>
      <c r="W25" s="7" t="str" cm="1">
        <f t="array" aca="1" ref="W25" ca="1">IFERROR(IF(OR('Raw Data'!W25="",LEN(TRIM('Raw Data'!W25))=0),"",IF(AND(ISNUMBER('Raw Data'!W25), IFERROR('Raw Data'!W25 = ROUND('Raw Data'!W25, 2),FALSE)),"",_xlfn.REGEXEXTRACT(CELL("address",W25), "\$([A-Z]+)\$[0-9]+"))),_xlfn.REGEXEXTRACT(CELL("address",W25), "\$([A-Z]+)\$[0-9]+"))</f>
        <v/>
      </c>
      <c r="X25" s="7" t="str" cm="1">
        <f t="array" aca="1" ref="X25" ca="1">IFERROR(IF(OR('Raw Data'!X25="",LEN(TRIM('Raw Data'!X25))=0),"",IF(AND(ISNUMBER('Raw Data'!X25), IFERROR('Raw Data'!X25 = ROUND('Raw Data'!X25, 2),FALSE)),"",_xlfn.REGEXEXTRACT(CELL("address",X25), "\$([A-Z]+)\$[0-9]+"))),_xlfn.REGEXEXTRACT(CELL("address",X25), "\$([A-Z]+)\$[0-9]+"))</f>
        <v/>
      </c>
    </row>
    <row r="26" spans="2:24" x14ac:dyDescent="0.25">
      <c r="B26" s="7" t="str" cm="1">
        <f t="array" aca="1" ref="B26" ca="1">IFERROR(IF(OR('Raw Data'!B26="",LEN(TRIM('Raw Data'!B26))=0),"",IF(AND(LEN('Raw Data'!B26) &lt;= 50,LEN('Raw Data'!B26)&gt; 0),"",_xlfn.REGEXEXTRACT(CELL("address",'Raw Data'!B26),"\$([A-Z]+)\$[0-9]+"))),_xlfn.REGEXEXTRACT(CELL("address",'Raw Data'!B26),"\$([A-Z]+)\$[0-9]+"))</f>
        <v/>
      </c>
      <c r="C26" s="7" t="str" cm="1">
        <f t="array" aca="1" ref="C26" ca="1">IFERROR(IF(OR('Raw Data'!C26="",LEN(TRIM('Raw Data'!C26))=0),"",IF(AND(LEN('Raw Data'!C26) &lt;= 50,LEN('Raw Data'!C26)&gt; 0),"",_xlfn.REGEXEXTRACT(CELL("address",'Raw Data'!C26),"\$([A-Z]+)\$[0-9]+"))),_xlfn.REGEXEXTRACT(CELL("address",'Raw Data'!C26),"\$([A-Z]+)\$[0-9]+"))</f>
        <v/>
      </c>
      <c r="D26" s="7" t="str" cm="1">
        <f t="array" aca="1" ref="D26" ca="1">IFERROR(IF(OR('Raw Data'!D26="",LEN(TRIM('Raw Data'!D26))=0),"",IF(AND(LEN('Raw Data'!D26) &lt;= 255,LEN('Raw Data'!D26)&gt; 0),"",_xlfn.REGEXEXTRACT(CELL("address",'Raw Data'!D26),"\$([A-Z]+)\$[0-9]+"))),_xlfn.REGEXEXTRACT(CELL("address",'Raw Data'!D26),"\$([A-Z]+)\$[0-9]+"))</f>
        <v/>
      </c>
      <c r="E26" s="7" t="str" cm="1">
        <f t="array" aca="1" ref="E26" ca="1">IFERROR(IF(OR('Raw Data'!E26="",LEN(TRIM('Raw Data'!E26))=0),"",IF(AND(ISNUMBER('Raw Data'!E26),'Raw Data'!E26&gt;=Configuration!$D$2),"",_xlfn.REGEXEXTRACT(CELL("address",'Raw Data'!E26),"\$([A-Z]+)\$[0-9]+"))),_xlfn.REGEXEXTRACT(CELL("address",E26), "\$([A-Z]+)\$[0-9]+"))</f>
        <v/>
      </c>
      <c r="F26" s="7" t="str" cm="1">
        <f t="array" aca="1" ref="F26" ca="1">IFERROR(IF(OR('Raw Data'!F26="",LEN(TRIM('Raw Data'!F26))=0),"",IF(AND(LEN('Raw Data'!F26) &lt;= 20,LEN('Raw Data'!F26)&gt; 0),"",_xlfn.REGEXEXTRACT(CELL("address",'Raw Data'!F26),"\$([A-Z]+)\$[0-9]+"))),_xlfn.REGEXEXTRACT(CELL("address",'Raw Data'!F26),"\$([A-Z]+)\$[0-9]+"))</f>
        <v/>
      </c>
      <c r="G26" s="7" t="str" cm="1">
        <f t="array" aca="1" ref="G26" ca="1">IFERROR(IF(OR('Raw Data'!G26="",LEN(TRIM('Raw Data'!G26))=0),"",IF(AND(ISNUMBER('Raw Data'!G26), IFERROR('Raw Data'!G26 = ROUND('Raw Data'!G26, 2),FALSE)),"",_xlfn.REGEXEXTRACT(CELL("address",G26), "\$([A-Z]+)\$[0-9]+"))),_xlfn.REGEXEXTRACT(CELL("address",G26), "\$([A-Z]+)\$[0-9]+"))</f>
        <v/>
      </c>
      <c r="H26" s="7" t="str" cm="1">
        <f t="array" aca="1" ref="H26" ca="1">IFERROR(IF(OR('Raw Data'!H26="",LEN(TRIM('Raw Data'!H26))=0),"",IF(AND(ISNUMBER('Raw Data'!H26), IFERROR('Raw Data'!H26 = ROUND('Raw Data'!H26, 2),FALSE)),"",_xlfn.REGEXEXTRACT(CELL("address",H26), "\$([A-Z]+)\$[0-9]+"))),_xlfn.REGEXEXTRACT(CELL("address",H26), "\$([A-Z]+)\$[0-9]+"))</f>
        <v/>
      </c>
      <c r="I26" s="7" t="str" cm="1">
        <f t="array" aca="1" ref="I26" ca="1">IFERROR(IF(OR('Raw Data'!I26="",LEN(TRIM('Raw Data'!I26))=0),"",IF(AND(LEN('Raw Data'!I26) &lt;= 50,LEN('Raw Data'!I26)&gt; 0),"",_xlfn.REGEXEXTRACT(CELL("address",'Raw Data'!I26),"\$([A-Z]+)\$[0-9]+"))),_xlfn.REGEXEXTRACT(CELL("address",'Raw Data'!I26),"\$([A-Z]+)\$[0-9]+"))</f>
        <v/>
      </c>
      <c r="J26" s="7" t="str" cm="1">
        <f t="array" aca="1" ref="J26" ca="1">IFERROR(IF(OR('Raw Data'!J26="",LEN(TRIM('Raw Data'!J26))=0),"",IF(AND(ISNUMBER('Raw Data'!J26),'Raw Data'!J26&gt;=Configuration!$D$2),"",_xlfn.REGEXEXTRACT(CELL("address",'Raw Data'!J26),"\$([A-Z]+)\$[0-9]+"))),_xlfn.REGEXEXTRACT(CELL("address",J26), "\$([A-Z]+)\$[0-9]+"))</f>
        <v/>
      </c>
      <c r="K26" s="7" t="str" cm="1">
        <f t="array" aca="1" ref="K26" ca="1">IFERROR(IF(OR('Raw Data'!K26="",LEN(TRIM('Raw Data'!K26))=0),"",IF(AND(ISNUMBER('Raw Data'!K26), IFERROR('Raw Data'!K26 = ROUND('Raw Data'!K26, 2),FALSE)),"",_xlfn.REGEXEXTRACT(CELL("address",K26), "\$([A-Z]+)\$[0-9]+"))),_xlfn.REGEXEXTRACT(CELL("address",K26), "\$([A-Z]+)\$[0-9]+"))</f>
        <v/>
      </c>
      <c r="L26" s="7" t="str" cm="1">
        <f t="array" aca="1" ref="L26" ca="1">IFERROR(IF(OR('Raw Data'!L26="",LEN(TRIM('Raw Data'!L26))=0),"",IF(AND(ISNUMBER('Raw Data'!L26), IFERROR('Raw Data'!L26 = ROUND('Raw Data'!L26, 2),FALSE)),"",_xlfn.REGEXEXTRACT(CELL("address",L26), "\$([A-Z]+)\$[0-9]+"))),_xlfn.REGEXEXTRACT(CELL("address",L26), "\$([A-Z]+)\$[0-9]+"))</f>
        <v/>
      </c>
      <c r="M26" s="7" t="str" cm="1">
        <f t="array" aca="1" ref="M26" ca="1">IFERROR(IF(OR('Raw Data'!M26="",LEN(TRIM('Raw Data'!M26))=0),"",IF(AND(ISNUMBER('Raw Data'!M26), IFERROR('Raw Data'!M26 = ROUND('Raw Data'!M26, 2),FALSE)),"",_xlfn.REGEXEXTRACT(CELL("address",M26), "\$([A-Z]+)\$[0-9]+"))),_xlfn.REGEXEXTRACT(CELL("address",M26), "\$([A-Z]+)\$[0-9]+"))</f>
        <v/>
      </c>
      <c r="N26" s="7" t="str" cm="1">
        <f t="array" aca="1" ref="N26" ca="1">IFERROR(IF(OR('Raw Data'!N26="",LEN(TRIM('Raw Data'!N26))=0),"",IF(AND(ISNUMBER('Raw Data'!N26), IFERROR('Raw Data'!N26 = ROUND('Raw Data'!N26, 2),FALSE)),"",_xlfn.REGEXEXTRACT(CELL("address",N26), "\$([A-Z]+)\$[0-9]+"))),_xlfn.REGEXEXTRACT(CELL("address",N26), "\$([A-Z]+)\$[0-9]+"))</f>
        <v/>
      </c>
      <c r="O26" s="7" t="str" cm="1">
        <f t="array" aca="1" ref="O26" ca="1">IFERROR(IF(OR('Raw Data'!O26="",LEN(TRIM('Raw Data'!O26))=0),"",IF(AND(ISNUMBER('Raw Data'!O26), IFERROR('Raw Data'!O26 = ROUND('Raw Data'!O26, 2),FALSE)),"",_xlfn.REGEXEXTRACT(CELL("address",O26), "\$([A-Z]+)\$[0-9]+"))),_xlfn.REGEXEXTRACT(CELL("address",O26), "\$([A-Z]+)\$[0-9]+"))</f>
        <v/>
      </c>
      <c r="P26" s="7" t="str" cm="1">
        <f t="array" aca="1" ref="P26" ca="1">IFERROR(IF(OR('Raw Data'!P26="",LEN(TRIM('Raw Data'!P26))=0),"",IF(AND(ISNUMBER('Raw Data'!P26),'Raw Data'!P26&gt;=Configuration!$D$2),"",_xlfn.REGEXEXTRACT(CELL("address",'Raw Data'!P26),"\$([A-Z]+)\$[0-9]+"))),_xlfn.REGEXEXTRACT(CELL("address",P26), "\$([A-Z]+)\$[0-9]+"))</f>
        <v/>
      </c>
      <c r="Q26" s="7" t="str" cm="1">
        <f t="array" aca="1" ref="Q26" ca="1">IFERROR(IF(OR('Raw Data'!Q26="",LEN(TRIM('Raw Data'!Q26))=0),"",IF(AND(ISNUMBER('Raw Data'!Q26),'Raw Data'!Q26&gt;=Configuration!$D$2),"",_xlfn.REGEXEXTRACT(CELL("address",'Raw Data'!Q26),"\$([A-Z]+)\$[0-9]+"))),_xlfn.REGEXEXTRACT(CELL("address",Q26), "\$([A-Z]+)\$[0-9]+"))</f>
        <v/>
      </c>
      <c r="R26" s="7" t="str" cm="1">
        <f t="array" aca="1" ref="R26" ca="1">IFERROR(IF(OR('Raw Data'!R26="",LEN(TRIM('Raw Data'!R26))=0),"",IF(AND(ISNUMBER('Raw Data'!R26), IFERROR('Raw Data'!R26 = ROUND('Raw Data'!R26, 2),FALSE)),"",_xlfn.REGEXEXTRACT(CELL("address",R26), "\$([A-Z]+)\$[0-9]+"))),_xlfn.REGEXEXTRACT(CELL("address",R26), "\$([A-Z]+)\$[0-9]+"))</f>
        <v/>
      </c>
      <c r="S26" s="7" t="str" cm="1">
        <f t="array" aca="1" ref="S26" ca="1">IFERROR(IF(OR('Raw Data'!S26="",LEN(TRIM('Raw Data'!S26))=0),"",IF(AND(ISNUMBER('Raw Data'!S26), IFERROR('Raw Data'!S26 = ROUND('Raw Data'!S26, 2),FALSE)),"",_xlfn.REGEXEXTRACT(CELL("address",S26), "\$([A-Z]+)\$[0-9]+"))),_xlfn.REGEXEXTRACT(CELL("address",S26), "\$([A-Z]+)\$[0-9]+"))</f>
        <v/>
      </c>
      <c r="T26" s="7" t="str" cm="1">
        <f t="array" aca="1" ref="T26" ca="1">IFERROR(IF(OR('Raw Data'!T26="",LEN(TRIM('Raw Data'!T26))=0),"",IF(AND(ISNUMBER('Raw Data'!T26), IFERROR('Raw Data'!T26 = ROUND('Raw Data'!T26, 2),FALSE)),"",_xlfn.REGEXEXTRACT(CELL("address",T26), "\$([A-Z]+)\$[0-9]+"))),_xlfn.REGEXEXTRACT(CELL("address",T26), "\$([A-Z]+)\$[0-9]+"))</f>
        <v/>
      </c>
      <c r="U26" s="7" t="str" cm="1">
        <f t="array" aca="1" ref="U26" ca="1">IFERROR(IF(OR('Raw Data'!U26="",LEN(TRIM('Raw Data'!U26))=0),"",IF(AND(LEN('Raw Data'!U26) &lt;= 5,LEN('Raw Data'!U26)&gt; 0),"",_xlfn.REGEXEXTRACT(CELL("address",'Raw Data'!U26),"\$([A-Z]+)\$[0-9]+"))),_xlfn.REGEXEXTRACT(CELL("address",'Raw Data'!U26),"\$([A-Z]+)\$[0-9]+"))</f>
        <v/>
      </c>
      <c r="V26" s="7" t="str" cm="1">
        <f t="array" aca="1" ref="V26" ca="1">IFERROR(IF(OR('Raw Data'!V26="",LEN(TRIM('Raw Data'!V26))=0),"",IF(AND(ISNUMBER('Raw Data'!V26), IFERROR('Raw Data'!V26 = ROUND('Raw Data'!V26, 2),FALSE)),"",_xlfn.REGEXEXTRACT(CELL("address",V26), "\$([A-Z]+)\$[0-9]+"))),_xlfn.REGEXEXTRACT(CELL("address",V26), "\$([A-Z]+)\$[0-9]+"))</f>
        <v/>
      </c>
      <c r="W26" s="7" t="str" cm="1">
        <f t="array" aca="1" ref="W26" ca="1">IFERROR(IF(OR('Raw Data'!W26="",LEN(TRIM('Raw Data'!W26))=0),"",IF(AND(ISNUMBER('Raw Data'!W26), IFERROR('Raw Data'!W26 = ROUND('Raw Data'!W26, 2),FALSE)),"",_xlfn.REGEXEXTRACT(CELL("address",W26), "\$([A-Z]+)\$[0-9]+"))),_xlfn.REGEXEXTRACT(CELL("address",W26), "\$([A-Z]+)\$[0-9]+"))</f>
        <v/>
      </c>
      <c r="X26" s="7" t="str" cm="1">
        <f t="array" aca="1" ref="X26" ca="1">IFERROR(IF(OR('Raw Data'!X26="",LEN(TRIM('Raw Data'!X26))=0),"",IF(AND(ISNUMBER('Raw Data'!X26), IFERROR('Raw Data'!X26 = ROUND('Raw Data'!X26, 2),FALSE)),"",_xlfn.REGEXEXTRACT(CELL("address",X26), "\$([A-Z]+)\$[0-9]+"))),_xlfn.REGEXEXTRACT(CELL("address",X26), "\$([A-Z]+)\$[0-9]+"))</f>
        <v/>
      </c>
    </row>
    <row r="27" spans="2:24" x14ac:dyDescent="0.25">
      <c r="B27" s="7" t="str" cm="1">
        <f t="array" aca="1" ref="B27" ca="1">IFERROR(IF(OR('Raw Data'!B27="",LEN(TRIM('Raw Data'!B27))=0),"",IF(AND(LEN('Raw Data'!B27) &lt;= 50,LEN('Raw Data'!B27)&gt; 0),"",_xlfn.REGEXEXTRACT(CELL("address",'Raw Data'!B27),"\$([A-Z]+)\$[0-9]+"))),_xlfn.REGEXEXTRACT(CELL("address",'Raw Data'!B27),"\$([A-Z]+)\$[0-9]+"))</f>
        <v/>
      </c>
      <c r="C27" s="7" t="str" cm="1">
        <f t="array" aca="1" ref="C27" ca="1">IFERROR(IF(OR('Raw Data'!C27="",LEN(TRIM('Raw Data'!C27))=0),"",IF(AND(LEN('Raw Data'!C27) &lt;= 50,LEN('Raw Data'!C27)&gt; 0),"",_xlfn.REGEXEXTRACT(CELL("address",'Raw Data'!C27),"\$([A-Z]+)\$[0-9]+"))),_xlfn.REGEXEXTRACT(CELL("address",'Raw Data'!C27),"\$([A-Z]+)\$[0-9]+"))</f>
        <v/>
      </c>
      <c r="D27" s="7" t="str" cm="1">
        <f t="array" aca="1" ref="D27" ca="1">IFERROR(IF(OR('Raw Data'!D27="",LEN(TRIM('Raw Data'!D27))=0),"",IF(AND(LEN('Raw Data'!D27) &lt;= 255,LEN('Raw Data'!D27)&gt; 0),"",_xlfn.REGEXEXTRACT(CELL("address",'Raw Data'!D27),"\$([A-Z]+)\$[0-9]+"))),_xlfn.REGEXEXTRACT(CELL("address",'Raw Data'!D27),"\$([A-Z]+)\$[0-9]+"))</f>
        <v/>
      </c>
      <c r="E27" s="7" t="str" cm="1">
        <f t="array" aca="1" ref="E27" ca="1">IFERROR(IF(OR('Raw Data'!E27="",LEN(TRIM('Raw Data'!E27))=0),"",IF(AND(ISNUMBER('Raw Data'!E27),'Raw Data'!E27&gt;=Configuration!$D$2),"",_xlfn.REGEXEXTRACT(CELL("address",'Raw Data'!E27),"\$([A-Z]+)\$[0-9]+"))),_xlfn.REGEXEXTRACT(CELL("address",E27), "\$([A-Z]+)\$[0-9]+"))</f>
        <v/>
      </c>
      <c r="F27" s="7" t="str" cm="1">
        <f t="array" aca="1" ref="F27" ca="1">IFERROR(IF(OR('Raw Data'!F27="",LEN(TRIM('Raw Data'!F27))=0),"",IF(AND(LEN('Raw Data'!F27) &lt;= 20,LEN('Raw Data'!F27)&gt; 0),"",_xlfn.REGEXEXTRACT(CELL("address",'Raw Data'!F27),"\$([A-Z]+)\$[0-9]+"))),_xlfn.REGEXEXTRACT(CELL("address",'Raw Data'!F27),"\$([A-Z]+)\$[0-9]+"))</f>
        <v/>
      </c>
      <c r="G27" s="7" t="str" cm="1">
        <f t="array" aca="1" ref="G27" ca="1">IFERROR(IF(OR('Raw Data'!G27="",LEN(TRIM('Raw Data'!G27))=0),"",IF(AND(ISNUMBER('Raw Data'!G27), IFERROR('Raw Data'!G27 = ROUND('Raw Data'!G27, 2),FALSE)),"",_xlfn.REGEXEXTRACT(CELL("address",G27), "\$([A-Z]+)\$[0-9]+"))),_xlfn.REGEXEXTRACT(CELL("address",G27), "\$([A-Z]+)\$[0-9]+"))</f>
        <v/>
      </c>
      <c r="H27" s="7" t="str" cm="1">
        <f t="array" aca="1" ref="H27" ca="1">IFERROR(IF(OR('Raw Data'!H27="",LEN(TRIM('Raw Data'!H27))=0),"",IF(AND(ISNUMBER('Raw Data'!H27), IFERROR('Raw Data'!H27 = ROUND('Raw Data'!H27, 2),FALSE)),"",_xlfn.REGEXEXTRACT(CELL("address",H27), "\$([A-Z]+)\$[0-9]+"))),_xlfn.REGEXEXTRACT(CELL("address",H27), "\$([A-Z]+)\$[0-9]+"))</f>
        <v/>
      </c>
      <c r="I27" s="7" t="str" cm="1">
        <f t="array" aca="1" ref="I27" ca="1">IFERROR(IF(OR('Raw Data'!I27="",LEN(TRIM('Raw Data'!I27))=0),"",IF(AND(LEN('Raw Data'!I27) &lt;= 50,LEN('Raw Data'!I27)&gt; 0),"",_xlfn.REGEXEXTRACT(CELL("address",'Raw Data'!I27),"\$([A-Z]+)\$[0-9]+"))),_xlfn.REGEXEXTRACT(CELL("address",'Raw Data'!I27),"\$([A-Z]+)\$[0-9]+"))</f>
        <v/>
      </c>
      <c r="J27" s="7" t="str" cm="1">
        <f t="array" aca="1" ref="J27" ca="1">IFERROR(IF(OR('Raw Data'!J27="",LEN(TRIM('Raw Data'!J27))=0),"",IF(AND(ISNUMBER('Raw Data'!J27),'Raw Data'!J27&gt;=Configuration!$D$2),"",_xlfn.REGEXEXTRACT(CELL("address",'Raw Data'!J27),"\$([A-Z]+)\$[0-9]+"))),_xlfn.REGEXEXTRACT(CELL("address",J27), "\$([A-Z]+)\$[0-9]+"))</f>
        <v/>
      </c>
      <c r="K27" s="7" t="str" cm="1">
        <f t="array" aca="1" ref="K27" ca="1">IFERROR(IF(OR('Raw Data'!K27="",LEN(TRIM('Raw Data'!K27))=0),"",IF(AND(ISNUMBER('Raw Data'!K27), IFERROR('Raw Data'!K27 = ROUND('Raw Data'!K27, 2),FALSE)),"",_xlfn.REGEXEXTRACT(CELL("address",K27), "\$([A-Z]+)\$[0-9]+"))),_xlfn.REGEXEXTRACT(CELL("address",K27), "\$([A-Z]+)\$[0-9]+"))</f>
        <v/>
      </c>
      <c r="L27" s="7" t="str" cm="1">
        <f t="array" aca="1" ref="L27" ca="1">IFERROR(IF(OR('Raw Data'!L27="",LEN(TRIM('Raw Data'!L27))=0),"",IF(AND(ISNUMBER('Raw Data'!L27), IFERROR('Raw Data'!L27 = ROUND('Raw Data'!L27, 2),FALSE)),"",_xlfn.REGEXEXTRACT(CELL("address",L27), "\$([A-Z]+)\$[0-9]+"))),_xlfn.REGEXEXTRACT(CELL("address",L27), "\$([A-Z]+)\$[0-9]+"))</f>
        <v/>
      </c>
      <c r="M27" s="7" t="str" cm="1">
        <f t="array" aca="1" ref="M27" ca="1">IFERROR(IF(OR('Raw Data'!M27="",LEN(TRIM('Raw Data'!M27))=0),"",IF(AND(ISNUMBER('Raw Data'!M27), IFERROR('Raw Data'!M27 = ROUND('Raw Data'!M27, 2),FALSE)),"",_xlfn.REGEXEXTRACT(CELL("address",M27), "\$([A-Z]+)\$[0-9]+"))),_xlfn.REGEXEXTRACT(CELL("address",M27), "\$([A-Z]+)\$[0-9]+"))</f>
        <v/>
      </c>
      <c r="N27" s="7" t="str" cm="1">
        <f t="array" aca="1" ref="N27" ca="1">IFERROR(IF(OR('Raw Data'!N27="",LEN(TRIM('Raw Data'!N27))=0),"",IF(AND(ISNUMBER('Raw Data'!N27), IFERROR('Raw Data'!N27 = ROUND('Raw Data'!N27, 2),FALSE)),"",_xlfn.REGEXEXTRACT(CELL("address",N27), "\$([A-Z]+)\$[0-9]+"))),_xlfn.REGEXEXTRACT(CELL("address",N27), "\$([A-Z]+)\$[0-9]+"))</f>
        <v/>
      </c>
      <c r="O27" s="7" t="str" cm="1">
        <f t="array" aca="1" ref="O27" ca="1">IFERROR(IF(OR('Raw Data'!O27="",LEN(TRIM('Raw Data'!O27))=0),"",IF(AND(ISNUMBER('Raw Data'!O27), IFERROR('Raw Data'!O27 = ROUND('Raw Data'!O27, 2),FALSE)),"",_xlfn.REGEXEXTRACT(CELL("address",O27), "\$([A-Z]+)\$[0-9]+"))),_xlfn.REGEXEXTRACT(CELL("address",O27), "\$([A-Z]+)\$[0-9]+"))</f>
        <v/>
      </c>
      <c r="P27" s="7" t="str" cm="1">
        <f t="array" aca="1" ref="P27" ca="1">IFERROR(IF(OR('Raw Data'!P27="",LEN(TRIM('Raw Data'!P27))=0),"",IF(AND(ISNUMBER('Raw Data'!P27),'Raw Data'!P27&gt;=Configuration!$D$2),"",_xlfn.REGEXEXTRACT(CELL("address",'Raw Data'!P27),"\$([A-Z]+)\$[0-9]+"))),_xlfn.REGEXEXTRACT(CELL("address",P27), "\$([A-Z]+)\$[0-9]+"))</f>
        <v/>
      </c>
      <c r="Q27" s="7" t="str" cm="1">
        <f t="array" aca="1" ref="Q27" ca="1">IFERROR(IF(OR('Raw Data'!Q27="",LEN(TRIM('Raw Data'!Q27))=0),"",IF(AND(ISNUMBER('Raw Data'!Q27),'Raw Data'!Q27&gt;=Configuration!$D$2),"",_xlfn.REGEXEXTRACT(CELL("address",'Raw Data'!Q27),"\$([A-Z]+)\$[0-9]+"))),_xlfn.REGEXEXTRACT(CELL("address",Q27), "\$([A-Z]+)\$[0-9]+"))</f>
        <v/>
      </c>
      <c r="R27" s="7" t="str" cm="1">
        <f t="array" aca="1" ref="R27" ca="1">IFERROR(IF(OR('Raw Data'!R27="",LEN(TRIM('Raw Data'!R27))=0),"",IF(AND(ISNUMBER('Raw Data'!R27), IFERROR('Raw Data'!R27 = ROUND('Raw Data'!R27, 2),FALSE)),"",_xlfn.REGEXEXTRACT(CELL("address",R27), "\$([A-Z]+)\$[0-9]+"))),_xlfn.REGEXEXTRACT(CELL("address",R27), "\$([A-Z]+)\$[0-9]+"))</f>
        <v/>
      </c>
      <c r="S27" s="7" t="str" cm="1">
        <f t="array" aca="1" ref="S27" ca="1">IFERROR(IF(OR('Raw Data'!S27="",LEN(TRIM('Raw Data'!S27))=0),"",IF(AND(ISNUMBER('Raw Data'!S27), IFERROR('Raw Data'!S27 = ROUND('Raw Data'!S27, 2),FALSE)),"",_xlfn.REGEXEXTRACT(CELL("address",S27), "\$([A-Z]+)\$[0-9]+"))),_xlfn.REGEXEXTRACT(CELL("address",S27), "\$([A-Z]+)\$[0-9]+"))</f>
        <v/>
      </c>
      <c r="T27" s="7" t="str" cm="1">
        <f t="array" aca="1" ref="T27" ca="1">IFERROR(IF(OR('Raw Data'!T27="",LEN(TRIM('Raw Data'!T27))=0),"",IF(AND(ISNUMBER('Raw Data'!T27), IFERROR('Raw Data'!T27 = ROUND('Raw Data'!T27, 2),FALSE)),"",_xlfn.REGEXEXTRACT(CELL("address",T27), "\$([A-Z]+)\$[0-9]+"))),_xlfn.REGEXEXTRACT(CELL("address",T27), "\$([A-Z]+)\$[0-9]+"))</f>
        <v/>
      </c>
      <c r="U27" s="7" t="str" cm="1">
        <f t="array" aca="1" ref="U27" ca="1">IFERROR(IF(OR('Raw Data'!U27="",LEN(TRIM('Raw Data'!U27))=0),"",IF(AND(LEN('Raw Data'!U27) &lt;= 5,LEN('Raw Data'!U27)&gt; 0),"",_xlfn.REGEXEXTRACT(CELL("address",'Raw Data'!U27),"\$([A-Z]+)\$[0-9]+"))),_xlfn.REGEXEXTRACT(CELL("address",'Raw Data'!U27),"\$([A-Z]+)\$[0-9]+"))</f>
        <v/>
      </c>
      <c r="V27" s="7" t="str" cm="1">
        <f t="array" aca="1" ref="V27" ca="1">IFERROR(IF(OR('Raw Data'!V27="",LEN(TRIM('Raw Data'!V27))=0),"",IF(AND(ISNUMBER('Raw Data'!V27), IFERROR('Raw Data'!V27 = ROUND('Raw Data'!V27, 2),FALSE)),"",_xlfn.REGEXEXTRACT(CELL("address",V27), "\$([A-Z]+)\$[0-9]+"))),_xlfn.REGEXEXTRACT(CELL("address",V27), "\$([A-Z]+)\$[0-9]+"))</f>
        <v/>
      </c>
      <c r="W27" s="7" t="str" cm="1">
        <f t="array" aca="1" ref="W27" ca="1">IFERROR(IF(OR('Raw Data'!W27="",LEN(TRIM('Raw Data'!W27))=0),"",IF(AND(ISNUMBER('Raw Data'!W27), IFERROR('Raw Data'!W27 = ROUND('Raw Data'!W27, 2),FALSE)),"",_xlfn.REGEXEXTRACT(CELL("address",W27), "\$([A-Z]+)\$[0-9]+"))),_xlfn.REGEXEXTRACT(CELL("address",W27), "\$([A-Z]+)\$[0-9]+"))</f>
        <v/>
      </c>
      <c r="X27" s="7" t="str" cm="1">
        <f t="array" aca="1" ref="X27" ca="1">IFERROR(IF(OR('Raw Data'!X27="",LEN(TRIM('Raw Data'!X27))=0),"",IF(AND(ISNUMBER('Raw Data'!X27), IFERROR('Raw Data'!X27 = ROUND('Raw Data'!X27, 2),FALSE)),"",_xlfn.REGEXEXTRACT(CELL("address",X27), "\$([A-Z]+)\$[0-9]+"))),_xlfn.REGEXEXTRACT(CELL("address",X27), "\$([A-Z]+)\$[0-9]+"))</f>
        <v/>
      </c>
    </row>
    <row r="28" spans="2:24" x14ac:dyDescent="0.25">
      <c r="B28" s="7" t="str" cm="1">
        <f t="array" aca="1" ref="B28" ca="1">IFERROR(IF(OR('Raw Data'!B28="",LEN(TRIM('Raw Data'!B28))=0),"",IF(AND(LEN('Raw Data'!B28) &lt;= 50,LEN('Raw Data'!B28)&gt; 0),"",_xlfn.REGEXEXTRACT(CELL("address",'Raw Data'!B28),"\$([A-Z]+)\$[0-9]+"))),_xlfn.REGEXEXTRACT(CELL("address",'Raw Data'!B28),"\$([A-Z]+)\$[0-9]+"))</f>
        <v/>
      </c>
      <c r="C28" s="7" t="str" cm="1">
        <f t="array" aca="1" ref="C28" ca="1">IFERROR(IF(OR('Raw Data'!C28="",LEN(TRIM('Raw Data'!C28))=0),"",IF(AND(LEN('Raw Data'!C28) &lt;= 50,LEN('Raw Data'!C28)&gt; 0),"",_xlfn.REGEXEXTRACT(CELL("address",'Raw Data'!C28),"\$([A-Z]+)\$[0-9]+"))),_xlfn.REGEXEXTRACT(CELL("address",'Raw Data'!C28),"\$([A-Z]+)\$[0-9]+"))</f>
        <v/>
      </c>
      <c r="D28" s="7" t="str" cm="1">
        <f t="array" aca="1" ref="D28" ca="1">IFERROR(IF(OR('Raw Data'!D28="",LEN(TRIM('Raw Data'!D28))=0),"",IF(AND(LEN('Raw Data'!D28) &lt;= 255,LEN('Raw Data'!D28)&gt; 0),"",_xlfn.REGEXEXTRACT(CELL("address",'Raw Data'!D28),"\$([A-Z]+)\$[0-9]+"))),_xlfn.REGEXEXTRACT(CELL("address",'Raw Data'!D28),"\$([A-Z]+)\$[0-9]+"))</f>
        <v/>
      </c>
      <c r="E28" s="7" t="str" cm="1">
        <f t="array" aca="1" ref="E28" ca="1">IFERROR(IF(OR('Raw Data'!E28="",LEN(TRIM('Raw Data'!E28))=0),"",IF(AND(ISNUMBER('Raw Data'!E28),'Raw Data'!E28&gt;=Configuration!$D$2),"",_xlfn.REGEXEXTRACT(CELL("address",'Raw Data'!E28),"\$([A-Z]+)\$[0-9]+"))),_xlfn.REGEXEXTRACT(CELL("address",E28), "\$([A-Z]+)\$[0-9]+"))</f>
        <v/>
      </c>
      <c r="F28" s="7" t="str" cm="1">
        <f t="array" aca="1" ref="F28" ca="1">IFERROR(IF(OR('Raw Data'!F28="",LEN(TRIM('Raw Data'!F28))=0),"",IF(AND(LEN('Raw Data'!F28) &lt;= 20,LEN('Raw Data'!F28)&gt; 0),"",_xlfn.REGEXEXTRACT(CELL("address",'Raw Data'!F28),"\$([A-Z]+)\$[0-9]+"))),_xlfn.REGEXEXTRACT(CELL("address",'Raw Data'!F28),"\$([A-Z]+)\$[0-9]+"))</f>
        <v/>
      </c>
      <c r="G28" s="7" t="str" cm="1">
        <f t="array" aca="1" ref="G28" ca="1">IFERROR(IF(OR('Raw Data'!G28="",LEN(TRIM('Raw Data'!G28))=0),"",IF(AND(ISNUMBER('Raw Data'!G28), IFERROR('Raw Data'!G28 = ROUND('Raw Data'!G28, 2),FALSE)),"",_xlfn.REGEXEXTRACT(CELL("address",G28), "\$([A-Z]+)\$[0-9]+"))),_xlfn.REGEXEXTRACT(CELL("address",G28), "\$([A-Z]+)\$[0-9]+"))</f>
        <v/>
      </c>
      <c r="H28" s="7" t="str" cm="1">
        <f t="array" aca="1" ref="H28" ca="1">IFERROR(IF(OR('Raw Data'!H28="",LEN(TRIM('Raw Data'!H28))=0),"",IF(AND(ISNUMBER('Raw Data'!H28), IFERROR('Raw Data'!H28 = ROUND('Raw Data'!H28, 2),FALSE)),"",_xlfn.REGEXEXTRACT(CELL("address",H28), "\$([A-Z]+)\$[0-9]+"))),_xlfn.REGEXEXTRACT(CELL("address",H28), "\$([A-Z]+)\$[0-9]+"))</f>
        <v/>
      </c>
      <c r="I28" s="7" t="str" cm="1">
        <f t="array" aca="1" ref="I28" ca="1">IFERROR(IF(OR('Raw Data'!I28="",LEN(TRIM('Raw Data'!I28))=0),"",IF(AND(LEN('Raw Data'!I28) &lt;= 50,LEN('Raw Data'!I28)&gt; 0),"",_xlfn.REGEXEXTRACT(CELL("address",'Raw Data'!I28),"\$([A-Z]+)\$[0-9]+"))),_xlfn.REGEXEXTRACT(CELL("address",'Raw Data'!I28),"\$([A-Z]+)\$[0-9]+"))</f>
        <v/>
      </c>
      <c r="J28" s="7" t="str" cm="1">
        <f t="array" aca="1" ref="J28" ca="1">IFERROR(IF(OR('Raw Data'!J28="",LEN(TRIM('Raw Data'!J28))=0),"",IF(AND(ISNUMBER('Raw Data'!J28),'Raw Data'!J28&gt;=Configuration!$D$2),"",_xlfn.REGEXEXTRACT(CELL("address",'Raw Data'!J28),"\$([A-Z]+)\$[0-9]+"))),_xlfn.REGEXEXTRACT(CELL("address",J28), "\$([A-Z]+)\$[0-9]+"))</f>
        <v/>
      </c>
      <c r="K28" s="7" t="str" cm="1">
        <f t="array" aca="1" ref="K28" ca="1">IFERROR(IF(OR('Raw Data'!K28="",LEN(TRIM('Raw Data'!K28))=0),"",IF(AND(ISNUMBER('Raw Data'!K28), IFERROR('Raw Data'!K28 = ROUND('Raw Data'!K28, 2),FALSE)),"",_xlfn.REGEXEXTRACT(CELL("address",K28), "\$([A-Z]+)\$[0-9]+"))),_xlfn.REGEXEXTRACT(CELL("address",K28), "\$([A-Z]+)\$[0-9]+"))</f>
        <v/>
      </c>
      <c r="L28" s="7" t="str" cm="1">
        <f t="array" aca="1" ref="L28" ca="1">IFERROR(IF(OR('Raw Data'!L28="",LEN(TRIM('Raw Data'!L28))=0),"",IF(AND(ISNUMBER('Raw Data'!L28), IFERROR('Raw Data'!L28 = ROUND('Raw Data'!L28, 2),FALSE)),"",_xlfn.REGEXEXTRACT(CELL("address",L28), "\$([A-Z]+)\$[0-9]+"))),_xlfn.REGEXEXTRACT(CELL("address",L28), "\$([A-Z]+)\$[0-9]+"))</f>
        <v/>
      </c>
      <c r="M28" s="7" t="str" cm="1">
        <f t="array" aca="1" ref="M28" ca="1">IFERROR(IF(OR('Raw Data'!M28="",LEN(TRIM('Raw Data'!M28))=0),"",IF(AND(ISNUMBER('Raw Data'!M28), IFERROR('Raw Data'!M28 = ROUND('Raw Data'!M28, 2),FALSE)),"",_xlfn.REGEXEXTRACT(CELL("address",M28), "\$([A-Z]+)\$[0-9]+"))),_xlfn.REGEXEXTRACT(CELL("address",M28), "\$([A-Z]+)\$[0-9]+"))</f>
        <v/>
      </c>
      <c r="N28" s="7" t="str" cm="1">
        <f t="array" aca="1" ref="N28" ca="1">IFERROR(IF(OR('Raw Data'!N28="",LEN(TRIM('Raw Data'!N28))=0),"",IF(AND(ISNUMBER('Raw Data'!N28), IFERROR('Raw Data'!N28 = ROUND('Raw Data'!N28, 2),FALSE)),"",_xlfn.REGEXEXTRACT(CELL("address",N28), "\$([A-Z]+)\$[0-9]+"))),_xlfn.REGEXEXTRACT(CELL("address",N28), "\$([A-Z]+)\$[0-9]+"))</f>
        <v/>
      </c>
      <c r="O28" s="7" t="str" cm="1">
        <f t="array" aca="1" ref="O28" ca="1">IFERROR(IF(OR('Raw Data'!O28="",LEN(TRIM('Raw Data'!O28))=0),"",IF(AND(ISNUMBER('Raw Data'!O28), IFERROR('Raw Data'!O28 = ROUND('Raw Data'!O28, 2),FALSE)),"",_xlfn.REGEXEXTRACT(CELL("address",O28), "\$([A-Z]+)\$[0-9]+"))),_xlfn.REGEXEXTRACT(CELL("address",O28), "\$([A-Z]+)\$[0-9]+"))</f>
        <v/>
      </c>
      <c r="P28" s="7" t="str" cm="1">
        <f t="array" aca="1" ref="P28" ca="1">IFERROR(IF(OR('Raw Data'!P28="",LEN(TRIM('Raw Data'!P28))=0),"",IF(AND(ISNUMBER('Raw Data'!P28),'Raw Data'!P28&gt;=Configuration!$D$2),"",_xlfn.REGEXEXTRACT(CELL("address",'Raw Data'!P28),"\$([A-Z]+)\$[0-9]+"))),_xlfn.REGEXEXTRACT(CELL("address",P28), "\$([A-Z]+)\$[0-9]+"))</f>
        <v/>
      </c>
      <c r="Q28" s="7" t="str" cm="1">
        <f t="array" aca="1" ref="Q28" ca="1">IFERROR(IF(OR('Raw Data'!Q28="",LEN(TRIM('Raw Data'!Q28))=0),"",IF(AND(ISNUMBER('Raw Data'!Q28),'Raw Data'!Q28&gt;=Configuration!$D$2),"",_xlfn.REGEXEXTRACT(CELL("address",'Raw Data'!Q28),"\$([A-Z]+)\$[0-9]+"))),_xlfn.REGEXEXTRACT(CELL("address",Q28), "\$([A-Z]+)\$[0-9]+"))</f>
        <v/>
      </c>
      <c r="R28" s="7" t="str" cm="1">
        <f t="array" aca="1" ref="R28" ca="1">IFERROR(IF(OR('Raw Data'!R28="",LEN(TRIM('Raw Data'!R28))=0),"",IF(AND(ISNUMBER('Raw Data'!R28), IFERROR('Raw Data'!R28 = ROUND('Raw Data'!R28, 2),FALSE)),"",_xlfn.REGEXEXTRACT(CELL("address",R28), "\$([A-Z]+)\$[0-9]+"))),_xlfn.REGEXEXTRACT(CELL("address",R28), "\$([A-Z]+)\$[0-9]+"))</f>
        <v/>
      </c>
      <c r="S28" s="7" t="str" cm="1">
        <f t="array" aca="1" ref="S28" ca="1">IFERROR(IF(OR('Raw Data'!S28="",LEN(TRIM('Raw Data'!S28))=0),"",IF(AND(ISNUMBER('Raw Data'!S28), IFERROR('Raw Data'!S28 = ROUND('Raw Data'!S28, 2),FALSE)),"",_xlfn.REGEXEXTRACT(CELL("address",S28), "\$([A-Z]+)\$[0-9]+"))),_xlfn.REGEXEXTRACT(CELL("address",S28), "\$([A-Z]+)\$[0-9]+"))</f>
        <v/>
      </c>
      <c r="T28" s="7" t="str" cm="1">
        <f t="array" aca="1" ref="T28" ca="1">IFERROR(IF(OR('Raw Data'!T28="",LEN(TRIM('Raw Data'!T28))=0),"",IF(AND(ISNUMBER('Raw Data'!T28), IFERROR('Raw Data'!T28 = ROUND('Raw Data'!T28, 2),FALSE)),"",_xlfn.REGEXEXTRACT(CELL("address",T28), "\$([A-Z]+)\$[0-9]+"))),_xlfn.REGEXEXTRACT(CELL("address",T28), "\$([A-Z]+)\$[0-9]+"))</f>
        <v/>
      </c>
      <c r="U28" s="7" t="str" cm="1">
        <f t="array" aca="1" ref="U28" ca="1">IFERROR(IF(OR('Raw Data'!U28="",LEN(TRIM('Raw Data'!U28))=0),"",IF(AND(LEN('Raw Data'!U28) &lt;= 5,LEN('Raw Data'!U28)&gt; 0),"",_xlfn.REGEXEXTRACT(CELL("address",'Raw Data'!U28),"\$([A-Z]+)\$[0-9]+"))),_xlfn.REGEXEXTRACT(CELL("address",'Raw Data'!U28),"\$([A-Z]+)\$[0-9]+"))</f>
        <v/>
      </c>
      <c r="V28" s="7" t="str" cm="1">
        <f t="array" aca="1" ref="V28" ca="1">IFERROR(IF(OR('Raw Data'!V28="",LEN(TRIM('Raw Data'!V28))=0),"",IF(AND(ISNUMBER('Raw Data'!V28), IFERROR('Raw Data'!V28 = ROUND('Raw Data'!V28, 2),FALSE)),"",_xlfn.REGEXEXTRACT(CELL("address",V28), "\$([A-Z]+)\$[0-9]+"))),_xlfn.REGEXEXTRACT(CELL("address",V28), "\$([A-Z]+)\$[0-9]+"))</f>
        <v/>
      </c>
      <c r="W28" s="7" t="str" cm="1">
        <f t="array" aca="1" ref="W28" ca="1">IFERROR(IF(OR('Raw Data'!W28="",LEN(TRIM('Raw Data'!W28))=0),"",IF(AND(ISNUMBER('Raw Data'!W28), IFERROR('Raw Data'!W28 = ROUND('Raw Data'!W28, 2),FALSE)),"",_xlfn.REGEXEXTRACT(CELL("address",W28), "\$([A-Z]+)\$[0-9]+"))),_xlfn.REGEXEXTRACT(CELL("address",W28), "\$([A-Z]+)\$[0-9]+"))</f>
        <v/>
      </c>
      <c r="X28" s="7" t="str" cm="1">
        <f t="array" aca="1" ref="X28" ca="1">IFERROR(IF(OR('Raw Data'!X28="",LEN(TRIM('Raw Data'!X28))=0),"",IF(AND(ISNUMBER('Raw Data'!X28), IFERROR('Raw Data'!X28 = ROUND('Raw Data'!X28, 2),FALSE)),"",_xlfn.REGEXEXTRACT(CELL("address",X28), "\$([A-Z]+)\$[0-9]+"))),_xlfn.REGEXEXTRACT(CELL("address",X28), "\$([A-Z]+)\$[0-9]+"))</f>
        <v/>
      </c>
    </row>
    <row r="29" spans="2:24" x14ac:dyDescent="0.25">
      <c r="B29" s="7" t="str" cm="1">
        <f t="array" aca="1" ref="B29" ca="1">IFERROR(IF(OR('Raw Data'!B29="",LEN(TRIM('Raw Data'!B29))=0),"",IF(AND(LEN('Raw Data'!B29) &lt;= 50,LEN('Raw Data'!B29)&gt; 0),"",_xlfn.REGEXEXTRACT(CELL("address",'Raw Data'!B29),"\$([A-Z]+)\$[0-9]+"))),_xlfn.REGEXEXTRACT(CELL("address",'Raw Data'!B29),"\$([A-Z]+)\$[0-9]+"))</f>
        <v/>
      </c>
      <c r="C29" s="7" t="str" cm="1">
        <f t="array" aca="1" ref="C29" ca="1">IFERROR(IF(OR('Raw Data'!C29="",LEN(TRIM('Raw Data'!C29))=0),"",IF(AND(LEN('Raw Data'!C29) &lt;= 50,LEN('Raw Data'!C29)&gt; 0),"",_xlfn.REGEXEXTRACT(CELL("address",'Raw Data'!C29),"\$([A-Z]+)\$[0-9]+"))),_xlfn.REGEXEXTRACT(CELL("address",'Raw Data'!C29),"\$([A-Z]+)\$[0-9]+"))</f>
        <v/>
      </c>
      <c r="D29" s="7" t="str" cm="1">
        <f t="array" aca="1" ref="D29" ca="1">IFERROR(IF(OR('Raw Data'!D29="",LEN(TRIM('Raw Data'!D29))=0),"",IF(AND(LEN('Raw Data'!D29) &lt;= 255,LEN('Raw Data'!D29)&gt; 0),"",_xlfn.REGEXEXTRACT(CELL("address",'Raw Data'!D29),"\$([A-Z]+)\$[0-9]+"))),_xlfn.REGEXEXTRACT(CELL("address",'Raw Data'!D29),"\$([A-Z]+)\$[0-9]+"))</f>
        <v/>
      </c>
      <c r="E29" s="7" t="str" cm="1">
        <f t="array" aca="1" ref="E29" ca="1">IFERROR(IF(OR('Raw Data'!E29="",LEN(TRIM('Raw Data'!E29))=0),"",IF(AND(ISNUMBER('Raw Data'!E29),'Raw Data'!E29&gt;=Configuration!$D$2),"",_xlfn.REGEXEXTRACT(CELL("address",'Raw Data'!E29),"\$([A-Z]+)\$[0-9]+"))),_xlfn.REGEXEXTRACT(CELL("address",E29), "\$([A-Z]+)\$[0-9]+"))</f>
        <v/>
      </c>
      <c r="F29" s="7" t="str" cm="1">
        <f t="array" aca="1" ref="F29" ca="1">IFERROR(IF(OR('Raw Data'!F29="",LEN(TRIM('Raw Data'!F29))=0),"",IF(AND(LEN('Raw Data'!F29) &lt;= 20,LEN('Raw Data'!F29)&gt; 0),"",_xlfn.REGEXEXTRACT(CELL("address",'Raw Data'!F29),"\$([A-Z]+)\$[0-9]+"))),_xlfn.REGEXEXTRACT(CELL("address",'Raw Data'!F29),"\$([A-Z]+)\$[0-9]+"))</f>
        <v/>
      </c>
      <c r="G29" s="7" t="str" cm="1">
        <f t="array" aca="1" ref="G29" ca="1">IFERROR(IF(OR('Raw Data'!G29="",LEN(TRIM('Raw Data'!G29))=0),"",IF(AND(ISNUMBER('Raw Data'!G29), IFERROR('Raw Data'!G29 = ROUND('Raw Data'!G29, 2),FALSE)),"",_xlfn.REGEXEXTRACT(CELL("address",G29), "\$([A-Z]+)\$[0-9]+"))),_xlfn.REGEXEXTRACT(CELL("address",G29), "\$([A-Z]+)\$[0-9]+"))</f>
        <v/>
      </c>
      <c r="H29" s="7" t="str" cm="1">
        <f t="array" aca="1" ref="H29" ca="1">IFERROR(IF(OR('Raw Data'!H29="",LEN(TRIM('Raw Data'!H29))=0),"",IF(AND(ISNUMBER('Raw Data'!H29), IFERROR('Raw Data'!H29 = ROUND('Raw Data'!H29, 2),FALSE)),"",_xlfn.REGEXEXTRACT(CELL("address",H29), "\$([A-Z]+)\$[0-9]+"))),_xlfn.REGEXEXTRACT(CELL("address",H29), "\$([A-Z]+)\$[0-9]+"))</f>
        <v/>
      </c>
      <c r="I29" s="7" t="str" cm="1">
        <f t="array" aca="1" ref="I29" ca="1">IFERROR(IF(OR('Raw Data'!I29="",LEN(TRIM('Raw Data'!I29))=0),"",IF(AND(LEN('Raw Data'!I29) &lt;= 50,LEN('Raw Data'!I29)&gt; 0),"",_xlfn.REGEXEXTRACT(CELL("address",'Raw Data'!I29),"\$([A-Z]+)\$[0-9]+"))),_xlfn.REGEXEXTRACT(CELL("address",'Raw Data'!I29),"\$([A-Z]+)\$[0-9]+"))</f>
        <v/>
      </c>
      <c r="J29" s="7" t="str" cm="1">
        <f t="array" aca="1" ref="J29" ca="1">IFERROR(IF(OR('Raw Data'!J29="",LEN(TRIM('Raw Data'!J29))=0),"",IF(AND(ISNUMBER('Raw Data'!J29),'Raw Data'!J29&gt;=Configuration!$D$2),"",_xlfn.REGEXEXTRACT(CELL("address",'Raw Data'!J29),"\$([A-Z]+)\$[0-9]+"))),_xlfn.REGEXEXTRACT(CELL("address",J29), "\$([A-Z]+)\$[0-9]+"))</f>
        <v/>
      </c>
      <c r="K29" s="7" t="str" cm="1">
        <f t="array" aca="1" ref="K29" ca="1">IFERROR(IF(OR('Raw Data'!K29="",LEN(TRIM('Raw Data'!K29))=0),"",IF(AND(ISNUMBER('Raw Data'!K29), IFERROR('Raw Data'!K29 = ROUND('Raw Data'!K29, 2),FALSE)),"",_xlfn.REGEXEXTRACT(CELL("address",K29), "\$([A-Z]+)\$[0-9]+"))),_xlfn.REGEXEXTRACT(CELL("address",K29), "\$([A-Z]+)\$[0-9]+"))</f>
        <v/>
      </c>
      <c r="L29" s="7" t="str" cm="1">
        <f t="array" aca="1" ref="L29" ca="1">IFERROR(IF(OR('Raw Data'!L29="",LEN(TRIM('Raw Data'!L29))=0),"",IF(AND(ISNUMBER('Raw Data'!L29), IFERROR('Raw Data'!L29 = ROUND('Raw Data'!L29, 2),FALSE)),"",_xlfn.REGEXEXTRACT(CELL("address",L29), "\$([A-Z]+)\$[0-9]+"))),_xlfn.REGEXEXTRACT(CELL("address",L29), "\$([A-Z]+)\$[0-9]+"))</f>
        <v/>
      </c>
      <c r="M29" s="7" t="str" cm="1">
        <f t="array" aca="1" ref="M29" ca="1">IFERROR(IF(OR('Raw Data'!M29="",LEN(TRIM('Raw Data'!M29))=0),"",IF(AND(ISNUMBER('Raw Data'!M29), IFERROR('Raw Data'!M29 = ROUND('Raw Data'!M29, 2),FALSE)),"",_xlfn.REGEXEXTRACT(CELL("address",M29), "\$([A-Z]+)\$[0-9]+"))),_xlfn.REGEXEXTRACT(CELL("address",M29), "\$([A-Z]+)\$[0-9]+"))</f>
        <v/>
      </c>
      <c r="N29" s="7" t="str" cm="1">
        <f t="array" aca="1" ref="N29" ca="1">IFERROR(IF(OR('Raw Data'!N29="",LEN(TRIM('Raw Data'!N29))=0),"",IF(AND(ISNUMBER('Raw Data'!N29), IFERROR('Raw Data'!N29 = ROUND('Raw Data'!N29, 2),FALSE)),"",_xlfn.REGEXEXTRACT(CELL("address",N29), "\$([A-Z]+)\$[0-9]+"))),_xlfn.REGEXEXTRACT(CELL("address",N29), "\$([A-Z]+)\$[0-9]+"))</f>
        <v/>
      </c>
      <c r="O29" s="7" t="str" cm="1">
        <f t="array" aca="1" ref="O29" ca="1">IFERROR(IF(OR('Raw Data'!O29="",LEN(TRIM('Raw Data'!O29))=0),"",IF(AND(ISNUMBER('Raw Data'!O29), IFERROR('Raw Data'!O29 = ROUND('Raw Data'!O29, 2),FALSE)),"",_xlfn.REGEXEXTRACT(CELL("address",O29), "\$([A-Z]+)\$[0-9]+"))),_xlfn.REGEXEXTRACT(CELL("address",O29), "\$([A-Z]+)\$[0-9]+"))</f>
        <v/>
      </c>
      <c r="P29" s="7" t="str" cm="1">
        <f t="array" aca="1" ref="P29" ca="1">IFERROR(IF(OR('Raw Data'!P29="",LEN(TRIM('Raw Data'!P29))=0),"",IF(AND(ISNUMBER('Raw Data'!P29),'Raw Data'!P29&gt;=Configuration!$D$2),"",_xlfn.REGEXEXTRACT(CELL("address",'Raw Data'!P29),"\$([A-Z]+)\$[0-9]+"))),_xlfn.REGEXEXTRACT(CELL("address",P29), "\$([A-Z]+)\$[0-9]+"))</f>
        <v/>
      </c>
      <c r="Q29" s="7" t="str" cm="1">
        <f t="array" aca="1" ref="Q29" ca="1">IFERROR(IF(OR('Raw Data'!Q29="",LEN(TRIM('Raw Data'!Q29))=0),"",IF(AND(ISNUMBER('Raw Data'!Q29),'Raw Data'!Q29&gt;=Configuration!$D$2),"",_xlfn.REGEXEXTRACT(CELL("address",'Raw Data'!Q29),"\$([A-Z]+)\$[0-9]+"))),_xlfn.REGEXEXTRACT(CELL("address",Q29), "\$([A-Z]+)\$[0-9]+"))</f>
        <v/>
      </c>
      <c r="R29" s="7" t="str" cm="1">
        <f t="array" aca="1" ref="R29" ca="1">IFERROR(IF(OR('Raw Data'!R29="",LEN(TRIM('Raw Data'!R29))=0),"",IF(AND(ISNUMBER('Raw Data'!R29), IFERROR('Raw Data'!R29 = ROUND('Raw Data'!R29, 2),FALSE)),"",_xlfn.REGEXEXTRACT(CELL("address",R29), "\$([A-Z]+)\$[0-9]+"))),_xlfn.REGEXEXTRACT(CELL("address",R29), "\$([A-Z]+)\$[0-9]+"))</f>
        <v/>
      </c>
      <c r="S29" s="7" t="str" cm="1">
        <f t="array" aca="1" ref="S29" ca="1">IFERROR(IF(OR('Raw Data'!S29="",LEN(TRIM('Raw Data'!S29))=0),"",IF(AND(ISNUMBER('Raw Data'!S29), IFERROR('Raw Data'!S29 = ROUND('Raw Data'!S29, 2),FALSE)),"",_xlfn.REGEXEXTRACT(CELL("address",S29), "\$([A-Z]+)\$[0-9]+"))),_xlfn.REGEXEXTRACT(CELL("address",S29), "\$([A-Z]+)\$[0-9]+"))</f>
        <v/>
      </c>
      <c r="T29" s="7" t="str" cm="1">
        <f t="array" aca="1" ref="T29" ca="1">IFERROR(IF(OR('Raw Data'!T29="",LEN(TRIM('Raw Data'!T29))=0),"",IF(AND(ISNUMBER('Raw Data'!T29), IFERROR('Raw Data'!T29 = ROUND('Raw Data'!T29, 2),FALSE)),"",_xlfn.REGEXEXTRACT(CELL("address",T29), "\$([A-Z]+)\$[0-9]+"))),_xlfn.REGEXEXTRACT(CELL("address",T29), "\$([A-Z]+)\$[0-9]+"))</f>
        <v/>
      </c>
      <c r="U29" s="7" t="str" cm="1">
        <f t="array" aca="1" ref="U29" ca="1">IFERROR(IF(OR('Raw Data'!U29="",LEN(TRIM('Raw Data'!U29))=0),"",IF(AND(LEN('Raw Data'!U29) &lt;= 5,LEN('Raw Data'!U29)&gt; 0),"",_xlfn.REGEXEXTRACT(CELL("address",'Raw Data'!U29),"\$([A-Z]+)\$[0-9]+"))),_xlfn.REGEXEXTRACT(CELL("address",'Raw Data'!U29),"\$([A-Z]+)\$[0-9]+"))</f>
        <v/>
      </c>
      <c r="V29" s="7" t="str" cm="1">
        <f t="array" aca="1" ref="V29" ca="1">IFERROR(IF(OR('Raw Data'!V29="",LEN(TRIM('Raw Data'!V29))=0),"",IF(AND(ISNUMBER('Raw Data'!V29), IFERROR('Raw Data'!V29 = ROUND('Raw Data'!V29, 2),FALSE)),"",_xlfn.REGEXEXTRACT(CELL("address",V29), "\$([A-Z]+)\$[0-9]+"))),_xlfn.REGEXEXTRACT(CELL("address",V29), "\$([A-Z]+)\$[0-9]+"))</f>
        <v/>
      </c>
      <c r="W29" s="7" t="str" cm="1">
        <f t="array" aca="1" ref="W29" ca="1">IFERROR(IF(OR('Raw Data'!W29="",LEN(TRIM('Raw Data'!W29))=0),"",IF(AND(ISNUMBER('Raw Data'!W29), IFERROR('Raw Data'!W29 = ROUND('Raw Data'!W29, 2),FALSE)),"",_xlfn.REGEXEXTRACT(CELL("address",W29), "\$([A-Z]+)\$[0-9]+"))),_xlfn.REGEXEXTRACT(CELL("address",W29), "\$([A-Z]+)\$[0-9]+"))</f>
        <v/>
      </c>
      <c r="X29" s="7" t="str" cm="1">
        <f t="array" aca="1" ref="X29" ca="1">IFERROR(IF(OR('Raw Data'!X29="",LEN(TRIM('Raw Data'!X29))=0),"",IF(AND(ISNUMBER('Raw Data'!X29), IFERROR('Raw Data'!X29 = ROUND('Raw Data'!X29, 2),FALSE)),"",_xlfn.REGEXEXTRACT(CELL("address",X29), "\$([A-Z]+)\$[0-9]+"))),_xlfn.REGEXEXTRACT(CELL("address",X29), "\$([A-Z]+)\$[0-9]+"))</f>
        <v/>
      </c>
    </row>
    <row r="30" spans="2:24" x14ac:dyDescent="0.25">
      <c r="B30" s="7" t="str" cm="1">
        <f t="array" aca="1" ref="B30" ca="1">IFERROR(IF(OR('Raw Data'!B30="",LEN(TRIM('Raw Data'!B30))=0),"",IF(AND(LEN('Raw Data'!B30) &lt;= 50,LEN('Raw Data'!B30)&gt; 0),"",_xlfn.REGEXEXTRACT(CELL("address",'Raw Data'!B30),"\$([A-Z]+)\$[0-9]+"))),_xlfn.REGEXEXTRACT(CELL("address",'Raw Data'!B30),"\$([A-Z]+)\$[0-9]+"))</f>
        <v/>
      </c>
      <c r="C30" s="7" t="str" cm="1">
        <f t="array" aca="1" ref="C30" ca="1">IFERROR(IF(OR('Raw Data'!C30="",LEN(TRIM('Raw Data'!C30))=0),"",IF(AND(LEN('Raw Data'!C30) &lt;= 50,LEN('Raw Data'!C30)&gt; 0),"",_xlfn.REGEXEXTRACT(CELL("address",'Raw Data'!C30),"\$([A-Z]+)\$[0-9]+"))),_xlfn.REGEXEXTRACT(CELL("address",'Raw Data'!C30),"\$([A-Z]+)\$[0-9]+"))</f>
        <v/>
      </c>
      <c r="D30" s="7" t="str" cm="1">
        <f t="array" aca="1" ref="D30" ca="1">IFERROR(IF(OR('Raw Data'!D30="",LEN(TRIM('Raw Data'!D30))=0),"",IF(AND(LEN('Raw Data'!D30) &lt;= 255,LEN('Raw Data'!D30)&gt; 0),"",_xlfn.REGEXEXTRACT(CELL("address",'Raw Data'!D30),"\$([A-Z]+)\$[0-9]+"))),_xlfn.REGEXEXTRACT(CELL("address",'Raw Data'!D30),"\$([A-Z]+)\$[0-9]+"))</f>
        <v/>
      </c>
      <c r="E30" s="7" t="str" cm="1">
        <f t="array" aca="1" ref="E30" ca="1">IFERROR(IF(OR('Raw Data'!E30="",LEN(TRIM('Raw Data'!E30))=0),"",IF(AND(ISNUMBER('Raw Data'!E30),'Raw Data'!E30&gt;=Configuration!$D$2),"",_xlfn.REGEXEXTRACT(CELL("address",'Raw Data'!E30),"\$([A-Z]+)\$[0-9]+"))),_xlfn.REGEXEXTRACT(CELL("address",E30), "\$([A-Z]+)\$[0-9]+"))</f>
        <v/>
      </c>
      <c r="F30" s="7" t="str" cm="1">
        <f t="array" aca="1" ref="F30" ca="1">IFERROR(IF(OR('Raw Data'!F30="",LEN(TRIM('Raw Data'!F30))=0),"",IF(AND(LEN('Raw Data'!F30) &lt;= 20,LEN('Raw Data'!F30)&gt; 0),"",_xlfn.REGEXEXTRACT(CELL("address",'Raw Data'!F30),"\$([A-Z]+)\$[0-9]+"))),_xlfn.REGEXEXTRACT(CELL("address",'Raw Data'!F30),"\$([A-Z]+)\$[0-9]+"))</f>
        <v/>
      </c>
      <c r="G30" s="7" t="str" cm="1">
        <f t="array" aca="1" ref="G30" ca="1">IFERROR(IF(OR('Raw Data'!G30="",LEN(TRIM('Raw Data'!G30))=0),"",IF(AND(ISNUMBER('Raw Data'!G30), IFERROR('Raw Data'!G30 = ROUND('Raw Data'!G30, 2),FALSE)),"",_xlfn.REGEXEXTRACT(CELL("address",G30), "\$([A-Z]+)\$[0-9]+"))),_xlfn.REGEXEXTRACT(CELL("address",G30), "\$([A-Z]+)\$[0-9]+"))</f>
        <v/>
      </c>
      <c r="H30" s="7" t="str" cm="1">
        <f t="array" aca="1" ref="H30" ca="1">IFERROR(IF(OR('Raw Data'!H30="",LEN(TRIM('Raw Data'!H30))=0),"",IF(AND(ISNUMBER('Raw Data'!H30), IFERROR('Raw Data'!H30 = ROUND('Raw Data'!H30, 2),FALSE)),"",_xlfn.REGEXEXTRACT(CELL("address",H30), "\$([A-Z]+)\$[0-9]+"))),_xlfn.REGEXEXTRACT(CELL("address",H30), "\$([A-Z]+)\$[0-9]+"))</f>
        <v/>
      </c>
      <c r="I30" s="7" t="str" cm="1">
        <f t="array" aca="1" ref="I30" ca="1">IFERROR(IF(OR('Raw Data'!I30="",LEN(TRIM('Raw Data'!I30))=0),"",IF(AND(LEN('Raw Data'!I30) &lt;= 50,LEN('Raw Data'!I30)&gt; 0),"",_xlfn.REGEXEXTRACT(CELL("address",'Raw Data'!I30),"\$([A-Z]+)\$[0-9]+"))),_xlfn.REGEXEXTRACT(CELL("address",'Raw Data'!I30),"\$([A-Z]+)\$[0-9]+"))</f>
        <v/>
      </c>
      <c r="J30" s="7" t="str" cm="1">
        <f t="array" aca="1" ref="J30" ca="1">IFERROR(IF(OR('Raw Data'!J30="",LEN(TRIM('Raw Data'!J30))=0),"",IF(AND(ISNUMBER('Raw Data'!J30),'Raw Data'!J30&gt;=Configuration!$D$2),"",_xlfn.REGEXEXTRACT(CELL("address",'Raw Data'!J30),"\$([A-Z]+)\$[0-9]+"))),_xlfn.REGEXEXTRACT(CELL("address",J30), "\$([A-Z]+)\$[0-9]+"))</f>
        <v/>
      </c>
      <c r="K30" s="7" t="str" cm="1">
        <f t="array" aca="1" ref="K30" ca="1">IFERROR(IF(OR('Raw Data'!K30="",LEN(TRIM('Raw Data'!K30))=0),"",IF(AND(ISNUMBER('Raw Data'!K30), IFERROR('Raw Data'!K30 = ROUND('Raw Data'!K30, 2),FALSE)),"",_xlfn.REGEXEXTRACT(CELL("address",K30), "\$([A-Z]+)\$[0-9]+"))),_xlfn.REGEXEXTRACT(CELL("address",K30), "\$([A-Z]+)\$[0-9]+"))</f>
        <v/>
      </c>
      <c r="L30" s="7" t="str" cm="1">
        <f t="array" aca="1" ref="L30" ca="1">IFERROR(IF(OR('Raw Data'!L30="",LEN(TRIM('Raw Data'!L30))=0),"",IF(AND(ISNUMBER('Raw Data'!L30), IFERROR('Raw Data'!L30 = ROUND('Raw Data'!L30, 2),FALSE)),"",_xlfn.REGEXEXTRACT(CELL("address",L30), "\$([A-Z]+)\$[0-9]+"))),_xlfn.REGEXEXTRACT(CELL("address",L30), "\$([A-Z]+)\$[0-9]+"))</f>
        <v/>
      </c>
      <c r="M30" s="7" t="str" cm="1">
        <f t="array" aca="1" ref="M30" ca="1">IFERROR(IF(OR('Raw Data'!M30="",LEN(TRIM('Raw Data'!M30))=0),"",IF(AND(ISNUMBER('Raw Data'!M30), IFERROR('Raw Data'!M30 = ROUND('Raw Data'!M30, 2),FALSE)),"",_xlfn.REGEXEXTRACT(CELL("address",M30), "\$([A-Z]+)\$[0-9]+"))),_xlfn.REGEXEXTRACT(CELL("address",M30), "\$([A-Z]+)\$[0-9]+"))</f>
        <v/>
      </c>
      <c r="N30" s="7" t="str" cm="1">
        <f t="array" aca="1" ref="N30" ca="1">IFERROR(IF(OR('Raw Data'!N30="",LEN(TRIM('Raw Data'!N30))=0),"",IF(AND(ISNUMBER('Raw Data'!N30), IFERROR('Raw Data'!N30 = ROUND('Raw Data'!N30, 2),FALSE)),"",_xlfn.REGEXEXTRACT(CELL("address",N30), "\$([A-Z]+)\$[0-9]+"))),_xlfn.REGEXEXTRACT(CELL("address",N30), "\$([A-Z]+)\$[0-9]+"))</f>
        <v/>
      </c>
      <c r="O30" s="7" t="str" cm="1">
        <f t="array" aca="1" ref="O30" ca="1">IFERROR(IF(OR('Raw Data'!O30="",LEN(TRIM('Raw Data'!O30))=0),"",IF(AND(ISNUMBER('Raw Data'!O30), IFERROR('Raw Data'!O30 = ROUND('Raw Data'!O30, 2),FALSE)),"",_xlfn.REGEXEXTRACT(CELL("address",O30), "\$([A-Z]+)\$[0-9]+"))),_xlfn.REGEXEXTRACT(CELL("address",O30), "\$([A-Z]+)\$[0-9]+"))</f>
        <v/>
      </c>
      <c r="P30" s="7" t="str" cm="1">
        <f t="array" aca="1" ref="P30" ca="1">IFERROR(IF(OR('Raw Data'!P30="",LEN(TRIM('Raw Data'!P30))=0),"",IF(AND(ISNUMBER('Raw Data'!P30),'Raw Data'!P30&gt;=Configuration!$D$2),"",_xlfn.REGEXEXTRACT(CELL("address",'Raw Data'!P30),"\$([A-Z]+)\$[0-9]+"))),_xlfn.REGEXEXTRACT(CELL("address",P30), "\$([A-Z]+)\$[0-9]+"))</f>
        <v/>
      </c>
      <c r="Q30" s="7" t="str" cm="1">
        <f t="array" aca="1" ref="Q30" ca="1">IFERROR(IF(OR('Raw Data'!Q30="",LEN(TRIM('Raw Data'!Q30))=0),"",IF(AND(ISNUMBER('Raw Data'!Q30),'Raw Data'!Q30&gt;=Configuration!$D$2),"",_xlfn.REGEXEXTRACT(CELL("address",'Raw Data'!Q30),"\$([A-Z]+)\$[0-9]+"))),_xlfn.REGEXEXTRACT(CELL("address",Q30), "\$([A-Z]+)\$[0-9]+"))</f>
        <v/>
      </c>
      <c r="R30" s="7" t="str" cm="1">
        <f t="array" aca="1" ref="R30" ca="1">IFERROR(IF(OR('Raw Data'!R30="",LEN(TRIM('Raw Data'!R30))=0),"",IF(AND(ISNUMBER('Raw Data'!R30), IFERROR('Raw Data'!R30 = ROUND('Raw Data'!R30, 2),FALSE)),"",_xlfn.REGEXEXTRACT(CELL("address",R30), "\$([A-Z]+)\$[0-9]+"))),_xlfn.REGEXEXTRACT(CELL("address",R30), "\$([A-Z]+)\$[0-9]+"))</f>
        <v/>
      </c>
      <c r="S30" s="7" t="str" cm="1">
        <f t="array" aca="1" ref="S30" ca="1">IFERROR(IF(OR('Raw Data'!S30="",LEN(TRIM('Raw Data'!S30))=0),"",IF(AND(ISNUMBER('Raw Data'!S30), IFERROR('Raw Data'!S30 = ROUND('Raw Data'!S30, 2),FALSE)),"",_xlfn.REGEXEXTRACT(CELL("address",S30), "\$([A-Z]+)\$[0-9]+"))),_xlfn.REGEXEXTRACT(CELL("address",S30), "\$([A-Z]+)\$[0-9]+"))</f>
        <v/>
      </c>
      <c r="T30" s="7" t="str" cm="1">
        <f t="array" aca="1" ref="T30" ca="1">IFERROR(IF(OR('Raw Data'!T30="",LEN(TRIM('Raw Data'!T30))=0),"",IF(AND(ISNUMBER('Raw Data'!T30), IFERROR('Raw Data'!T30 = ROUND('Raw Data'!T30, 2),FALSE)),"",_xlfn.REGEXEXTRACT(CELL("address",T30), "\$([A-Z]+)\$[0-9]+"))),_xlfn.REGEXEXTRACT(CELL("address",T30), "\$([A-Z]+)\$[0-9]+"))</f>
        <v/>
      </c>
      <c r="U30" s="7" t="str" cm="1">
        <f t="array" aca="1" ref="U30" ca="1">IFERROR(IF(OR('Raw Data'!U30="",LEN(TRIM('Raw Data'!U30))=0),"",IF(AND(LEN('Raw Data'!U30) &lt;= 5,LEN('Raw Data'!U30)&gt; 0),"",_xlfn.REGEXEXTRACT(CELL("address",'Raw Data'!U30),"\$([A-Z]+)\$[0-9]+"))),_xlfn.REGEXEXTRACT(CELL("address",'Raw Data'!U30),"\$([A-Z]+)\$[0-9]+"))</f>
        <v/>
      </c>
      <c r="V30" s="7" t="str" cm="1">
        <f t="array" aca="1" ref="V30" ca="1">IFERROR(IF(OR('Raw Data'!V30="",LEN(TRIM('Raw Data'!V30))=0),"",IF(AND(ISNUMBER('Raw Data'!V30), IFERROR('Raw Data'!V30 = ROUND('Raw Data'!V30, 2),FALSE)),"",_xlfn.REGEXEXTRACT(CELL("address",V30), "\$([A-Z]+)\$[0-9]+"))),_xlfn.REGEXEXTRACT(CELL("address",V30), "\$([A-Z]+)\$[0-9]+"))</f>
        <v/>
      </c>
      <c r="W30" s="7" t="str" cm="1">
        <f t="array" aca="1" ref="W30" ca="1">IFERROR(IF(OR('Raw Data'!W30="",LEN(TRIM('Raw Data'!W30))=0),"",IF(AND(ISNUMBER('Raw Data'!W30), IFERROR('Raw Data'!W30 = ROUND('Raw Data'!W30, 2),FALSE)),"",_xlfn.REGEXEXTRACT(CELL("address",W30), "\$([A-Z]+)\$[0-9]+"))),_xlfn.REGEXEXTRACT(CELL("address",W30), "\$([A-Z]+)\$[0-9]+"))</f>
        <v/>
      </c>
      <c r="X30" s="7" t="str" cm="1">
        <f t="array" aca="1" ref="X30" ca="1">IFERROR(IF(OR('Raw Data'!X30="",LEN(TRIM('Raw Data'!X30))=0),"",IF(AND(ISNUMBER('Raw Data'!X30), IFERROR('Raw Data'!X30 = ROUND('Raw Data'!X30, 2),FALSE)),"",_xlfn.REGEXEXTRACT(CELL("address",X30), "\$([A-Z]+)\$[0-9]+"))),_xlfn.REGEXEXTRACT(CELL("address",X30), "\$([A-Z]+)\$[0-9]+"))</f>
        <v/>
      </c>
    </row>
    <row r="31" spans="2:24" x14ac:dyDescent="0.25">
      <c r="B31" s="7" t="str" cm="1">
        <f t="array" aca="1" ref="B31" ca="1">IFERROR(IF(OR('Raw Data'!B31="",LEN(TRIM('Raw Data'!B31))=0),"",IF(AND(LEN('Raw Data'!B31) &lt;= 50,LEN('Raw Data'!B31)&gt; 0),"",_xlfn.REGEXEXTRACT(CELL("address",'Raw Data'!B31),"\$([A-Z]+)\$[0-9]+"))),_xlfn.REGEXEXTRACT(CELL("address",'Raw Data'!B31),"\$([A-Z]+)\$[0-9]+"))</f>
        <v/>
      </c>
      <c r="C31" s="7" t="str" cm="1">
        <f t="array" aca="1" ref="C31" ca="1">IFERROR(IF(OR('Raw Data'!C31="",LEN(TRIM('Raw Data'!C31))=0),"",IF(AND(LEN('Raw Data'!C31) &lt;= 50,LEN('Raw Data'!C31)&gt; 0),"",_xlfn.REGEXEXTRACT(CELL("address",'Raw Data'!C31),"\$([A-Z]+)\$[0-9]+"))),_xlfn.REGEXEXTRACT(CELL("address",'Raw Data'!C31),"\$([A-Z]+)\$[0-9]+"))</f>
        <v/>
      </c>
      <c r="D31" s="7" t="str" cm="1">
        <f t="array" aca="1" ref="D31" ca="1">IFERROR(IF(OR('Raw Data'!D31="",LEN(TRIM('Raw Data'!D31))=0),"",IF(AND(LEN('Raw Data'!D31) &lt;= 255,LEN('Raw Data'!D31)&gt; 0),"",_xlfn.REGEXEXTRACT(CELL("address",'Raw Data'!D31),"\$([A-Z]+)\$[0-9]+"))),_xlfn.REGEXEXTRACT(CELL("address",'Raw Data'!D31),"\$([A-Z]+)\$[0-9]+"))</f>
        <v/>
      </c>
      <c r="E31" s="7" t="str" cm="1">
        <f t="array" aca="1" ref="E31" ca="1">IFERROR(IF(OR('Raw Data'!E31="",LEN(TRIM('Raw Data'!E31))=0),"",IF(AND(ISNUMBER('Raw Data'!E31),'Raw Data'!E31&gt;=Configuration!$D$2),"",_xlfn.REGEXEXTRACT(CELL("address",'Raw Data'!E31),"\$([A-Z]+)\$[0-9]+"))),_xlfn.REGEXEXTRACT(CELL("address",E31), "\$([A-Z]+)\$[0-9]+"))</f>
        <v/>
      </c>
      <c r="F31" s="7" t="str" cm="1">
        <f t="array" aca="1" ref="F31" ca="1">IFERROR(IF(OR('Raw Data'!F31="",LEN(TRIM('Raw Data'!F31))=0),"",IF(AND(LEN('Raw Data'!F31) &lt;= 20,LEN('Raw Data'!F31)&gt; 0),"",_xlfn.REGEXEXTRACT(CELL("address",'Raw Data'!F31),"\$([A-Z]+)\$[0-9]+"))),_xlfn.REGEXEXTRACT(CELL("address",'Raw Data'!F31),"\$([A-Z]+)\$[0-9]+"))</f>
        <v/>
      </c>
      <c r="G31" s="7" t="str" cm="1">
        <f t="array" aca="1" ref="G31" ca="1">IFERROR(IF(OR('Raw Data'!G31="",LEN(TRIM('Raw Data'!G31))=0),"",IF(AND(ISNUMBER('Raw Data'!G31), IFERROR('Raw Data'!G31 = ROUND('Raw Data'!G31, 2),FALSE)),"",_xlfn.REGEXEXTRACT(CELL("address",G31), "\$([A-Z]+)\$[0-9]+"))),_xlfn.REGEXEXTRACT(CELL("address",G31), "\$([A-Z]+)\$[0-9]+"))</f>
        <v/>
      </c>
      <c r="H31" s="7" t="str" cm="1">
        <f t="array" aca="1" ref="H31" ca="1">IFERROR(IF(OR('Raw Data'!H31="",LEN(TRIM('Raw Data'!H31))=0),"",IF(AND(ISNUMBER('Raw Data'!H31), IFERROR('Raw Data'!H31 = ROUND('Raw Data'!H31, 2),FALSE)),"",_xlfn.REGEXEXTRACT(CELL("address",H31), "\$([A-Z]+)\$[0-9]+"))),_xlfn.REGEXEXTRACT(CELL("address",H31), "\$([A-Z]+)\$[0-9]+"))</f>
        <v/>
      </c>
      <c r="I31" s="7" t="str" cm="1">
        <f t="array" aca="1" ref="I31" ca="1">IFERROR(IF(OR('Raw Data'!I31="",LEN(TRIM('Raw Data'!I31))=0),"",IF(AND(LEN('Raw Data'!I31) &lt;= 50,LEN('Raw Data'!I31)&gt; 0),"",_xlfn.REGEXEXTRACT(CELL("address",'Raw Data'!I31),"\$([A-Z]+)\$[0-9]+"))),_xlfn.REGEXEXTRACT(CELL("address",'Raw Data'!I31),"\$([A-Z]+)\$[0-9]+"))</f>
        <v/>
      </c>
      <c r="J31" s="7" t="str" cm="1">
        <f t="array" aca="1" ref="J31" ca="1">IFERROR(IF(OR('Raw Data'!J31="",LEN(TRIM('Raw Data'!J31))=0),"",IF(AND(ISNUMBER('Raw Data'!J31),'Raw Data'!J31&gt;=Configuration!$D$2),"",_xlfn.REGEXEXTRACT(CELL("address",'Raw Data'!J31),"\$([A-Z]+)\$[0-9]+"))),_xlfn.REGEXEXTRACT(CELL("address",J31), "\$([A-Z]+)\$[0-9]+"))</f>
        <v/>
      </c>
      <c r="K31" s="7" t="str" cm="1">
        <f t="array" aca="1" ref="K31" ca="1">IFERROR(IF(OR('Raw Data'!K31="",LEN(TRIM('Raw Data'!K31))=0),"",IF(AND(ISNUMBER('Raw Data'!K31), IFERROR('Raw Data'!K31 = ROUND('Raw Data'!K31, 2),FALSE)),"",_xlfn.REGEXEXTRACT(CELL("address",K31), "\$([A-Z]+)\$[0-9]+"))),_xlfn.REGEXEXTRACT(CELL("address",K31), "\$([A-Z]+)\$[0-9]+"))</f>
        <v/>
      </c>
      <c r="L31" s="7" t="str" cm="1">
        <f t="array" aca="1" ref="L31" ca="1">IFERROR(IF(OR('Raw Data'!L31="",LEN(TRIM('Raw Data'!L31))=0),"",IF(AND(ISNUMBER('Raw Data'!L31), IFERROR('Raw Data'!L31 = ROUND('Raw Data'!L31, 2),FALSE)),"",_xlfn.REGEXEXTRACT(CELL("address",L31), "\$([A-Z]+)\$[0-9]+"))),_xlfn.REGEXEXTRACT(CELL("address",L31), "\$([A-Z]+)\$[0-9]+"))</f>
        <v/>
      </c>
      <c r="M31" s="7" t="str" cm="1">
        <f t="array" aca="1" ref="M31" ca="1">IFERROR(IF(OR('Raw Data'!M31="",LEN(TRIM('Raw Data'!M31))=0),"",IF(AND(ISNUMBER('Raw Data'!M31), IFERROR('Raw Data'!M31 = ROUND('Raw Data'!M31, 2),FALSE)),"",_xlfn.REGEXEXTRACT(CELL("address",M31), "\$([A-Z]+)\$[0-9]+"))),_xlfn.REGEXEXTRACT(CELL("address",M31), "\$([A-Z]+)\$[0-9]+"))</f>
        <v/>
      </c>
      <c r="N31" s="7" t="str" cm="1">
        <f t="array" aca="1" ref="N31" ca="1">IFERROR(IF(OR('Raw Data'!N31="",LEN(TRIM('Raw Data'!N31))=0),"",IF(AND(ISNUMBER('Raw Data'!N31), IFERROR('Raw Data'!N31 = ROUND('Raw Data'!N31, 2),FALSE)),"",_xlfn.REGEXEXTRACT(CELL("address",N31), "\$([A-Z]+)\$[0-9]+"))),_xlfn.REGEXEXTRACT(CELL("address",N31), "\$([A-Z]+)\$[0-9]+"))</f>
        <v/>
      </c>
      <c r="O31" s="7" t="str" cm="1">
        <f t="array" aca="1" ref="O31" ca="1">IFERROR(IF(OR('Raw Data'!O31="",LEN(TRIM('Raw Data'!O31))=0),"",IF(AND(ISNUMBER('Raw Data'!O31), IFERROR('Raw Data'!O31 = ROUND('Raw Data'!O31, 2),FALSE)),"",_xlfn.REGEXEXTRACT(CELL("address",O31), "\$([A-Z]+)\$[0-9]+"))),_xlfn.REGEXEXTRACT(CELL("address",O31), "\$([A-Z]+)\$[0-9]+"))</f>
        <v/>
      </c>
      <c r="P31" s="7" t="str" cm="1">
        <f t="array" aca="1" ref="P31" ca="1">IFERROR(IF(OR('Raw Data'!P31="",LEN(TRIM('Raw Data'!P31))=0),"",IF(AND(ISNUMBER('Raw Data'!P31),'Raw Data'!P31&gt;=Configuration!$D$2),"",_xlfn.REGEXEXTRACT(CELL("address",'Raw Data'!P31),"\$([A-Z]+)\$[0-9]+"))),_xlfn.REGEXEXTRACT(CELL("address",P31), "\$([A-Z]+)\$[0-9]+"))</f>
        <v/>
      </c>
      <c r="Q31" s="7" t="str" cm="1">
        <f t="array" aca="1" ref="Q31" ca="1">IFERROR(IF(OR('Raw Data'!Q31="",LEN(TRIM('Raw Data'!Q31))=0),"",IF(AND(ISNUMBER('Raw Data'!Q31),'Raw Data'!Q31&gt;=Configuration!$D$2),"",_xlfn.REGEXEXTRACT(CELL("address",'Raw Data'!Q31),"\$([A-Z]+)\$[0-9]+"))),_xlfn.REGEXEXTRACT(CELL("address",Q31), "\$([A-Z]+)\$[0-9]+"))</f>
        <v/>
      </c>
      <c r="R31" s="7" t="str" cm="1">
        <f t="array" aca="1" ref="R31" ca="1">IFERROR(IF(OR('Raw Data'!R31="",LEN(TRIM('Raw Data'!R31))=0),"",IF(AND(ISNUMBER('Raw Data'!R31), IFERROR('Raw Data'!R31 = ROUND('Raw Data'!R31, 2),FALSE)),"",_xlfn.REGEXEXTRACT(CELL("address",R31), "\$([A-Z]+)\$[0-9]+"))),_xlfn.REGEXEXTRACT(CELL("address",R31), "\$([A-Z]+)\$[0-9]+"))</f>
        <v/>
      </c>
      <c r="S31" s="7" t="str" cm="1">
        <f t="array" aca="1" ref="S31" ca="1">IFERROR(IF(OR('Raw Data'!S31="",LEN(TRIM('Raw Data'!S31))=0),"",IF(AND(ISNUMBER('Raw Data'!S31), IFERROR('Raw Data'!S31 = ROUND('Raw Data'!S31, 2),FALSE)),"",_xlfn.REGEXEXTRACT(CELL("address",S31), "\$([A-Z]+)\$[0-9]+"))),_xlfn.REGEXEXTRACT(CELL("address",S31), "\$([A-Z]+)\$[0-9]+"))</f>
        <v/>
      </c>
      <c r="T31" s="7" t="str" cm="1">
        <f t="array" aca="1" ref="T31" ca="1">IFERROR(IF(OR('Raw Data'!T31="",LEN(TRIM('Raw Data'!T31))=0),"",IF(AND(ISNUMBER('Raw Data'!T31), IFERROR('Raw Data'!T31 = ROUND('Raw Data'!T31, 2),FALSE)),"",_xlfn.REGEXEXTRACT(CELL("address",T31), "\$([A-Z]+)\$[0-9]+"))),_xlfn.REGEXEXTRACT(CELL("address",T31), "\$([A-Z]+)\$[0-9]+"))</f>
        <v/>
      </c>
      <c r="U31" s="7" t="str" cm="1">
        <f t="array" aca="1" ref="U31" ca="1">IFERROR(IF(OR('Raw Data'!U31="",LEN(TRIM('Raw Data'!U31))=0),"",IF(AND(LEN('Raw Data'!U31) &lt;= 5,LEN('Raw Data'!U31)&gt; 0),"",_xlfn.REGEXEXTRACT(CELL("address",'Raw Data'!U31),"\$([A-Z]+)\$[0-9]+"))),_xlfn.REGEXEXTRACT(CELL("address",'Raw Data'!U31),"\$([A-Z]+)\$[0-9]+"))</f>
        <v/>
      </c>
      <c r="V31" s="7" t="str" cm="1">
        <f t="array" aca="1" ref="V31" ca="1">IFERROR(IF(OR('Raw Data'!V31="",LEN(TRIM('Raw Data'!V31))=0),"",IF(AND(ISNUMBER('Raw Data'!V31), IFERROR('Raw Data'!V31 = ROUND('Raw Data'!V31, 2),FALSE)),"",_xlfn.REGEXEXTRACT(CELL("address",V31), "\$([A-Z]+)\$[0-9]+"))),_xlfn.REGEXEXTRACT(CELL("address",V31), "\$([A-Z]+)\$[0-9]+"))</f>
        <v/>
      </c>
      <c r="W31" s="7" t="str" cm="1">
        <f t="array" aca="1" ref="W31" ca="1">IFERROR(IF(OR('Raw Data'!W31="",LEN(TRIM('Raw Data'!W31))=0),"",IF(AND(ISNUMBER('Raw Data'!W31), IFERROR('Raw Data'!W31 = ROUND('Raw Data'!W31, 2),FALSE)),"",_xlfn.REGEXEXTRACT(CELL("address",W31), "\$([A-Z]+)\$[0-9]+"))),_xlfn.REGEXEXTRACT(CELL("address",W31), "\$([A-Z]+)\$[0-9]+"))</f>
        <v/>
      </c>
      <c r="X31" s="7" t="str" cm="1">
        <f t="array" aca="1" ref="X31" ca="1">IFERROR(IF(OR('Raw Data'!X31="",LEN(TRIM('Raw Data'!X31))=0),"",IF(AND(ISNUMBER('Raw Data'!X31), IFERROR('Raw Data'!X31 = ROUND('Raw Data'!X31, 2),FALSE)),"",_xlfn.REGEXEXTRACT(CELL("address",X31), "\$([A-Z]+)\$[0-9]+"))),_xlfn.REGEXEXTRACT(CELL("address",X31), "\$([A-Z]+)\$[0-9]+"))</f>
        <v/>
      </c>
    </row>
    <row r="32" spans="2:24" x14ac:dyDescent="0.25">
      <c r="B32" s="7" t="str" cm="1">
        <f t="array" aca="1" ref="B32" ca="1">IFERROR(IF(OR('Raw Data'!B32="",LEN(TRIM('Raw Data'!B32))=0),"",IF(AND(LEN('Raw Data'!B32) &lt;= 50,LEN('Raw Data'!B32)&gt; 0),"",_xlfn.REGEXEXTRACT(CELL("address",'Raw Data'!B32),"\$([A-Z]+)\$[0-9]+"))),_xlfn.REGEXEXTRACT(CELL("address",'Raw Data'!B32),"\$([A-Z]+)\$[0-9]+"))</f>
        <v/>
      </c>
      <c r="C32" s="7" t="str" cm="1">
        <f t="array" aca="1" ref="C32" ca="1">IFERROR(IF(OR('Raw Data'!C32="",LEN(TRIM('Raw Data'!C32))=0),"",IF(AND(LEN('Raw Data'!C32) &lt;= 50,LEN('Raw Data'!C32)&gt; 0),"",_xlfn.REGEXEXTRACT(CELL("address",'Raw Data'!C32),"\$([A-Z]+)\$[0-9]+"))),_xlfn.REGEXEXTRACT(CELL("address",'Raw Data'!C32),"\$([A-Z]+)\$[0-9]+"))</f>
        <v/>
      </c>
      <c r="D32" s="7" t="str" cm="1">
        <f t="array" aca="1" ref="D32" ca="1">IFERROR(IF(OR('Raw Data'!D32="",LEN(TRIM('Raw Data'!D32))=0),"",IF(AND(LEN('Raw Data'!D32) &lt;= 255,LEN('Raw Data'!D32)&gt; 0),"",_xlfn.REGEXEXTRACT(CELL("address",'Raw Data'!D32),"\$([A-Z]+)\$[0-9]+"))),_xlfn.REGEXEXTRACT(CELL("address",'Raw Data'!D32),"\$([A-Z]+)\$[0-9]+"))</f>
        <v/>
      </c>
      <c r="E32" s="7" t="str" cm="1">
        <f t="array" aca="1" ref="E32" ca="1">IFERROR(IF(OR('Raw Data'!E32="",LEN(TRIM('Raw Data'!E32))=0),"",IF(AND(ISNUMBER('Raw Data'!E32),'Raw Data'!E32&gt;=Configuration!$D$2),"",_xlfn.REGEXEXTRACT(CELL("address",'Raw Data'!E32),"\$([A-Z]+)\$[0-9]+"))),_xlfn.REGEXEXTRACT(CELL("address",E32), "\$([A-Z]+)\$[0-9]+"))</f>
        <v/>
      </c>
      <c r="F32" s="7" t="str" cm="1">
        <f t="array" aca="1" ref="F32" ca="1">IFERROR(IF(OR('Raw Data'!F32="",LEN(TRIM('Raw Data'!F32))=0),"",IF(AND(LEN('Raw Data'!F32) &lt;= 20,LEN('Raw Data'!F32)&gt; 0),"",_xlfn.REGEXEXTRACT(CELL("address",'Raw Data'!F32),"\$([A-Z]+)\$[0-9]+"))),_xlfn.REGEXEXTRACT(CELL("address",'Raw Data'!F32),"\$([A-Z]+)\$[0-9]+"))</f>
        <v/>
      </c>
      <c r="G32" s="7" t="str" cm="1">
        <f t="array" aca="1" ref="G32" ca="1">IFERROR(IF(OR('Raw Data'!G32="",LEN(TRIM('Raw Data'!G32))=0),"",IF(AND(ISNUMBER('Raw Data'!G32), IFERROR('Raw Data'!G32 = ROUND('Raw Data'!G32, 2),FALSE)),"",_xlfn.REGEXEXTRACT(CELL("address",G32), "\$([A-Z]+)\$[0-9]+"))),_xlfn.REGEXEXTRACT(CELL("address",G32), "\$([A-Z]+)\$[0-9]+"))</f>
        <v/>
      </c>
      <c r="H32" s="7" t="str" cm="1">
        <f t="array" aca="1" ref="H32" ca="1">IFERROR(IF(OR('Raw Data'!H32="",LEN(TRIM('Raw Data'!H32))=0),"",IF(AND(ISNUMBER('Raw Data'!H32), IFERROR('Raw Data'!H32 = ROUND('Raw Data'!H32, 2),FALSE)),"",_xlfn.REGEXEXTRACT(CELL("address",H32), "\$([A-Z]+)\$[0-9]+"))),_xlfn.REGEXEXTRACT(CELL("address",H32), "\$([A-Z]+)\$[0-9]+"))</f>
        <v/>
      </c>
      <c r="I32" s="7" t="str" cm="1">
        <f t="array" aca="1" ref="I32" ca="1">IFERROR(IF(OR('Raw Data'!I32="",LEN(TRIM('Raw Data'!I32))=0),"",IF(AND(LEN('Raw Data'!I32) &lt;= 50,LEN('Raw Data'!I32)&gt; 0),"",_xlfn.REGEXEXTRACT(CELL("address",'Raw Data'!I32),"\$([A-Z]+)\$[0-9]+"))),_xlfn.REGEXEXTRACT(CELL("address",'Raw Data'!I32),"\$([A-Z]+)\$[0-9]+"))</f>
        <v/>
      </c>
      <c r="J32" s="7" t="str" cm="1">
        <f t="array" aca="1" ref="J32" ca="1">IFERROR(IF(OR('Raw Data'!J32="",LEN(TRIM('Raw Data'!J32))=0),"",IF(AND(ISNUMBER('Raw Data'!J32),'Raw Data'!J32&gt;=Configuration!$D$2),"",_xlfn.REGEXEXTRACT(CELL("address",'Raw Data'!J32),"\$([A-Z]+)\$[0-9]+"))),_xlfn.REGEXEXTRACT(CELL("address",J32), "\$([A-Z]+)\$[0-9]+"))</f>
        <v/>
      </c>
      <c r="K32" s="7" t="str" cm="1">
        <f t="array" aca="1" ref="K32" ca="1">IFERROR(IF(OR('Raw Data'!K32="",LEN(TRIM('Raw Data'!K32))=0),"",IF(AND(ISNUMBER('Raw Data'!K32), IFERROR('Raw Data'!K32 = ROUND('Raw Data'!K32, 2),FALSE)),"",_xlfn.REGEXEXTRACT(CELL("address",K32), "\$([A-Z]+)\$[0-9]+"))),_xlfn.REGEXEXTRACT(CELL("address",K32), "\$([A-Z]+)\$[0-9]+"))</f>
        <v/>
      </c>
      <c r="L32" s="7" t="str" cm="1">
        <f t="array" aca="1" ref="L32" ca="1">IFERROR(IF(OR('Raw Data'!L32="",LEN(TRIM('Raw Data'!L32))=0),"",IF(AND(ISNUMBER('Raw Data'!L32), IFERROR('Raw Data'!L32 = ROUND('Raw Data'!L32, 2),FALSE)),"",_xlfn.REGEXEXTRACT(CELL("address",L32), "\$([A-Z]+)\$[0-9]+"))),_xlfn.REGEXEXTRACT(CELL("address",L32), "\$([A-Z]+)\$[0-9]+"))</f>
        <v/>
      </c>
      <c r="M32" s="7" t="str" cm="1">
        <f t="array" aca="1" ref="M32" ca="1">IFERROR(IF(OR('Raw Data'!M32="",LEN(TRIM('Raw Data'!M32))=0),"",IF(AND(ISNUMBER('Raw Data'!M32), IFERROR('Raw Data'!M32 = ROUND('Raw Data'!M32, 2),FALSE)),"",_xlfn.REGEXEXTRACT(CELL("address",M32), "\$([A-Z]+)\$[0-9]+"))),_xlfn.REGEXEXTRACT(CELL("address",M32), "\$([A-Z]+)\$[0-9]+"))</f>
        <v/>
      </c>
      <c r="N32" s="7" t="str" cm="1">
        <f t="array" aca="1" ref="N32" ca="1">IFERROR(IF(OR('Raw Data'!N32="",LEN(TRIM('Raw Data'!N32))=0),"",IF(AND(ISNUMBER('Raw Data'!N32), IFERROR('Raw Data'!N32 = ROUND('Raw Data'!N32, 2),FALSE)),"",_xlfn.REGEXEXTRACT(CELL("address",N32), "\$([A-Z]+)\$[0-9]+"))),_xlfn.REGEXEXTRACT(CELL("address",N32), "\$([A-Z]+)\$[0-9]+"))</f>
        <v/>
      </c>
      <c r="O32" s="7" t="str" cm="1">
        <f t="array" aca="1" ref="O32" ca="1">IFERROR(IF(OR('Raw Data'!O32="",LEN(TRIM('Raw Data'!O32))=0),"",IF(AND(ISNUMBER('Raw Data'!O32), IFERROR('Raw Data'!O32 = ROUND('Raw Data'!O32, 2),FALSE)),"",_xlfn.REGEXEXTRACT(CELL("address",O32), "\$([A-Z]+)\$[0-9]+"))),_xlfn.REGEXEXTRACT(CELL("address",O32), "\$([A-Z]+)\$[0-9]+"))</f>
        <v/>
      </c>
      <c r="P32" s="7" t="str" cm="1">
        <f t="array" aca="1" ref="P32" ca="1">IFERROR(IF(OR('Raw Data'!P32="",LEN(TRIM('Raw Data'!P32))=0),"",IF(AND(ISNUMBER('Raw Data'!P32),'Raw Data'!P32&gt;=Configuration!$D$2),"",_xlfn.REGEXEXTRACT(CELL("address",'Raw Data'!P32),"\$([A-Z]+)\$[0-9]+"))),_xlfn.REGEXEXTRACT(CELL("address",P32), "\$([A-Z]+)\$[0-9]+"))</f>
        <v/>
      </c>
      <c r="Q32" s="7" t="str" cm="1">
        <f t="array" aca="1" ref="Q32" ca="1">IFERROR(IF(OR('Raw Data'!Q32="",LEN(TRIM('Raw Data'!Q32))=0),"",IF(AND(ISNUMBER('Raw Data'!Q32),'Raw Data'!Q32&gt;=Configuration!$D$2),"",_xlfn.REGEXEXTRACT(CELL("address",'Raw Data'!Q32),"\$([A-Z]+)\$[0-9]+"))),_xlfn.REGEXEXTRACT(CELL("address",Q32), "\$([A-Z]+)\$[0-9]+"))</f>
        <v/>
      </c>
      <c r="R32" s="7" t="str" cm="1">
        <f t="array" aca="1" ref="R32" ca="1">IFERROR(IF(OR('Raw Data'!R32="",LEN(TRIM('Raw Data'!R32))=0),"",IF(AND(ISNUMBER('Raw Data'!R32), IFERROR('Raw Data'!R32 = ROUND('Raw Data'!R32, 2),FALSE)),"",_xlfn.REGEXEXTRACT(CELL("address",R32), "\$([A-Z]+)\$[0-9]+"))),_xlfn.REGEXEXTRACT(CELL("address",R32), "\$([A-Z]+)\$[0-9]+"))</f>
        <v/>
      </c>
      <c r="S32" s="7" t="str" cm="1">
        <f t="array" aca="1" ref="S32" ca="1">IFERROR(IF(OR('Raw Data'!S32="",LEN(TRIM('Raw Data'!S32))=0),"",IF(AND(ISNUMBER('Raw Data'!S32), IFERROR('Raw Data'!S32 = ROUND('Raw Data'!S32, 2),FALSE)),"",_xlfn.REGEXEXTRACT(CELL("address",S32), "\$([A-Z]+)\$[0-9]+"))),_xlfn.REGEXEXTRACT(CELL("address",S32), "\$([A-Z]+)\$[0-9]+"))</f>
        <v/>
      </c>
      <c r="T32" s="7" t="str" cm="1">
        <f t="array" aca="1" ref="T32" ca="1">IFERROR(IF(OR('Raw Data'!T32="",LEN(TRIM('Raw Data'!T32))=0),"",IF(AND(ISNUMBER('Raw Data'!T32), IFERROR('Raw Data'!T32 = ROUND('Raw Data'!T32, 2),FALSE)),"",_xlfn.REGEXEXTRACT(CELL("address",T32), "\$([A-Z]+)\$[0-9]+"))),_xlfn.REGEXEXTRACT(CELL("address",T32), "\$([A-Z]+)\$[0-9]+"))</f>
        <v/>
      </c>
      <c r="U32" s="7" t="str" cm="1">
        <f t="array" aca="1" ref="U32" ca="1">IFERROR(IF(OR('Raw Data'!U32="",LEN(TRIM('Raw Data'!U32))=0),"",IF(AND(LEN('Raw Data'!U32) &lt;= 5,LEN('Raw Data'!U32)&gt; 0),"",_xlfn.REGEXEXTRACT(CELL("address",'Raw Data'!U32),"\$([A-Z]+)\$[0-9]+"))),_xlfn.REGEXEXTRACT(CELL("address",'Raw Data'!U32),"\$([A-Z]+)\$[0-9]+"))</f>
        <v/>
      </c>
      <c r="V32" s="7" t="str" cm="1">
        <f t="array" aca="1" ref="V32" ca="1">IFERROR(IF(OR('Raw Data'!V32="",LEN(TRIM('Raw Data'!V32))=0),"",IF(AND(ISNUMBER('Raw Data'!V32), IFERROR('Raw Data'!V32 = ROUND('Raw Data'!V32, 2),FALSE)),"",_xlfn.REGEXEXTRACT(CELL("address",V32), "\$([A-Z]+)\$[0-9]+"))),_xlfn.REGEXEXTRACT(CELL("address",V32), "\$([A-Z]+)\$[0-9]+"))</f>
        <v/>
      </c>
      <c r="W32" s="7" t="str" cm="1">
        <f t="array" aca="1" ref="W32" ca="1">IFERROR(IF(OR('Raw Data'!W32="",LEN(TRIM('Raw Data'!W32))=0),"",IF(AND(ISNUMBER('Raw Data'!W32), IFERROR('Raw Data'!W32 = ROUND('Raw Data'!W32, 2),FALSE)),"",_xlfn.REGEXEXTRACT(CELL("address",W32), "\$([A-Z]+)\$[0-9]+"))),_xlfn.REGEXEXTRACT(CELL("address",W32), "\$([A-Z]+)\$[0-9]+"))</f>
        <v/>
      </c>
      <c r="X32" s="7" t="str" cm="1">
        <f t="array" aca="1" ref="X32" ca="1">IFERROR(IF(OR('Raw Data'!X32="",LEN(TRIM('Raw Data'!X32))=0),"",IF(AND(ISNUMBER('Raw Data'!X32), IFERROR('Raw Data'!X32 = ROUND('Raw Data'!X32, 2),FALSE)),"",_xlfn.REGEXEXTRACT(CELL("address",X32), "\$([A-Z]+)\$[0-9]+"))),_xlfn.REGEXEXTRACT(CELL("address",X32), "\$([A-Z]+)\$[0-9]+"))</f>
        <v/>
      </c>
    </row>
    <row r="33" spans="2:24" x14ac:dyDescent="0.25">
      <c r="B33" s="7" t="str" cm="1">
        <f t="array" aca="1" ref="B33" ca="1">IFERROR(IF(OR('Raw Data'!B33="",LEN(TRIM('Raw Data'!B33))=0),"",IF(AND(LEN('Raw Data'!B33) &lt;= 50,LEN('Raw Data'!B33)&gt; 0),"",_xlfn.REGEXEXTRACT(CELL("address",'Raw Data'!B33),"\$([A-Z]+)\$[0-9]+"))),_xlfn.REGEXEXTRACT(CELL("address",'Raw Data'!B33),"\$([A-Z]+)\$[0-9]+"))</f>
        <v/>
      </c>
      <c r="C33" s="7" t="str" cm="1">
        <f t="array" aca="1" ref="C33" ca="1">IFERROR(IF(OR('Raw Data'!C33="",LEN(TRIM('Raw Data'!C33))=0),"",IF(AND(LEN('Raw Data'!C33) &lt;= 50,LEN('Raw Data'!C33)&gt; 0),"",_xlfn.REGEXEXTRACT(CELL("address",'Raw Data'!C33),"\$([A-Z]+)\$[0-9]+"))),_xlfn.REGEXEXTRACT(CELL("address",'Raw Data'!C33),"\$([A-Z]+)\$[0-9]+"))</f>
        <v/>
      </c>
      <c r="D33" s="7" t="str" cm="1">
        <f t="array" aca="1" ref="D33" ca="1">IFERROR(IF(OR('Raw Data'!D33="",LEN(TRIM('Raw Data'!D33))=0),"",IF(AND(LEN('Raw Data'!D33) &lt;= 255,LEN('Raw Data'!D33)&gt; 0),"",_xlfn.REGEXEXTRACT(CELL("address",'Raw Data'!D33),"\$([A-Z]+)\$[0-9]+"))),_xlfn.REGEXEXTRACT(CELL("address",'Raw Data'!D33),"\$([A-Z]+)\$[0-9]+"))</f>
        <v/>
      </c>
      <c r="E33" s="7" t="str" cm="1">
        <f t="array" aca="1" ref="E33" ca="1">IFERROR(IF(OR('Raw Data'!E33="",LEN(TRIM('Raw Data'!E33))=0),"",IF(AND(ISNUMBER('Raw Data'!E33),'Raw Data'!E33&gt;=Configuration!$D$2),"",_xlfn.REGEXEXTRACT(CELL("address",'Raw Data'!E33),"\$([A-Z]+)\$[0-9]+"))),_xlfn.REGEXEXTRACT(CELL("address",E33), "\$([A-Z]+)\$[0-9]+"))</f>
        <v/>
      </c>
      <c r="F33" s="7" t="str" cm="1">
        <f t="array" aca="1" ref="F33" ca="1">IFERROR(IF(OR('Raw Data'!F33="",LEN(TRIM('Raw Data'!F33))=0),"",IF(AND(LEN('Raw Data'!F33) &lt;= 20,LEN('Raw Data'!F33)&gt; 0),"",_xlfn.REGEXEXTRACT(CELL("address",'Raw Data'!F33),"\$([A-Z]+)\$[0-9]+"))),_xlfn.REGEXEXTRACT(CELL("address",'Raw Data'!F33),"\$([A-Z]+)\$[0-9]+"))</f>
        <v/>
      </c>
      <c r="G33" s="7" t="str" cm="1">
        <f t="array" aca="1" ref="G33" ca="1">IFERROR(IF(OR('Raw Data'!G33="",LEN(TRIM('Raw Data'!G33))=0),"",IF(AND(ISNUMBER('Raw Data'!G33), IFERROR('Raw Data'!G33 = ROUND('Raw Data'!G33, 2),FALSE)),"",_xlfn.REGEXEXTRACT(CELL("address",G33), "\$([A-Z]+)\$[0-9]+"))),_xlfn.REGEXEXTRACT(CELL("address",G33), "\$([A-Z]+)\$[0-9]+"))</f>
        <v/>
      </c>
      <c r="H33" s="7" t="str" cm="1">
        <f t="array" aca="1" ref="H33" ca="1">IFERROR(IF(OR('Raw Data'!H33="",LEN(TRIM('Raw Data'!H33))=0),"",IF(AND(ISNUMBER('Raw Data'!H33), IFERROR('Raw Data'!H33 = ROUND('Raw Data'!H33, 2),FALSE)),"",_xlfn.REGEXEXTRACT(CELL("address",H33), "\$([A-Z]+)\$[0-9]+"))),_xlfn.REGEXEXTRACT(CELL("address",H33), "\$([A-Z]+)\$[0-9]+"))</f>
        <v/>
      </c>
      <c r="I33" s="7" t="str" cm="1">
        <f t="array" aca="1" ref="I33" ca="1">IFERROR(IF(OR('Raw Data'!I33="",LEN(TRIM('Raw Data'!I33))=0),"",IF(AND(LEN('Raw Data'!I33) &lt;= 50,LEN('Raw Data'!I33)&gt; 0),"",_xlfn.REGEXEXTRACT(CELL("address",'Raw Data'!I33),"\$([A-Z]+)\$[0-9]+"))),_xlfn.REGEXEXTRACT(CELL("address",'Raw Data'!I33),"\$([A-Z]+)\$[0-9]+"))</f>
        <v/>
      </c>
      <c r="J33" s="7" t="str" cm="1">
        <f t="array" aca="1" ref="J33" ca="1">IFERROR(IF(OR('Raw Data'!J33="",LEN(TRIM('Raw Data'!J33))=0),"",IF(AND(ISNUMBER('Raw Data'!J33),'Raw Data'!J33&gt;=Configuration!$D$2),"",_xlfn.REGEXEXTRACT(CELL("address",'Raw Data'!J33),"\$([A-Z]+)\$[0-9]+"))),_xlfn.REGEXEXTRACT(CELL("address",J33), "\$([A-Z]+)\$[0-9]+"))</f>
        <v/>
      </c>
      <c r="K33" s="7" t="str" cm="1">
        <f t="array" aca="1" ref="K33" ca="1">IFERROR(IF(OR('Raw Data'!K33="",LEN(TRIM('Raw Data'!K33))=0),"",IF(AND(ISNUMBER('Raw Data'!K33), IFERROR('Raw Data'!K33 = ROUND('Raw Data'!K33, 2),FALSE)),"",_xlfn.REGEXEXTRACT(CELL("address",K33), "\$([A-Z]+)\$[0-9]+"))),_xlfn.REGEXEXTRACT(CELL("address",K33), "\$([A-Z]+)\$[0-9]+"))</f>
        <v/>
      </c>
      <c r="L33" s="7" t="str" cm="1">
        <f t="array" aca="1" ref="L33" ca="1">IFERROR(IF(OR('Raw Data'!L33="",LEN(TRIM('Raw Data'!L33))=0),"",IF(AND(ISNUMBER('Raw Data'!L33), IFERROR('Raw Data'!L33 = ROUND('Raw Data'!L33, 2),FALSE)),"",_xlfn.REGEXEXTRACT(CELL("address",L33), "\$([A-Z]+)\$[0-9]+"))),_xlfn.REGEXEXTRACT(CELL("address",L33), "\$([A-Z]+)\$[0-9]+"))</f>
        <v/>
      </c>
      <c r="M33" s="7" t="str" cm="1">
        <f t="array" aca="1" ref="M33" ca="1">IFERROR(IF(OR('Raw Data'!M33="",LEN(TRIM('Raw Data'!M33))=0),"",IF(AND(ISNUMBER('Raw Data'!M33), IFERROR('Raw Data'!M33 = ROUND('Raw Data'!M33, 2),FALSE)),"",_xlfn.REGEXEXTRACT(CELL("address",M33), "\$([A-Z]+)\$[0-9]+"))),_xlfn.REGEXEXTRACT(CELL("address",M33), "\$([A-Z]+)\$[0-9]+"))</f>
        <v/>
      </c>
      <c r="N33" s="7" t="str" cm="1">
        <f t="array" aca="1" ref="N33" ca="1">IFERROR(IF(OR('Raw Data'!N33="",LEN(TRIM('Raw Data'!N33))=0),"",IF(AND(ISNUMBER('Raw Data'!N33), IFERROR('Raw Data'!N33 = ROUND('Raw Data'!N33, 2),FALSE)),"",_xlfn.REGEXEXTRACT(CELL("address",N33), "\$([A-Z]+)\$[0-9]+"))),_xlfn.REGEXEXTRACT(CELL("address",N33), "\$([A-Z]+)\$[0-9]+"))</f>
        <v/>
      </c>
      <c r="O33" s="7" t="str" cm="1">
        <f t="array" aca="1" ref="O33" ca="1">IFERROR(IF(OR('Raw Data'!O33="",LEN(TRIM('Raw Data'!O33))=0),"",IF(AND(ISNUMBER('Raw Data'!O33), IFERROR('Raw Data'!O33 = ROUND('Raw Data'!O33, 2),FALSE)),"",_xlfn.REGEXEXTRACT(CELL("address",O33), "\$([A-Z]+)\$[0-9]+"))),_xlfn.REGEXEXTRACT(CELL("address",O33), "\$([A-Z]+)\$[0-9]+"))</f>
        <v/>
      </c>
      <c r="P33" s="7" t="str" cm="1">
        <f t="array" aca="1" ref="P33" ca="1">IFERROR(IF(OR('Raw Data'!P33="",LEN(TRIM('Raw Data'!P33))=0),"",IF(AND(ISNUMBER('Raw Data'!P33),'Raw Data'!P33&gt;=Configuration!$D$2),"",_xlfn.REGEXEXTRACT(CELL("address",'Raw Data'!P33),"\$([A-Z]+)\$[0-9]+"))),_xlfn.REGEXEXTRACT(CELL("address",P33), "\$([A-Z]+)\$[0-9]+"))</f>
        <v/>
      </c>
      <c r="Q33" s="7" t="str" cm="1">
        <f t="array" aca="1" ref="Q33" ca="1">IFERROR(IF(OR('Raw Data'!Q33="",LEN(TRIM('Raw Data'!Q33))=0),"",IF(AND(ISNUMBER('Raw Data'!Q33),'Raw Data'!Q33&gt;=Configuration!$D$2),"",_xlfn.REGEXEXTRACT(CELL("address",'Raw Data'!Q33),"\$([A-Z]+)\$[0-9]+"))),_xlfn.REGEXEXTRACT(CELL("address",Q33), "\$([A-Z]+)\$[0-9]+"))</f>
        <v/>
      </c>
      <c r="R33" s="7" t="str" cm="1">
        <f t="array" aca="1" ref="R33" ca="1">IFERROR(IF(OR('Raw Data'!R33="",LEN(TRIM('Raw Data'!R33))=0),"",IF(AND(ISNUMBER('Raw Data'!R33), IFERROR('Raw Data'!R33 = ROUND('Raw Data'!R33, 2),FALSE)),"",_xlfn.REGEXEXTRACT(CELL("address",R33), "\$([A-Z]+)\$[0-9]+"))),_xlfn.REGEXEXTRACT(CELL("address",R33), "\$([A-Z]+)\$[0-9]+"))</f>
        <v/>
      </c>
      <c r="S33" s="7" t="str" cm="1">
        <f t="array" aca="1" ref="S33" ca="1">IFERROR(IF(OR('Raw Data'!S33="",LEN(TRIM('Raw Data'!S33))=0),"",IF(AND(ISNUMBER('Raw Data'!S33), IFERROR('Raw Data'!S33 = ROUND('Raw Data'!S33, 2),FALSE)),"",_xlfn.REGEXEXTRACT(CELL("address",S33), "\$([A-Z]+)\$[0-9]+"))),_xlfn.REGEXEXTRACT(CELL("address",S33), "\$([A-Z]+)\$[0-9]+"))</f>
        <v/>
      </c>
      <c r="T33" s="7" t="str" cm="1">
        <f t="array" aca="1" ref="T33" ca="1">IFERROR(IF(OR('Raw Data'!T33="",LEN(TRIM('Raw Data'!T33))=0),"",IF(AND(ISNUMBER('Raw Data'!T33), IFERROR('Raw Data'!T33 = ROUND('Raw Data'!T33, 2),FALSE)),"",_xlfn.REGEXEXTRACT(CELL("address",T33), "\$([A-Z]+)\$[0-9]+"))),_xlfn.REGEXEXTRACT(CELL("address",T33), "\$([A-Z]+)\$[0-9]+"))</f>
        <v/>
      </c>
      <c r="U33" s="7" t="str" cm="1">
        <f t="array" aca="1" ref="U33" ca="1">IFERROR(IF(OR('Raw Data'!U33="",LEN(TRIM('Raw Data'!U33))=0),"",IF(AND(LEN('Raw Data'!U33) &lt;= 5,LEN('Raw Data'!U33)&gt; 0),"",_xlfn.REGEXEXTRACT(CELL("address",'Raw Data'!U33),"\$([A-Z]+)\$[0-9]+"))),_xlfn.REGEXEXTRACT(CELL("address",'Raw Data'!U33),"\$([A-Z]+)\$[0-9]+"))</f>
        <v/>
      </c>
      <c r="V33" s="7" t="str" cm="1">
        <f t="array" aca="1" ref="V33" ca="1">IFERROR(IF(OR('Raw Data'!V33="",LEN(TRIM('Raw Data'!V33))=0),"",IF(AND(ISNUMBER('Raw Data'!V33), IFERROR('Raw Data'!V33 = ROUND('Raw Data'!V33, 2),FALSE)),"",_xlfn.REGEXEXTRACT(CELL("address",V33), "\$([A-Z]+)\$[0-9]+"))),_xlfn.REGEXEXTRACT(CELL("address",V33), "\$([A-Z]+)\$[0-9]+"))</f>
        <v/>
      </c>
      <c r="W33" s="7" t="str" cm="1">
        <f t="array" aca="1" ref="W33" ca="1">IFERROR(IF(OR('Raw Data'!W33="",LEN(TRIM('Raw Data'!W33))=0),"",IF(AND(ISNUMBER('Raw Data'!W33), IFERROR('Raw Data'!W33 = ROUND('Raw Data'!W33, 2),FALSE)),"",_xlfn.REGEXEXTRACT(CELL("address",W33), "\$([A-Z]+)\$[0-9]+"))),_xlfn.REGEXEXTRACT(CELL("address",W33), "\$([A-Z]+)\$[0-9]+"))</f>
        <v/>
      </c>
      <c r="X33" s="7" t="str" cm="1">
        <f t="array" aca="1" ref="X33" ca="1">IFERROR(IF(OR('Raw Data'!X33="",LEN(TRIM('Raw Data'!X33))=0),"",IF(AND(ISNUMBER('Raw Data'!X33), IFERROR('Raw Data'!X33 = ROUND('Raw Data'!X33, 2),FALSE)),"",_xlfn.REGEXEXTRACT(CELL("address",X33), "\$([A-Z]+)\$[0-9]+"))),_xlfn.REGEXEXTRACT(CELL("address",X33), "\$([A-Z]+)\$[0-9]+"))</f>
        <v/>
      </c>
    </row>
    <row r="34" spans="2:24" x14ac:dyDescent="0.25">
      <c r="B34" s="7" t="str" cm="1">
        <f t="array" aca="1" ref="B34" ca="1">IFERROR(IF(OR('Raw Data'!B34="",LEN(TRIM('Raw Data'!B34))=0),"",IF(AND(LEN('Raw Data'!B34) &lt;= 50,LEN('Raw Data'!B34)&gt; 0),"",_xlfn.REGEXEXTRACT(CELL("address",'Raw Data'!B34),"\$([A-Z]+)\$[0-9]+"))),_xlfn.REGEXEXTRACT(CELL("address",'Raw Data'!B34),"\$([A-Z]+)\$[0-9]+"))</f>
        <v/>
      </c>
      <c r="C34" s="7" t="str" cm="1">
        <f t="array" aca="1" ref="C34" ca="1">IFERROR(IF(OR('Raw Data'!C34="",LEN(TRIM('Raw Data'!C34))=0),"",IF(AND(LEN('Raw Data'!C34) &lt;= 50,LEN('Raw Data'!C34)&gt; 0),"",_xlfn.REGEXEXTRACT(CELL("address",'Raw Data'!C34),"\$([A-Z]+)\$[0-9]+"))),_xlfn.REGEXEXTRACT(CELL("address",'Raw Data'!C34),"\$([A-Z]+)\$[0-9]+"))</f>
        <v/>
      </c>
      <c r="D34" s="7" t="str" cm="1">
        <f t="array" aca="1" ref="D34" ca="1">IFERROR(IF(OR('Raw Data'!D34="",LEN(TRIM('Raw Data'!D34))=0),"",IF(AND(LEN('Raw Data'!D34) &lt;= 255,LEN('Raw Data'!D34)&gt; 0),"",_xlfn.REGEXEXTRACT(CELL("address",'Raw Data'!D34),"\$([A-Z]+)\$[0-9]+"))),_xlfn.REGEXEXTRACT(CELL("address",'Raw Data'!D34),"\$([A-Z]+)\$[0-9]+"))</f>
        <v/>
      </c>
      <c r="E34" s="7" t="str" cm="1">
        <f t="array" aca="1" ref="E34" ca="1">IFERROR(IF(OR('Raw Data'!E34="",LEN(TRIM('Raw Data'!E34))=0),"",IF(AND(ISNUMBER('Raw Data'!E34),'Raw Data'!E34&gt;=Configuration!$D$2),"",_xlfn.REGEXEXTRACT(CELL("address",'Raw Data'!E34),"\$([A-Z]+)\$[0-9]+"))),_xlfn.REGEXEXTRACT(CELL("address",E34), "\$([A-Z]+)\$[0-9]+"))</f>
        <v/>
      </c>
      <c r="F34" s="7" t="str" cm="1">
        <f t="array" aca="1" ref="F34" ca="1">IFERROR(IF(OR('Raw Data'!F34="",LEN(TRIM('Raw Data'!F34))=0),"",IF(AND(LEN('Raw Data'!F34) &lt;= 20,LEN('Raw Data'!F34)&gt; 0),"",_xlfn.REGEXEXTRACT(CELL("address",'Raw Data'!F34),"\$([A-Z]+)\$[0-9]+"))),_xlfn.REGEXEXTRACT(CELL("address",'Raw Data'!F34),"\$([A-Z]+)\$[0-9]+"))</f>
        <v/>
      </c>
      <c r="G34" s="7" t="str" cm="1">
        <f t="array" aca="1" ref="G34" ca="1">IFERROR(IF(OR('Raw Data'!G34="",LEN(TRIM('Raw Data'!G34))=0),"",IF(AND(ISNUMBER('Raw Data'!G34), IFERROR('Raw Data'!G34 = ROUND('Raw Data'!G34, 2),FALSE)),"",_xlfn.REGEXEXTRACT(CELL("address",G34), "\$([A-Z]+)\$[0-9]+"))),_xlfn.REGEXEXTRACT(CELL("address",G34), "\$([A-Z]+)\$[0-9]+"))</f>
        <v/>
      </c>
      <c r="H34" s="7" t="str" cm="1">
        <f t="array" aca="1" ref="H34" ca="1">IFERROR(IF(OR('Raw Data'!H34="",LEN(TRIM('Raw Data'!H34))=0),"",IF(AND(ISNUMBER('Raw Data'!H34), IFERROR('Raw Data'!H34 = ROUND('Raw Data'!H34, 2),FALSE)),"",_xlfn.REGEXEXTRACT(CELL("address",H34), "\$([A-Z]+)\$[0-9]+"))),_xlfn.REGEXEXTRACT(CELL("address",H34), "\$([A-Z]+)\$[0-9]+"))</f>
        <v/>
      </c>
      <c r="I34" s="7" t="str" cm="1">
        <f t="array" aca="1" ref="I34" ca="1">IFERROR(IF(OR('Raw Data'!I34="",LEN(TRIM('Raw Data'!I34))=0),"",IF(AND(LEN('Raw Data'!I34) &lt;= 50,LEN('Raw Data'!I34)&gt; 0),"",_xlfn.REGEXEXTRACT(CELL("address",'Raw Data'!I34),"\$([A-Z]+)\$[0-9]+"))),_xlfn.REGEXEXTRACT(CELL("address",'Raw Data'!I34),"\$([A-Z]+)\$[0-9]+"))</f>
        <v/>
      </c>
      <c r="J34" s="7" t="str" cm="1">
        <f t="array" aca="1" ref="J34" ca="1">IFERROR(IF(OR('Raw Data'!J34="",LEN(TRIM('Raw Data'!J34))=0),"",IF(AND(ISNUMBER('Raw Data'!J34),'Raw Data'!J34&gt;=Configuration!$D$2),"",_xlfn.REGEXEXTRACT(CELL("address",'Raw Data'!J34),"\$([A-Z]+)\$[0-9]+"))),_xlfn.REGEXEXTRACT(CELL("address",J34), "\$([A-Z]+)\$[0-9]+"))</f>
        <v/>
      </c>
      <c r="K34" s="7" t="str" cm="1">
        <f t="array" aca="1" ref="K34" ca="1">IFERROR(IF(OR('Raw Data'!K34="",LEN(TRIM('Raw Data'!K34))=0),"",IF(AND(ISNUMBER('Raw Data'!K34), IFERROR('Raw Data'!K34 = ROUND('Raw Data'!K34, 2),FALSE)),"",_xlfn.REGEXEXTRACT(CELL("address",K34), "\$([A-Z]+)\$[0-9]+"))),_xlfn.REGEXEXTRACT(CELL("address",K34), "\$([A-Z]+)\$[0-9]+"))</f>
        <v/>
      </c>
      <c r="L34" s="7" t="str" cm="1">
        <f t="array" aca="1" ref="L34" ca="1">IFERROR(IF(OR('Raw Data'!L34="",LEN(TRIM('Raw Data'!L34))=0),"",IF(AND(ISNUMBER('Raw Data'!L34), IFERROR('Raw Data'!L34 = ROUND('Raw Data'!L34, 2),FALSE)),"",_xlfn.REGEXEXTRACT(CELL("address",L34), "\$([A-Z]+)\$[0-9]+"))),_xlfn.REGEXEXTRACT(CELL("address",L34), "\$([A-Z]+)\$[0-9]+"))</f>
        <v/>
      </c>
      <c r="M34" s="7" t="str" cm="1">
        <f t="array" aca="1" ref="M34" ca="1">IFERROR(IF(OR('Raw Data'!M34="",LEN(TRIM('Raw Data'!M34))=0),"",IF(AND(ISNUMBER('Raw Data'!M34), IFERROR('Raw Data'!M34 = ROUND('Raw Data'!M34, 2),FALSE)),"",_xlfn.REGEXEXTRACT(CELL("address",M34), "\$([A-Z]+)\$[0-9]+"))),_xlfn.REGEXEXTRACT(CELL("address",M34), "\$([A-Z]+)\$[0-9]+"))</f>
        <v/>
      </c>
      <c r="N34" s="7" t="str" cm="1">
        <f t="array" aca="1" ref="N34" ca="1">IFERROR(IF(OR('Raw Data'!N34="",LEN(TRIM('Raw Data'!N34))=0),"",IF(AND(ISNUMBER('Raw Data'!N34), IFERROR('Raw Data'!N34 = ROUND('Raw Data'!N34, 2),FALSE)),"",_xlfn.REGEXEXTRACT(CELL("address",N34), "\$([A-Z]+)\$[0-9]+"))),_xlfn.REGEXEXTRACT(CELL("address",N34), "\$([A-Z]+)\$[0-9]+"))</f>
        <v/>
      </c>
      <c r="O34" s="7" t="str" cm="1">
        <f t="array" aca="1" ref="O34" ca="1">IFERROR(IF(OR('Raw Data'!O34="",LEN(TRIM('Raw Data'!O34))=0),"",IF(AND(ISNUMBER('Raw Data'!O34), IFERROR('Raw Data'!O34 = ROUND('Raw Data'!O34, 2),FALSE)),"",_xlfn.REGEXEXTRACT(CELL("address",O34), "\$([A-Z]+)\$[0-9]+"))),_xlfn.REGEXEXTRACT(CELL("address",O34), "\$([A-Z]+)\$[0-9]+"))</f>
        <v/>
      </c>
      <c r="P34" s="7" t="str" cm="1">
        <f t="array" aca="1" ref="P34" ca="1">IFERROR(IF(OR('Raw Data'!P34="",LEN(TRIM('Raw Data'!P34))=0),"",IF(AND(ISNUMBER('Raw Data'!P34),'Raw Data'!P34&gt;=Configuration!$D$2),"",_xlfn.REGEXEXTRACT(CELL("address",'Raw Data'!P34),"\$([A-Z]+)\$[0-9]+"))),_xlfn.REGEXEXTRACT(CELL("address",P34), "\$([A-Z]+)\$[0-9]+"))</f>
        <v/>
      </c>
      <c r="Q34" s="7" t="str" cm="1">
        <f t="array" aca="1" ref="Q34" ca="1">IFERROR(IF(OR('Raw Data'!Q34="",LEN(TRIM('Raw Data'!Q34))=0),"",IF(AND(ISNUMBER('Raw Data'!Q34),'Raw Data'!Q34&gt;=Configuration!$D$2),"",_xlfn.REGEXEXTRACT(CELL("address",'Raw Data'!Q34),"\$([A-Z]+)\$[0-9]+"))),_xlfn.REGEXEXTRACT(CELL("address",Q34), "\$([A-Z]+)\$[0-9]+"))</f>
        <v/>
      </c>
      <c r="R34" s="7" t="str" cm="1">
        <f t="array" aca="1" ref="R34" ca="1">IFERROR(IF(OR('Raw Data'!R34="",LEN(TRIM('Raw Data'!R34))=0),"",IF(AND(ISNUMBER('Raw Data'!R34), IFERROR('Raw Data'!R34 = ROUND('Raw Data'!R34, 2),FALSE)),"",_xlfn.REGEXEXTRACT(CELL("address",R34), "\$([A-Z]+)\$[0-9]+"))),_xlfn.REGEXEXTRACT(CELL("address",R34), "\$([A-Z]+)\$[0-9]+"))</f>
        <v/>
      </c>
      <c r="S34" s="7" t="str" cm="1">
        <f t="array" aca="1" ref="S34" ca="1">IFERROR(IF(OR('Raw Data'!S34="",LEN(TRIM('Raw Data'!S34))=0),"",IF(AND(ISNUMBER('Raw Data'!S34), IFERROR('Raw Data'!S34 = ROUND('Raw Data'!S34, 2),FALSE)),"",_xlfn.REGEXEXTRACT(CELL("address",S34), "\$([A-Z]+)\$[0-9]+"))),_xlfn.REGEXEXTRACT(CELL("address",S34), "\$([A-Z]+)\$[0-9]+"))</f>
        <v/>
      </c>
      <c r="T34" s="7" t="str" cm="1">
        <f t="array" aca="1" ref="T34" ca="1">IFERROR(IF(OR('Raw Data'!T34="",LEN(TRIM('Raw Data'!T34))=0),"",IF(AND(ISNUMBER('Raw Data'!T34), IFERROR('Raw Data'!T34 = ROUND('Raw Data'!T34, 2),FALSE)),"",_xlfn.REGEXEXTRACT(CELL("address",T34), "\$([A-Z]+)\$[0-9]+"))),_xlfn.REGEXEXTRACT(CELL("address",T34), "\$([A-Z]+)\$[0-9]+"))</f>
        <v/>
      </c>
      <c r="U34" s="7" t="str" cm="1">
        <f t="array" aca="1" ref="U34" ca="1">IFERROR(IF(OR('Raw Data'!U34="",LEN(TRIM('Raw Data'!U34))=0),"",IF(AND(LEN('Raw Data'!U34) &lt;= 5,LEN('Raw Data'!U34)&gt; 0),"",_xlfn.REGEXEXTRACT(CELL("address",'Raw Data'!U34),"\$([A-Z]+)\$[0-9]+"))),_xlfn.REGEXEXTRACT(CELL("address",'Raw Data'!U34),"\$([A-Z]+)\$[0-9]+"))</f>
        <v/>
      </c>
      <c r="V34" s="7" t="str" cm="1">
        <f t="array" aca="1" ref="V34" ca="1">IFERROR(IF(OR('Raw Data'!V34="",LEN(TRIM('Raw Data'!V34))=0),"",IF(AND(ISNUMBER('Raw Data'!V34), IFERROR('Raw Data'!V34 = ROUND('Raw Data'!V34, 2),FALSE)),"",_xlfn.REGEXEXTRACT(CELL("address",V34), "\$([A-Z]+)\$[0-9]+"))),_xlfn.REGEXEXTRACT(CELL("address",V34), "\$([A-Z]+)\$[0-9]+"))</f>
        <v/>
      </c>
      <c r="W34" s="7" t="str" cm="1">
        <f t="array" aca="1" ref="W34" ca="1">IFERROR(IF(OR('Raw Data'!W34="",LEN(TRIM('Raw Data'!W34))=0),"",IF(AND(ISNUMBER('Raw Data'!W34), IFERROR('Raw Data'!W34 = ROUND('Raw Data'!W34, 2),FALSE)),"",_xlfn.REGEXEXTRACT(CELL("address",W34), "\$([A-Z]+)\$[0-9]+"))),_xlfn.REGEXEXTRACT(CELL("address",W34), "\$([A-Z]+)\$[0-9]+"))</f>
        <v/>
      </c>
      <c r="X34" s="7" t="str" cm="1">
        <f t="array" aca="1" ref="X34" ca="1">IFERROR(IF(OR('Raw Data'!X34="",LEN(TRIM('Raw Data'!X34))=0),"",IF(AND(ISNUMBER('Raw Data'!X34), IFERROR('Raw Data'!X34 = ROUND('Raw Data'!X34, 2),FALSE)),"",_xlfn.REGEXEXTRACT(CELL("address",X34), "\$([A-Z]+)\$[0-9]+"))),_xlfn.REGEXEXTRACT(CELL("address",X34), "\$([A-Z]+)\$[0-9]+"))</f>
        <v/>
      </c>
    </row>
    <row r="35" spans="2:24" x14ac:dyDescent="0.25">
      <c r="B35" s="7" t="str" cm="1">
        <f t="array" aca="1" ref="B35" ca="1">IFERROR(IF(OR('Raw Data'!B35="",LEN(TRIM('Raw Data'!B35))=0),"",IF(AND(LEN('Raw Data'!B35) &lt;= 50,LEN('Raw Data'!B35)&gt; 0),"",_xlfn.REGEXEXTRACT(CELL("address",'Raw Data'!B35),"\$([A-Z]+)\$[0-9]+"))),_xlfn.REGEXEXTRACT(CELL("address",'Raw Data'!B35),"\$([A-Z]+)\$[0-9]+"))</f>
        <v/>
      </c>
      <c r="C35" s="7" t="str" cm="1">
        <f t="array" aca="1" ref="C35" ca="1">IFERROR(IF(OR('Raw Data'!C35="",LEN(TRIM('Raw Data'!C35))=0),"",IF(AND(LEN('Raw Data'!C35) &lt;= 50,LEN('Raw Data'!C35)&gt; 0),"",_xlfn.REGEXEXTRACT(CELL("address",'Raw Data'!C35),"\$([A-Z]+)\$[0-9]+"))),_xlfn.REGEXEXTRACT(CELL("address",'Raw Data'!C35),"\$([A-Z]+)\$[0-9]+"))</f>
        <v/>
      </c>
      <c r="D35" s="7" t="str" cm="1">
        <f t="array" aca="1" ref="D35" ca="1">IFERROR(IF(OR('Raw Data'!D35="",LEN(TRIM('Raw Data'!D35))=0),"",IF(AND(LEN('Raw Data'!D35) &lt;= 255,LEN('Raw Data'!D35)&gt; 0),"",_xlfn.REGEXEXTRACT(CELL("address",'Raw Data'!D35),"\$([A-Z]+)\$[0-9]+"))),_xlfn.REGEXEXTRACT(CELL("address",'Raw Data'!D35),"\$([A-Z]+)\$[0-9]+"))</f>
        <v/>
      </c>
      <c r="E35" s="7" t="str" cm="1">
        <f t="array" aca="1" ref="E35" ca="1">IFERROR(IF(OR('Raw Data'!E35="",LEN(TRIM('Raw Data'!E35))=0),"",IF(AND(ISNUMBER('Raw Data'!E35),'Raw Data'!E35&gt;=Configuration!$D$2),"",_xlfn.REGEXEXTRACT(CELL("address",'Raw Data'!E35),"\$([A-Z]+)\$[0-9]+"))),_xlfn.REGEXEXTRACT(CELL("address",E35), "\$([A-Z]+)\$[0-9]+"))</f>
        <v/>
      </c>
      <c r="F35" s="7" t="str" cm="1">
        <f t="array" aca="1" ref="F35" ca="1">IFERROR(IF(OR('Raw Data'!F35="",LEN(TRIM('Raw Data'!F35))=0),"",IF(AND(LEN('Raw Data'!F35) &lt;= 20,LEN('Raw Data'!F35)&gt; 0),"",_xlfn.REGEXEXTRACT(CELL("address",'Raw Data'!F35),"\$([A-Z]+)\$[0-9]+"))),_xlfn.REGEXEXTRACT(CELL("address",'Raw Data'!F35),"\$([A-Z]+)\$[0-9]+"))</f>
        <v/>
      </c>
      <c r="G35" s="7" t="str" cm="1">
        <f t="array" aca="1" ref="G35" ca="1">IFERROR(IF(OR('Raw Data'!G35="",LEN(TRIM('Raw Data'!G35))=0),"",IF(AND(ISNUMBER('Raw Data'!G35), IFERROR('Raw Data'!G35 = ROUND('Raw Data'!G35, 2),FALSE)),"",_xlfn.REGEXEXTRACT(CELL("address",G35), "\$([A-Z]+)\$[0-9]+"))),_xlfn.REGEXEXTRACT(CELL("address",G35), "\$([A-Z]+)\$[0-9]+"))</f>
        <v/>
      </c>
      <c r="H35" s="7" t="str" cm="1">
        <f t="array" aca="1" ref="H35" ca="1">IFERROR(IF(OR('Raw Data'!H35="",LEN(TRIM('Raw Data'!H35))=0),"",IF(AND(ISNUMBER('Raw Data'!H35), IFERROR('Raw Data'!H35 = ROUND('Raw Data'!H35, 2),FALSE)),"",_xlfn.REGEXEXTRACT(CELL("address",H35), "\$([A-Z]+)\$[0-9]+"))),_xlfn.REGEXEXTRACT(CELL("address",H35), "\$([A-Z]+)\$[0-9]+"))</f>
        <v/>
      </c>
      <c r="I35" s="7" t="str" cm="1">
        <f t="array" aca="1" ref="I35" ca="1">IFERROR(IF(OR('Raw Data'!I35="",LEN(TRIM('Raw Data'!I35))=0),"",IF(AND(LEN('Raw Data'!I35) &lt;= 50,LEN('Raw Data'!I35)&gt; 0),"",_xlfn.REGEXEXTRACT(CELL("address",'Raw Data'!I35),"\$([A-Z]+)\$[0-9]+"))),_xlfn.REGEXEXTRACT(CELL("address",'Raw Data'!I35),"\$([A-Z]+)\$[0-9]+"))</f>
        <v/>
      </c>
      <c r="J35" s="7" t="str" cm="1">
        <f t="array" aca="1" ref="J35" ca="1">IFERROR(IF(OR('Raw Data'!J35="",LEN(TRIM('Raw Data'!J35))=0),"",IF(AND(ISNUMBER('Raw Data'!J35),'Raw Data'!J35&gt;=Configuration!$D$2),"",_xlfn.REGEXEXTRACT(CELL("address",'Raw Data'!J35),"\$([A-Z]+)\$[0-9]+"))),_xlfn.REGEXEXTRACT(CELL("address",J35), "\$([A-Z]+)\$[0-9]+"))</f>
        <v/>
      </c>
      <c r="K35" s="7" t="str" cm="1">
        <f t="array" aca="1" ref="K35" ca="1">IFERROR(IF(OR('Raw Data'!K35="",LEN(TRIM('Raw Data'!K35))=0),"",IF(AND(ISNUMBER('Raw Data'!K35), IFERROR('Raw Data'!K35 = ROUND('Raw Data'!K35, 2),FALSE)),"",_xlfn.REGEXEXTRACT(CELL("address",K35), "\$([A-Z]+)\$[0-9]+"))),_xlfn.REGEXEXTRACT(CELL("address",K35), "\$([A-Z]+)\$[0-9]+"))</f>
        <v/>
      </c>
      <c r="L35" s="7" t="str" cm="1">
        <f t="array" aca="1" ref="L35" ca="1">IFERROR(IF(OR('Raw Data'!L35="",LEN(TRIM('Raw Data'!L35))=0),"",IF(AND(ISNUMBER('Raw Data'!L35), IFERROR('Raw Data'!L35 = ROUND('Raw Data'!L35, 2),FALSE)),"",_xlfn.REGEXEXTRACT(CELL("address",L35), "\$([A-Z]+)\$[0-9]+"))),_xlfn.REGEXEXTRACT(CELL("address",L35), "\$([A-Z]+)\$[0-9]+"))</f>
        <v/>
      </c>
      <c r="M35" s="7" t="str" cm="1">
        <f t="array" aca="1" ref="M35" ca="1">IFERROR(IF(OR('Raw Data'!M35="",LEN(TRIM('Raw Data'!M35))=0),"",IF(AND(ISNUMBER('Raw Data'!M35), IFERROR('Raw Data'!M35 = ROUND('Raw Data'!M35, 2),FALSE)),"",_xlfn.REGEXEXTRACT(CELL("address",M35), "\$([A-Z]+)\$[0-9]+"))),_xlfn.REGEXEXTRACT(CELL("address",M35), "\$([A-Z]+)\$[0-9]+"))</f>
        <v/>
      </c>
      <c r="N35" s="7" t="str" cm="1">
        <f t="array" aca="1" ref="N35" ca="1">IFERROR(IF(OR('Raw Data'!N35="",LEN(TRIM('Raw Data'!N35))=0),"",IF(AND(ISNUMBER('Raw Data'!N35), IFERROR('Raw Data'!N35 = ROUND('Raw Data'!N35, 2),FALSE)),"",_xlfn.REGEXEXTRACT(CELL("address",N35), "\$([A-Z]+)\$[0-9]+"))),_xlfn.REGEXEXTRACT(CELL("address",N35), "\$([A-Z]+)\$[0-9]+"))</f>
        <v/>
      </c>
      <c r="O35" s="7" t="str" cm="1">
        <f t="array" aca="1" ref="O35" ca="1">IFERROR(IF(OR('Raw Data'!O35="",LEN(TRIM('Raw Data'!O35))=0),"",IF(AND(ISNUMBER('Raw Data'!O35), IFERROR('Raw Data'!O35 = ROUND('Raw Data'!O35, 2),FALSE)),"",_xlfn.REGEXEXTRACT(CELL("address",O35), "\$([A-Z]+)\$[0-9]+"))),_xlfn.REGEXEXTRACT(CELL("address",O35), "\$([A-Z]+)\$[0-9]+"))</f>
        <v/>
      </c>
      <c r="P35" s="7" t="str" cm="1">
        <f t="array" aca="1" ref="P35" ca="1">IFERROR(IF(OR('Raw Data'!P35="",LEN(TRIM('Raw Data'!P35))=0),"",IF(AND(ISNUMBER('Raw Data'!P35),'Raw Data'!P35&gt;=Configuration!$D$2),"",_xlfn.REGEXEXTRACT(CELL("address",'Raw Data'!P35),"\$([A-Z]+)\$[0-9]+"))),_xlfn.REGEXEXTRACT(CELL("address",P35), "\$([A-Z]+)\$[0-9]+"))</f>
        <v/>
      </c>
      <c r="Q35" s="7" t="str" cm="1">
        <f t="array" aca="1" ref="Q35" ca="1">IFERROR(IF(OR('Raw Data'!Q35="",LEN(TRIM('Raw Data'!Q35))=0),"",IF(AND(ISNUMBER('Raw Data'!Q35),'Raw Data'!Q35&gt;=Configuration!$D$2),"",_xlfn.REGEXEXTRACT(CELL("address",'Raw Data'!Q35),"\$([A-Z]+)\$[0-9]+"))),_xlfn.REGEXEXTRACT(CELL("address",Q35), "\$([A-Z]+)\$[0-9]+"))</f>
        <v/>
      </c>
      <c r="R35" s="7" t="str" cm="1">
        <f t="array" aca="1" ref="R35" ca="1">IFERROR(IF(OR('Raw Data'!R35="",LEN(TRIM('Raw Data'!R35))=0),"",IF(AND(ISNUMBER('Raw Data'!R35), IFERROR('Raw Data'!R35 = ROUND('Raw Data'!R35, 2),FALSE)),"",_xlfn.REGEXEXTRACT(CELL("address",R35), "\$([A-Z]+)\$[0-9]+"))),_xlfn.REGEXEXTRACT(CELL("address",R35), "\$([A-Z]+)\$[0-9]+"))</f>
        <v/>
      </c>
      <c r="S35" s="7" t="str" cm="1">
        <f t="array" aca="1" ref="S35" ca="1">IFERROR(IF(OR('Raw Data'!S35="",LEN(TRIM('Raw Data'!S35))=0),"",IF(AND(ISNUMBER('Raw Data'!S35), IFERROR('Raw Data'!S35 = ROUND('Raw Data'!S35, 2),FALSE)),"",_xlfn.REGEXEXTRACT(CELL("address",S35), "\$([A-Z]+)\$[0-9]+"))),_xlfn.REGEXEXTRACT(CELL("address",S35), "\$([A-Z]+)\$[0-9]+"))</f>
        <v/>
      </c>
      <c r="T35" s="7" t="str" cm="1">
        <f t="array" aca="1" ref="T35" ca="1">IFERROR(IF(OR('Raw Data'!T35="",LEN(TRIM('Raw Data'!T35))=0),"",IF(AND(ISNUMBER('Raw Data'!T35), IFERROR('Raw Data'!T35 = ROUND('Raw Data'!T35, 2),FALSE)),"",_xlfn.REGEXEXTRACT(CELL("address",T35), "\$([A-Z]+)\$[0-9]+"))),_xlfn.REGEXEXTRACT(CELL("address",T35), "\$([A-Z]+)\$[0-9]+"))</f>
        <v/>
      </c>
      <c r="U35" s="7" t="str" cm="1">
        <f t="array" aca="1" ref="U35" ca="1">IFERROR(IF(OR('Raw Data'!U35="",LEN(TRIM('Raw Data'!U35))=0),"",IF(AND(LEN('Raw Data'!U35) &lt;= 5,LEN('Raw Data'!U35)&gt; 0),"",_xlfn.REGEXEXTRACT(CELL("address",'Raw Data'!U35),"\$([A-Z]+)\$[0-9]+"))),_xlfn.REGEXEXTRACT(CELL("address",'Raw Data'!U35),"\$([A-Z]+)\$[0-9]+"))</f>
        <v/>
      </c>
      <c r="V35" s="7" t="str" cm="1">
        <f t="array" aca="1" ref="V35" ca="1">IFERROR(IF(OR('Raw Data'!V35="",LEN(TRIM('Raw Data'!V35))=0),"",IF(AND(ISNUMBER('Raw Data'!V35), IFERROR('Raw Data'!V35 = ROUND('Raw Data'!V35, 2),FALSE)),"",_xlfn.REGEXEXTRACT(CELL("address",V35), "\$([A-Z]+)\$[0-9]+"))),_xlfn.REGEXEXTRACT(CELL("address",V35), "\$([A-Z]+)\$[0-9]+"))</f>
        <v/>
      </c>
      <c r="W35" s="7" t="str" cm="1">
        <f t="array" aca="1" ref="W35" ca="1">IFERROR(IF(OR('Raw Data'!W35="",LEN(TRIM('Raw Data'!W35))=0),"",IF(AND(ISNUMBER('Raw Data'!W35), IFERROR('Raw Data'!W35 = ROUND('Raw Data'!W35, 2),FALSE)),"",_xlfn.REGEXEXTRACT(CELL("address",W35), "\$([A-Z]+)\$[0-9]+"))),_xlfn.REGEXEXTRACT(CELL("address",W35), "\$([A-Z]+)\$[0-9]+"))</f>
        <v/>
      </c>
      <c r="X35" s="7" t="str" cm="1">
        <f t="array" aca="1" ref="X35" ca="1">IFERROR(IF(OR('Raw Data'!X35="",LEN(TRIM('Raw Data'!X35))=0),"",IF(AND(ISNUMBER('Raw Data'!X35), IFERROR('Raw Data'!X35 = ROUND('Raw Data'!X35, 2),FALSE)),"",_xlfn.REGEXEXTRACT(CELL("address",X35), "\$([A-Z]+)\$[0-9]+"))),_xlfn.REGEXEXTRACT(CELL("address",X35), "\$([A-Z]+)\$[0-9]+"))</f>
        <v/>
      </c>
    </row>
    <row r="36" spans="2:24" x14ac:dyDescent="0.25">
      <c r="B36" s="7" t="str" cm="1">
        <f t="array" aca="1" ref="B36" ca="1">IFERROR(IF(OR('Raw Data'!B36="",LEN(TRIM('Raw Data'!B36))=0),"",IF(AND(LEN('Raw Data'!B36) &lt;= 50,LEN('Raw Data'!B36)&gt; 0),"",_xlfn.REGEXEXTRACT(CELL("address",'Raw Data'!B36),"\$([A-Z]+)\$[0-9]+"))),_xlfn.REGEXEXTRACT(CELL("address",'Raw Data'!B36),"\$([A-Z]+)\$[0-9]+"))</f>
        <v/>
      </c>
      <c r="C36" s="7" t="str" cm="1">
        <f t="array" aca="1" ref="C36" ca="1">IFERROR(IF(OR('Raw Data'!C36="",LEN(TRIM('Raw Data'!C36))=0),"",IF(AND(LEN('Raw Data'!C36) &lt;= 50,LEN('Raw Data'!C36)&gt; 0),"",_xlfn.REGEXEXTRACT(CELL("address",'Raw Data'!C36),"\$([A-Z]+)\$[0-9]+"))),_xlfn.REGEXEXTRACT(CELL("address",'Raw Data'!C36),"\$([A-Z]+)\$[0-9]+"))</f>
        <v/>
      </c>
      <c r="D36" s="7" t="str" cm="1">
        <f t="array" aca="1" ref="D36" ca="1">IFERROR(IF(OR('Raw Data'!D36="",LEN(TRIM('Raw Data'!D36))=0),"",IF(AND(LEN('Raw Data'!D36) &lt;= 255,LEN('Raw Data'!D36)&gt; 0),"",_xlfn.REGEXEXTRACT(CELL("address",'Raw Data'!D36),"\$([A-Z]+)\$[0-9]+"))),_xlfn.REGEXEXTRACT(CELL("address",'Raw Data'!D36),"\$([A-Z]+)\$[0-9]+"))</f>
        <v/>
      </c>
      <c r="E36" s="7" t="str" cm="1">
        <f t="array" aca="1" ref="E36" ca="1">IFERROR(IF(OR('Raw Data'!E36="",LEN(TRIM('Raw Data'!E36))=0),"",IF(AND(ISNUMBER('Raw Data'!E36),'Raw Data'!E36&gt;=Configuration!$D$2),"",_xlfn.REGEXEXTRACT(CELL("address",'Raw Data'!E36),"\$([A-Z]+)\$[0-9]+"))),_xlfn.REGEXEXTRACT(CELL("address",E36), "\$([A-Z]+)\$[0-9]+"))</f>
        <v/>
      </c>
      <c r="F36" s="7" t="str" cm="1">
        <f t="array" aca="1" ref="F36" ca="1">IFERROR(IF(OR('Raw Data'!F36="",LEN(TRIM('Raw Data'!F36))=0),"",IF(AND(LEN('Raw Data'!F36) &lt;= 20,LEN('Raw Data'!F36)&gt; 0),"",_xlfn.REGEXEXTRACT(CELL("address",'Raw Data'!F36),"\$([A-Z]+)\$[0-9]+"))),_xlfn.REGEXEXTRACT(CELL("address",'Raw Data'!F36),"\$([A-Z]+)\$[0-9]+"))</f>
        <v/>
      </c>
      <c r="G36" s="7" t="str" cm="1">
        <f t="array" aca="1" ref="G36" ca="1">IFERROR(IF(OR('Raw Data'!G36="",LEN(TRIM('Raw Data'!G36))=0),"",IF(AND(ISNUMBER('Raw Data'!G36), IFERROR('Raw Data'!G36 = ROUND('Raw Data'!G36, 2),FALSE)),"",_xlfn.REGEXEXTRACT(CELL("address",G36), "\$([A-Z]+)\$[0-9]+"))),_xlfn.REGEXEXTRACT(CELL("address",G36), "\$([A-Z]+)\$[0-9]+"))</f>
        <v/>
      </c>
      <c r="H36" s="7" t="str" cm="1">
        <f t="array" aca="1" ref="H36" ca="1">IFERROR(IF(OR('Raw Data'!H36="",LEN(TRIM('Raw Data'!H36))=0),"",IF(AND(ISNUMBER('Raw Data'!H36), IFERROR('Raw Data'!H36 = ROUND('Raw Data'!H36, 2),FALSE)),"",_xlfn.REGEXEXTRACT(CELL("address",H36), "\$([A-Z]+)\$[0-9]+"))),_xlfn.REGEXEXTRACT(CELL("address",H36), "\$([A-Z]+)\$[0-9]+"))</f>
        <v/>
      </c>
      <c r="I36" s="7" t="str" cm="1">
        <f t="array" aca="1" ref="I36" ca="1">IFERROR(IF(OR('Raw Data'!I36="",LEN(TRIM('Raw Data'!I36))=0),"",IF(AND(LEN('Raw Data'!I36) &lt;= 50,LEN('Raw Data'!I36)&gt; 0),"",_xlfn.REGEXEXTRACT(CELL("address",'Raw Data'!I36),"\$([A-Z]+)\$[0-9]+"))),_xlfn.REGEXEXTRACT(CELL("address",'Raw Data'!I36),"\$([A-Z]+)\$[0-9]+"))</f>
        <v/>
      </c>
      <c r="J36" s="7" t="str" cm="1">
        <f t="array" aca="1" ref="J36" ca="1">IFERROR(IF(OR('Raw Data'!J36="",LEN(TRIM('Raw Data'!J36))=0),"",IF(AND(ISNUMBER('Raw Data'!J36),'Raw Data'!J36&gt;=Configuration!$D$2),"",_xlfn.REGEXEXTRACT(CELL("address",'Raw Data'!J36),"\$([A-Z]+)\$[0-9]+"))),_xlfn.REGEXEXTRACT(CELL("address",J36), "\$([A-Z]+)\$[0-9]+"))</f>
        <v/>
      </c>
      <c r="K36" s="7" t="str" cm="1">
        <f t="array" aca="1" ref="K36" ca="1">IFERROR(IF(OR('Raw Data'!K36="",LEN(TRIM('Raw Data'!K36))=0),"",IF(AND(ISNUMBER('Raw Data'!K36), IFERROR('Raw Data'!K36 = ROUND('Raw Data'!K36, 2),FALSE)),"",_xlfn.REGEXEXTRACT(CELL("address",K36), "\$([A-Z]+)\$[0-9]+"))),_xlfn.REGEXEXTRACT(CELL("address",K36), "\$([A-Z]+)\$[0-9]+"))</f>
        <v/>
      </c>
      <c r="L36" s="7" t="str" cm="1">
        <f t="array" aca="1" ref="L36" ca="1">IFERROR(IF(OR('Raw Data'!L36="",LEN(TRIM('Raw Data'!L36))=0),"",IF(AND(ISNUMBER('Raw Data'!L36), IFERROR('Raw Data'!L36 = ROUND('Raw Data'!L36, 2),FALSE)),"",_xlfn.REGEXEXTRACT(CELL("address",L36), "\$([A-Z]+)\$[0-9]+"))),_xlfn.REGEXEXTRACT(CELL("address",L36), "\$([A-Z]+)\$[0-9]+"))</f>
        <v/>
      </c>
      <c r="M36" s="7" t="str" cm="1">
        <f t="array" aca="1" ref="M36" ca="1">IFERROR(IF(OR('Raw Data'!M36="",LEN(TRIM('Raw Data'!M36))=0),"",IF(AND(ISNUMBER('Raw Data'!M36), IFERROR('Raw Data'!M36 = ROUND('Raw Data'!M36, 2),FALSE)),"",_xlfn.REGEXEXTRACT(CELL("address",M36), "\$([A-Z]+)\$[0-9]+"))),_xlfn.REGEXEXTRACT(CELL("address",M36), "\$([A-Z]+)\$[0-9]+"))</f>
        <v/>
      </c>
      <c r="N36" s="7" t="str" cm="1">
        <f t="array" aca="1" ref="N36" ca="1">IFERROR(IF(OR('Raw Data'!N36="",LEN(TRIM('Raw Data'!N36))=0),"",IF(AND(ISNUMBER('Raw Data'!N36), IFERROR('Raw Data'!N36 = ROUND('Raw Data'!N36, 2),FALSE)),"",_xlfn.REGEXEXTRACT(CELL("address",N36), "\$([A-Z]+)\$[0-9]+"))),_xlfn.REGEXEXTRACT(CELL("address",N36), "\$([A-Z]+)\$[0-9]+"))</f>
        <v/>
      </c>
      <c r="O36" s="7" t="str" cm="1">
        <f t="array" aca="1" ref="O36" ca="1">IFERROR(IF(OR('Raw Data'!O36="",LEN(TRIM('Raw Data'!O36))=0),"",IF(AND(ISNUMBER('Raw Data'!O36), IFERROR('Raw Data'!O36 = ROUND('Raw Data'!O36, 2),FALSE)),"",_xlfn.REGEXEXTRACT(CELL("address",O36), "\$([A-Z]+)\$[0-9]+"))),_xlfn.REGEXEXTRACT(CELL("address",O36), "\$([A-Z]+)\$[0-9]+"))</f>
        <v/>
      </c>
      <c r="P36" s="7" t="str" cm="1">
        <f t="array" aca="1" ref="P36" ca="1">IFERROR(IF(OR('Raw Data'!P36="",LEN(TRIM('Raw Data'!P36))=0),"",IF(AND(ISNUMBER('Raw Data'!P36),'Raw Data'!P36&gt;=Configuration!$D$2),"",_xlfn.REGEXEXTRACT(CELL("address",'Raw Data'!P36),"\$([A-Z]+)\$[0-9]+"))),_xlfn.REGEXEXTRACT(CELL("address",P36), "\$([A-Z]+)\$[0-9]+"))</f>
        <v/>
      </c>
      <c r="Q36" s="7" t="str" cm="1">
        <f t="array" aca="1" ref="Q36" ca="1">IFERROR(IF(OR('Raw Data'!Q36="",LEN(TRIM('Raw Data'!Q36))=0),"",IF(AND(ISNUMBER('Raw Data'!Q36),'Raw Data'!Q36&gt;=Configuration!$D$2),"",_xlfn.REGEXEXTRACT(CELL("address",'Raw Data'!Q36),"\$([A-Z]+)\$[0-9]+"))),_xlfn.REGEXEXTRACT(CELL("address",Q36), "\$([A-Z]+)\$[0-9]+"))</f>
        <v/>
      </c>
      <c r="R36" s="7" t="str" cm="1">
        <f t="array" aca="1" ref="R36" ca="1">IFERROR(IF(OR('Raw Data'!R36="",LEN(TRIM('Raw Data'!R36))=0),"",IF(AND(ISNUMBER('Raw Data'!R36), IFERROR('Raw Data'!R36 = ROUND('Raw Data'!R36, 2),FALSE)),"",_xlfn.REGEXEXTRACT(CELL("address",R36), "\$([A-Z]+)\$[0-9]+"))),_xlfn.REGEXEXTRACT(CELL("address",R36), "\$([A-Z]+)\$[0-9]+"))</f>
        <v/>
      </c>
      <c r="S36" s="7" t="str" cm="1">
        <f t="array" aca="1" ref="S36" ca="1">IFERROR(IF(OR('Raw Data'!S36="",LEN(TRIM('Raw Data'!S36))=0),"",IF(AND(ISNUMBER('Raw Data'!S36), IFERROR('Raw Data'!S36 = ROUND('Raw Data'!S36, 2),FALSE)),"",_xlfn.REGEXEXTRACT(CELL("address",S36), "\$([A-Z]+)\$[0-9]+"))),_xlfn.REGEXEXTRACT(CELL("address",S36), "\$([A-Z]+)\$[0-9]+"))</f>
        <v/>
      </c>
      <c r="T36" s="7" t="str" cm="1">
        <f t="array" aca="1" ref="T36" ca="1">IFERROR(IF(OR('Raw Data'!T36="",LEN(TRIM('Raw Data'!T36))=0),"",IF(AND(ISNUMBER('Raw Data'!T36), IFERROR('Raw Data'!T36 = ROUND('Raw Data'!T36, 2),FALSE)),"",_xlfn.REGEXEXTRACT(CELL("address",T36), "\$([A-Z]+)\$[0-9]+"))),_xlfn.REGEXEXTRACT(CELL("address",T36), "\$([A-Z]+)\$[0-9]+"))</f>
        <v/>
      </c>
      <c r="U36" s="7" t="str" cm="1">
        <f t="array" aca="1" ref="U36" ca="1">IFERROR(IF(OR('Raw Data'!U36="",LEN(TRIM('Raw Data'!U36))=0),"",IF(AND(LEN('Raw Data'!U36) &lt;= 5,LEN('Raw Data'!U36)&gt; 0),"",_xlfn.REGEXEXTRACT(CELL("address",'Raw Data'!U36),"\$([A-Z]+)\$[0-9]+"))),_xlfn.REGEXEXTRACT(CELL("address",'Raw Data'!U36),"\$([A-Z]+)\$[0-9]+"))</f>
        <v/>
      </c>
      <c r="V36" s="7" t="str" cm="1">
        <f t="array" aca="1" ref="V36" ca="1">IFERROR(IF(OR('Raw Data'!V36="",LEN(TRIM('Raw Data'!V36))=0),"",IF(AND(ISNUMBER('Raw Data'!V36), IFERROR('Raw Data'!V36 = ROUND('Raw Data'!V36, 2),FALSE)),"",_xlfn.REGEXEXTRACT(CELL("address",V36), "\$([A-Z]+)\$[0-9]+"))),_xlfn.REGEXEXTRACT(CELL("address",V36), "\$([A-Z]+)\$[0-9]+"))</f>
        <v/>
      </c>
      <c r="W36" s="7" t="str" cm="1">
        <f t="array" aca="1" ref="W36" ca="1">IFERROR(IF(OR('Raw Data'!W36="",LEN(TRIM('Raw Data'!W36))=0),"",IF(AND(ISNUMBER('Raw Data'!W36), IFERROR('Raw Data'!W36 = ROUND('Raw Data'!W36, 2),FALSE)),"",_xlfn.REGEXEXTRACT(CELL("address",W36), "\$([A-Z]+)\$[0-9]+"))),_xlfn.REGEXEXTRACT(CELL("address",W36), "\$([A-Z]+)\$[0-9]+"))</f>
        <v/>
      </c>
      <c r="X36" s="7" t="str" cm="1">
        <f t="array" aca="1" ref="X36" ca="1">IFERROR(IF(OR('Raw Data'!X36="",LEN(TRIM('Raw Data'!X36))=0),"",IF(AND(ISNUMBER('Raw Data'!X36), IFERROR('Raw Data'!X36 = ROUND('Raw Data'!X36, 2),FALSE)),"",_xlfn.REGEXEXTRACT(CELL("address",X36), "\$([A-Z]+)\$[0-9]+"))),_xlfn.REGEXEXTRACT(CELL("address",X36), "\$([A-Z]+)\$[0-9]+"))</f>
        <v/>
      </c>
    </row>
    <row r="37" spans="2:24" x14ac:dyDescent="0.25">
      <c r="B37" s="7" t="str" cm="1">
        <f t="array" aca="1" ref="B37" ca="1">IFERROR(IF(OR('Raw Data'!B37="",LEN(TRIM('Raw Data'!B37))=0),"",IF(AND(LEN('Raw Data'!B37) &lt;= 50,LEN('Raw Data'!B37)&gt; 0),"",_xlfn.REGEXEXTRACT(CELL("address",'Raw Data'!B37),"\$([A-Z]+)\$[0-9]+"))),_xlfn.REGEXEXTRACT(CELL("address",'Raw Data'!B37),"\$([A-Z]+)\$[0-9]+"))</f>
        <v/>
      </c>
      <c r="C37" s="7" t="str" cm="1">
        <f t="array" aca="1" ref="C37" ca="1">IFERROR(IF(OR('Raw Data'!C37="",LEN(TRIM('Raw Data'!C37))=0),"",IF(AND(LEN('Raw Data'!C37) &lt;= 50,LEN('Raw Data'!C37)&gt; 0),"",_xlfn.REGEXEXTRACT(CELL("address",'Raw Data'!C37),"\$([A-Z]+)\$[0-9]+"))),_xlfn.REGEXEXTRACT(CELL("address",'Raw Data'!C37),"\$([A-Z]+)\$[0-9]+"))</f>
        <v/>
      </c>
      <c r="D37" s="7" t="str" cm="1">
        <f t="array" aca="1" ref="D37" ca="1">IFERROR(IF(OR('Raw Data'!D37="",LEN(TRIM('Raw Data'!D37))=0),"",IF(AND(LEN('Raw Data'!D37) &lt;= 255,LEN('Raw Data'!D37)&gt; 0),"",_xlfn.REGEXEXTRACT(CELL("address",'Raw Data'!D37),"\$([A-Z]+)\$[0-9]+"))),_xlfn.REGEXEXTRACT(CELL("address",'Raw Data'!D37),"\$([A-Z]+)\$[0-9]+"))</f>
        <v/>
      </c>
      <c r="E37" s="7" t="str" cm="1">
        <f t="array" aca="1" ref="E37" ca="1">IFERROR(IF(OR('Raw Data'!E37="",LEN(TRIM('Raw Data'!E37))=0),"",IF(AND(ISNUMBER('Raw Data'!E37),'Raw Data'!E37&gt;=Configuration!$D$2),"",_xlfn.REGEXEXTRACT(CELL("address",'Raw Data'!E37),"\$([A-Z]+)\$[0-9]+"))),_xlfn.REGEXEXTRACT(CELL("address",E37), "\$([A-Z]+)\$[0-9]+"))</f>
        <v/>
      </c>
      <c r="F37" s="7" t="str" cm="1">
        <f t="array" aca="1" ref="F37" ca="1">IFERROR(IF(OR('Raw Data'!F37="",LEN(TRIM('Raw Data'!F37))=0),"",IF(AND(LEN('Raw Data'!F37) &lt;= 20,LEN('Raw Data'!F37)&gt; 0),"",_xlfn.REGEXEXTRACT(CELL("address",'Raw Data'!F37),"\$([A-Z]+)\$[0-9]+"))),_xlfn.REGEXEXTRACT(CELL("address",'Raw Data'!F37),"\$([A-Z]+)\$[0-9]+"))</f>
        <v/>
      </c>
      <c r="G37" s="7" t="str" cm="1">
        <f t="array" aca="1" ref="G37" ca="1">IFERROR(IF(OR('Raw Data'!G37="",LEN(TRIM('Raw Data'!G37))=0),"",IF(AND(ISNUMBER('Raw Data'!G37), IFERROR('Raw Data'!G37 = ROUND('Raw Data'!G37, 2),FALSE)),"",_xlfn.REGEXEXTRACT(CELL("address",G37), "\$([A-Z]+)\$[0-9]+"))),_xlfn.REGEXEXTRACT(CELL("address",G37), "\$([A-Z]+)\$[0-9]+"))</f>
        <v/>
      </c>
      <c r="H37" s="7" t="str" cm="1">
        <f t="array" aca="1" ref="H37" ca="1">IFERROR(IF(OR('Raw Data'!H37="",LEN(TRIM('Raw Data'!H37))=0),"",IF(AND(ISNUMBER('Raw Data'!H37), IFERROR('Raw Data'!H37 = ROUND('Raw Data'!H37, 2),FALSE)),"",_xlfn.REGEXEXTRACT(CELL("address",H37), "\$([A-Z]+)\$[0-9]+"))),_xlfn.REGEXEXTRACT(CELL("address",H37), "\$([A-Z]+)\$[0-9]+"))</f>
        <v/>
      </c>
      <c r="I37" s="7" t="str" cm="1">
        <f t="array" aca="1" ref="I37" ca="1">IFERROR(IF(OR('Raw Data'!I37="",LEN(TRIM('Raw Data'!I37))=0),"",IF(AND(LEN('Raw Data'!I37) &lt;= 50,LEN('Raw Data'!I37)&gt; 0),"",_xlfn.REGEXEXTRACT(CELL("address",'Raw Data'!I37),"\$([A-Z]+)\$[0-9]+"))),_xlfn.REGEXEXTRACT(CELL("address",'Raw Data'!I37),"\$([A-Z]+)\$[0-9]+"))</f>
        <v/>
      </c>
      <c r="J37" s="7" t="str" cm="1">
        <f t="array" aca="1" ref="J37" ca="1">IFERROR(IF(OR('Raw Data'!J37="",LEN(TRIM('Raw Data'!J37))=0),"",IF(AND(ISNUMBER('Raw Data'!J37),'Raw Data'!J37&gt;=Configuration!$D$2),"",_xlfn.REGEXEXTRACT(CELL("address",'Raw Data'!J37),"\$([A-Z]+)\$[0-9]+"))),_xlfn.REGEXEXTRACT(CELL("address",J37), "\$([A-Z]+)\$[0-9]+"))</f>
        <v/>
      </c>
      <c r="K37" s="7" t="str" cm="1">
        <f t="array" aca="1" ref="K37" ca="1">IFERROR(IF(OR('Raw Data'!K37="",LEN(TRIM('Raw Data'!K37))=0),"",IF(AND(ISNUMBER('Raw Data'!K37), IFERROR('Raw Data'!K37 = ROUND('Raw Data'!K37, 2),FALSE)),"",_xlfn.REGEXEXTRACT(CELL("address",K37), "\$([A-Z]+)\$[0-9]+"))),_xlfn.REGEXEXTRACT(CELL("address",K37), "\$([A-Z]+)\$[0-9]+"))</f>
        <v/>
      </c>
      <c r="L37" s="7" t="str" cm="1">
        <f t="array" aca="1" ref="L37" ca="1">IFERROR(IF(OR('Raw Data'!L37="",LEN(TRIM('Raw Data'!L37))=0),"",IF(AND(ISNUMBER('Raw Data'!L37), IFERROR('Raw Data'!L37 = ROUND('Raw Data'!L37, 2),FALSE)),"",_xlfn.REGEXEXTRACT(CELL("address",L37), "\$([A-Z]+)\$[0-9]+"))),_xlfn.REGEXEXTRACT(CELL("address",L37), "\$([A-Z]+)\$[0-9]+"))</f>
        <v/>
      </c>
      <c r="M37" s="7" t="str" cm="1">
        <f t="array" aca="1" ref="M37" ca="1">IFERROR(IF(OR('Raw Data'!M37="",LEN(TRIM('Raw Data'!M37))=0),"",IF(AND(ISNUMBER('Raw Data'!M37), IFERROR('Raw Data'!M37 = ROUND('Raw Data'!M37, 2),FALSE)),"",_xlfn.REGEXEXTRACT(CELL("address",M37), "\$([A-Z]+)\$[0-9]+"))),_xlfn.REGEXEXTRACT(CELL("address",M37), "\$([A-Z]+)\$[0-9]+"))</f>
        <v/>
      </c>
      <c r="N37" s="7" t="str" cm="1">
        <f t="array" aca="1" ref="N37" ca="1">IFERROR(IF(OR('Raw Data'!N37="",LEN(TRIM('Raw Data'!N37))=0),"",IF(AND(ISNUMBER('Raw Data'!N37), IFERROR('Raw Data'!N37 = ROUND('Raw Data'!N37, 2),FALSE)),"",_xlfn.REGEXEXTRACT(CELL("address",N37), "\$([A-Z]+)\$[0-9]+"))),_xlfn.REGEXEXTRACT(CELL("address",N37), "\$([A-Z]+)\$[0-9]+"))</f>
        <v/>
      </c>
      <c r="O37" s="7" t="str" cm="1">
        <f t="array" aca="1" ref="O37" ca="1">IFERROR(IF(OR('Raw Data'!O37="",LEN(TRIM('Raw Data'!O37))=0),"",IF(AND(ISNUMBER('Raw Data'!O37), IFERROR('Raw Data'!O37 = ROUND('Raw Data'!O37, 2),FALSE)),"",_xlfn.REGEXEXTRACT(CELL("address",O37), "\$([A-Z]+)\$[0-9]+"))),_xlfn.REGEXEXTRACT(CELL("address",O37), "\$([A-Z]+)\$[0-9]+"))</f>
        <v/>
      </c>
      <c r="P37" s="7" t="str" cm="1">
        <f t="array" aca="1" ref="P37" ca="1">IFERROR(IF(OR('Raw Data'!P37="",LEN(TRIM('Raw Data'!P37))=0),"",IF(AND(ISNUMBER('Raw Data'!P37),'Raw Data'!P37&gt;=Configuration!$D$2),"",_xlfn.REGEXEXTRACT(CELL("address",'Raw Data'!P37),"\$([A-Z]+)\$[0-9]+"))),_xlfn.REGEXEXTRACT(CELL("address",P37), "\$([A-Z]+)\$[0-9]+"))</f>
        <v/>
      </c>
      <c r="Q37" s="7" t="str" cm="1">
        <f t="array" aca="1" ref="Q37" ca="1">IFERROR(IF(OR('Raw Data'!Q37="",LEN(TRIM('Raw Data'!Q37))=0),"",IF(AND(ISNUMBER('Raw Data'!Q37),'Raw Data'!Q37&gt;=Configuration!$D$2),"",_xlfn.REGEXEXTRACT(CELL("address",'Raw Data'!Q37),"\$([A-Z]+)\$[0-9]+"))),_xlfn.REGEXEXTRACT(CELL("address",Q37), "\$([A-Z]+)\$[0-9]+"))</f>
        <v/>
      </c>
      <c r="R37" s="7" t="str" cm="1">
        <f t="array" aca="1" ref="R37" ca="1">IFERROR(IF(OR('Raw Data'!R37="",LEN(TRIM('Raw Data'!R37))=0),"",IF(AND(ISNUMBER('Raw Data'!R37), IFERROR('Raw Data'!R37 = ROUND('Raw Data'!R37, 2),FALSE)),"",_xlfn.REGEXEXTRACT(CELL("address",R37), "\$([A-Z]+)\$[0-9]+"))),_xlfn.REGEXEXTRACT(CELL("address",R37), "\$([A-Z]+)\$[0-9]+"))</f>
        <v/>
      </c>
      <c r="S37" s="7" t="str" cm="1">
        <f t="array" aca="1" ref="S37" ca="1">IFERROR(IF(OR('Raw Data'!S37="",LEN(TRIM('Raw Data'!S37))=0),"",IF(AND(ISNUMBER('Raw Data'!S37), IFERROR('Raw Data'!S37 = ROUND('Raw Data'!S37, 2),FALSE)),"",_xlfn.REGEXEXTRACT(CELL("address",S37), "\$([A-Z]+)\$[0-9]+"))),_xlfn.REGEXEXTRACT(CELL("address",S37), "\$([A-Z]+)\$[0-9]+"))</f>
        <v/>
      </c>
      <c r="T37" s="7" t="str" cm="1">
        <f t="array" aca="1" ref="T37" ca="1">IFERROR(IF(OR('Raw Data'!T37="",LEN(TRIM('Raw Data'!T37))=0),"",IF(AND(ISNUMBER('Raw Data'!T37), IFERROR('Raw Data'!T37 = ROUND('Raw Data'!T37, 2),FALSE)),"",_xlfn.REGEXEXTRACT(CELL("address",T37), "\$([A-Z]+)\$[0-9]+"))),_xlfn.REGEXEXTRACT(CELL("address",T37), "\$([A-Z]+)\$[0-9]+"))</f>
        <v/>
      </c>
      <c r="U37" s="7" t="str" cm="1">
        <f t="array" aca="1" ref="U37" ca="1">IFERROR(IF(OR('Raw Data'!U37="",LEN(TRIM('Raw Data'!U37))=0),"",IF(AND(LEN('Raw Data'!U37) &lt;= 5,LEN('Raw Data'!U37)&gt; 0),"",_xlfn.REGEXEXTRACT(CELL("address",'Raw Data'!U37),"\$([A-Z]+)\$[0-9]+"))),_xlfn.REGEXEXTRACT(CELL("address",'Raw Data'!U37),"\$([A-Z]+)\$[0-9]+"))</f>
        <v/>
      </c>
      <c r="V37" s="7" t="str" cm="1">
        <f t="array" aca="1" ref="V37" ca="1">IFERROR(IF(OR('Raw Data'!V37="",LEN(TRIM('Raw Data'!V37))=0),"",IF(AND(ISNUMBER('Raw Data'!V37), IFERROR('Raw Data'!V37 = ROUND('Raw Data'!V37, 2),FALSE)),"",_xlfn.REGEXEXTRACT(CELL("address",V37), "\$([A-Z]+)\$[0-9]+"))),_xlfn.REGEXEXTRACT(CELL("address",V37), "\$([A-Z]+)\$[0-9]+"))</f>
        <v/>
      </c>
      <c r="W37" s="7" t="str" cm="1">
        <f t="array" aca="1" ref="W37" ca="1">IFERROR(IF(OR('Raw Data'!W37="",LEN(TRIM('Raw Data'!W37))=0),"",IF(AND(ISNUMBER('Raw Data'!W37), IFERROR('Raw Data'!W37 = ROUND('Raw Data'!W37, 2),FALSE)),"",_xlfn.REGEXEXTRACT(CELL("address",W37), "\$([A-Z]+)\$[0-9]+"))),_xlfn.REGEXEXTRACT(CELL("address",W37), "\$([A-Z]+)\$[0-9]+"))</f>
        <v/>
      </c>
      <c r="X37" s="7" t="str" cm="1">
        <f t="array" aca="1" ref="X37" ca="1">IFERROR(IF(OR('Raw Data'!X37="",LEN(TRIM('Raw Data'!X37))=0),"",IF(AND(ISNUMBER('Raw Data'!X37), IFERROR('Raw Data'!X37 = ROUND('Raw Data'!X37, 2),FALSE)),"",_xlfn.REGEXEXTRACT(CELL("address",X37), "\$([A-Z]+)\$[0-9]+"))),_xlfn.REGEXEXTRACT(CELL("address",X37), "\$([A-Z]+)\$[0-9]+"))</f>
        <v/>
      </c>
    </row>
    <row r="38" spans="2:24" x14ac:dyDescent="0.25">
      <c r="B38" s="7" t="str" cm="1">
        <f t="array" aca="1" ref="B38" ca="1">IFERROR(IF(OR('Raw Data'!B38="",LEN(TRIM('Raw Data'!B38))=0),"",IF(AND(LEN('Raw Data'!B38) &lt;= 50,LEN('Raw Data'!B38)&gt; 0),"",_xlfn.REGEXEXTRACT(CELL("address",'Raw Data'!B38),"\$([A-Z]+)\$[0-9]+"))),_xlfn.REGEXEXTRACT(CELL("address",'Raw Data'!B38),"\$([A-Z]+)\$[0-9]+"))</f>
        <v/>
      </c>
      <c r="C38" s="7" t="str" cm="1">
        <f t="array" aca="1" ref="C38" ca="1">IFERROR(IF(OR('Raw Data'!C38="",LEN(TRIM('Raw Data'!C38))=0),"",IF(AND(LEN('Raw Data'!C38) &lt;= 50,LEN('Raw Data'!C38)&gt; 0),"",_xlfn.REGEXEXTRACT(CELL("address",'Raw Data'!C38),"\$([A-Z]+)\$[0-9]+"))),_xlfn.REGEXEXTRACT(CELL("address",'Raw Data'!C38),"\$([A-Z]+)\$[0-9]+"))</f>
        <v/>
      </c>
      <c r="D38" s="7" t="str" cm="1">
        <f t="array" aca="1" ref="D38" ca="1">IFERROR(IF(OR('Raw Data'!D38="",LEN(TRIM('Raw Data'!D38))=0),"",IF(AND(LEN('Raw Data'!D38) &lt;= 255,LEN('Raw Data'!D38)&gt; 0),"",_xlfn.REGEXEXTRACT(CELL("address",'Raw Data'!D38),"\$([A-Z]+)\$[0-9]+"))),_xlfn.REGEXEXTRACT(CELL("address",'Raw Data'!D38),"\$([A-Z]+)\$[0-9]+"))</f>
        <v/>
      </c>
      <c r="E38" s="7" t="str" cm="1">
        <f t="array" aca="1" ref="E38" ca="1">IFERROR(IF(OR('Raw Data'!E38="",LEN(TRIM('Raw Data'!E38))=0),"",IF(AND(ISNUMBER('Raw Data'!E38),'Raw Data'!E38&gt;=Configuration!$D$2),"",_xlfn.REGEXEXTRACT(CELL("address",'Raw Data'!E38),"\$([A-Z]+)\$[0-9]+"))),_xlfn.REGEXEXTRACT(CELL("address",E38), "\$([A-Z]+)\$[0-9]+"))</f>
        <v/>
      </c>
      <c r="F38" s="7" t="str" cm="1">
        <f t="array" aca="1" ref="F38" ca="1">IFERROR(IF(OR('Raw Data'!F38="",LEN(TRIM('Raw Data'!F38))=0),"",IF(AND(LEN('Raw Data'!F38) &lt;= 20,LEN('Raw Data'!F38)&gt; 0),"",_xlfn.REGEXEXTRACT(CELL("address",'Raw Data'!F38),"\$([A-Z]+)\$[0-9]+"))),_xlfn.REGEXEXTRACT(CELL("address",'Raw Data'!F38),"\$([A-Z]+)\$[0-9]+"))</f>
        <v/>
      </c>
      <c r="G38" s="7" t="str" cm="1">
        <f t="array" aca="1" ref="G38" ca="1">IFERROR(IF(OR('Raw Data'!G38="",LEN(TRIM('Raw Data'!G38))=0),"",IF(AND(ISNUMBER('Raw Data'!G38), IFERROR('Raw Data'!G38 = ROUND('Raw Data'!G38, 2),FALSE)),"",_xlfn.REGEXEXTRACT(CELL("address",G38), "\$([A-Z]+)\$[0-9]+"))),_xlfn.REGEXEXTRACT(CELL("address",G38), "\$([A-Z]+)\$[0-9]+"))</f>
        <v/>
      </c>
      <c r="H38" s="7" t="str" cm="1">
        <f t="array" aca="1" ref="H38" ca="1">IFERROR(IF(OR('Raw Data'!H38="",LEN(TRIM('Raw Data'!H38))=0),"",IF(AND(ISNUMBER('Raw Data'!H38), IFERROR('Raw Data'!H38 = ROUND('Raw Data'!H38, 2),FALSE)),"",_xlfn.REGEXEXTRACT(CELL("address",H38), "\$([A-Z]+)\$[0-9]+"))),_xlfn.REGEXEXTRACT(CELL("address",H38), "\$([A-Z]+)\$[0-9]+"))</f>
        <v/>
      </c>
      <c r="I38" s="7" t="str" cm="1">
        <f t="array" aca="1" ref="I38" ca="1">IFERROR(IF(OR('Raw Data'!I38="",LEN(TRIM('Raw Data'!I38))=0),"",IF(AND(LEN('Raw Data'!I38) &lt;= 50,LEN('Raw Data'!I38)&gt; 0),"",_xlfn.REGEXEXTRACT(CELL("address",'Raw Data'!I38),"\$([A-Z]+)\$[0-9]+"))),_xlfn.REGEXEXTRACT(CELL("address",'Raw Data'!I38),"\$([A-Z]+)\$[0-9]+"))</f>
        <v/>
      </c>
      <c r="J38" s="7" t="str" cm="1">
        <f t="array" aca="1" ref="J38" ca="1">IFERROR(IF(OR('Raw Data'!J38="",LEN(TRIM('Raw Data'!J38))=0),"",IF(AND(ISNUMBER('Raw Data'!J38),'Raw Data'!J38&gt;=Configuration!$D$2),"",_xlfn.REGEXEXTRACT(CELL("address",'Raw Data'!J38),"\$([A-Z]+)\$[0-9]+"))),_xlfn.REGEXEXTRACT(CELL("address",J38), "\$([A-Z]+)\$[0-9]+"))</f>
        <v/>
      </c>
      <c r="K38" s="7" t="str" cm="1">
        <f t="array" aca="1" ref="K38" ca="1">IFERROR(IF(OR('Raw Data'!K38="",LEN(TRIM('Raw Data'!K38))=0),"",IF(AND(ISNUMBER('Raw Data'!K38), IFERROR('Raw Data'!K38 = ROUND('Raw Data'!K38, 2),FALSE)),"",_xlfn.REGEXEXTRACT(CELL("address",K38), "\$([A-Z]+)\$[0-9]+"))),_xlfn.REGEXEXTRACT(CELL("address",K38), "\$([A-Z]+)\$[0-9]+"))</f>
        <v/>
      </c>
      <c r="L38" s="7" t="str" cm="1">
        <f t="array" aca="1" ref="L38" ca="1">IFERROR(IF(OR('Raw Data'!L38="",LEN(TRIM('Raw Data'!L38))=0),"",IF(AND(ISNUMBER('Raw Data'!L38), IFERROR('Raw Data'!L38 = ROUND('Raw Data'!L38, 2),FALSE)),"",_xlfn.REGEXEXTRACT(CELL("address",L38), "\$([A-Z]+)\$[0-9]+"))),_xlfn.REGEXEXTRACT(CELL("address",L38), "\$([A-Z]+)\$[0-9]+"))</f>
        <v/>
      </c>
      <c r="M38" s="7" t="str" cm="1">
        <f t="array" aca="1" ref="M38" ca="1">IFERROR(IF(OR('Raw Data'!M38="",LEN(TRIM('Raw Data'!M38))=0),"",IF(AND(ISNUMBER('Raw Data'!M38), IFERROR('Raw Data'!M38 = ROUND('Raw Data'!M38, 2),FALSE)),"",_xlfn.REGEXEXTRACT(CELL("address",M38), "\$([A-Z]+)\$[0-9]+"))),_xlfn.REGEXEXTRACT(CELL("address",M38), "\$([A-Z]+)\$[0-9]+"))</f>
        <v/>
      </c>
      <c r="N38" s="7" t="str" cm="1">
        <f t="array" aca="1" ref="N38" ca="1">IFERROR(IF(OR('Raw Data'!N38="",LEN(TRIM('Raw Data'!N38))=0),"",IF(AND(ISNUMBER('Raw Data'!N38), IFERROR('Raw Data'!N38 = ROUND('Raw Data'!N38, 2),FALSE)),"",_xlfn.REGEXEXTRACT(CELL("address",N38), "\$([A-Z]+)\$[0-9]+"))),_xlfn.REGEXEXTRACT(CELL("address",N38), "\$([A-Z]+)\$[0-9]+"))</f>
        <v/>
      </c>
      <c r="O38" s="7" t="str" cm="1">
        <f t="array" aca="1" ref="O38" ca="1">IFERROR(IF(OR('Raw Data'!O38="",LEN(TRIM('Raw Data'!O38))=0),"",IF(AND(ISNUMBER('Raw Data'!O38), IFERROR('Raw Data'!O38 = ROUND('Raw Data'!O38, 2),FALSE)),"",_xlfn.REGEXEXTRACT(CELL("address",O38), "\$([A-Z]+)\$[0-9]+"))),_xlfn.REGEXEXTRACT(CELL("address",O38), "\$([A-Z]+)\$[0-9]+"))</f>
        <v/>
      </c>
      <c r="P38" s="7" t="str" cm="1">
        <f t="array" aca="1" ref="P38" ca="1">IFERROR(IF(OR('Raw Data'!P38="",LEN(TRIM('Raw Data'!P38))=0),"",IF(AND(ISNUMBER('Raw Data'!P38),'Raw Data'!P38&gt;=Configuration!$D$2),"",_xlfn.REGEXEXTRACT(CELL("address",'Raw Data'!P38),"\$([A-Z]+)\$[0-9]+"))),_xlfn.REGEXEXTRACT(CELL("address",P38), "\$([A-Z]+)\$[0-9]+"))</f>
        <v/>
      </c>
      <c r="Q38" s="7" t="str" cm="1">
        <f t="array" aca="1" ref="Q38" ca="1">IFERROR(IF(OR('Raw Data'!Q38="",LEN(TRIM('Raw Data'!Q38))=0),"",IF(AND(ISNUMBER('Raw Data'!Q38),'Raw Data'!Q38&gt;=Configuration!$D$2),"",_xlfn.REGEXEXTRACT(CELL("address",'Raw Data'!Q38),"\$([A-Z]+)\$[0-9]+"))),_xlfn.REGEXEXTRACT(CELL("address",Q38), "\$([A-Z]+)\$[0-9]+"))</f>
        <v/>
      </c>
      <c r="R38" s="7" t="str" cm="1">
        <f t="array" aca="1" ref="R38" ca="1">IFERROR(IF(OR('Raw Data'!R38="",LEN(TRIM('Raw Data'!R38))=0),"",IF(AND(ISNUMBER('Raw Data'!R38), IFERROR('Raw Data'!R38 = ROUND('Raw Data'!R38, 2),FALSE)),"",_xlfn.REGEXEXTRACT(CELL("address",R38), "\$([A-Z]+)\$[0-9]+"))),_xlfn.REGEXEXTRACT(CELL("address",R38), "\$([A-Z]+)\$[0-9]+"))</f>
        <v/>
      </c>
      <c r="S38" s="7" t="str" cm="1">
        <f t="array" aca="1" ref="S38" ca="1">IFERROR(IF(OR('Raw Data'!S38="",LEN(TRIM('Raw Data'!S38))=0),"",IF(AND(ISNUMBER('Raw Data'!S38), IFERROR('Raw Data'!S38 = ROUND('Raw Data'!S38, 2),FALSE)),"",_xlfn.REGEXEXTRACT(CELL("address",S38), "\$([A-Z]+)\$[0-9]+"))),_xlfn.REGEXEXTRACT(CELL("address",S38), "\$([A-Z]+)\$[0-9]+"))</f>
        <v/>
      </c>
      <c r="T38" s="7" t="str" cm="1">
        <f t="array" aca="1" ref="T38" ca="1">IFERROR(IF(OR('Raw Data'!T38="",LEN(TRIM('Raw Data'!T38))=0),"",IF(AND(ISNUMBER('Raw Data'!T38), IFERROR('Raw Data'!T38 = ROUND('Raw Data'!T38, 2),FALSE)),"",_xlfn.REGEXEXTRACT(CELL("address",T38), "\$([A-Z]+)\$[0-9]+"))),_xlfn.REGEXEXTRACT(CELL("address",T38), "\$([A-Z]+)\$[0-9]+"))</f>
        <v/>
      </c>
      <c r="U38" s="7" t="str" cm="1">
        <f t="array" aca="1" ref="U38" ca="1">IFERROR(IF(OR('Raw Data'!U38="",LEN(TRIM('Raw Data'!U38))=0),"",IF(AND(LEN('Raw Data'!U38) &lt;= 5,LEN('Raw Data'!U38)&gt; 0),"",_xlfn.REGEXEXTRACT(CELL("address",'Raw Data'!U38),"\$([A-Z]+)\$[0-9]+"))),_xlfn.REGEXEXTRACT(CELL("address",'Raw Data'!U38),"\$([A-Z]+)\$[0-9]+"))</f>
        <v/>
      </c>
      <c r="V38" s="7" t="str" cm="1">
        <f t="array" aca="1" ref="V38" ca="1">IFERROR(IF(OR('Raw Data'!V38="",LEN(TRIM('Raw Data'!V38))=0),"",IF(AND(ISNUMBER('Raw Data'!V38), IFERROR('Raw Data'!V38 = ROUND('Raw Data'!V38, 2),FALSE)),"",_xlfn.REGEXEXTRACT(CELL("address",V38), "\$([A-Z]+)\$[0-9]+"))),_xlfn.REGEXEXTRACT(CELL("address",V38), "\$([A-Z]+)\$[0-9]+"))</f>
        <v/>
      </c>
      <c r="W38" s="7" t="str" cm="1">
        <f t="array" aca="1" ref="W38" ca="1">IFERROR(IF(OR('Raw Data'!W38="",LEN(TRIM('Raw Data'!W38))=0),"",IF(AND(ISNUMBER('Raw Data'!W38), IFERROR('Raw Data'!W38 = ROUND('Raw Data'!W38, 2),FALSE)),"",_xlfn.REGEXEXTRACT(CELL("address",W38), "\$([A-Z]+)\$[0-9]+"))),_xlfn.REGEXEXTRACT(CELL("address",W38), "\$([A-Z]+)\$[0-9]+"))</f>
        <v/>
      </c>
      <c r="X38" s="7" t="str" cm="1">
        <f t="array" aca="1" ref="X38" ca="1">IFERROR(IF(OR('Raw Data'!X38="",LEN(TRIM('Raw Data'!X38))=0),"",IF(AND(ISNUMBER('Raw Data'!X38), IFERROR('Raw Data'!X38 = ROUND('Raw Data'!X38, 2),FALSE)),"",_xlfn.REGEXEXTRACT(CELL("address",X38), "\$([A-Z]+)\$[0-9]+"))),_xlfn.REGEXEXTRACT(CELL("address",X38), "\$([A-Z]+)\$[0-9]+"))</f>
        <v/>
      </c>
    </row>
    <row r="39" spans="2:24" x14ac:dyDescent="0.25">
      <c r="B39" s="7" t="str" cm="1">
        <f t="array" aca="1" ref="B39" ca="1">IFERROR(IF(OR('Raw Data'!B39="",LEN(TRIM('Raw Data'!B39))=0),"",IF(AND(LEN('Raw Data'!B39) &lt;= 50,LEN('Raw Data'!B39)&gt; 0),"",_xlfn.REGEXEXTRACT(CELL("address",'Raw Data'!B39),"\$([A-Z]+)\$[0-9]+"))),_xlfn.REGEXEXTRACT(CELL("address",'Raw Data'!B39),"\$([A-Z]+)\$[0-9]+"))</f>
        <v/>
      </c>
      <c r="C39" s="7" t="str" cm="1">
        <f t="array" aca="1" ref="C39" ca="1">IFERROR(IF(OR('Raw Data'!C39="",LEN(TRIM('Raw Data'!C39))=0),"",IF(AND(LEN('Raw Data'!C39) &lt;= 50,LEN('Raw Data'!C39)&gt; 0),"",_xlfn.REGEXEXTRACT(CELL("address",'Raw Data'!C39),"\$([A-Z]+)\$[0-9]+"))),_xlfn.REGEXEXTRACT(CELL("address",'Raw Data'!C39),"\$([A-Z]+)\$[0-9]+"))</f>
        <v/>
      </c>
      <c r="D39" s="7" t="str" cm="1">
        <f t="array" aca="1" ref="D39" ca="1">IFERROR(IF(OR('Raw Data'!D39="",LEN(TRIM('Raw Data'!D39))=0),"",IF(AND(LEN('Raw Data'!D39) &lt;= 255,LEN('Raw Data'!D39)&gt; 0),"",_xlfn.REGEXEXTRACT(CELL("address",'Raw Data'!D39),"\$([A-Z]+)\$[0-9]+"))),_xlfn.REGEXEXTRACT(CELL("address",'Raw Data'!D39),"\$([A-Z]+)\$[0-9]+"))</f>
        <v/>
      </c>
      <c r="E39" s="7" t="str" cm="1">
        <f t="array" aca="1" ref="E39" ca="1">IFERROR(IF(OR('Raw Data'!E39="",LEN(TRIM('Raw Data'!E39))=0),"",IF(AND(ISNUMBER('Raw Data'!E39),'Raw Data'!E39&gt;=Configuration!$D$2),"",_xlfn.REGEXEXTRACT(CELL("address",'Raw Data'!E39),"\$([A-Z]+)\$[0-9]+"))),_xlfn.REGEXEXTRACT(CELL("address",E39), "\$([A-Z]+)\$[0-9]+"))</f>
        <v/>
      </c>
      <c r="F39" s="7" t="str" cm="1">
        <f t="array" aca="1" ref="F39" ca="1">IFERROR(IF(OR('Raw Data'!F39="",LEN(TRIM('Raw Data'!F39))=0),"",IF(AND(LEN('Raw Data'!F39) &lt;= 20,LEN('Raw Data'!F39)&gt; 0),"",_xlfn.REGEXEXTRACT(CELL("address",'Raw Data'!F39),"\$([A-Z]+)\$[0-9]+"))),_xlfn.REGEXEXTRACT(CELL("address",'Raw Data'!F39),"\$([A-Z]+)\$[0-9]+"))</f>
        <v/>
      </c>
      <c r="G39" s="7" t="str" cm="1">
        <f t="array" aca="1" ref="G39" ca="1">IFERROR(IF(OR('Raw Data'!G39="",LEN(TRIM('Raw Data'!G39))=0),"",IF(AND(ISNUMBER('Raw Data'!G39), IFERROR('Raw Data'!G39 = ROUND('Raw Data'!G39, 2),FALSE)),"",_xlfn.REGEXEXTRACT(CELL("address",G39), "\$([A-Z]+)\$[0-9]+"))),_xlfn.REGEXEXTRACT(CELL("address",G39), "\$([A-Z]+)\$[0-9]+"))</f>
        <v/>
      </c>
      <c r="H39" s="7" t="str" cm="1">
        <f t="array" aca="1" ref="H39" ca="1">IFERROR(IF(OR('Raw Data'!H39="",LEN(TRIM('Raw Data'!H39))=0),"",IF(AND(ISNUMBER('Raw Data'!H39), IFERROR('Raw Data'!H39 = ROUND('Raw Data'!H39, 2),FALSE)),"",_xlfn.REGEXEXTRACT(CELL("address",H39), "\$([A-Z]+)\$[0-9]+"))),_xlfn.REGEXEXTRACT(CELL("address",H39), "\$([A-Z]+)\$[0-9]+"))</f>
        <v/>
      </c>
      <c r="I39" s="7" t="str" cm="1">
        <f t="array" aca="1" ref="I39" ca="1">IFERROR(IF(OR('Raw Data'!I39="",LEN(TRIM('Raw Data'!I39))=0),"",IF(AND(LEN('Raw Data'!I39) &lt;= 50,LEN('Raw Data'!I39)&gt; 0),"",_xlfn.REGEXEXTRACT(CELL("address",'Raw Data'!I39),"\$([A-Z]+)\$[0-9]+"))),_xlfn.REGEXEXTRACT(CELL("address",'Raw Data'!I39),"\$([A-Z]+)\$[0-9]+"))</f>
        <v/>
      </c>
      <c r="J39" s="7" t="str" cm="1">
        <f t="array" aca="1" ref="J39" ca="1">IFERROR(IF(OR('Raw Data'!J39="",LEN(TRIM('Raw Data'!J39))=0),"",IF(AND(ISNUMBER('Raw Data'!J39),'Raw Data'!J39&gt;=Configuration!$D$2),"",_xlfn.REGEXEXTRACT(CELL("address",'Raw Data'!J39),"\$([A-Z]+)\$[0-9]+"))),_xlfn.REGEXEXTRACT(CELL("address",J39), "\$([A-Z]+)\$[0-9]+"))</f>
        <v/>
      </c>
      <c r="K39" s="7" t="str" cm="1">
        <f t="array" aca="1" ref="K39" ca="1">IFERROR(IF(OR('Raw Data'!K39="",LEN(TRIM('Raw Data'!K39))=0),"",IF(AND(ISNUMBER('Raw Data'!K39), IFERROR('Raw Data'!K39 = ROUND('Raw Data'!K39, 2),FALSE)),"",_xlfn.REGEXEXTRACT(CELL("address",K39), "\$([A-Z]+)\$[0-9]+"))),_xlfn.REGEXEXTRACT(CELL("address",K39), "\$([A-Z]+)\$[0-9]+"))</f>
        <v/>
      </c>
      <c r="L39" s="7" t="str" cm="1">
        <f t="array" aca="1" ref="L39" ca="1">IFERROR(IF(OR('Raw Data'!L39="",LEN(TRIM('Raw Data'!L39))=0),"",IF(AND(ISNUMBER('Raw Data'!L39), IFERROR('Raw Data'!L39 = ROUND('Raw Data'!L39, 2),FALSE)),"",_xlfn.REGEXEXTRACT(CELL("address",L39), "\$([A-Z]+)\$[0-9]+"))),_xlfn.REGEXEXTRACT(CELL("address",L39), "\$([A-Z]+)\$[0-9]+"))</f>
        <v/>
      </c>
      <c r="M39" s="7" t="str" cm="1">
        <f t="array" aca="1" ref="M39" ca="1">IFERROR(IF(OR('Raw Data'!M39="",LEN(TRIM('Raw Data'!M39))=0),"",IF(AND(ISNUMBER('Raw Data'!M39), IFERROR('Raw Data'!M39 = ROUND('Raw Data'!M39, 2),FALSE)),"",_xlfn.REGEXEXTRACT(CELL("address",M39), "\$([A-Z]+)\$[0-9]+"))),_xlfn.REGEXEXTRACT(CELL("address",M39), "\$([A-Z]+)\$[0-9]+"))</f>
        <v/>
      </c>
      <c r="N39" s="7" t="str" cm="1">
        <f t="array" aca="1" ref="N39" ca="1">IFERROR(IF(OR('Raw Data'!N39="",LEN(TRIM('Raw Data'!N39))=0),"",IF(AND(ISNUMBER('Raw Data'!N39), IFERROR('Raw Data'!N39 = ROUND('Raw Data'!N39, 2),FALSE)),"",_xlfn.REGEXEXTRACT(CELL("address",N39), "\$([A-Z]+)\$[0-9]+"))),_xlfn.REGEXEXTRACT(CELL("address",N39), "\$([A-Z]+)\$[0-9]+"))</f>
        <v/>
      </c>
      <c r="O39" s="7" t="str" cm="1">
        <f t="array" aca="1" ref="O39" ca="1">IFERROR(IF(OR('Raw Data'!O39="",LEN(TRIM('Raw Data'!O39))=0),"",IF(AND(ISNUMBER('Raw Data'!O39), IFERROR('Raw Data'!O39 = ROUND('Raw Data'!O39, 2),FALSE)),"",_xlfn.REGEXEXTRACT(CELL("address",O39), "\$([A-Z]+)\$[0-9]+"))),_xlfn.REGEXEXTRACT(CELL("address",O39), "\$([A-Z]+)\$[0-9]+"))</f>
        <v/>
      </c>
      <c r="P39" s="7" t="str" cm="1">
        <f t="array" aca="1" ref="P39" ca="1">IFERROR(IF(OR('Raw Data'!P39="",LEN(TRIM('Raw Data'!P39))=0),"",IF(AND(ISNUMBER('Raw Data'!P39),'Raw Data'!P39&gt;=Configuration!$D$2),"",_xlfn.REGEXEXTRACT(CELL("address",'Raw Data'!P39),"\$([A-Z]+)\$[0-9]+"))),_xlfn.REGEXEXTRACT(CELL("address",P39), "\$([A-Z]+)\$[0-9]+"))</f>
        <v/>
      </c>
      <c r="Q39" s="7" t="str" cm="1">
        <f t="array" aca="1" ref="Q39" ca="1">IFERROR(IF(OR('Raw Data'!Q39="",LEN(TRIM('Raw Data'!Q39))=0),"",IF(AND(ISNUMBER('Raw Data'!Q39),'Raw Data'!Q39&gt;=Configuration!$D$2),"",_xlfn.REGEXEXTRACT(CELL("address",'Raw Data'!Q39),"\$([A-Z]+)\$[0-9]+"))),_xlfn.REGEXEXTRACT(CELL("address",Q39), "\$([A-Z]+)\$[0-9]+"))</f>
        <v/>
      </c>
      <c r="R39" s="7" t="str" cm="1">
        <f t="array" aca="1" ref="R39" ca="1">IFERROR(IF(OR('Raw Data'!R39="",LEN(TRIM('Raw Data'!R39))=0),"",IF(AND(ISNUMBER('Raw Data'!R39), IFERROR('Raw Data'!R39 = ROUND('Raw Data'!R39, 2),FALSE)),"",_xlfn.REGEXEXTRACT(CELL("address",R39), "\$([A-Z]+)\$[0-9]+"))),_xlfn.REGEXEXTRACT(CELL("address",R39), "\$([A-Z]+)\$[0-9]+"))</f>
        <v/>
      </c>
      <c r="S39" s="7" t="str" cm="1">
        <f t="array" aca="1" ref="S39" ca="1">IFERROR(IF(OR('Raw Data'!S39="",LEN(TRIM('Raw Data'!S39))=0),"",IF(AND(ISNUMBER('Raw Data'!S39), IFERROR('Raw Data'!S39 = ROUND('Raw Data'!S39, 2),FALSE)),"",_xlfn.REGEXEXTRACT(CELL("address",S39), "\$([A-Z]+)\$[0-9]+"))),_xlfn.REGEXEXTRACT(CELL("address",S39), "\$([A-Z]+)\$[0-9]+"))</f>
        <v/>
      </c>
      <c r="T39" s="7" t="str" cm="1">
        <f t="array" aca="1" ref="T39" ca="1">IFERROR(IF(OR('Raw Data'!T39="",LEN(TRIM('Raw Data'!T39))=0),"",IF(AND(ISNUMBER('Raw Data'!T39), IFERROR('Raw Data'!T39 = ROUND('Raw Data'!T39, 2),FALSE)),"",_xlfn.REGEXEXTRACT(CELL("address",T39), "\$([A-Z]+)\$[0-9]+"))),_xlfn.REGEXEXTRACT(CELL("address",T39), "\$([A-Z]+)\$[0-9]+"))</f>
        <v/>
      </c>
      <c r="U39" s="7" t="str" cm="1">
        <f t="array" aca="1" ref="U39" ca="1">IFERROR(IF(OR('Raw Data'!U39="",LEN(TRIM('Raw Data'!U39))=0),"",IF(AND(LEN('Raw Data'!U39) &lt;= 5,LEN('Raw Data'!U39)&gt; 0),"",_xlfn.REGEXEXTRACT(CELL("address",'Raw Data'!U39),"\$([A-Z]+)\$[0-9]+"))),_xlfn.REGEXEXTRACT(CELL("address",'Raw Data'!U39),"\$([A-Z]+)\$[0-9]+"))</f>
        <v/>
      </c>
      <c r="V39" s="7" t="str" cm="1">
        <f t="array" aca="1" ref="V39" ca="1">IFERROR(IF(OR('Raw Data'!V39="",LEN(TRIM('Raw Data'!V39))=0),"",IF(AND(ISNUMBER('Raw Data'!V39), IFERROR('Raw Data'!V39 = ROUND('Raw Data'!V39, 2),FALSE)),"",_xlfn.REGEXEXTRACT(CELL("address",V39), "\$([A-Z]+)\$[0-9]+"))),_xlfn.REGEXEXTRACT(CELL("address",V39), "\$([A-Z]+)\$[0-9]+"))</f>
        <v/>
      </c>
      <c r="W39" s="7" t="str" cm="1">
        <f t="array" aca="1" ref="W39" ca="1">IFERROR(IF(OR('Raw Data'!W39="",LEN(TRIM('Raw Data'!W39))=0),"",IF(AND(ISNUMBER('Raw Data'!W39), IFERROR('Raw Data'!W39 = ROUND('Raw Data'!W39, 2),FALSE)),"",_xlfn.REGEXEXTRACT(CELL("address",W39), "\$([A-Z]+)\$[0-9]+"))),_xlfn.REGEXEXTRACT(CELL("address",W39), "\$([A-Z]+)\$[0-9]+"))</f>
        <v/>
      </c>
      <c r="X39" s="7" t="str" cm="1">
        <f t="array" aca="1" ref="X39" ca="1">IFERROR(IF(OR('Raw Data'!X39="",LEN(TRIM('Raw Data'!X39))=0),"",IF(AND(ISNUMBER('Raw Data'!X39), IFERROR('Raw Data'!X39 = ROUND('Raw Data'!X39, 2),FALSE)),"",_xlfn.REGEXEXTRACT(CELL("address",X39), "\$([A-Z]+)\$[0-9]+"))),_xlfn.REGEXEXTRACT(CELL("address",X39), "\$([A-Z]+)\$[0-9]+"))</f>
        <v/>
      </c>
    </row>
    <row r="40" spans="2:24" x14ac:dyDescent="0.25">
      <c r="B40" s="7" t="str" cm="1">
        <f t="array" aca="1" ref="B40" ca="1">IFERROR(IF(OR('Raw Data'!B40="",LEN(TRIM('Raw Data'!B40))=0),"",IF(AND(LEN('Raw Data'!B40) &lt;= 50,LEN('Raw Data'!B40)&gt; 0),"",_xlfn.REGEXEXTRACT(CELL("address",'Raw Data'!B40),"\$([A-Z]+)\$[0-9]+"))),_xlfn.REGEXEXTRACT(CELL("address",'Raw Data'!B40),"\$([A-Z]+)\$[0-9]+"))</f>
        <v/>
      </c>
      <c r="C40" s="7" t="str" cm="1">
        <f t="array" aca="1" ref="C40" ca="1">IFERROR(IF(OR('Raw Data'!C40="",LEN(TRIM('Raw Data'!C40))=0),"",IF(AND(LEN('Raw Data'!C40) &lt;= 50,LEN('Raw Data'!C40)&gt; 0),"",_xlfn.REGEXEXTRACT(CELL("address",'Raw Data'!C40),"\$([A-Z]+)\$[0-9]+"))),_xlfn.REGEXEXTRACT(CELL("address",'Raw Data'!C40),"\$([A-Z]+)\$[0-9]+"))</f>
        <v/>
      </c>
      <c r="D40" s="7" t="str" cm="1">
        <f t="array" aca="1" ref="D40" ca="1">IFERROR(IF(OR('Raw Data'!D40="",LEN(TRIM('Raw Data'!D40))=0),"",IF(AND(LEN('Raw Data'!D40) &lt;= 255,LEN('Raw Data'!D40)&gt; 0),"",_xlfn.REGEXEXTRACT(CELL("address",'Raw Data'!D40),"\$([A-Z]+)\$[0-9]+"))),_xlfn.REGEXEXTRACT(CELL("address",'Raw Data'!D40),"\$([A-Z]+)\$[0-9]+"))</f>
        <v/>
      </c>
      <c r="E40" s="7" t="str" cm="1">
        <f t="array" aca="1" ref="E40" ca="1">IFERROR(IF(OR('Raw Data'!E40="",LEN(TRIM('Raw Data'!E40))=0),"",IF(AND(ISNUMBER('Raw Data'!E40),'Raw Data'!E40&gt;=Configuration!$D$2),"",_xlfn.REGEXEXTRACT(CELL("address",'Raw Data'!E40),"\$([A-Z]+)\$[0-9]+"))),_xlfn.REGEXEXTRACT(CELL("address",E40), "\$([A-Z]+)\$[0-9]+"))</f>
        <v/>
      </c>
      <c r="F40" s="7" t="str" cm="1">
        <f t="array" aca="1" ref="F40" ca="1">IFERROR(IF(OR('Raw Data'!F40="",LEN(TRIM('Raw Data'!F40))=0),"",IF(AND(LEN('Raw Data'!F40) &lt;= 20,LEN('Raw Data'!F40)&gt; 0),"",_xlfn.REGEXEXTRACT(CELL("address",'Raw Data'!F40),"\$([A-Z]+)\$[0-9]+"))),_xlfn.REGEXEXTRACT(CELL("address",'Raw Data'!F40),"\$([A-Z]+)\$[0-9]+"))</f>
        <v/>
      </c>
      <c r="G40" s="7" t="str" cm="1">
        <f t="array" aca="1" ref="G40" ca="1">IFERROR(IF(OR('Raw Data'!G40="",LEN(TRIM('Raw Data'!G40))=0),"",IF(AND(ISNUMBER('Raw Data'!G40), IFERROR('Raw Data'!G40 = ROUND('Raw Data'!G40, 2),FALSE)),"",_xlfn.REGEXEXTRACT(CELL("address",G40), "\$([A-Z]+)\$[0-9]+"))),_xlfn.REGEXEXTRACT(CELL("address",G40), "\$([A-Z]+)\$[0-9]+"))</f>
        <v/>
      </c>
      <c r="H40" s="7" t="str" cm="1">
        <f t="array" aca="1" ref="H40" ca="1">IFERROR(IF(OR('Raw Data'!H40="",LEN(TRIM('Raw Data'!H40))=0),"",IF(AND(ISNUMBER('Raw Data'!H40), IFERROR('Raw Data'!H40 = ROUND('Raw Data'!H40, 2),FALSE)),"",_xlfn.REGEXEXTRACT(CELL("address",H40), "\$([A-Z]+)\$[0-9]+"))),_xlfn.REGEXEXTRACT(CELL("address",H40), "\$([A-Z]+)\$[0-9]+"))</f>
        <v/>
      </c>
      <c r="I40" s="7" t="str" cm="1">
        <f t="array" aca="1" ref="I40" ca="1">IFERROR(IF(OR('Raw Data'!I40="",LEN(TRIM('Raw Data'!I40))=0),"",IF(AND(LEN('Raw Data'!I40) &lt;= 50,LEN('Raw Data'!I40)&gt; 0),"",_xlfn.REGEXEXTRACT(CELL("address",'Raw Data'!I40),"\$([A-Z]+)\$[0-9]+"))),_xlfn.REGEXEXTRACT(CELL("address",'Raw Data'!I40),"\$([A-Z]+)\$[0-9]+"))</f>
        <v/>
      </c>
      <c r="J40" s="7" t="str" cm="1">
        <f t="array" aca="1" ref="J40" ca="1">IFERROR(IF(OR('Raw Data'!J40="",LEN(TRIM('Raw Data'!J40))=0),"",IF(AND(ISNUMBER('Raw Data'!J40),'Raw Data'!J40&gt;=Configuration!$D$2),"",_xlfn.REGEXEXTRACT(CELL("address",'Raw Data'!J40),"\$([A-Z]+)\$[0-9]+"))),_xlfn.REGEXEXTRACT(CELL("address",J40), "\$([A-Z]+)\$[0-9]+"))</f>
        <v/>
      </c>
      <c r="K40" s="7" t="str" cm="1">
        <f t="array" aca="1" ref="K40" ca="1">IFERROR(IF(OR('Raw Data'!K40="",LEN(TRIM('Raw Data'!K40))=0),"",IF(AND(ISNUMBER('Raw Data'!K40), IFERROR('Raw Data'!K40 = ROUND('Raw Data'!K40, 2),FALSE)),"",_xlfn.REGEXEXTRACT(CELL("address",K40), "\$([A-Z]+)\$[0-9]+"))),_xlfn.REGEXEXTRACT(CELL("address",K40), "\$([A-Z]+)\$[0-9]+"))</f>
        <v/>
      </c>
      <c r="L40" s="7" t="str" cm="1">
        <f t="array" aca="1" ref="L40" ca="1">IFERROR(IF(OR('Raw Data'!L40="",LEN(TRIM('Raw Data'!L40))=0),"",IF(AND(ISNUMBER('Raw Data'!L40), IFERROR('Raw Data'!L40 = ROUND('Raw Data'!L40, 2),FALSE)),"",_xlfn.REGEXEXTRACT(CELL("address",L40), "\$([A-Z]+)\$[0-9]+"))),_xlfn.REGEXEXTRACT(CELL("address",L40), "\$([A-Z]+)\$[0-9]+"))</f>
        <v/>
      </c>
      <c r="M40" s="7" t="str" cm="1">
        <f t="array" aca="1" ref="M40" ca="1">IFERROR(IF(OR('Raw Data'!M40="",LEN(TRIM('Raw Data'!M40))=0),"",IF(AND(ISNUMBER('Raw Data'!M40), IFERROR('Raw Data'!M40 = ROUND('Raw Data'!M40, 2),FALSE)),"",_xlfn.REGEXEXTRACT(CELL("address",M40), "\$([A-Z]+)\$[0-9]+"))),_xlfn.REGEXEXTRACT(CELL("address",M40), "\$([A-Z]+)\$[0-9]+"))</f>
        <v/>
      </c>
      <c r="N40" s="7" t="str" cm="1">
        <f t="array" aca="1" ref="N40" ca="1">IFERROR(IF(OR('Raw Data'!N40="",LEN(TRIM('Raw Data'!N40))=0),"",IF(AND(ISNUMBER('Raw Data'!N40), IFERROR('Raw Data'!N40 = ROUND('Raw Data'!N40, 2),FALSE)),"",_xlfn.REGEXEXTRACT(CELL("address",N40), "\$([A-Z]+)\$[0-9]+"))),_xlfn.REGEXEXTRACT(CELL("address",N40), "\$([A-Z]+)\$[0-9]+"))</f>
        <v/>
      </c>
      <c r="O40" s="7" t="str" cm="1">
        <f t="array" aca="1" ref="O40" ca="1">IFERROR(IF(OR('Raw Data'!O40="",LEN(TRIM('Raw Data'!O40))=0),"",IF(AND(ISNUMBER('Raw Data'!O40), IFERROR('Raw Data'!O40 = ROUND('Raw Data'!O40, 2),FALSE)),"",_xlfn.REGEXEXTRACT(CELL("address",O40), "\$([A-Z]+)\$[0-9]+"))),_xlfn.REGEXEXTRACT(CELL("address",O40), "\$([A-Z]+)\$[0-9]+"))</f>
        <v/>
      </c>
      <c r="P40" s="7" t="str" cm="1">
        <f t="array" aca="1" ref="P40" ca="1">IFERROR(IF(OR('Raw Data'!P40="",LEN(TRIM('Raw Data'!P40))=0),"",IF(AND(ISNUMBER('Raw Data'!P40),'Raw Data'!P40&gt;=Configuration!$D$2),"",_xlfn.REGEXEXTRACT(CELL("address",'Raw Data'!P40),"\$([A-Z]+)\$[0-9]+"))),_xlfn.REGEXEXTRACT(CELL("address",P40), "\$([A-Z]+)\$[0-9]+"))</f>
        <v/>
      </c>
      <c r="Q40" s="7" t="str" cm="1">
        <f t="array" aca="1" ref="Q40" ca="1">IFERROR(IF(OR('Raw Data'!Q40="",LEN(TRIM('Raw Data'!Q40))=0),"",IF(AND(ISNUMBER('Raw Data'!Q40),'Raw Data'!Q40&gt;=Configuration!$D$2),"",_xlfn.REGEXEXTRACT(CELL("address",'Raw Data'!Q40),"\$([A-Z]+)\$[0-9]+"))),_xlfn.REGEXEXTRACT(CELL("address",Q40), "\$([A-Z]+)\$[0-9]+"))</f>
        <v/>
      </c>
      <c r="R40" s="7" t="str" cm="1">
        <f t="array" aca="1" ref="R40" ca="1">IFERROR(IF(OR('Raw Data'!R40="",LEN(TRIM('Raw Data'!R40))=0),"",IF(AND(ISNUMBER('Raw Data'!R40), IFERROR('Raw Data'!R40 = ROUND('Raw Data'!R40, 2),FALSE)),"",_xlfn.REGEXEXTRACT(CELL("address",R40), "\$([A-Z]+)\$[0-9]+"))),_xlfn.REGEXEXTRACT(CELL("address",R40), "\$([A-Z]+)\$[0-9]+"))</f>
        <v/>
      </c>
      <c r="S40" s="7" t="str" cm="1">
        <f t="array" aca="1" ref="S40" ca="1">IFERROR(IF(OR('Raw Data'!S40="",LEN(TRIM('Raw Data'!S40))=0),"",IF(AND(ISNUMBER('Raw Data'!S40), IFERROR('Raw Data'!S40 = ROUND('Raw Data'!S40, 2),FALSE)),"",_xlfn.REGEXEXTRACT(CELL("address",S40), "\$([A-Z]+)\$[0-9]+"))),_xlfn.REGEXEXTRACT(CELL("address",S40), "\$([A-Z]+)\$[0-9]+"))</f>
        <v/>
      </c>
      <c r="T40" s="7" t="str" cm="1">
        <f t="array" aca="1" ref="T40" ca="1">IFERROR(IF(OR('Raw Data'!T40="",LEN(TRIM('Raw Data'!T40))=0),"",IF(AND(ISNUMBER('Raw Data'!T40), IFERROR('Raw Data'!T40 = ROUND('Raw Data'!T40, 2),FALSE)),"",_xlfn.REGEXEXTRACT(CELL("address",T40), "\$([A-Z]+)\$[0-9]+"))),_xlfn.REGEXEXTRACT(CELL("address",T40), "\$([A-Z]+)\$[0-9]+"))</f>
        <v/>
      </c>
      <c r="U40" s="7" t="str" cm="1">
        <f t="array" aca="1" ref="U40" ca="1">IFERROR(IF(OR('Raw Data'!U40="",LEN(TRIM('Raw Data'!U40))=0),"",IF(AND(LEN('Raw Data'!U40) &lt;= 5,LEN('Raw Data'!U40)&gt; 0),"",_xlfn.REGEXEXTRACT(CELL("address",'Raw Data'!U40),"\$([A-Z]+)\$[0-9]+"))),_xlfn.REGEXEXTRACT(CELL("address",'Raw Data'!U40),"\$([A-Z]+)\$[0-9]+"))</f>
        <v/>
      </c>
      <c r="V40" s="7" t="str" cm="1">
        <f t="array" aca="1" ref="V40" ca="1">IFERROR(IF(OR('Raw Data'!V40="",LEN(TRIM('Raw Data'!V40))=0),"",IF(AND(ISNUMBER('Raw Data'!V40), IFERROR('Raw Data'!V40 = ROUND('Raw Data'!V40, 2),FALSE)),"",_xlfn.REGEXEXTRACT(CELL("address",V40), "\$([A-Z]+)\$[0-9]+"))),_xlfn.REGEXEXTRACT(CELL("address",V40), "\$([A-Z]+)\$[0-9]+"))</f>
        <v/>
      </c>
      <c r="W40" s="7" t="str" cm="1">
        <f t="array" aca="1" ref="W40" ca="1">IFERROR(IF(OR('Raw Data'!W40="",LEN(TRIM('Raw Data'!W40))=0),"",IF(AND(ISNUMBER('Raw Data'!W40), IFERROR('Raw Data'!W40 = ROUND('Raw Data'!W40, 2),FALSE)),"",_xlfn.REGEXEXTRACT(CELL("address",W40), "\$([A-Z]+)\$[0-9]+"))),_xlfn.REGEXEXTRACT(CELL("address",W40), "\$([A-Z]+)\$[0-9]+"))</f>
        <v/>
      </c>
      <c r="X40" s="7" t="str" cm="1">
        <f t="array" aca="1" ref="X40" ca="1">IFERROR(IF(OR('Raw Data'!X40="",LEN(TRIM('Raw Data'!X40))=0),"",IF(AND(ISNUMBER('Raw Data'!X40), IFERROR('Raw Data'!X40 = ROUND('Raw Data'!X40, 2),FALSE)),"",_xlfn.REGEXEXTRACT(CELL("address",X40), "\$([A-Z]+)\$[0-9]+"))),_xlfn.REGEXEXTRACT(CELL("address",X40), "\$([A-Z]+)\$[0-9]+"))</f>
        <v/>
      </c>
    </row>
    <row r="41" spans="2:24" x14ac:dyDescent="0.25">
      <c r="B41" s="7" t="str" cm="1">
        <f t="array" aca="1" ref="B41" ca="1">IFERROR(IF(OR('Raw Data'!B41="",LEN(TRIM('Raw Data'!B41))=0),"",IF(AND(LEN('Raw Data'!B41) &lt;= 50,LEN('Raw Data'!B41)&gt; 0),"",_xlfn.REGEXEXTRACT(CELL("address",'Raw Data'!B41),"\$([A-Z]+)\$[0-9]+"))),_xlfn.REGEXEXTRACT(CELL("address",'Raw Data'!B41),"\$([A-Z]+)\$[0-9]+"))</f>
        <v/>
      </c>
      <c r="C41" s="7" t="str" cm="1">
        <f t="array" aca="1" ref="C41" ca="1">IFERROR(IF(OR('Raw Data'!C41="",LEN(TRIM('Raw Data'!C41))=0),"",IF(AND(LEN('Raw Data'!C41) &lt;= 50,LEN('Raw Data'!C41)&gt; 0),"",_xlfn.REGEXEXTRACT(CELL("address",'Raw Data'!C41),"\$([A-Z]+)\$[0-9]+"))),_xlfn.REGEXEXTRACT(CELL("address",'Raw Data'!C41),"\$([A-Z]+)\$[0-9]+"))</f>
        <v/>
      </c>
      <c r="D41" s="7" t="str" cm="1">
        <f t="array" aca="1" ref="D41" ca="1">IFERROR(IF(OR('Raw Data'!D41="",LEN(TRIM('Raw Data'!D41))=0),"",IF(AND(LEN('Raw Data'!D41) &lt;= 255,LEN('Raw Data'!D41)&gt; 0),"",_xlfn.REGEXEXTRACT(CELL("address",'Raw Data'!D41),"\$([A-Z]+)\$[0-9]+"))),_xlfn.REGEXEXTRACT(CELL("address",'Raw Data'!D41),"\$([A-Z]+)\$[0-9]+"))</f>
        <v/>
      </c>
      <c r="E41" s="7" t="str" cm="1">
        <f t="array" aca="1" ref="E41" ca="1">IFERROR(IF(OR('Raw Data'!E41="",LEN(TRIM('Raw Data'!E41))=0),"",IF(AND(ISNUMBER('Raw Data'!E41),'Raw Data'!E41&gt;=Configuration!$D$2),"",_xlfn.REGEXEXTRACT(CELL("address",'Raw Data'!E41),"\$([A-Z]+)\$[0-9]+"))),_xlfn.REGEXEXTRACT(CELL("address",E41), "\$([A-Z]+)\$[0-9]+"))</f>
        <v/>
      </c>
      <c r="F41" s="7" t="str" cm="1">
        <f t="array" aca="1" ref="F41" ca="1">IFERROR(IF(OR('Raw Data'!F41="",LEN(TRIM('Raw Data'!F41))=0),"",IF(AND(LEN('Raw Data'!F41) &lt;= 20,LEN('Raw Data'!F41)&gt; 0),"",_xlfn.REGEXEXTRACT(CELL("address",'Raw Data'!F41),"\$([A-Z]+)\$[0-9]+"))),_xlfn.REGEXEXTRACT(CELL("address",'Raw Data'!F41),"\$([A-Z]+)\$[0-9]+"))</f>
        <v/>
      </c>
      <c r="G41" s="7" t="str" cm="1">
        <f t="array" aca="1" ref="G41" ca="1">IFERROR(IF(OR('Raw Data'!G41="",LEN(TRIM('Raw Data'!G41))=0),"",IF(AND(ISNUMBER('Raw Data'!G41), IFERROR('Raw Data'!G41 = ROUND('Raw Data'!G41, 2),FALSE)),"",_xlfn.REGEXEXTRACT(CELL("address",G41), "\$([A-Z]+)\$[0-9]+"))),_xlfn.REGEXEXTRACT(CELL("address",G41), "\$([A-Z]+)\$[0-9]+"))</f>
        <v/>
      </c>
      <c r="H41" s="7" t="str" cm="1">
        <f t="array" aca="1" ref="H41" ca="1">IFERROR(IF(OR('Raw Data'!H41="",LEN(TRIM('Raw Data'!H41))=0),"",IF(AND(ISNUMBER('Raw Data'!H41), IFERROR('Raw Data'!H41 = ROUND('Raw Data'!H41, 2),FALSE)),"",_xlfn.REGEXEXTRACT(CELL("address",H41), "\$([A-Z]+)\$[0-9]+"))),_xlfn.REGEXEXTRACT(CELL("address",H41), "\$([A-Z]+)\$[0-9]+"))</f>
        <v/>
      </c>
      <c r="I41" s="7" t="str" cm="1">
        <f t="array" aca="1" ref="I41" ca="1">IFERROR(IF(OR('Raw Data'!I41="",LEN(TRIM('Raw Data'!I41))=0),"",IF(AND(LEN('Raw Data'!I41) &lt;= 50,LEN('Raw Data'!I41)&gt; 0),"",_xlfn.REGEXEXTRACT(CELL("address",'Raw Data'!I41),"\$([A-Z]+)\$[0-9]+"))),_xlfn.REGEXEXTRACT(CELL("address",'Raw Data'!I41),"\$([A-Z]+)\$[0-9]+"))</f>
        <v/>
      </c>
      <c r="J41" s="7" t="str" cm="1">
        <f t="array" aca="1" ref="J41" ca="1">IFERROR(IF(OR('Raw Data'!J41="",LEN(TRIM('Raw Data'!J41))=0),"",IF(AND(ISNUMBER('Raw Data'!J41),'Raw Data'!J41&gt;=Configuration!$D$2),"",_xlfn.REGEXEXTRACT(CELL("address",'Raw Data'!J41),"\$([A-Z]+)\$[0-9]+"))),_xlfn.REGEXEXTRACT(CELL("address",J41), "\$([A-Z]+)\$[0-9]+"))</f>
        <v/>
      </c>
      <c r="K41" s="7" t="str" cm="1">
        <f t="array" aca="1" ref="K41" ca="1">IFERROR(IF(OR('Raw Data'!K41="",LEN(TRIM('Raw Data'!K41))=0),"",IF(AND(ISNUMBER('Raw Data'!K41), IFERROR('Raw Data'!K41 = ROUND('Raw Data'!K41, 2),FALSE)),"",_xlfn.REGEXEXTRACT(CELL("address",K41), "\$([A-Z]+)\$[0-9]+"))),_xlfn.REGEXEXTRACT(CELL("address",K41), "\$([A-Z]+)\$[0-9]+"))</f>
        <v/>
      </c>
      <c r="L41" s="7" t="str" cm="1">
        <f t="array" aca="1" ref="L41" ca="1">IFERROR(IF(OR('Raw Data'!L41="",LEN(TRIM('Raw Data'!L41))=0),"",IF(AND(ISNUMBER('Raw Data'!L41), IFERROR('Raw Data'!L41 = ROUND('Raw Data'!L41, 2),FALSE)),"",_xlfn.REGEXEXTRACT(CELL("address",L41), "\$([A-Z]+)\$[0-9]+"))),_xlfn.REGEXEXTRACT(CELL("address",L41), "\$([A-Z]+)\$[0-9]+"))</f>
        <v/>
      </c>
      <c r="M41" s="7" t="str" cm="1">
        <f t="array" aca="1" ref="M41" ca="1">IFERROR(IF(OR('Raw Data'!M41="",LEN(TRIM('Raw Data'!M41))=0),"",IF(AND(ISNUMBER('Raw Data'!M41), IFERROR('Raw Data'!M41 = ROUND('Raw Data'!M41, 2),FALSE)),"",_xlfn.REGEXEXTRACT(CELL("address",M41), "\$([A-Z]+)\$[0-9]+"))),_xlfn.REGEXEXTRACT(CELL("address",M41), "\$([A-Z]+)\$[0-9]+"))</f>
        <v/>
      </c>
      <c r="N41" s="7" t="str" cm="1">
        <f t="array" aca="1" ref="N41" ca="1">IFERROR(IF(OR('Raw Data'!N41="",LEN(TRIM('Raw Data'!N41))=0),"",IF(AND(ISNUMBER('Raw Data'!N41), IFERROR('Raw Data'!N41 = ROUND('Raw Data'!N41, 2),FALSE)),"",_xlfn.REGEXEXTRACT(CELL("address",N41), "\$([A-Z]+)\$[0-9]+"))),_xlfn.REGEXEXTRACT(CELL("address",N41), "\$([A-Z]+)\$[0-9]+"))</f>
        <v/>
      </c>
      <c r="O41" s="7" t="str" cm="1">
        <f t="array" aca="1" ref="O41" ca="1">IFERROR(IF(OR('Raw Data'!O41="",LEN(TRIM('Raw Data'!O41))=0),"",IF(AND(ISNUMBER('Raw Data'!O41), IFERROR('Raw Data'!O41 = ROUND('Raw Data'!O41, 2),FALSE)),"",_xlfn.REGEXEXTRACT(CELL("address",O41), "\$([A-Z]+)\$[0-9]+"))),_xlfn.REGEXEXTRACT(CELL("address",O41), "\$([A-Z]+)\$[0-9]+"))</f>
        <v/>
      </c>
      <c r="P41" s="7" t="str" cm="1">
        <f t="array" aca="1" ref="P41" ca="1">IFERROR(IF(OR('Raw Data'!P41="",LEN(TRIM('Raw Data'!P41))=0),"",IF(AND(ISNUMBER('Raw Data'!P41),'Raw Data'!P41&gt;=Configuration!$D$2),"",_xlfn.REGEXEXTRACT(CELL("address",'Raw Data'!P41),"\$([A-Z]+)\$[0-9]+"))),_xlfn.REGEXEXTRACT(CELL("address",P41), "\$([A-Z]+)\$[0-9]+"))</f>
        <v/>
      </c>
      <c r="Q41" s="7" t="str" cm="1">
        <f t="array" aca="1" ref="Q41" ca="1">IFERROR(IF(OR('Raw Data'!Q41="",LEN(TRIM('Raw Data'!Q41))=0),"",IF(AND(ISNUMBER('Raw Data'!Q41),'Raw Data'!Q41&gt;=Configuration!$D$2),"",_xlfn.REGEXEXTRACT(CELL("address",'Raw Data'!Q41),"\$([A-Z]+)\$[0-9]+"))),_xlfn.REGEXEXTRACT(CELL("address",Q41), "\$([A-Z]+)\$[0-9]+"))</f>
        <v/>
      </c>
      <c r="R41" s="7" t="str" cm="1">
        <f t="array" aca="1" ref="R41" ca="1">IFERROR(IF(OR('Raw Data'!R41="",LEN(TRIM('Raw Data'!R41))=0),"",IF(AND(ISNUMBER('Raw Data'!R41), IFERROR('Raw Data'!R41 = ROUND('Raw Data'!R41, 2),FALSE)),"",_xlfn.REGEXEXTRACT(CELL("address",R41), "\$([A-Z]+)\$[0-9]+"))),_xlfn.REGEXEXTRACT(CELL("address",R41), "\$([A-Z]+)\$[0-9]+"))</f>
        <v/>
      </c>
      <c r="S41" s="7" t="str" cm="1">
        <f t="array" aca="1" ref="S41" ca="1">IFERROR(IF(OR('Raw Data'!S41="",LEN(TRIM('Raw Data'!S41))=0),"",IF(AND(ISNUMBER('Raw Data'!S41), IFERROR('Raw Data'!S41 = ROUND('Raw Data'!S41, 2),FALSE)),"",_xlfn.REGEXEXTRACT(CELL("address",S41), "\$([A-Z]+)\$[0-9]+"))),_xlfn.REGEXEXTRACT(CELL("address",S41), "\$([A-Z]+)\$[0-9]+"))</f>
        <v/>
      </c>
      <c r="T41" s="7" t="str" cm="1">
        <f t="array" aca="1" ref="T41" ca="1">IFERROR(IF(OR('Raw Data'!T41="",LEN(TRIM('Raw Data'!T41))=0),"",IF(AND(ISNUMBER('Raw Data'!T41), IFERROR('Raw Data'!T41 = ROUND('Raw Data'!T41, 2),FALSE)),"",_xlfn.REGEXEXTRACT(CELL("address",T41), "\$([A-Z]+)\$[0-9]+"))),_xlfn.REGEXEXTRACT(CELL("address",T41), "\$([A-Z]+)\$[0-9]+"))</f>
        <v/>
      </c>
      <c r="U41" s="7" t="str" cm="1">
        <f t="array" aca="1" ref="U41" ca="1">IFERROR(IF(OR('Raw Data'!U41="",LEN(TRIM('Raw Data'!U41))=0),"",IF(AND(LEN('Raw Data'!U41) &lt;= 5,LEN('Raw Data'!U41)&gt; 0),"",_xlfn.REGEXEXTRACT(CELL("address",'Raw Data'!U41),"\$([A-Z]+)\$[0-9]+"))),_xlfn.REGEXEXTRACT(CELL("address",'Raw Data'!U41),"\$([A-Z]+)\$[0-9]+"))</f>
        <v/>
      </c>
      <c r="V41" s="7" t="str" cm="1">
        <f t="array" aca="1" ref="V41" ca="1">IFERROR(IF(OR('Raw Data'!V41="",LEN(TRIM('Raw Data'!V41))=0),"",IF(AND(ISNUMBER('Raw Data'!V41), IFERROR('Raw Data'!V41 = ROUND('Raw Data'!V41, 2),FALSE)),"",_xlfn.REGEXEXTRACT(CELL("address",V41), "\$([A-Z]+)\$[0-9]+"))),_xlfn.REGEXEXTRACT(CELL("address",V41), "\$([A-Z]+)\$[0-9]+"))</f>
        <v/>
      </c>
      <c r="W41" s="7" t="str" cm="1">
        <f t="array" aca="1" ref="W41" ca="1">IFERROR(IF(OR('Raw Data'!W41="",LEN(TRIM('Raw Data'!W41))=0),"",IF(AND(ISNUMBER('Raw Data'!W41), IFERROR('Raw Data'!W41 = ROUND('Raw Data'!W41, 2),FALSE)),"",_xlfn.REGEXEXTRACT(CELL("address",W41), "\$([A-Z]+)\$[0-9]+"))),_xlfn.REGEXEXTRACT(CELL("address",W41), "\$([A-Z]+)\$[0-9]+"))</f>
        <v/>
      </c>
      <c r="X41" s="7" t="str" cm="1">
        <f t="array" aca="1" ref="X41" ca="1">IFERROR(IF(OR('Raw Data'!X41="",LEN(TRIM('Raw Data'!X41))=0),"",IF(AND(ISNUMBER('Raw Data'!X41), IFERROR('Raw Data'!X41 = ROUND('Raw Data'!X41, 2),FALSE)),"",_xlfn.REGEXEXTRACT(CELL("address",X41), "\$([A-Z]+)\$[0-9]+"))),_xlfn.REGEXEXTRACT(CELL("address",X41), "\$([A-Z]+)\$[0-9]+"))</f>
        <v/>
      </c>
    </row>
    <row r="42" spans="2:24" x14ac:dyDescent="0.25">
      <c r="B42" s="7" t="str" cm="1">
        <f t="array" aca="1" ref="B42" ca="1">IFERROR(IF(OR('Raw Data'!B42="",LEN(TRIM('Raw Data'!B42))=0),"",IF(AND(LEN('Raw Data'!B42) &lt;= 50,LEN('Raw Data'!B42)&gt; 0),"",_xlfn.REGEXEXTRACT(CELL("address",'Raw Data'!B42),"\$([A-Z]+)\$[0-9]+"))),_xlfn.REGEXEXTRACT(CELL("address",'Raw Data'!B42),"\$([A-Z]+)\$[0-9]+"))</f>
        <v/>
      </c>
      <c r="C42" s="7" t="str" cm="1">
        <f t="array" aca="1" ref="C42" ca="1">IFERROR(IF(OR('Raw Data'!C42="",LEN(TRIM('Raw Data'!C42))=0),"",IF(AND(LEN('Raw Data'!C42) &lt;= 50,LEN('Raw Data'!C42)&gt; 0),"",_xlfn.REGEXEXTRACT(CELL("address",'Raw Data'!C42),"\$([A-Z]+)\$[0-9]+"))),_xlfn.REGEXEXTRACT(CELL("address",'Raw Data'!C42),"\$([A-Z]+)\$[0-9]+"))</f>
        <v/>
      </c>
      <c r="D42" s="7" t="str" cm="1">
        <f t="array" aca="1" ref="D42" ca="1">IFERROR(IF(OR('Raw Data'!D42="",LEN(TRIM('Raw Data'!D42))=0),"",IF(AND(LEN('Raw Data'!D42) &lt;= 255,LEN('Raw Data'!D42)&gt; 0),"",_xlfn.REGEXEXTRACT(CELL("address",'Raw Data'!D42),"\$([A-Z]+)\$[0-9]+"))),_xlfn.REGEXEXTRACT(CELL("address",'Raw Data'!D42),"\$([A-Z]+)\$[0-9]+"))</f>
        <v/>
      </c>
      <c r="E42" s="7" t="str" cm="1">
        <f t="array" aca="1" ref="E42" ca="1">IFERROR(IF(OR('Raw Data'!E42="",LEN(TRIM('Raw Data'!E42))=0),"",IF(AND(ISNUMBER('Raw Data'!E42),'Raw Data'!E42&gt;=Configuration!$D$2),"",_xlfn.REGEXEXTRACT(CELL("address",'Raw Data'!E42),"\$([A-Z]+)\$[0-9]+"))),_xlfn.REGEXEXTRACT(CELL("address",E42), "\$([A-Z]+)\$[0-9]+"))</f>
        <v/>
      </c>
      <c r="F42" s="7" t="str" cm="1">
        <f t="array" aca="1" ref="F42" ca="1">IFERROR(IF(OR('Raw Data'!F42="",LEN(TRIM('Raw Data'!F42))=0),"",IF(AND(LEN('Raw Data'!F42) &lt;= 20,LEN('Raw Data'!F42)&gt; 0),"",_xlfn.REGEXEXTRACT(CELL("address",'Raw Data'!F42),"\$([A-Z]+)\$[0-9]+"))),_xlfn.REGEXEXTRACT(CELL("address",'Raw Data'!F42),"\$([A-Z]+)\$[0-9]+"))</f>
        <v/>
      </c>
      <c r="G42" s="7" t="str" cm="1">
        <f t="array" aca="1" ref="G42" ca="1">IFERROR(IF(OR('Raw Data'!G42="",LEN(TRIM('Raw Data'!G42))=0),"",IF(AND(ISNUMBER('Raw Data'!G42), IFERROR('Raw Data'!G42 = ROUND('Raw Data'!G42, 2),FALSE)),"",_xlfn.REGEXEXTRACT(CELL("address",G42), "\$([A-Z]+)\$[0-9]+"))),_xlfn.REGEXEXTRACT(CELL("address",G42), "\$([A-Z]+)\$[0-9]+"))</f>
        <v/>
      </c>
      <c r="H42" s="7" t="str" cm="1">
        <f t="array" aca="1" ref="H42" ca="1">IFERROR(IF(OR('Raw Data'!H42="",LEN(TRIM('Raw Data'!H42))=0),"",IF(AND(ISNUMBER('Raw Data'!H42), IFERROR('Raw Data'!H42 = ROUND('Raw Data'!H42, 2),FALSE)),"",_xlfn.REGEXEXTRACT(CELL("address",H42), "\$([A-Z]+)\$[0-9]+"))),_xlfn.REGEXEXTRACT(CELL("address",H42), "\$([A-Z]+)\$[0-9]+"))</f>
        <v/>
      </c>
      <c r="I42" s="7" t="str" cm="1">
        <f t="array" aca="1" ref="I42" ca="1">IFERROR(IF(OR('Raw Data'!I42="",LEN(TRIM('Raw Data'!I42))=0),"",IF(AND(LEN('Raw Data'!I42) &lt;= 50,LEN('Raw Data'!I42)&gt; 0),"",_xlfn.REGEXEXTRACT(CELL("address",'Raw Data'!I42),"\$([A-Z]+)\$[0-9]+"))),_xlfn.REGEXEXTRACT(CELL("address",'Raw Data'!I42),"\$([A-Z]+)\$[0-9]+"))</f>
        <v/>
      </c>
      <c r="J42" s="7" t="str" cm="1">
        <f t="array" aca="1" ref="J42" ca="1">IFERROR(IF(OR('Raw Data'!J42="",LEN(TRIM('Raw Data'!J42))=0),"",IF(AND(ISNUMBER('Raw Data'!J42),'Raw Data'!J42&gt;=Configuration!$D$2),"",_xlfn.REGEXEXTRACT(CELL("address",'Raw Data'!J42),"\$([A-Z]+)\$[0-9]+"))),_xlfn.REGEXEXTRACT(CELL("address",J42), "\$([A-Z]+)\$[0-9]+"))</f>
        <v/>
      </c>
      <c r="K42" s="7" t="str" cm="1">
        <f t="array" aca="1" ref="K42" ca="1">IFERROR(IF(OR('Raw Data'!K42="",LEN(TRIM('Raw Data'!K42))=0),"",IF(AND(ISNUMBER('Raw Data'!K42), IFERROR('Raw Data'!K42 = ROUND('Raw Data'!K42, 2),FALSE)),"",_xlfn.REGEXEXTRACT(CELL("address",K42), "\$([A-Z]+)\$[0-9]+"))),_xlfn.REGEXEXTRACT(CELL("address",K42), "\$([A-Z]+)\$[0-9]+"))</f>
        <v/>
      </c>
      <c r="L42" s="7" t="str" cm="1">
        <f t="array" aca="1" ref="L42" ca="1">IFERROR(IF(OR('Raw Data'!L42="",LEN(TRIM('Raw Data'!L42))=0),"",IF(AND(ISNUMBER('Raw Data'!L42), IFERROR('Raw Data'!L42 = ROUND('Raw Data'!L42, 2),FALSE)),"",_xlfn.REGEXEXTRACT(CELL("address",L42), "\$([A-Z]+)\$[0-9]+"))),_xlfn.REGEXEXTRACT(CELL("address",L42), "\$([A-Z]+)\$[0-9]+"))</f>
        <v/>
      </c>
      <c r="M42" s="7" t="str" cm="1">
        <f t="array" aca="1" ref="M42" ca="1">IFERROR(IF(OR('Raw Data'!M42="",LEN(TRIM('Raw Data'!M42))=0),"",IF(AND(ISNUMBER('Raw Data'!M42), IFERROR('Raw Data'!M42 = ROUND('Raw Data'!M42, 2),FALSE)),"",_xlfn.REGEXEXTRACT(CELL("address",M42), "\$([A-Z]+)\$[0-9]+"))),_xlfn.REGEXEXTRACT(CELL("address",M42), "\$([A-Z]+)\$[0-9]+"))</f>
        <v/>
      </c>
      <c r="N42" s="7" t="str" cm="1">
        <f t="array" aca="1" ref="N42" ca="1">IFERROR(IF(OR('Raw Data'!N42="",LEN(TRIM('Raw Data'!N42))=0),"",IF(AND(ISNUMBER('Raw Data'!N42), IFERROR('Raw Data'!N42 = ROUND('Raw Data'!N42, 2),FALSE)),"",_xlfn.REGEXEXTRACT(CELL("address",N42), "\$([A-Z]+)\$[0-9]+"))),_xlfn.REGEXEXTRACT(CELL("address",N42), "\$([A-Z]+)\$[0-9]+"))</f>
        <v/>
      </c>
      <c r="O42" s="7" t="str" cm="1">
        <f t="array" aca="1" ref="O42" ca="1">IFERROR(IF(OR('Raw Data'!O42="",LEN(TRIM('Raw Data'!O42))=0),"",IF(AND(ISNUMBER('Raw Data'!O42), IFERROR('Raw Data'!O42 = ROUND('Raw Data'!O42, 2),FALSE)),"",_xlfn.REGEXEXTRACT(CELL("address",O42), "\$([A-Z]+)\$[0-9]+"))),_xlfn.REGEXEXTRACT(CELL("address",O42), "\$([A-Z]+)\$[0-9]+"))</f>
        <v/>
      </c>
      <c r="P42" s="7" t="str" cm="1">
        <f t="array" aca="1" ref="P42" ca="1">IFERROR(IF(OR('Raw Data'!P42="",LEN(TRIM('Raw Data'!P42))=0),"",IF(AND(ISNUMBER('Raw Data'!P42),'Raw Data'!P42&gt;=Configuration!$D$2),"",_xlfn.REGEXEXTRACT(CELL("address",'Raw Data'!P42),"\$([A-Z]+)\$[0-9]+"))),_xlfn.REGEXEXTRACT(CELL("address",P42), "\$([A-Z]+)\$[0-9]+"))</f>
        <v/>
      </c>
      <c r="Q42" s="7" t="str" cm="1">
        <f t="array" aca="1" ref="Q42" ca="1">IFERROR(IF(OR('Raw Data'!Q42="",LEN(TRIM('Raw Data'!Q42))=0),"",IF(AND(ISNUMBER('Raw Data'!Q42),'Raw Data'!Q42&gt;=Configuration!$D$2),"",_xlfn.REGEXEXTRACT(CELL("address",'Raw Data'!Q42),"\$([A-Z]+)\$[0-9]+"))),_xlfn.REGEXEXTRACT(CELL("address",Q42), "\$([A-Z]+)\$[0-9]+"))</f>
        <v/>
      </c>
      <c r="R42" s="7" t="str" cm="1">
        <f t="array" aca="1" ref="R42" ca="1">IFERROR(IF(OR('Raw Data'!R42="",LEN(TRIM('Raw Data'!R42))=0),"",IF(AND(ISNUMBER('Raw Data'!R42), IFERROR('Raw Data'!R42 = ROUND('Raw Data'!R42, 2),FALSE)),"",_xlfn.REGEXEXTRACT(CELL("address",R42), "\$([A-Z]+)\$[0-9]+"))),_xlfn.REGEXEXTRACT(CELL("address",R42), "\$([A-Z]+)\$[0-9]+"))</f>
        <v/>
      </c>
      <c r="S42" s="7" t="str" cm="1">
        <f t="array" aca="1" ref="S42" ca="1">IFERROR(IF(OR('Raw Data'!S42="",LEN(TRIM('Raw Data'!S42))=0),"",IF(AND(ISNUMBER('Raw Data'!S42), IFERROR('Raw Data'!S42 = ROUND('Raw Data'!S42, 2),FALSE)),"",_xlfn.REGEXEXTRACT(CELL("address",S42), "\$([A-Z]+)\$[0-9]+"))),_xlfn.REGEXEXTRACT(CELL("address",S42), "\$([A-Z]+)\$[0-9]+"))</f>
        <v/>
      </c>
      <c r="T42" s="7" t="str" cm="1">
        <f t="array" aca="1" ref="T42" ca="1">IFERROR(IF(OR('Raw Data'!T42="",LEN(TRIM('Raw Data'!T42))=0),"",IF(AND(ISNUMBER('Raw Data'!T42), IFERROR('Raw Data'!T42 = ROUND('Raw Data'!T42, 2),FALSE)),"",_xlfn.REGEXEXTRACT(CELL("address",T42), "\$([A-Z]+)\$[0-9]+"))),_xlfn.REGEXEXTRACT(CELL("address",T42), "\$([A-Z]+)\$[0-9]+"))</f>
        <v/>
      </c>
      <c r="U42" s="7" t="str" cm="1">
        <f t="array" aca="1" ref="U42" ca="1">IFERROR(IF(OR('Raw Data'!U42="",LEN(TRIM('Raw Data'!U42))=0),"",IF(AND(LEN('Raw Data'!U42) &lt;= 5,LEN('Raw Data'!U42)&gt; 0),"",_xlfn.REGEXEXTRACT(CELL("address",'Raw Data'!U42),"\$([A-Z]+)\$[0-9]+"))),_xlfn.REGEXEXTRACT(CELL("address",'Raw Data'!U42),"\$([A-Z]+)\$[0-9]+"))</f>
        <v/>
      </c>
      <c r="V42" s="7" t="str" cm="1">
        <f t="array" aca="1" ref="V42" ca="1">IFERROR(IF(OR('Raw Data'!V42="",LEN(TRIM('Raw Data'!V42))=0),"",IF(AND(ISNUMBER('Raw Data'!V42), IFERROR('Raw Data'!V42 = ROUND('Raw Data'!V42, 2),FALSE)),"",_xlfn.REGEXEXTRACT(CELL("address",V42), "\$([A-Z]+)\$[0-9]+"))),_xlfn.REGEXEXTRACT(CELL("address",V42), "\$([A-Z]+)\$[0-9]+"))</f>
        <v/>
      </c>
      <c r="W42" s="7" t="str" cm="1">
        <f t="array" aca="1" ref="W42" ca="1">IFERROR(IF(OR('Raw Data'!W42="",LEN(TRIM('Raw Data'!W42))=0),"",IF(AND(ISNUMBER('Raw Data'!W42), IFERROR('Raw Data'!W42 = ROUND('Raw Data'!W42, 2),FALSE)),"",_xlfn.REGEXEXTRACT(CELL("address",W42), "\$([A-Z]+)\$[0-9]+"))),_xlfn.REGEXEXTRACT(CELL("address",W42), "\$([A-Z]+)\$[0-9]+"))</f>
        <v/>
      </c>
      <c r="X42" s="7" t="str" cm="1">
        <f t="array" aca="1" ref="X42" ca="1">IFERROR(IF(OR('Raw Data'!X42="",LEN(TRIM('Raw Data'!X42))=0),"",IF(AND(ISNUMBER('Raw Data'!X42), IFERROR('Raw Data'!X42 = ROUND('Raw Data'!X42, 2),FALSE)),"",_xlfn.REGEXEXTRACT(CELL("address",X42), "\$([A-Z]+)\$[0-9]+"))),_xlfn.REGEXEXTRACT(CELL("address",X42), "\$([A-Z]+)\$[0-9]+"))</f>
        <v/>
      </c>
    </row>
    <row r="43" spans="2:24" x14ac:dyDescent="0.25">
      <c r="B43" s="7" t="str" cm="1">
        <f t="array" aca="1" ref="B43" ca="1">IFERROR(IF(OR('Raw Data'!B43="",LEN(TRIM('Raw Data'!B43))=0),"",IF(AND(LEN('Raw Data'!B43) &lt;= 50,LEN('Raw Data'!B43)&gt; 0),"",_xlfn.REGEXEXTRACT(CELL("address",'Raw Data'!B43),"\$([A-Z]+)\$[0-9]+"))),_xlfn.REGEXEXTRACT(CELL("address",'Raw Data'!B43),"\$([A-Z]+)\$[0-9]+"))</f>
        <v/>
      </c>
      <c r="C43" s="7" t="str" cm="1">
        <f t="array" aca="1" ref="C43" ca="1">IFERROR(IF(OR('Raw Data'!C43="",LEN(TRIM('Raw Data'!C43))=0),"",IF(AND(LEN('Raw Data'!C43) &lt;= 50,LEN('Raw Data'!C43)&gt; 0),"",_xlfn.REGEXEXTRACT(CELL("address",'Raw Data'!C43),"\$([A-Z]+)\$[0-9]+"))),_xlfn.REGEXEXTRACT(CELL("address",'Raw Data'!C43),"\$([A-Z]+)\$[0-9]+"))</f>
        <v/>
      </c>
      <c r="D43" s="7" t="str" cm="1">
        <f t="array" aca="1" ref="D43" ca="1">IFERROR(IF(OR('Raw Data'!D43="",LEN(TRIM('Raw Data'!D43))=0),"",IF(AND(LEN('Raw Data'!D43) &lt;= 255,LEN('Raw Data'!D43)&gt; 0),"",_xlfn.REGEXEXTRACT(CELL("address",'Raw Data'!D43),"\$([A-Z]+)\$[0-9]+"))),_xlfn.REGEXEXTRACT(CELL("address",'Raw Data'!D43),"\$([A-Z]+)\$[0-9]+"))</f>
        <v/>
      </c>
      <c r="E43" s="7" t="str" cm="1">
        <f t="array" aca="1" ref="E43" ca="1">IFERROR(IF(OR('Raw Data'!E43="",LEN(TRIM('Raw Data'!E43))=0),"",IF(AND(ISNUMBER('Raw Data'!E43),'Raw Data'!E43&gt;=Configuration!$D$2),"",_xlfn.REGEXEXTRACT(CELL("address",'Raw Data'!E43),"\$([A-Z]+)\$[0-9]+"))),_xlfn.REGEXEXTRACT(CELL("address",E43), "\$([A-Z]+)\$[0-9]+"))</f>
        <v/>
      </c>
      <c r="F43" s="7" t="str" cm="1">
        <f t="array" aca="1" ref="F43" ca="1">IFERROR(IF(OR('Raw Data'!F43="",LEN(TRIM('Raw Data'!F43))=0),"",IF(AND(LEN('Raw Data'!F43) &lt;= 20,LEN('Raw Data'!F43)&gt; 0),"",_xlfn.REGEXEXTRACT(CELL("address",'Raw Data'!F43),"\$([A-Z]+)\$[0-9]+"))),_xlfn.REGEXEXTRACT(CELL("address",'Raw Data'!F43),"\$([A-Z]+)\$[0-9]+"))</f>
        <v/>
      </c>
      <c r="G43" s="7" t="str" cm="1">
        <f t="array" aca="1" ref="G43" ca="1">IFERROR(IF(OR('Raw Data'!G43="",LEN(TRIM('Raw Data'!G43))=0),"",IF(AND(ISNUMBER('Raw Data'!G43), IFERROR('Raw Data'!G43 = ROUND('Raw Data'!G43, 2),FALSE)),"",_xlfn.REGEXEXTRACT(CELL("address",G43), "\$([A-Z]+)\$[0-9]+"))),_xlfn.REGEXEXTRACT(CELL("address",G43), "\$([A-Z]+)\$[0-9]+"))</f>
        <v/>
      </c>
      <c r="H43" s="7" t="str" cm="1">
        <f t="array" aca="1" ref="H43" ca="1">IFERROR(IF(OR('Raw Data'!H43="",LEN(TRIM('Raw Data'!H43))=0),"",IF(AND(ISNUMBER('Raw Data'!H43), IFERROR('Raw Data'!H43 = ROUND('Raw Data'!H43, 2),FALSE)),"",_xlfn.REGEXEXTRACT(CELL("address",H43), "\$([A-Z]+)\$[0-9]+"))),_xlfn.REGEXEXTRACT(CELL("address",H43), "\$([A-Z]+)\$[0-9]+"))</f>
        <v/>
      </c>
      <c r="I43" s="7" t="str" cm="1">
        <f t="array" aca="1" ref="I43" ca="1">IFERROR(IF(OR('Raw Data'!I43="",LEN(TRIM('Raw Data'!I43))=0),"",IF(AND(LEN('Raw Data'!I43) &lt;= 50,LEN('Raw Data'!I43)&gt; 0),"",_xlfn.REGEXEXTRACT(CELL("address",'Raw Data'!I43),"\$([A-Z]+)\$[0-9]+"))),_xlfn.REGEXEXTRACT(CELL("address",'Raw Data'!I43),"\$([A-Z]+)\$[0-9]+"))</f>
        <v/>
      </c>
      <c r="J43" s="7" t="str" cm="1">
        <f t="array" aca="1" ref="J43" ca="1">IFERROR(IF(OR('Raw Data'!J43="",LEN(TRIM('Raw Data'!J43))=0),"",IF(AND(ISNUMBER('Raw Data'!J43),'Raw Data'!J43&gt;=Configuration!$D$2),"",_xlfn.REGEXEXTRACT(CELL("address",'Raw Data'!J43),"\$([A-Z]+)\$[0-9]+"))),_xlfn.REGEXEXTRACT(CELL("address",J43), "\$([A-Z]+)\$[0-9]+"))</f>
        <v/>
      </c>
      <c r="K43" s="7" t="str" cm="1">
        <f t="array" aca="1" ref="K43" ca="1">IFERROR(IF(OR('Raw Data'!K43="",LEN(TRIM('Raw Data'!K43))=0),"",IF(AND(ISNUMBER('Raw Data'!K43), IFERROR('Raw Data'!K43 = ROUND('Raw Data'!K43, 2),FALSE)),"",_xlfn.REGEXEXTRACT(CELL("address",K43), "\$([A-Z]+)\$[0-9]+"))),_xlfn.REGEXEXTRACT(CELL("address",K43), "\$([A-Z]+)\$[0-9]+"))</f>
        <v/>
      </c>
      <c r="L43" s="7" t="str" cm="1">
        <f t="array" aca="1" ref="L43" ca="1">IFERROR(IF(OR('Raw Data'!L43="",LEN(TRIM('Raw Data'!L43))=0),"",IF(AND(ISNUMBER('Raw Data'!L43), IFERROR('Raw Data'!L43 = ROUND('Raw Data'!L43, 2),FALSE)),"",_xlfn.REGEXEXTRACT(CELL("address",L43), "\$([A-Z]+)\$[0-9]+"))),_xlfn.REGEXEXTRACT(CELL("address",L43), "\$([A-Z]+)\$[0-9]+"))</f>
        <v/>
      </c>
      <c r="M43" s="7" t="str" cm="1">
        <f t="array" aca="1" ref="M43" ca="1">IFERROR(IF(OR('Raw Data'!M43="",LEN(TRIM('Raw Data'!M43))=0),"",IF(AND(ISNUMBER('Raw Data'!M43), IFERROR('Raw Data'!M43 = ROUND('Raw Data'!M43, 2),FALSE)),"",_xlfn.REGEXEXTRACT(CELL("address",M43), "\$([A-Z]+)\$[0-9]+"))),_xlfn.REGEXEXTRACT(CELL("address",M43), "\$([A-Z]+)\$[0-9]+"))</f>
        <v/>
      </c>
      <c r="N43" s="7" t="str" cm="1">
        <f t="array" aca="1" ref="N43" ca="1">IFERROR(IF(OR('Raw Data'!N43="",LEN(TRIM('Raw Data'!N43))=0),"",IF(AND(ISNUMBER('Raw Data'!N43), IFERROR('Raw Data'!N43 = ROUND('Raw Data'!N43, 2),FALSE)),"",_xlfn.REGEXEXTRACT(CELL("address",N43), "\$([A-Z]+)\$[0-9]+"))),_xlfn.REGEXEXTRACT(CELL("address",N43), "\$([A-Z]+)\$[0-9]+"))</f>
        <v/>
      </c>
      <c r="O43" s="7" t="str" cm="1">
        <f t="array" aca="1" ref="O43" ca="1">IFERROR(IF(OR('Raw Data'!O43="",LEN(TRIM('Raw Data'!O43))=0),"",IF(AND(ISNUMBER('Raw Data'!O43), IFERROR('Raw Data'!O43 = ROUND('Raw Data'!O43, 2),FALSE)),"",_xlfn.REGEXEXTRACT(CELL("address",O43), "\$([A-Z]+)\$[0-9]+"))),_xlfn.REGEXEXTRACT(CELL("address",O43), "\$([A-Z]+)\$[0-9]+"))</f>
        <v/>
      </c>
      <c r="P43" s="7" t="str" cm="1">
        <f t="array" aca="1" ref="P43" ca="1">IFERROR(IF(OR('Raw Data'!P43="",LEN(TRIM('Raw Data'!P43))=0),"",IF(AND(ISNUMBER('Raw Data'!P43),'Raw Data'!P43&gt;=Configuration!$D$2),"",_xlfn.REGEXEXTRACT(CELL("address",'Raw Data'!P43),"\$([A-Z]+)\$[0-9]+"))),_xlfn.REGEXEXTRACT(CELL("address",P43), "\$([A-Z]+)\$[0-9]+"))</f>
        <v/>
      </c>
      <c r="Q43" s="7" t="str" cm="1">
        <f t="array" aca="1" ref="Q43" ca="1">IFERROR(IF(OR('Raw Data'!Q43="",LEN(TRIM('Raw Data'!Q43))=0),"",IF(AND(ISNUMBER('Raw Data'!Q43),'Raw Data'!Q43&gt;=Configuration!$D$2),"",_xlfn.REGEXEXTRACT(CELL("address",'Raw Data'!Q43),"\$([A-Z]+)\$[0-9]+"))),_xlfn.REGEXEXTRACT(CELL("address",Q43), "\$([A-Z]+)\$[0-9]+"))</f>
        <v/>
      </c>
      <c r="R43" s="7" t="str" cm="1">
        <f t="array" aca="1" ref="R43" ca="1">IFERROR(IF(OR('Raw Data'!R43="",LEN(TRIM('Raw Data'!R43))=0),"",IF(AND(ISNUMBER('Raw Data'!R43), IFERROR('Raw Data'!R43 = ROUND('Raw Data'!R43, 2),FALSE)),"",_xlfn.REGEXEXTRACT(CELL("address",R43), "\$([A-Z]+)\$[0-9]+"))),_xlfn.REGEXEXTRACT(CELL("address",R43), "\$([A-Z]+)\$[0-9]+"))</f>
        <v/>
      </c>
      <c r="S43" s="7" t="str" cm="1">
        <f t="array" aca="1" ref="S43" ca="1">IFERROR(IF(OR('Raw Data'!S43="",LEN(TRIM('Raw Data'!S43))=0),"",IF(AND(ISNUMBER('Raw Data'!S43), IFERROR('Raw Data'!S43 = ROUND('Raw Data'!S43, 2),FALSE)),"",_xlfn.REGEXEXTRACT(CELL("address",S43), "\$([A-Z]+)\$[0-9]+"))),_xlfn.REGEXEXTRACT(CELL("address",S43), "\$([A-Z]+)\$[0-9]+"))</f>
        <v/>
      </c>
      <c r="T43" s="7" t="str" cm="1">
        <f t="array" aca="1" ref="T43" ca="1">IFERROR(IF(OR('Raw Data'!T43="",LEN(TRIM('Raw Data'!T43))=0),"",IF(AND(ISNUMBER('Raw Data'!T43), IFERROR('Raw Data'!T43 = ROUND('Raw Data'!T43, 2),FALSE)),"",_xlfn.REGEXEXTRACT(CELL("address",T43), "\$([A-Z]+)\$[0-9]+"))),_xlfn.REGEXEXTRACT(CELL("address",T43), "\$([A-Z]+)\$[0-9]+"))</f>
        <v/>
      </c>
      <c r="U43" s="7" t="str" cm="1">
        <f t="array" aca="1" ref="U43" ca="1">IFERROR(IF(OR('Raw Data'!U43="",LEN(TRIM('Raw Data'!U43))=0),"",IF(AND(LEN('Raw Data'!U43) &lt;= 5,LEN('Raw Data'!U43)&gt; 0),"",_xlfn.REGEXEXTRACT(CELL("address",'Raw Data'!U43),"\$([A-Z]+)\$[0-9]+"))),_xlfn.REGEXEXTRACT(CELL("address",'Raw Data'!U43),"\$([A-Z]+)\$[0-9]+"))</f>
        <v/>
      </c>
      <c r="V43" s="7" t="str" cm="1">
        <f t="array" aca="1" ref="V43" ca="1">IFERROR(IF(OR('Raw Data'!V43="",LEN(TRIM('Raw Data'!V43))=0),"",IF(AND(ISNUMBER('Raw Data'!V43), IFERROR('Raw Data'!V43 = ROUND('Raw Data'!V43, 2),FALSE)),"",_xlfn.REGEXEXTRACT(CELL("address",V43), "\$([A-Z]+)\$[0-9]+"))),_xlfn.REGEXEXTRACT(CELL("address",V43), "\$([A-Z]+)\$[0-9]+"))</f>
        <v/>
      </c>
      <c r="W43" s="7" t="str" cm="1">
        <f t="array" aca="1" ref="W43" ca="1">IFERROR(IF(OR('Raw Data'!W43="",LEN(TRIM('Raw Data'!W43))=0),"",IF(AND(ISNUMBER('Raw Data'!W43), IFERROR('Raw Data'!W43 = ROUND('Raw Data'!W43, 2),FALSE)),"",_xlfn.REGEXEXTRACT(CELL("address",W43), "\$([A-Z]+)\$[0-9]+"))),_xlfn.REGEXEXTRACT(CELL("address",W43), "\$([A-Z]+)\$[0-9]+"))</f>
        <v/>
      </c>
      <c r="X43" s="7" t="str" cm="1">
        <f t="array" aca="1" ref="X43" ca="1">IFERROR(IF(OR('Raw Data'!X43="",LEN(TRIM('Raw Data'!X43))=0),"",IF(AND(ISNUMBER('Raw Data'!X43), IFERROR('Raw Data'!X43 = ROUND('Raw Data'!X43, 2),FALSE)),"",_xlfn.REGEXEXTRACT(CELL("address",X43), "\$([A-Z]+)\$[0-9]+"))),_xlfn.REGEXEXTRACT(CELL("address",X43), "\$([A-Z]+)\$[0-9]+"))</f>
        <v/>
      </c>
    </row>
    <row r="44" spans="2:24" x14ac:dyDescent="0.25">
      <c r="B44" s="7" t="str" cm="1">
        <f t="array" aca="1" ref="B44" ca="1">IFERROR(IF(OR('Raw Data'!B44="",LEN(TRIM('Raw Data'!B44))=0),"",IF(AND(LEN('Raw Data'!B44) &lt;= 50,LEN('Raw Data'!B44)&gt; 0),"",_xlfn.REGEXEXTRACT(CELL("address",'Raw Data'!B44),"\$([A-Z]+)\$[0-9]+"))),_xlfn.REGEXEXTRACT(CELL("address",'Raw Data'!B44),"\$([A-Z]+)\$[0-9]+"))</f>
        <v/>
      </c>
      <c r="C44" s="7" t="str" cm="1">
        <f t="array" aca="1" ref="C44" ca="1">IFERROR(IF(OR('Raw Data'!C44="",LEN(TRIM('Raw Data'!C44))=0),"",IF(AND(LEN('Raw Data'!C44) &lt;= 50,LEN('Raw Data'!C44)&gt; 0),"",_xlfn.REGEXEXTRACT(CELL("address",'Raw Data'!C44),"\$([A-Z]+)\$[0-9]+"))),_xlfn.REGEXEXTRACT(CELL("address",'Raw Data'!C44),"\$([A-Z]+)\$[0-9]+"))</f>
        <v/>
      </c>
      <c r="D44" s="7" t="str" cm="1">
        <f t="array" aca="1" ref="D44" ca="1">IFERROR(IF(OR('Raw Data'!D44="",LEN(TRIM('Raw Data'!D44))=0),"",IF(AND(LEN('Raw Data'!D44) &lt;= 255,LEN('Raw Data'!D44)&gt; 0),"",_xlfn.REGEXEXTRACT(CELL("address",'Raw Data'!D44),"\$([A-Z]+)\$[0-9]+"))),_xlfn.REGEXEXTRACT(CELL("address",'Raw Data'!D44),"\$([A-Z]+)\$[0-9]+"))</f>
        <v/>
      </c>
      <c r="E44" s="7" t="str" cm="1">
        <f t="array" aca="1" ref="E44" ca="1">IFERROR(IF(OR('Raw Data'!E44="",LEN(TRIM('Raw Data'!E44))=0),"",IF(AND(ISNUMBER('Raw Data'!E44),'Raw Data'!E44&gt;=Configuration!$D$2),"",_xlfn.REGEXEXTRACT(CELL("address",'Raw Data'!E44),"\$([A-Z]+)\$[0-9]+"))),_xlfn.REGEXEXTRACT(CELL("address",E44), "\$([A-Z]+)\$[0-9]+"))</f>
        <v/>
      </c>
      <c r="F44" s="7" t="str" cm="1">
        <f t="array" aca="1" ref="F44" ca="1">IFERROR(IF(OR('Raw Data'!F44="",LEN(TRIM('Raw Data'!F44))=0),"",IF(AND(LEN('Raw Data'!F44) &lt;= 20,LEN('Raw Data'!F44)&gt; 0),"",_xlfn.REGEXEXTRACT(CELL("address",'Raw Data'!F44),"\$([A-Z]+)\$[0-9]+"))),_xlfn.REGEXEXTRACT(CELL("address",'Raw Data'!F44),"\$([A-Z]+)\$[0-9]+"))</f>
        <v/>
      </c>
      <c r="G44" s="7" t="str" cm="1">
        <f t="array" aca="1" ref="G44" ca="1">IFERROR(IF(OR('Raw Data'!G44="",LEN(TRIM('Raw Data'!G44))=0),"",IF(AND(ISNUMBER('Raw Data'!G44), IFERROR('Raw Data'!G44 = ROUND('Raw Data'!G44, 2),FALSE)),"",_xlfn.REGEXEXTRACT(CELL("address",G44), "\$([A-Z]+)\$[0-9]+"))),_xlfn.REGEXEXTRACT(CELL("address",G44), "\$([A-Z]+)\$[0-9]+"))</f>
        <v/>
      </c>
      <c r="H44" s="7" t="str" cm="1">
        <f t="array" aca="1" ref="H44" ca="1">IFERROR(IF(OR('Raw Data'!H44="",LEN(TRIM('Raw Data'!H44))=0),"",IF(AND(ISNUMBER('Raw Data'!H44), IFERROR('Raw Data'!H44 = ROUND('Raw Data'!H44, 2),FALSE)),"",_xlfn.REGEXEXTRACT(CELL("address",H44), "\$([A-Z]+)\$[0-9]+"))),_xlfn.REGEXEXTRACT(CELL("address",H44), "\$([A-Z]+)\$[0-9]+"))</f>
        <v/>
      </c>
      <c r="I44" s="7" t="str" cm="1">
        <f t="array" aca="1" ref="I44" ca="1">IFERROR(IF(OR('Raw Data'!I44="",LEN(TRIM('Raw Data'!I44))=0),"",IF(AND(LEN('Raw Data'!I44) &lt;= 50,LEN('Raw Data'!I44)&gt; 0),"",_xlfn.REGEXEXTRACT(CELL("address",'Raw Data'!I44),"\$([A-Z]+)\$[0-9]+"))),_xlfn.REGEXEXTRACT(CELL("address",'Raw Data'!I44),"\$([A-Z]+)\$[0-9]+"))</f>
        <v/>
      </c>
      <c r="J44" s="7" t="str" cm="1">
        <f t="array" aca="1" ref="J44" ca="1">IFERROR(IF(OR('Raw Data'!J44="",LEN(TRIM('Raw Data'!J44))=0),"",IF(AND(ISNUMBER('Raw Data'!J44),'Raw Data'!J44&gt;=Configuration!$D$2),"",_xlfn.REGEXEXTRACT(CELL("address",'Raw Data'!J44),"\$([A-Z]+)\$[0-9]+"))),_xlfn.REGEXEXTRACT(CELL("address",J44), "\$([A-Z]+)\$[0-9]+"))</f>
        <v/>
      </c>
      <c r="K44" s="7" t="str" cm="1">
        <f t="array" aca="1" ref="K44" ca="1">IFERROR(IF(OR('Raw Data'!K44="",LEN(TRIM('Raw Data'!K44))=0),"",IF(AND(ISNUMBER('Raw Data'!K44), IFERROR('Raw Data'!K44 = ROUND('Raw Data'!K44, 2),FALSE)),"",_xlfn.REGEXEXTRACT(CELL("address",K44), "\$([A-Z]+)\$[0-9]+"))),_xlfn.REGEXEXTRACT(CELL("address",K44), "\$([A-Z]+)\$[0-9]+"))</f>
        <v/>
      </c>
      <c r="L44" s="7" t="str" cm="1">
        <f t="array" aca="1" ref="L44" ca="1">IFERROR(IF(OR('Raw Data'!L44="",LEN(TRIM('Raw Data'!L44))=0),"",IF(AND(ISNUMBER('Raw Data'!L44), IFERROR('Raw Data'!L44 = ROUND('Raw Data'!L44, 2),FALSE)),"",_xlfn.REGEXEXTRACT(CELL("address",L44), "\$([A-Z]+)\$[0-9]+"))),_xlfn.REGEXEXTRACT(CELL("address",L44), "\$([A-Z]+)\$[0-9]+"))</f>
        <v/>
      </c>
      <c r="M44" s="7" t="str" cm="1">
        <f t="array" aca="1" ref="M44" ca="1">IFERROR(IF(OR('Raw Data'!M44="",LEN(TRIM('Raw Data'!M44))=0),"",IF(AND(ISNUMBER('Raw Data'!M44), IFERROR('Raw Data'!M44 = ROUND('Raw Data'!M44, 2),FALSE)),"",_xlfn.REGEXEXTRACT(CELL("address",M44), "\$([A-Z]+)\$[0-9]+"))),_xlfn.REGEXEXTRACT(CELL("address",M44), "\$([A-Z]+)\$[0-9]+"))</f>
        <v/>
      </c>
      <c r="N44" s="7" t="str" cm="1">
        <f t="array" aca="1" ref="N44" ca="1">IFERROR(IF(OR('Raw Data'!N44="",LEN(TRIM('Raw Data'!N44))=0),"",IF(AND(ISNUMBER('Raw Data'!N44), IFERROR('Raw Data'!N44 = ROUND('Raw Data'!N44, 2),FALSE)),"",_xlfn.REGEXEXTRACT(CELL("address",N44), "\$([A-Z]+)\$[0-9]+"))),_xlfn.REGEXEXTRACT(CELL("address",N44), "\$([A-Z]+)\$[0-9]+"))</f>
        <v/>
      </c>
      <c r="O44" s="7" t="str" cm="1">
        <f t="array" aca="1" ref="O44" ca="1">IFERROR(IF(OR('Raw Data'!O44="",LEN(TRIM('Raw Data'!O44))=0),"",IF(AND(ISNUMBER('Raw Data'!O44), IFERROR('Raw Data'!O44 = ROUND('Raw Data'!O44, 2),FALSE)),"",_xlfn.REGEXEXTRACT(CELL("address",O44), "\$([A-Z]+)\$[0-9]+"))),_xlfn.REGEXEXTRACT(CELL("address",O44), "\$([A-Z]+)\$[0-9]+"))</f>
        <v/>
      </c>
      <c r="P44" s="7" t="str" cm="1">
        <f t="array" aca="1" ref="P44" ca="1">IFERROR(IF(OR('Raw Data'!P44="",LEN(TRIM('Raw Data'!P44))=0),"",IF(AND(ISNUMBER('Raw Data'!P44),'Raw Data'!P44&gt;=Configuration!$D$2),"",_xlfn.REGEXEXTRACT(CELL("address",'Raw Data'!P44),"\$([A-Z]+)\$[0-9]+"))),_xlfn.REGEXEXTRACT(CELL("address",P44), "\$([A-Z]+)\$[0-9]+"))</f>
        <v/>
      </c>
      <c r="Q44" s="7" t="str" cm="1">
        <f t="array" aca="1" ref="Q44" ca="1">IFERROR(IF(OR('Raw Data'!Q44="",LEN(TRIM('Raw Data'!Q44))=0),"",IF(AND(ISNUMBER('Raw Data'!Q44),'Raw Data'!Q44&gt;=Configuration!$D$2),"",_xlfn.REGEXEXTRACT(CELL("address",'Raw Data'!Q44),"\$([A-Z]+)\$[0-9]+"))),_xlfn.REGEXEXTRACT(CELL("address",Q44), "\$([A-Z]+)\$[0-9]+"))</f>
        <v/>
      </c>
      <c r="R44" s="7" t="str" cm="1">
        <f t="array" aca="1" ref="R44" ca="1">IFERROR(IF(OR('Raw Data'!R44="",LEN(TRIM('Raw Data'!R44))=0),"",IF(AND(ISNUMBER('Raw Data'!R44), IFERROR('Raw Data'!R44 = ROUND('Raw Data'!R44, 2),FALSE)),"",_xlfn.REGEXEXTRACT(CELL("address",R44), "\$([A-Z]+)\$[0-9]+"))),_xlfn.REGEXEXTRACT(CELL("address",R44), "\$([A-Z]+)\$[0-9]+"))</f>
        <v/>
      </c>
      <c r="S44" s="7" t="str" cm="1">
        <f t="array" aca="1" ref="S44" ca="1">IFERROR(IF(OR('Raw Data'!S44="",LEN(TRIM('Raw Data'!S44))=0),"",IF(AND(ISNUMBER('Raw Data'!S44), IFERROR('Raw Data'!S44 = ROUND('Raw Data'!S44, 2),FALSE)),"",_xlfn.REGEXEXTRACT(CELL("address",S44), "\$([A-Z]+)\$[0-9]+"))),_xlfn.REGEXEXTRACT(CELL("address",S44), "\$([A-Z]+)\$[0-9]+"))</f>
        <v/>
      </c>
      <c r="T44" s="7" t="str" cm="1">
        <f t="array" aca="1" ref="T44" ca="1">IFERROR(IF(OR('Raw Data'!T44="",LEN(TRIM('Raw Data'!T44))=0),"",IF(AND(ISNUMBER('Raw Data'!T44), IFERROR('Raw Data'!T44 = ROUND('Raw Data'!T44, 2),FALSE)),"",_xlfn.REGEXEXTRACT(CELL("address",T44), "\$([A-Z]+)\$[0-9]+"))),_xlfn.REGEXEXTRACT(CELL("address",T44), "\$([A-Z]+)\$[0-9]+"))</f>
        <v/>
      </c>
      <c r="U44" s="7" t="str" cm="1">
        <f t="array" aca="1" ref="U44" ca="1">IFERROR(IF(OR('Raw Data'!U44="",LEN(TRIM('Raw Data'!U44))=0),"",IF(AND(LEN('Raw Data'!U44) &lt;= 5,LEN('Raw Data'!U44)&gt; 0),"",_xlfn.REGEXEXTRACT(CELL("address",'Raw Data'!U44),"\$([A-Z]+)\$[0-9]+"))),_xlfn.REGEXEXTRACT(CELL("address",'Raw Data'!U44),"\$([A-Z]+)\$[0-9]+"))</f>
        <v/>
      </c>
      <c r="V44" s="7" t="str" cm="1">
        <f t="array" aca="1" ref="V44" ca="1">IFERROR(IF(OR('Raw Data'!V44="",LEN(TRIM('Raw Data'!V44))=0),"",IF(AND(ISNUMBER('Raw Data'!V44), IFERROR('Raw Data'!V44 = ROUND('Raw Data'!V44, 2),FALSE)),"",_xlfn.REGEXEXTRACT(CELL("address",V44), "\$([A-Z]+)\$[0-9]+"))),_xlfn.REGEXEXTRACT(CELL("address",V44), "\$([A-Z]+)\$[0-9]+"))</f>
        <v/>
      </c>
      <c r="W44" s="7" t="str" cm="1">
        <f t="array" aca="1" ref="W44" ca="1">IFERROR(IF(OR('Raw Data'!W44="",LEN(TRIM('Raw Data'!W44))=0),"",IF(AND(ISNUMBER('Raw Data'!W44), IFERROR('Raw Data'!W44 = ROUND('Raw Data'!W44, 2),FALSE)),"",_xlfn.REGEXEXTRACT(CELL("address",W44), "\$([A-Z]+)\$[0-9]+"))),_xlfn.REGEXEXTRACT(CELL("address",W44), "\$([A-Z]+)\$[0-9]+"))</f>
        <v/>
      </c>
      <c r="X44" s="7" t="str" cm="1">
        <f t="array" aca="1" ref="X44" ca="1">IFERROR(IF(OR('Raw Data'!X44="",LEN(TRIM('Raw Data'!X44))=0),"",IF(AND(ISNUMBER('Raw Data'!X44), IFERROR('Raw Data'!X44 = ROUND('Raw Data'!X44, 2),FALSE)),"",_xlfn.REGEXEXTRACT(CELL("address",X44), "\$([A-Z]+)\$[0-9]+"))),_xlfn.REGEXEXTRACT(CELL("address",X44), "\$([A-Z]+)\$[0-9]+"))</f>
        <v/>
      </c>
    </row>
    <row r="45" spans="2:24" x14ac:dyDescent="0.25">
      <c r="B45" s="7" t="str" cm="1">
        <f t="array" aca="1" ref="B45" ca="1">IFERROR(IF(OR('Raw Data'!B45="",LEN(TRIM('Raw Data'!B45))=0),"",IF(AND(LEN('Raw Data'!B45) &lt;= 50,LEN('Raw Data'!B45)&gt; 0),"",_xlfn.REGEXEXTRACT(CELL("address",'Raw Data'!B45),"\$([A-Z]+)\$[0-9]+"))),_xlfn.REGEXEXTRACT(CELL("address",'Raw Data'!B45),"\$([A-Z]+)\$[0-9]+"))</f>
        <v/>
      </c>
      <c r="C45" s="7" t="str" cm="1">
        <f t="array" aca="1" ref="C45" ca="1">IFERROR(IF(OR('Raw Data'!C45="",LEN(TRIM('Raw Data'!C45))=0),"",IF(AND(LEN('Raw Data'!C45) &lt;= 50,LEN('Raw Data'!C45)&gt; 0),"",_xlfn.REGEXEXTRACT(CELL("address",'Raw Data'!C45),"\$([A-Z]+)\$[0-9]+"))),_xlfn.REGEXEXTRACT(CELL("address",'Raw Data'!C45),"\$([A-Z]+)\$[0-9]+"))</f>
        <v/>
      </c>
      <c r="D45" s="7" t="str" cm="1">
        <f t="array" aca="1" ref="D45" ca="1">IFERROR(IF(OR('Raw Data'!D45="",LEN(TRIM('Raw Data'!D45))=0),"",IF(AND(LEN('Raw Data'!D45) &lt;= 255,LEN('Raw Data'!D45)&gt; 0),"",_xlfn.REGEXEXTRACT(CELL("address",'Raw Data'!D45),"\$([A-Z]+)\$[0-9]+"))),_xlfn.REGEXEXTRACT(CELL("address",'Raw Data'!D45),"\$([A-Z]+)\$[0-9]+"))</f>
        <v/>
      </c>
      <c r="E45" s="7" t="str" cm="1">
        <f t="array" aca="1" ref="E45" ca="1">IFERROR(IF(OR('Raw Data'!E45="",LEN(TRIM('Raw Data'!E45))=0),"",IF(AND(ISNUMBER('Raw Data'!E45),'Raw Data'!E45&gt;=Configuration!$D$2),"",_xlfn.REGEXEXTRACT(CELL("address",'Raw Data'!E45),"\$([A-Z]+)\$[0-9]+"))),_xlfn.REGEXEXTRACT(CELL("address",E45), "\$([A-Z]+)\$[0-9]+"))</f>
        <v/>
      </c>
      <c r="F45" s="7" t="str" cm="1">
        <f t="array" aca="1" ref="F45" ca="1">IFERROR(IF(OR('Raw Data'!F45="",LEN(TRIM('Raw Data'!F45))=0),"",IF(AND(LEN('Raw Data'!F45) &lt;= 20,LEN('Raw Data'!F45)&gt; 0),"",_xlfn.REGEXEXTRACT(CELL("address",'Raw Data'!F45),"\$([A-Z]+)\$[0-9]+"))),_xlfn.REGEXEXTRACT(CELL("address",'Raw Data'!F45),"\$([A-Z]+)\$[0-9]+"))</f>
        <v/>
      </c>
      <c r="G45" s="7" t="str" cm="1">
        <f t="array" aca="1" ref="G45" ca="1">IFERROR(IF(OR('Raw Data'!G45="",LEN(TRIM('Raw Data'!G45))=0),"",IF(AND(ISNUMBER('Raw Data'!G45), IFERROR('Raw Data'!G45 = ROUND('Raw Data'!G45, 2),FALSE)),"",_xlfn.REGEXEXTRACT(CELL("address",G45), "\$([A-Z]+)\$[0-9]+"))),_xlfn.REGEXEXTRACT(CELL("address",G45), "\$([A-Z]+)\$[0-9]+"))</f>
        <v/>
      </c>
      <c r="H45" s="7" t="str" cm="1">
        <f t="array" aca="1" ref="H45" ca="1">IFERROR(IF(OR('Raw Data'!H45="",LEN(TRIM('Raw Data'!H45))=0),"",IF(AND(ISNUMBER('Raw Data'!H45), IFERROR('Raw Data'!H45 = ROUND('Raw Data'!H45, 2),FALSE)),"",_xlfn.REGEXEXTRACT(CELL("address",H45), "\$([A-Z]+)\$[0-9]+"))),_xlfn.REGEXEXTRACT(CELL("address",H45), "\$([A-Z]+)\$[0-9]+"))</f>
        <v/>
      </c>
      <c r="I45" s="7" t="str" cm="1">
        <f t="array" aca="1" ref="I45" ca="1">IFERROR(IF(OR('Raw Data'!I45="",LEN(TRIM('Raw Data'!I45))=0),"",IF(AND(LEN('Raw Data'!I45) &lt;= 50,LEN('Raw Data'!I45)&gt; 0),"",_xlfn.REGEXEXTRACT(CELL("address",'Raw Data'!I45),"\$([A-Z]+)\$[0-9]+"))),_xlfn.REGEXEXTRACT(CELL("address",'Raw Data'!I45),"\$([A-Z]+)\$[0-9]+"))</f>
        <v/>
      </c>
      <c r="J45" s="7" t="str" cm="1">
        <f t="array" aca="1" ref="J45" ca="1">IFERROR(IF(OR('Raw Data'!J45="",LEN(TRIM('Raw Data'!J45))=0),"",IF(AND(ISNUMBER('Raw Data'!J45),'Raw Data'!J45&gt;=Configuration!$D$2),"",_xlfn.REGEXEXTRACT(CELL("address",'Raw Data'!J45),"\$([A-Z]+)\$[0-9]+"))),_xlfn.REGEXEXTRACT(CELL("address",J45), "\$([A-Z]+)\$[0-9]+"))</f>
        <v/>
      </c>
      <c r="K45" s="7" t="str" cm="1">
        <f t="array" aca="1" ref="K45" ca="1">IFERROR(IF(OR('Raw Data'!K45="",LEN(TRIM('Raw Data'!K45))=0),"",IF(AND(ISNUMBER('Raw Data'!K45), IFERROR('Raw Data'!K45 = ROUND('Raw Data'!K45, 2),FALSE)),"",_xlfn.REGEXEXTRACT(CELL("address",K45), "\$([A-Z]+)\$[0-9]+"))),_xlfn.REGEXEXTRACT(CELL("address",K45), "\$([A-Z]+)\$[0-9]+"))</f>
        <v/>
      </c>
      <c r="L45" s="7" t="str" cm="1">
        <f t="array" aca="1" ref="L45" ca="1">IFERROR(IF(OR('Raw Data'!L45="",LEN(TRIM('Raw Data'!L45))=0),"",IF(AND(ISNUMBER('Raw Data'!L45), IFERROR('Raw Data'!L45 = ROUND('Raw Data'!L45, 2),FALSE)),"",_xlfn.REGEXEXTRACT(CELL("address",L45), "\$([A-Z]+)\$[0-9]+"))),_xlfn.REGEXEXTRACT(CELL("address",L45), "\$([A-Z]+)\$[0-9]+"))</f>
        <v/>
      </c>
      <c r="M45" s="7" t="str" cm="1">
        <f t="array" aca="1" ref="M45" ca="1">IFERROR(IF(OR('Raw Data'!M45="",LEN(TRIM('Raw Data'!M45))=0),"",IF(AND(ISNUMBER('Raw Data'!M45), IFERROR('Raw Data'!M45 = ROUND('Raw Data'!M45, 2),FALSE)),"",_xlfn.REGEXEXTRACT(CELL("address",M45), "\$([A-Z]+)\$[0-9]+"))),_xlfn.REGEXEXTRACT(CELL("address",M45), "\$([A-Z]+)\$[0-9]+"))</f>
        <v/>
      </c>
      <c r="N45" s="7" t="str" cm="1">
        <f t="array" aca="1" ref="N45" ca="1">IFERROR(IF(OR('Raw Data'!N45="",LEN(TRIM('Raw Data'!N45))=0),"",IF(AND(ISNUMBER('Raw Data'!N45), IFERROR('Raw Data'!N45 = ROUND('Raw Data'!N45, 2),FALSE)),"",_xlfn.REGEXEXTRACT(CELL("address",N45), "\$([A-Z]+)\$[0-9]+"))),_xlfn.REGEXEXTRACT(CELL("address",N45), "\$([A-Z]+)\$[0-9]+"))</f>
        <v/>
      </c>
      <c r="O45" s="7" t="str" cm="1">
        <f t="array" aca="1" ref="O45" ca="1">IFERROR(IF(OR('Raw Data'!O45="",LEN(TRIM('Raw Data'!O45))=0),"",IF(AND(ISNUMBER('Raw Data'!O45), IFERROR('Raw Data'!O45 = ROUND('Raw Data'!O45, 2),FALSE)),"",_xlfn.REGEXEXTRACT(CELL("address",O45), "\$([A-Z]+)\$[0-9]+"))),_xlfn.REGEXEXTRACT(CELL("address",O45), "\$([A-Z]+)\$[0-9]+"))</f>
        <v/>
      </c>
      <c r="P45" s="7" t="str" cm="1">
        <f t="array" aca="1" ref="P45" ca="1">IFERROR(IF(OR('Raw Data'!P45="",LEN(TRIM('Raw Data'!P45))=0),"",IF(AND(ISNUMBER('Raw Data'!P45),'Raw Data'!P45&gt;=Configuration!$D$2),"",_xlfn.REGEXEXTRACT(CELL("address",'Raw Data'!P45),"\$([A-Z]+)\$[0-9]+"))),_xlfn.REGEXEXTRACT(CELL("address",P45), "\$([A-Z]+)\$[0-9]+"))</f>
        <v/>
      </c>
      <c r="Q45" s="7" t="str" cm="1">
        <f t="array" aca="1" ref="Q45" ca="1">IFERROR(IF(OR('Raw Data'!Q45="",LEN(TRIM('Raw Data'!Q45))=0),"",IF(AND(ISNUMBER('Raw Data'!Q45),'Raw Data'!Q45&gt;=Configuration!$D$2),"",_xlfn.REGEXEXTRACT(CELL("address",'Raw Data'!Q45),"\$([A-Z]+)\$[0-9]+"))),_xlfn.REGEXEXTRACT(CELL("address",Q45), "\$([A-Z]+)\$[0-9]+"))</f>
        <v/>
      </c>
      <c r="R45" s="7" t="str" cm="1">
        <f t="array" aca="1" ref="R45" ca="1">IFERROR(IF(OR('Raw Data'!R45="",LEN(TRIM('Raw Data'!R45))=0),"",IF(AND(ISNUMBER('Raw Data'!R45), IFERROR('Raw Data'!R45 = ROUND('Raw Data'!R45, 2),FALSE)),"",_xlfn.REGEXEXTRACT(CELL("address",R45), "\$([A-Z]+)\$[0-9]+"))),_xlfn.REGEXEXTRACT(CELL("address",R45), "\$([A-Z]+)\$[0-9]+"))</f>
        <v/>
      </c>
      <c r="S45" s="7" t="str" cm="1">
        <f t="array" aca="1" ref="S45" ca="1">IFERROR(IF(OR('Raw Data'!S45="",LEN(TRIM('Raw Data'!S45))=0),"",IF(AND(ISNUMBER('Raw Data'!S45), IFERROR('Raw Data'!S45 = ROUND('Raw Data'!S45, 2),FALSE)),"",_xlfn.REGEXEXTRACT(CELL("address",S45), "\$([A-Z]+)\$[0-9]+"))),_xlfn.REGEXEXTRACT(CELL("address",S45), "\$([A-Z]+)\$[0-9]+"))</f>
        <v/>
      </c>
      <c r="T45" s="7" t="str" cm="1">
        <f t="array" aca="1" ref="T45" ca="1">IFERROR(IF(OR('Raw Data'!T45="",LEN(TRIM('Raw Data'!T45))=0),"",IF(AND(ISNUMBER('Raw Data'!T45), IFERROR('Raw Data'!T45 = ROUND('Raw Data'!T45, 2),FALSE)),"",_xlfn.REGEXEXTRACT(CELL("address",T45), "\$([A-Z]+)\$[0-9]+"))),_xlfn.REGEXEXTRACT(CELL("address",T45), "\$([A-Z]+)\$[0-9]+"))</f>
        <v/>
      </c>
      <c r="U45" s="7" t="str" cm="1">
        <f t="array" aca="1" ref="U45" ca="1">IFERROR(IF(OR('Raw Data'!U45="",LEN(TRIM('Raw Data'!U45))=0),"",IF(AND(LEN('Raw Data'!U45) &lt;= 5,LEN('Raw Data'!U45)&gt; 0),"",_xlfn.REGEXEXTRACT(CELL("address",'Raw Data'!U45),"\$([A-Z]+)\$[0-9]+"))),_xlfn.REGEXEXTRACT(CELL("address",'Raw Data'!U45),"\$([A-Z]+)\$[0-9]+"))</f>
        <v/>
      </c>
      <c r="V45" s="7" t="str" cm="1">
        <f t="array" aca="1" ref="V45" ca="1">IFERROR(IF(OR('Raw Data'!V45="",LEN(TRIM('Raw Data'!V45))=0),"",IF(AND(ISNUMBER('Raw Data'!V45), IFERROR('Raw Data'!V45 = ROUND('Raw Data'!V45, 2),FALSE)),"",_xlfn.REGEXEXTRACT(CELL("address",V45), "\$([A-Z]+)\$[0-9]+"))),_xlfn.REGEXEXTRACT(CELL("address",V45), "\$([A-Z]+)\$[0-9]+"))</f>
        <v/>
      </c>
      <c r="W45" s="7" t="str" cm="1">
        <f t="array" aca="1" ref="W45" ca="1">IFERROR(IF(OR('Raw Data'!W45="",LEN(TRIM('Raw Data'!W45))=0),"",IF(AND(ISNUMBER('Raw Data'!W45), IFERROR('Raw Data'!W45 = ROUND('Raw Data'!W45, 2),FALSE)),"",_xlfn.REGEXEXTRACT(CELL("address",W45), "\$([A-Z]+)\$[0-9]+"))),_xlfn.REGEXEXTRACT(CELL("address",W45), "\$([A-Z]+)\$[0-9]+"))</f>
        <v/>
      </c>
      <c r="X45" s="7" t="str" cm="1">
        <f t="array" aca="1" ref="X45" ca="1">IFERROR(IF(OR('Raw Data'!X45="",LEN(TRIM('Raw Data'!X45))=0),"",IF(AND(ISNUMBER('Raw Data'!X45), IFERROR('Raw Data'!X45 = ROUND('Raw Data'!X45, 2),FALSE)),"",_xlfn.REGEXEXTRACT(CELL("address",X45), "\$([A-Z]+)\$[0-9]+"))),_xlfn.REGEXEXTRACT(CELL("address",X45), "\$([A-Z]+)\$[0-9]+"))</f>
        <v/>
      </c>
    </row>
    <row r="46" spans="2:24" x14ac:dyDescent="0.25">
      <c r="B46" s="7" t="str" cm="1">
        <f t="array" aca="1" ref="B46" ca="1">IFERROR(IF(OR('Raw Data'!B46="",LEN(TRIM('Raw Data'!B46))=0),"",IF(AND(LEN('Raw Data'!B46) &lt;= 50,LEN('Raw Data'!B46)&gt; 0),"",_xlfn.REGEXEXTRACT(CELL("address",'Raw Data'!B46),"\$([A-Z]+)\$[0-9]+"))),_xlfn.REGEXEXTRACT(CELL("address",'Raw Data'!B46),"\$([A-Z]+)\$[0-9]+"))</f>
        <v/>
      </c>
      <c r="C46" s="7" t="str" cm="1">
        <f t="array" aca="1" ref="C46" ca="1">IFERROR(IF(OR('Raw Data'!C46="",LEN(TRIM('Raw Data'!C46))=0),"",IF(AND(LEN('Raw Data'!C46) &lt;= 50,LEN('Raw Data'!C46)&gt; 0),"",_xlfn.REGEXEXTRACT(CELL("address",'Raw Data'!C46),"\$([A-Z]+)\$[0-9]+"))),_xlfn.REGEXEXTRACT(CELL("address",'Raw Data'!C46),"\$([A-Z]+)\$[0-9]+"))</f>
        <v/>
      </c>
      <c r="D46" s="7" t="str" cm="1">
        <f t="array" aca="1" ref="D46" ca="1">IFERROR(IF(OR('Raw Data'!D46="",LEN(TRIM('Raw Data'!D46))=0),"",IF(AND(LEN('Raw Data'!D46) &lt;= 255,LEN('Raw Data'!D46)&gt; 0),"",_xlfn.REGEXEXTRACT(CELL("address",'Raw Data'!D46),"\$([A-Z]+)\$[0-9]+"))),_xlfn.REGEXEXTRACT(CELL("address",'Raw Data'!D46),"\$([A-Z]+)\$[0-9]+"))</f>
        <v/>
      </c>
      <c r="E46" s="7" t="str" cm="1">
        <f t="array" aca="1" ref="E46" ca="1">IFERROR(IF(OR('Raw Data'!E46="",LEN(TRIM('Raw Data'!E46))=0),"",IF(AND(ISNUMBER('Raw Data'!E46),'Raw Data'!E46&gt;=Configuration!$D$2),"",_xlfn.REGEXEXTRACT(CELL("address",'Raw Data'!E46),"\$([A-Z]+)\$[0-9]+"))),_xlfn.REGEXEXTRACT(CELL("address",E46), "\$([A-Z]+)\$[0-9]+"))</f>
        <v/>
      </c>
      <c r="F46" s="7" t="str" cm="1">
        <f t="array" aca="1" ref="F46" ca="1">IFERROR(IF(OR('Raw Data'!F46="",LEN(TRIM('Raw Data'!F46))=0),"",IF(AND(LEN('Raw Data'!F46) &lt;= 20,LEN('Raw Data'!F46)&gt; 0),"",_xlfn.REGEXEXTRACT(CELL("address",'Raw Data'!F46),"\$([A-Z]+)\$[0-9]+"))),_xlfn.REGEXEXTRACT(CELL("address",'Raw Data'!F46),"\$([A-Z]+)\$[0-9]+"))</f>
        <v/>
      </c>
      <c r="G46" s="7" t="str" cm="1">
        <f t="array" aca="1" ref="G46" ca="1">IFERROR(IF(OR('Raw Data'!G46="",LEN(TRIM('Raw Data'!G46))=0),"",IF(AND(ISNUMBER('Raw Data'!G46), IFERROR('Raw Data'!G46 = ROUND('Raw Data'!G46, 2),FALSE)),"",_xlfn.REGEXEXTRACT(CELL("address",G46), "\$([A-Z]+)\$[0-9]+"))),_xlfn.REGEXEXTRACT(CELL("address",G46), "\$([A-Z]+)\$[0-9]+"))</f>
        <v/>
      </c>
      <c r="H46" s="7" t="str" cm="1">
        <f t="array" aca="1" ref="H46" ca="1">IFERROR(IF(OR('Raw Data'!H46="",LEN(TRIM('Raw Data'!H46))=0),"",IF(AND(ISNUMBER('Raw Data'!H46), IFERROR('Raw Data'!H46 = ROUND('Raw Data'!H46, 2),FALSE)),"",_xlfn.REGEXEXTRACT(CELL("address",H46), "\$([A-Z]+)\$[0-9]+"))),_xlfn.REGEXEXTRACT(CELL("address",H46), "\$([A-Z]+)\$[0-9]+"))</f>
        <v/>
      </c>
      <c r="I46" s="7" t="str" cm="1">
        <f t="array" aca="1" ref="I46" ca="1">IFERROR(IF(OR('Raw Data'!I46="",LEN(TRIM('Raw Data'!I46))=0),"",IF(AND(LEN('Raw Data'!I46) &lt;= 50,LEN('Raw Data'!I46)&gt; 0),"",_xlfn.REGEXEXTRACT(CELL("address",'Raw Data'!I46),"\$([A-Z]+)\$[0-9]+"))),_xlfn.REGEXEXTRACT(CELL("address",'Raw Data'!I46),"\$([A-Z]+)\$[0-9]+"))</f>
        <v/>
      </c>
      <c r="J46" s="7" t="str" cm="1">
        <f t="array" aca="1" ref="J46" ca="1">IFERROR(IF(OR('Raw Data'!J46="",LEN(TRIM('Raw Data'!J46))=0),"",IF(AND(ISNUMBER('Raw Data'!J46),'Raw Data'!J46&gt;=Configuration!$D$2),"",_xlfn.REGEXEXTRACT(CELL("address",'Raw Data'!J46),"\$([A-Z]+)\$[0-9]+"))),_xlfn.REGEXEXTRACT(CELL("address",J46), "\$([A-Z]+)\$[0-9]+"))</f>
        <v/>
      </c>
      <c r="K46" s="7" t="str" cm="1">
        <f t="array" aca="1" ref="K46" ca="1">IFERROR(IF(OR('Raw Data'!K46="",LEN(TRIM('Raw Data'!K46))=0),"",IF(AND(ISNUMBER('Raw Data'!K46), IFERROR('Raw Data'!K46 = ROUND('Raw Data'!K46, 2),FALSE)),"",_xlfn.REGEXEXTRACT(CELL("address",K46), "\$([A-Z]+)\$[0-9]+"))),_xlfn.REGEXEXTRACT(CELL("address",K46), "\$([A-Z]+)\$[0-9]+"))</f>
        <v/>
      </c>
      <c r="L46" s="7" t="str" cm="1">
        <f t="array" aca="1" ref="L46" ca="1">IFERROR(IF(OR('Raw Data'!L46="",LEN(TRIM('Raw Data'!L46))=0),"",IF(AND(ISNUMBER('Raw Data'!L46), IFERROR('Raw Data'!L46 = ROUND('Raw Data'!L46, 2),FALSE)),"",_xlfn.REGEXEXTRACT(CELL("address",L46), "\$([A-Z]+)\$[0-9]+"))),_xlfn.REGEXEXTRACT(CELL("address",L46), "\$([A-Z]+)\$[0-9]+"))</f>
        <v/>
      </c>
      <c r="M46" s="7" t="str" cm="1">
        <f t="array" aca="1" ref="M46" ca="1">IFERROR(IF(OR('Raw Data'!M46="",LEN(TRIM('Raw Data'!M46))=0),"",IF(AND(ISNUMBER('Raw Data'!M46), IFERROR('Raw Data'!M46 = ROUND('Raw Data'!M46, 2),FALSE)),"",_xlfn.REGEXEXTRACT(CELL("address",M46), "\$([A-Z]+)\$[0-9]+"))),_xlfn.REGEXEXTRACT(CELL("address",M46), "\$([A-Z]+)\$[0-9]+"))</f>
        <v/>
      </c>
      <c r="N46" s="7" t="str" cm="1">
        <f t="array" aca="1" ref="N46" ca="1">IFERROR(IF(OR('Raw Data'!N46="",LEN(TRIM('Raw Data'!N46))=0),"",IF(AND(ISNUMBER('Raw Data'!N46), IFERROR('Raw Data'!N46 = ROUND('Raw Data'!N46, 2),FALSE)),"",_xlfn.REGEXEXTRACT(CELL("address",N46), "\$([A-Z]+)\$[0-9]+"))),_xlfn.REGEXEXTRACT(CELL("address",N46), "\$([A-Z]+)\$[0-9]+"))</f>
        <v/>
      </c>
      <c r="O46" s="7" t="str" cm="1">
        <f t="array" aca="1" ref="O46" ca="1">IFERROR(IF(OR('Raw Data'!O46="",LEN(TRIM('Raw Data'!O46))=0),"",IF(AND(ISNUMBER('Raw Data'!O46), IFERROR('Raw Data'!O46 = ROUND('Raw Data'!O46, 2),FALSE)),"",_xlfn.REGEXEXTRACT(CELL("address",O46), "\$([A-Z]+)\$[0-9]+"))),_xlfn.REGEXEXTRACT(CELL("address",O46), "\$([A-Z]+)\$[0-9]+"))</f>
        <v/>
      </c>
      <c r="P46" s="7" t="str" cm="1">
        <f t="array" aca="1" ref="P46" ca="1">IFERROR(IF(OR('Raw Data'!P46="",LEN(TRIM('Raw Data'!P46))=0),"",IF(AND(ISNUMBER('Raw Data'!P46),'Raw Data'!P46&gt;=Configuration!$D$2),"",_xlfn.REGEXEXTRACT(CELL("address",'Raw Data'!P46),"\$([A-Z]+)\$[0-9]+"))),_xlfn.REGEXEXTRACT(CELL("address",P46), "\$([A-Z]+)\$[0-9]+"))</f>
        <v/>
      </c>
      <c r="Q46" s="7" t="str" cm="1">
        <f t="array" aca="1" ref="Q46" ca="1">IFERROR(IF(OR('Raw Data'!Q46="",LEN(TRIM('Raw Data'!Q46))=0),"",IF(AND(ISNUMBER('Raw Data'!Q46),'Raw Data'!Q46&gt;=Configuration!$D$2),"",_xlfn.REGEXEXTRACT(CELL("address",'Raw Data'!Q46),"\$([A-Z]+)\$[0-9]+"))),_xlfn.REGEXEXTRACT(CELL("address",Q46), "\$([A-Z]+)\$[0-9]+"))</f>
        <v/>
      </c>
      <c r="R46" s="7" t="str" cm="1">
        <f t="array" aca="1" ref="R46" ca="1">IFERROR(IF(OR('Raw Data'!R46="",LEN(TRIM('Raw Data'!R46))=0),"",IF(AND(ISNUMBER('Raw Data'!R46), IFERROR('Raw Data'!R46 = ROUND('Raw Data'!R46, 2),FALSE)),"",_xlfn.REGEXEXTRACT(CELL("address",R46), "\$([A-Z]+)\$[0-9]+"))),_xlfn.REGEXEXTRACT(CELL("address",R46), "\$([A-Z]+)\$[0-9]+"))</f>
        <v/>
      </c>
      <c r="S46" s="7" t="str" cm="1">
        <f t="array" aca="1" ref="S46" ca="1">IFERROR(IF(OR('Raw Data'!S46="",LEN(TRIM('Raw Data'!S46))=0),"",IF(AND(ISNUMBER('Raw Data'!S46), IFERROR('Raw Data'!S46 = ROUND('Raw Data'!S46, 2),FALSE)),"",_xlfn.REGEXEXTRACT(CELL("address",S46), "\$([A-Z]+)\$[0-9]+"))),_xlfn.REGEXEXTRACT(CELL("address",S46), "\$([A-Z]+)\$[0-9]+"))</f>
        <v/>
      </c>
      <c r="T46" s="7" t="str" cm="1">
        <f t="array" aca="1" ref="T46" ca="1">IFERROR(IF(OR('Raw Data'!T46="",LEN(TRIM('Raw Data'!T46))=0),"",IF(AND(ISNUMBER('Raw Data'!T46), IFERROR('Raw Data'!T46 = ROUND('Raw Data'!T46, 2),FALSE)),"",_xlfn.REGEXEXTRACT(CELL("address",T46), "\$([A-Z]+)\$[0-9]+"))),_xlfn.REGEXEXTRACT(CELL("address",T46), "\$([A-Z]+)\$[0-9]+"))</f>
        <v/>
      </c>
      <c r="U46" s="7" t="str" cm="1">
        <f t="array" aca="1" ref="U46" ca="1">IFERROR(IF(OR('Raw Data'!U46="",LEN(TRIM('Raw Data'!U46))=0),"",IF(AND(LEN('Raw Data'!U46) &lt;= 5,LEN('Raw Data'!U46)&gt; 0),"",_xlfn.REGEXEXTRACT(CELL("address",'Raw Data'!U46),"\$([A-Z]+)\$[0-9]+"))),_xlfn.REGEXEXTRACT(CELL("address",'Raw Data'!U46),"\$([A-Z]+)\$[0-9]+"))</f>
        <v/>
      </c>
      <c r="V46" s="7" t="str" cm="1">
        <f t="array" aca="1" ref="V46" ca="1">IFERROR(IF(OR('Raw Data'!V46="",LEN(TRIM('Raw Data'!V46))=0),"",IF(AND(ISNUMBER('Raw Data'!V46), IFERROR('Raw Data'!V46 = ROUND('Raw Data'!V46, 2),FALSE)),"",_xlfn.REGEXEXTRACT(CELL("address",V46), "\$([A-Z]+)\$[0-9]+"))),_xlfn.REGEXEXTRACT(CELL("address",V46), "\$([A-Z]+)\$[0-9]+"))</f>
        <v/>
      </c>
      <c r="W46" s="7" t="str" cm="1">
        <f t="array" aca="1" ref="W46" ca="1">IFERROR(IF(OR('Raw Data'!W46="",LEN(TRIM('Raw Data'!W46))=0),"",IF(AND(ISNUMBER('Raw Data'!W46), IFERROR('Raw Data'!W46 = ROUND('Raw Data'!W46, 2),FALSE)),"",_xlfn.REGEXEXTRACT(CELL("address",W46), "\$([A-Z]+)\$[0-9]+"))),_xlfn.REGEXEXTRACT(CELL("address",W46), "\$([A-Z]+)\$[0-9]+"))</f>
        <v/>
      </c>
      <c r="X46" s="7" t="str" cm="1">
        <f t="array" aca="1" ref="X46" ca="1">IFERROR(IF(OR('Raw Data'!X46="",LEN(TRIM('Raw Data'!X46))=0),"",IF(AND(ISNUMBER('Raw Data'!X46), IFERROR('Raw Data'!X46 = ROUND('Raw Data'!X46, 2),FALSE)),"",_xlfn.REGEXEXTRACT(CELL("address",X46), "\$([A-Z]+)\$[0-9]+"))),_xlfn.REGEXEXTRACT(CELL("address",X46), "\$([A-Z]+)\$[0-9]+"))</f>
        <v/>
      </c>
    </row>
    <row r="47" spans="2:24" x14ac:dyDescent="0.25">
      <c r="B47" s="7" t="str" cm="1">
        <f t="array" aca="1" ref="B47" ca="1">IFERROR(IF(OR('Raw Data'!B47="",LEN(TRIM('Raw Data'!B47))=0),"",IF(AND(LEN('Raw Data'!B47) &lt;= 50,LEN('Raw Data'!B47)&gt; 0),"",_xlfn.REGEXEXTRACT(CELL("address",'Raw Data'!B47),"\$([A-Z]+)\$[0-9]+"))),_xlfn.REGEXEXTRACT(CELL("address",'Raw Data'!B47),"\$([A-Z]+)\$[0-9]+"))</f>
        <v/>
      </c>
      <c r="C47" s="7" t="str" cm="1">
        <f t="array" aca="1" ref="C47" ca="1">IFERROR(IF(OR('Raw Data'!C47="",LEN(TRIM('Raw Data'!C47))=0),"",IF(AND(LEN('Raw Data'!C47) &lt;= 50,LEN('Raw Data'!C47)&gt; 0),"",_xlfn.REGEXEXTRACT(CELL("address",'Raw Data'!C47),"\$([A-Z]+)\$[0-9]+"))),_xlfn.REGEXEXTRACT(CELL("address",'Raw Data'!C47),"\$([A-Z]+)\$[0-9]+"))</f>
        <v/>
      </c>
      <c r="D47" s="7" t="str" cm="1">
        <f t="array" aca="1" ref="D47" ca="1">IFERROR(IF(OR('Raw Data'!D47="",LEN(TRIM('Raw Data'!D47))=0),"",IF(AND(LEN('Raw Data'!D47) &lt;= 255,LEN('Raw Data'!D47)&gt; 0),"",_xlfn.REGEXEXTRACT(CELL("address",'Raw Data'!D47),"\$([A-Z]+)\$[0-9]+"))),_xlfn.REGEXEXTRACT(CELL("address",'Raw Data'!D47),"\$([A-Z]+)\$[0-9]+"))</f>
        <v/>
      </c>
      <c r="E47" s="7" t="str" cm="1">
        <f t="array" aca="1" ref="E47" ca="1">IFERROR(IF(OR('Raw Data'!E47="",LEN(TRIM('Raw Data'!E47))=0),"",IF(AND(ISNUMBER('Raw Data'!E47),'Raw Data'!E47&gt;=Configuration!$D$2),"",_xlfn.REGEXEXTRACT(CELL("address",'Raw Data'!E47),"\$([A-Z]+)\$[0-9]+"))),_xlfn.REGEXEXTRACT(CELL("address",E47), "\$([A-Z]+)\$[0-9]+"))</f>
        <v/>
      </c>
      <c r="F47" s="7" t="str" cm="1">
        <f t="array" aca="1" ref="F47" ca="1">IFERROR(IF(OR('Raw Data'!F47="",LEN(TRIM('Raw Data'!F47))=0),"",IF(AND(LEN('Raw Data'!F47) &lt;= 20,LEN('Raw Data'!F47)&gt; 0),"",_xlfn.REGEXEXTRACT(CELL("address",'Raw Data'!F47),"\$([A-Z]+)\$[0-9]+"))),_xlfn.REGEXEXTRACT(CELL("address",'Raw Data'!F47),"\$([A-Z]+)\$[0-9]+"))</f>
        <v/>
      </c>
      <c r="G47" s="7" t="str" cm="1">
        <f t="array" aca="1" ref="G47" ca="1">IFERROR(IF(OR('Raw Data'!G47="",LEN(TRIM('Raw Data'!G47))=0),"",IF(AND(ISNUMBER('Raw Data'!G47), IFERROR('Raw Data'!G47 = ROUND('Raw Data'!G47, 2),FALSE)),"",_xlfn.REGEXEXTRACT(CELL("address",G47), "\$([A-Z]+)\$[0-9]+"))),_xlfn.REGEXEXTRACT(CELL("address",G47), "\$([A-Z]+)\$[0-9]+"))</f>
        <v/>
      </c>
      <c r="H47" s="7" t="str" cm="1">
        <f t="array" aca="1" ref="H47" ca="1">IFERROR(IF(OR('Raw Data'!H47="",LEN(TRIM('Raw Data'!H47))=0),"",IF(AND(ISNUMBER('Raw Data'!H47), IFERROR('Raw Data'!H47 = ROUND('Raw Data'!H47, 2),FALSE)),"",_xlfn.REGEXEXTRACT(CELL("address",H47), "\$([A-Z]+)\$[0-9]+"))),_xlfn.REGEXEXTRACT(CELL("address",H47), "\$([A-Z]+)\$[0-9]+"))</f>
        <v/>
      </c>
      <c r="I47" s="7" t="str" cm="1">
        <f t="array" aca="1" ref="I47" ca="1">IFERROR(IF(OR('Raw Data'!I47="",LEN(TRIM('Raw Data'!I47))=0),"",IF(AND(LEN('Raw Data'!I47) &lt;= 50,LEN('Raw Data'!I47)&gt; 0),"",_xlfn.REGEXEXTRACT(CELL("address",'Raw Data'!I47),"\$([A-Z]+)\$[0-9]+"))),_xlfn.REGEXEXTRACT(CELL("address",'Raw Data'!I47),"\$([A-Z]+)\$[0-9]+"))</f>
        <v/>
      </c>
      <c r="J47" s="7" t="str" cm="1">
        <f t="array" aca="1" ref="J47" ca="1">IFERROR(IF(OR('Raw Data'!J47="",LEN(TRIM('Raw Data'!J47))=0),"",IF(AND(ISNUMBER('Raw Data'!J47),'Raw Data'!J47&gt;=Configuration!$D$2),"",_xlfn.REGEXEXTRACT(CELL("address",'Raw Data'!J47),"\$([A-Z]+)\$[0-9]+"))),_xlfn.REGEXEXTRACT(CELL("address",J47), "\$([A-Z]+)\$[0-9]+"))</f>
        <v/>
      </c>
      <c r="K47" s="7" t="str" cm="1">
        <f t="array" aca="1" ref="K47" ca="1">IFERROR(IF(OR('Raw Data'!K47="",LEN(TRIM('Raw Data'!K47))=0),"",IF(AND(ISNUMBER('Raw Data'!K47), IFERROR('Raw Data'!K47 = ROUND('Raw Data'!K47, 2),FALSE)),"",_xlfn.REGEXEXTRACT(CELL("address",K47), "\$([A-Z]+)\$[0-9]+"))),_xlfn.REGEXEXTRACT(CELL("address",K47), "\$([A-Z]+)\$[0-9]+"))</f>
        <v/>
      </c>
      <c r="L47" s="7" t="str" cm="1">
        <f t="array" aca="1" ref="L47" ca="1">IFERROR(IF(OR('Raw Data'!L47="",LEN(TRIM('Raw Data'!L47))=0),"",IF(AND(ISNUMBER('Raw Data'!L47), IFERROR('Raw Data'!L47 = ROUND('Raw Data'!L47, 2),FALSE)),"",_xlfn.REGEXEXTRACT(CELL("address",L47), "\$([A-Z]+)\$[0-9]+"))),_xlfn.REGEXEXTRACT(CELL("address",L47), "\$([A-Z]+)\$[0-9]+"))</f>
        <v/>
      </c>
      <c r="M47" s="7" t="str" cm="1">
        <f t="array" aca="1" ref="M47" ca="1">IFERROR(IF(OR('Raw Data'!M47="",LEN(TRIM('Raw Data'!M47))=0),"",IF(AND(ISNUMBER('Raw Data'!M47), IFERROR('Raw Data'!M47 = ROUND('Raw Data'!M47, 2),FALSE)),"",_xlfn.REGEXEXTRACT(CELL("address",M47), "\$([A-Z]+)\$[0-9]+"))),_xlfn.REGEXEXTRACT(CELL("address",M47), "\$([A-Z]+)\$[0-9]+"))</f>
        <v/>
      </c>
      <c r="N47" s="7" t="str" cm="1">
        <f t="array" aca="1" ref="N47" ca="1">IFERROR(IF(OR('Raw Data'!N47="",LEN(TRIM('Raw Data'!N47))=0),"",IF(AND(ISNUMBER('Raw Data'!N47), IFERROR('Raw Data'!N47 = ROUND('Raw Data'!N47, 2),FALSE)),"",_xlfn.REGEXEXTRACT(CELL("address",N47), "\$([A-Z]+)\$[0-9]+"))),_xlfn.REGEXEXTRACT(CELL("address",N47), "\$([A-Z]+)\$[0-9]+"))</f>
        <v/>
      </c>
      <c r="O47" s="7" t="str" cm="1">
        <f t="array" aca="1" ref="O47" ca="1">IFERROR(IF(OR('Raw Data'!O47="",LEN(TRIM('Raw Data'!O47))=0),"",IF(AND(ISNUMBER('Raw Data'!O47), IFERROR('Raw Data'!O47 = ROUND('Raw Data'!O47, 2),FALSE)),"",_xlfn.REGEXEXTRACT(CELL("address",O47), "\$([A-Z]+)\$[0-9]+"))),_xlfn.REGEXEXTRACT(CELL("address",O47), "\$([A-Z]+)\$[0-9]+"))</f>
        <v/>
      </c>
      <c r="P47" s="7" t="str" cm="1">
        <f t="array" aca="1" ref="P47" ca="1">IFERROR(IF(OR('Raw Data'!P47="",LEN(TRIM('Raw Data'!P47))=0),"",IF(AND(ISNUMBER('Raw Data'!P47),'Raw Data'!P47&gt;=Configuration!$D$2),"",_xlfn.REGEXEXTRACT(CELL("address",'Raw Data'!P47),"\$([A-Z]+)\$[0-9]+"))),_xlfn.REGEXEXTRACT(CELL("address",P47), "\$([A-Z]+)\$[0-9]+"))</f>
        <v/>
      </c>
      <c r="Q47" s="7" t="str" cm="1">
        <f t="array" aca="1" ref="Q47" ca="1">IFERROR(IF(OR('Raw Data'!Q47="",LEN(TRIM('Raw Data'!Q47))=0),"",IF(AND(ISNUMBER('Raw Data'!Q47),'Raw Data'!Q47&gt;=Configuration!$D$2),"",_xlfn.REGEXEXTRACT(CELL("address",'Raw Data'!Q47),"\$([A-Z]+)\$[0-9]+"))),_xlfn.REGEXEXTRACT(CELL("address",Q47), "\$([A-Z]+)\$[0-9]+"))</f>
        <v/>
      </c>
      <c r="R47" s="7" t="str" cm="1">
        <f t="array" aca="1" ref="R47" ca="1">IFERROR(IF(OR('Raw Data'!R47="",LEN(TRIM('Raw Data'!R47))=0),"",IF(AND(ISNUMBER('Raw Data'!R47), IFERROR('Raw Data'!R47 = ROUND('Raw Data'!R47, 2),FALSE)),"",_xlfn.REGEXEXTRACT(CELL("address",R47), "\$([A-Z]+)\$[0-9]+"))),_xlfn.REGEXEXTRACT(CELL("address",R47), "\$([A-Z]+)\$[0-9]+"))</f>
        <v/>
      </c>
      <c r="S47" s="7" t="str" cm="1">
        <f t="array" aca="1" ref="S47" ca="1">IFERROR(IF(OR('Raw Data'!S47="",LEN(TRIM('Raw Data'!S47))=0),"",IF(AND(ISNUMBER('Raw Data'!S47), IFERROR('Raw Data'!S47 = ROUND('Raw Data'!S47, 2),FALSE)),"",_xlfn.REGEXEXTRACT(CELL("address",S47), "\$([A-Z]+)\$[0-9]+"))),_xlfn.REGEXEXTRACT(CELL("address",S47), "\$([A-Z]+)\$[0-9]+"))</f>
        <v/>
      </c>
      <c r="T47" s="7" t="str" cm="1">
        <f t="array" aca="1" ref="T47" ca="1">IFERROR(IF(OR('Raw Data'!T47="",LEN(TRIM('Raw Data'!T47))=0),"",IF(AND(ISNUMBER('Raw Data'!T47), IFERROR('Raw Data'!T47 = ROUND('Raw Data'!T47, 2),FALSE)),"",_xlfn.REGEXEXTRACT(CELL("address",T47), "\$([A-Z]+)\$[0-9]+"))),_xlfn.REGEXEXTRACT(CELL("address",T47), "\$([A-Z]+)\$[0-9]+"))</f>
        <v/>
      </c>
      <c r="U47" s="7" t="str" cm="1">
        <f t="array" aca="1" ref="U47" ca="1">IFERROR(IF(OR('Raw Data'!U47="",LEN(TRIM('Raw Data'!U47))=0),"",IF(AND(LEN('Raw Data'!U47) &lt;= 5,LEN('Raw Data'!U47)&gt; 0),"",_xlfn.REGEXEXTRACT(CELL("address",'Raw Data'!U47),"\$([A-Z]+)\$[0-9]+"))),_xlfn.REGEXEXTRACT(CELL("address",'Raw Data'!U47),"\$([A-Z]+)\$[0-9]+"))</f>
        <v/>
      </c>
      <c r="V47" s="7" t="str" cm="1">
        <f t="array" aca="1" ref="V47" ca="1">IFERROR(IF(OR('Raw Data'!V47="",LEN(TRIM('Raw Data'!V47))=0),"",IF(AND(ISNUMBER('Raw Data'!V47), IFERROR('Raw Data'!V47 = ROUND('Raw Data'!V47, 2),FALSE)),"",_xlfn.REGEXEXTRACT(CELL("address",V47), "\$([A-Z]+)\$[0-9]+"))),_xlfn.REGEXEXTRACT(CELL("address",V47), "\$([A-Z]+)\$[0-9]+"))</f>
        <v/>
      </c>
      <c r="W47" s="7" t="str" cm="1">
        <f t="array" aca="1" ref="W47" ca="1">IFERROR(IF(OR('Raw Data'!W47="",LEN(TRIM('Raw Data'!W47))=0),"",IF(AND(ISNUMBER('Raw Data'!W47), IFERROR('Raw Data'!W47 = ROUND('Raw Data'!W47, 2),FALSE)),"",_xlfn.REGEXEXTRACT(CELL("address",W47), "\$([A-Z]+)\$[0-9]+"))),_xlfn.REGEXEXTRACT(CELL("address",W47), "\$([A-Z]+)\$[0-9]+"))</f>
        <v/>
      </c>
      <c r="X47" s="7" t="str" cm="1">
        <f t="array" aca="1" ref="X47" ca="1">IFERROR(IF(OR('Raw Data'!X47="",LEN(TRIM('Raw Data'!X47))=0),"",IF(AND(ISNUMBER('Raw Data'!X47), IFERROR('Raw Data'!X47 = ROUND('Raw Data'!X47, 2),FALSE)),"",_xlfn.REGEXEXTRACT(CELL("address",X47), "\$([A-Z]+)\$[0-9]+"))),_xlfn.REGEXEXTRACT(CELL("address",X47), "\$([A-Z]+)\$[0-9]+"))</f>
        <v/>
      </c>
    </row>
    <row r="48" spans="2:24" x14ac:dyDescent="0.25">
      <c r="B48" s="7" t="str" cm="1">
        <f t="array" aca="1" ref="B48" ca="1">IFERROR(IF(OR('Raw Data'!B48="",LEN(TRIM('Raw Data'!B48))=0),"",IF(AND(LEN('Raw Data'!B48) &lt;= 50,LEN('Raw Data'!B48)&gt; 0),"",_xlfn.REGEXEXTRACT(CELL("address",'Raw Data'!B48),"\$([A-Z]+)\$[0-9]+"))),_xlfn.REGEXEXTRACT(CELL("address",'Raw Data'!B48),"\$([A-Z]+)\$[0-9]+"))</f>
        <v/>
      </c>
      <c r="C48" s="7" t="str" cm="1">
        <f t="array" aca="1" ref="C48" ca="1">IFERROR(IF(OR('Raw Data'!C48="",LEN(TRIM('Raw Data'!C48))=0),"",IF(AND(LEN('Raw Data'!C48) &lt;= 50,LEN('Raw Data'!C48)&gt; 0),"",_xlfn.REGEXEXTRACT(CELL("address",'Raw Data'!C48),"\$([A-Z]+)\$[0-9]+"))),_xlfn.REGEXEXTRACT(CELL("address",'Raw Data'!C48),"\$([A-Z]+)\$[0-9]+"))</f>
        <v/>
      </c>
      <c r="D48" s="7" t="str" cm="1">
        <f t="array" aca="1" ref="D48" ca="1">IFERROR(IF(OR('Raw Data'!D48="",LEN(TRIM('Raw Data'!D48))=0),"",IF(AND(LEN('Raw Data'!D48) &lt;= 255,LEN('Raw Data'!D48)&gt; 0),"",_xlfn.REGEXEXTRACT(CELL("address",'Raw Data'!D48),"\$([A-Z]+)\$[0-9]+"))),_xlfn.REGEXEXTRACT(CELL("address",'Raw Data'!D48),"\$([A-Z]+)\$[0-9]+"))</f>
        <v/>
      </c>
      <c r="E48" s="7" t="str" cm="1">
        <f t="array" aca="1" ref="E48" ca="1">IFERROR(IF(OR('Raw Data'!E48="",LEN(TRIM('Raw Data'!E48))=0),"",IF(AND(ISNUMBER('Raw Data'!E48),'Raw Data'!E48&gt;=Configuration!$D$2),"",_xlfn.REGEXEXTRACT(CELL("address",'Raw Data'!E48),"\$([A-Z]+)\$[0-9]+"))),_xlfn.REGEXEXTRACT(CELL("address",E48), "\$([A-Z]+)\$[0-9]+"))</f>
        <v/>
      </c>
      <c r="F48" s="7" t="str" cm="1">
        <f t="array" aca="1" ref="F48" ca="1">IFERROR(IF(OR('Raw Data'!F48="",LEN(TRIM('Raw Data'!F48))=0),"",IF(AND(LEN('Raw Data'!F48) &lt;= 20,LEN('Raw Data'!F48)&gt; 0),"",_xlfn.REGEXEXTRACT(CELL("address",'Raw Data'!F48),"\$([A-Z]+)\$[0-9]+"))),_xlfn.REGEXEXTRACT(CELL("address",'Raw Data'!F48),"\$([A-Z]+)\$[0-9]+"))</f>
        <v/>
      </c>
      <c r="G48" s="7" t="str" cm="1">
        <f t="array" aca="1" ref="G48" ca="1">IFERROR(IF(OR('Raw Data'!G48="",LEN(TRIM('Raw Data'!G48))=0),"",IF(AND(ISNUMBER('Raw Data'!G48), IFERROR('Raw Data'!G48 = ROUND('Raw Data'!G48, 2),FALSE)),"",_xlfn.REGEXEXTRACT(CELL("address",G48), "\$([A-Z]+)\$[0-9]+"))),_xlfn.REGEXEXTRACT(CELL("address",G48), "\$([A-Z]+)\$[0-9]+"))</f>
        <v/>
      </c>
      <c r="H48" s="7" t="str" cm="1">
        <f t="array" aca="1" ref="H48" ca="1">IFERROR(IF(OR('Raw Data'!H48="",LEN(TRIM('Raw Data'!H48))=0),"",IF(AND(ISNUMBER('Raw Data'!H48), IFERROR('Raw Data'!H48 = ROUND('Raw Data'!H48, 2),FALSE)),"",_xlfn.REGEXEXTRACT(CELL("address",H48), "\$([A-Z]+)\$[0-9]+"))),_xlfn.REGEXEXTRACT(CELL("address",H48), "\$([A-Z]+)\$[0-9]+"))</f>
        <v/>
      </c>
      <c r="I48" s="7" t="str" cm="1">
        <f t="array" aca="1" ref="I48" ca="1">IFERROR(IF(OR('Raw Data'!I48="",LEN(TRIM('Raw Data'!I48))=0),"",IF(AND(LEN('Raw Data'!I48) &lt;= 50,LEN('Raw Data'!I48)&gt; 0),"",_xlfn.REGEXEXTRACT(CELL("address",'Raw Data'!I48),"\$([A-Z]+)\$[0-9]+"))),_xlfn.REGEXEXTRACT(CELL("address",'Raw Data'!I48),"\$([A-Z]+)\$[0-9]+"))</f>
        <v/>
      </c>
      <c r="J48" s="7" t="str" cm="1">
        <f t="array" aca="1" ref="J48" ca="1">IFERROR(IF(OR('Raw Data'!J48="",LEN(TRIM('Raw Data'!J48))=0),"",IF(AND(ISNUMBER('Raw Data'!J48),'Raw Data'!J48&gt;=Configuration!$D$2),"",_xlfn.REGEXEXTRACT(CELL("address",'Raw Data'!J48),"\$([A-Z]+)\$[0-9]+"))),_xlfn.REGEXEXTRACT(CELL("address",J48), "\$([A-Z]+)\$[0-9]+"))</f>
        <v/>
      </c>
      <c r="K48" s="7" t="str" cm="1">
        <f t="array" aca="1" ref="K48" ca="1">IFERROR(IF(OR('Raw Data'!K48="",LEN(TRIM('Raw Data'!K48))=0),"",IF(AND(ISNUMBER('Raw Data'!K48), IFERROR('Raw Data'!K48 = ROUND('Raw Data'!K48, 2),FALSE)),"",_xlfn.REGEXEXTRACT(CELL("address",K48), "\$([A-Z]+)\$[0-9]+"))),_xlfn.REGEXEXTRACT(CELL("address",K48), "\$([A-Z]+)\$[0-9]+"))</f>
        <v/>
      </c>
      <c r="L48" s="7" t="str" cm="1">
        <f t="array" aca="1" ref="L48" ca="1">IFERROR(IF(OR('Raw Data'!L48="",LEN(TRIM('Raw Data'!L48))=0),"",IF(AND(ISNUMBER('Raw Data'!L48), IFERROR('Raw Data'!L48 = ROUND('Raw Data'!L48, 2),FALSE)),"",_xlfn.REGEXEXTRACT(CELL("address",L48), "\$([A-Z]+)\$[0-9]+"))),_xlfn.REGEXEXTRACT(CELL("address",L48), "\$([A-Z]+)\$[0-9]+"))</f>
        <v/>
      </c>
      <c r="M48" s="7" t="str" cm="1">
        <f t="array" aca="1" ref="M48" ca="1">IFERROR(IF(OR('Raw Data'!M48="",LEN(TRIM('Raw Data'!M48))=0),"",IF(AND(ISNUMBER('Raw Data'!M48), IFERROR('Raw Data'!M48 = ROUND('Raw Data'!M48, 2),FALSE)),"",_xlfn.REGEXEXTRACT(CELL("address",M48), "\$([A-Z]+)\$[0-9]+"))),_xlfn.REGEXEXTRACT(CELL("address",M48), "\$([A-Z]+)\$[0-9]+"))</f>
        <v/>
      </c>
      <c r="N48" s="7" t="str" cm="1">
        <f t="array" aca="1" ref="N48" ca="1">IFERROR(IF(OR('Raw Data'!N48="",LEN(TRIM('Raw Data'!N48))=0),"",IF(AND(ISNUMBER('Raw Data'!N48), IFERROR('Raw Data'!N48 = ROUND('Raw Data'!N48, 2),FALSE)),"",_xlfn.REGEXEXTRACT(CELL("address",N48), "\$([A-Z]+)\$[0-9]+"))),_xlfn.REGEXEXTRACT(CELL("address",N48), "\$([A-Z]+)\$[0-9]+"))</f>
        <v/>
      </c>
      <c r="O48" s="7" t="str" cm="1">
        <f t="array" aca="1" ref="O48" ca="1">IFERROR(IF(OR('Raw Data'!O48="",LEN(TRIM('Raw Data'!O48))=0),"",IF(AND(ISNUMBER('Raw Data'!O48), IFERROR('Raw Data'!O48 = ROUND('Raw Data'!O48, 2),FALSE)),"",_xlfn.REGEXEXTRACT(CELL("address",O48), "\$([A-Z]+)\$[0-9]+"))),_xlfn.REGEXEXTRACT(CELL("address",O48), "\$([A-Z]+)\$[0-9]+"))</f>
        <v/>
      </c>
      <c r="P48" s="7" t="str" cm="1">
        <f t="array" aca="1" ref="P48" ca="1">IFERROR(IF(OR('Raw Data'!P48="",LEN(TRIM('Raw Data'!P48))=0),"",IF(AND(ISNUMBER('Raw Data'!P48),'Raw Data'!P48&gt;=Configuration!$D$2),"",_xlfn.REGEXEXTRACT(CELL("address",'Raw Data'!P48),"\$([A-Z]+)\$[0-9]+"))),_xlfn.REGEXEXTRACT(CELL("address",P48), "\$([A-Z]+)\$[0-9]+"))</f>
        <v/>
      </c>
      <c r="Q48" s="7" t="str" cm="1">
        <f t="array" aca="1" ref="Q48" ca="1">IFERROR(IF(OR('Raw Data'!Q48="",LEN(TRIM('Raw Data'!Q48))=0),"",IF(AND(ISNUMBER('Raw Data'!Q48),'Raw Data'!Q48&gt;=Configuration!$D$2),"",_xlfn.REGEXEXTRACT(CELL("address",'Raw Data'!Q48),"\$([A-Z]+)\$[0-9]+"))),_xlfn.REGEXEXTRACT(CELL("address",Q48), "\$([A-Z]+)\$[0-9]+"))</f>
        <v/>
      </c>
      <c r="R48" s="7" t="str" cm="1">
        <f t="array" aca="1" ref="R48" ca="1">IFERROR(IF(OR('Raw Data'!R48="",LEN(TRIM('Raw Data'!R48))=0),"",IF(AND(ISNUMBER('Raw Data'!R48), IFERROR('Raw Data'!R48 = ROUND('Raw Data'!R48, 2),FALSE)),"",_xlfn.REGEXEXTRACT(CELL("address",R48), "\$([A-Z]+)\$[0-9]+"))),_xlfn.REGEXEXTRACT(CELL("address",R48), "\$([A-Z]+)\$[0-9]+"))</f>
        <v/>
      </c>
      <c r="S48" s="7" t="str" cm="1">
        <f t="array" aca="1" ref="S48" ca="1">IFERROR(IF(OR('Raw Data'!S48="",LEN(TRIM('Raw Data'!S48))=0),"",IF(AND(ISNUMBER('Raw Data'!S48), IFERROR('Raw Data'!S48 = ROUND('Raw Data'!S48, 2),FALSE)),"",_xlfn.REGEXEXTRACT(CELL("address",S48), "\$([A-Z]+)\$[0-9]+"))),_xlfn.REGEXEXTRACT(CELL("address",S48), "\$([A-Z]+)\$[0-9]+"))</f>
        <v/>
      </c>
      <c r="T48" s="7" t="str" cm="1">
        <f t="array" aca="1" ref="T48" ca="1">IFERROR(IF(OR('Raw Data'!T48="",LEN(TRIM('Raw Data'!T48))=0),"",IF(AND(ISNUMBER('Raw Data'!T48), IFERROR('Raw Data'!T48 = ROUND('Raw Data'!T48, 2),FALSE)),"",_xlfn.REGEXEXTRACT(CELL("address",T48), "\$([A-Z]+)\$[0-9]+"))),_xlfn.REGEXEXTRACT(CELL("address",T48), "\$([A-Z]+)\$[0-9]+"))</f>
        <v/>
      </c>
      <c r="U48" s="7" t="str" cm="1">
        <f t="array" aca="1" ref="U48" ca="1">IFERROR(IF(OR('Raw Data'!U48="",LEN(TRIM('Raw Data'!U48))=0),"",IF(AND(LEN('Raw Data'!U48) &lt;= 5,LEN('Raw Data'!U48)&gt; 0),"",_xlfn.REGEXEXTRACT(CELL("address",'Raw Data'!U48),"\$([A-Z]+)\$[0-9]+"))),_xlfn.REGEXEXTRACT(CELL("address",'Raw Data'!U48),"\$([A-Z]+)\$[0-9]+"))</f>
        <v/>
      </c>
      <c r="V48" s="7" t="str" cm="1">
        <f t="array" aca="1" ref="V48" ca="1">IFERROR(IF(OR('Raw Data'!V48="",LEN(TRIM('Raw Data'!V48))=0),"",IF(AND(ISNUMBER('Raw Data'!V48), IFERROR('Raw Data'!V48 = ROUND('Raw Data'!V48, 2),FALSE)),"",_xlfn.REGEXEXTRACT(CELL("address",V48), "\$([A-Z]+)\$[0-9]+"))),_xlfn.REGEXEXTRACT(CELL("address",V48), "\$([A-Z]+)\$[0-9]+"))</f>
        <v/>
      </c>
      <c r="W48" s="7" t="str" cm="1">
        <f t="array" aca="1" ref="W48" ca="1">IFERROR(IF(OR('Raw Data'!W48="",LEN(TRIM('Raw Data'!W48))=0),"",IF(AND(ISNUMBER('Raw Data'!W48), IFERROR('Raw Data'!W48 = ROUND('Raw Data'!W48, 2),FALSE)),"",_xlfn.REGEXEXTRACT(CELL("address",W48), "\$([A-Z]+)\$[0-9]+"))),_xlfn.REGEXEXTRACT(CELL("address",W48), "\$([A-Z]+)\$[0-9]+"))</f>
        <v/>
      </c>
      <c r="X48" s="7" t="str" cm="1">
        <f t="array" aca="1" ref="X48" ca="1">IFERROR(IF(OR('Raw Data'!X48="",LEN(TRIM('Raw Data'!X48))=0),"",IF(AND(ISNUMBER('Raw Data'!X48), IFERROR('Raw Data'!X48 = ROUND('Raw Data'!X48, 2),FALSE)),"",_xlfn.REGEXEXTRACT(CELL("address",X48), "\$([A-Z]+)\$[0-9]+"))),_xlfn.REGEXEXTRACT(CELL("address",X48), "\$([A-Z]+)\$[0-9]+"))</f>
        <v/>
      </c>
    </row>
    <row r="49" spans="2:24" x14ac:dyDescent="0.25">
      <c r="B49" s="7" t="str" cm="1">
        <f t="array" aca="1" ref="B49" ca="1">IFERROR(IF(OR('Raw Data'!B49="",LEN(TRIM('Raw Data'!B49))=0),"",IF(AND(LEN('Raw Data'!B49) &lt;= 50,LEN('Raw Data'!B49)&gt; 0),"",_xlfn.REGEXEXTRACT(CELL("address",'Raw Data'!B49),"\$([A-Z]+)\$[0-9]+"))),_xlfn.REGEXEXTRACT(CELL("address",'Raw Data'!B49),"\$([A-Z]+)\$[0-9]+"))</f>
        <v/>
      </c>
      <c r="C49" s="7" t="str" cm="1">
        <f t="array" aca="1" ref="C49" ca="1">IFERROR(IF(OR('Raw Data'!C49="",LEN(TRIM('Raw Data'!C49))=0),"",IF(AND(LEN('Raw Data'!C49) &lt;= 50,LEN('Raw Data'!C49)&gt; 0),"",_xlfn.REGEXEXTRACT(CELL("address",'Raw Data'!C49),"\$([A-Z]+)\$[0-9]+"))),_xlfn.REGEXEXTRACT(CELL("address",'Raw Data'!C49),"\$([A-Z]+)\$[0-9]+"))</f>
        <v/>
      </c>
      <c r="D49" s="7" t="str" cm="1">
        <f t="array" aca="1" ref="D49" ca="1">IFERROR(IF(OR('Raw Data'!D49="",LEN(TRIM('Raw Data'!D49))=0),"",IF(AND(LEN('Raw Data'!D49) &lt;= 255,LEN('Raw Data'!D49)&gt; 0),"",_xlfn.REGEXEXTRACT(CELL("address",'Raw Data'!D49),"\$([A-Z]+)\$[0-9]+"))),_xlfn.REGEXEXTRACT(CELL("address",'Raw Data'!D49),"\$([A-Z]+)\$[0-9]+"))</f>
        <v/>
      </c>
      <c r="E49" s="7" t="str" cm="1">
        <f t="array" aca="1" ref="E49" ca="1">IFERROR(IF(OR('Raw Data'!E49="",LEN(TRIM('Raw Data'!E49))=0),"",IF(AND(ISNUMBER('Raw Data'!E49),'Raw Data'!E49&gt;=Configuration!$D$2),"",_xlfn.REGEXEXTRACT(CELL("address",'Raw Data'!E49),"\$([A-Z]+)\$[0-9]+"))),_xlfn.REGEXEXTRACT(CELL("address",E49), "\$([A-Z]+)\$[0-9]+"))</f>
        <v/>
      </c>
      <c r="F49" s="7" t="str" cm="1">
        <f t="array" aca="1" ref="F49" ca="1">IFERROR(IF(OR('Raw Data'!F49="",LEN(TRIM('Raw Data'!F49))=0),"",IF(AND(LEN('Raw Data'!F49) &lt;= 20,LEN('Raw Data'!F49)&gt; 0),"",_xlfn.REGEXEXTRACT(CELL("address",'Raw Data'!F49),"\$([A-Z]+)\$[0-9]+"))),_xlfn.REGEXEXTRACT(CELL("address",'Raw Data'!F49),"\$([A-Z]+)\$[0-9]+"))</f>
        <v/>
      </c>
      <c r="G49" s="7" t="str" cm="1">
        <f t="array" aca="1" ref="G49" ca="1">IFERROR(IF(OR('Raw Data'!G49="",LEN(TRIM('Raw Data'!G49))=0),"",IF(AND(ISNUMBER('Raw Data'!G49), IFERROR('Raw Data'!G49 = ROUND('Raw Data'!G49, 2),FALSE)),"",_xlfn.REGEXEXTRACT(CELL("address",G49), "\$([A-Z]+)\$[0-9]+"))),_xlfn.REGEXEXTRACT(CELL("address",G49), "\$([A-Z]+)\$[0-9]+"))</f>
        <v/>
      </c>
      <c r="H49" s="7" t="str" cm="1">
        <f t="array" aca="1" ref="H49" ca="1">IFERROR(IF(OR('Raw Data'!H49="",LEN(TRIM('Raw Data'!H49))=0),"",IF(AND(ISNUMBER('Raw Data'!H49), IFERROR('Raw Data'!H49 = ROUND('Raw Data'!H49, 2),FALSE)),"",_xlfn.REGEXEXTRACT(CELL("address",H49), "\$([A-Z]+)\$[0-9]+"))),_xlfn.REGEXEXTRACT(CELL("address",H49), "\$([A-Z]+)\$[0-9]+"))</f>
        <v/>
      </c>
      <c r="I49" s="7" t="str" cm="1">
        <f t="array" aca="1" ref="I49" ca="1">IFERROR(IF(OR('Raw Data'!I49="",LEN(TRIM('Raw Data'!I49))=0),"",IF(AND(LEN('Raw Data'!I49) &lt;= 50,LEN('Raw Data'!I49)&gt; 0),"",_xlfn.REGEXEXTRACT(CELL("address",'Raw Data'!I49),"\$([A-Z]+)\$[0-9]+"))),_xlfn.REGEXEXTRACT(CELL("address",'Raw Data'!I49),"\$([A-Z]+)\$[0-9]+"))</f>
        <v/>
      </c>
      <c r="J49" s="7" t="str" cm="1">
        <f t="array" aca="1" ref="J49" ca="1">IFERROR(IF(OR('Raw Data'!J49="",LEN(TRIM('Raw Data'!J49))=0),"",IF(AND(ISNUMBER('Raw Data'!J49),'Raw Data'!J49&gt;=Configuration!$D$2),"",_xlfn.REGEXEXTRACT(CELL("address",'Raw Data'!J49),"\$([A-Z]+)\$[0-9]+"))),_xlfn.REGEXEXTRACT(CELL("address",J49), "\$([A-Z]+)\$[0-9]+"))</f>
        <v/>
      </c>
      <c r="K49" s="7" t="str" cm="1">
        <f t="array" aca="1" ref="K49" ca="1">IFERROR(IF(OR('Raw Data'!K49="",LEN(TRIM('Raw Data'!K49))=0),"",IF(AND(ISNUMBER('Raw Data'!K49), IFERROR('Raw Data'!K49 = ROUND('Raw Data'!K49, 2),FALSE)),"",_xlfn.REGEXEXTRACT(CELL("address",K49), "\$([A-Z]+)\$[0-9]+"))),_xlfn.REGEXEXTRACT(CELL("address",K49), "\$([A-Z]+)\$[0-9]+"))</f>
        <v/>
      </c>
      <c r="L49" s="7" t="str" cm="1">
        <f t="array" aca="1" ref="L49" ca="1">IFERROR(IF(OR('Raw Data'!L49="",LEN(TRIM('Raw Data'!L49))=0),"",IF(AND(ISNUMBER('Raw Data'!L49), IFERROR('Raw Data'!L49 = ROUND('Raw Data'!L49, 2),FALSE)),"",_xlfn.REGEXEXTRACT(CELL("address",L49), "\$([A-Z]+)\$[0-9]+"))),_xlfn.REGEXEXTRACT(CELL("address",L49), "\$([A-Z]+)\$[0-9]+"))</f>
        <v/>
      </c>
      <c r="M49" s="7" t="str" cm="1">
        <f t="array" aca="1" ref="M49" ca="1">IFERROR(IF(OR('Raw Data'!M49="",LEN(TRIM('Raw Data'!M49))=0),"",IF(AND(ISNUMBER('Raw Data'!M49), IFERROR('Raw Data'!M49 = ROUND('Raw Data'!M49, 2),FALSE)),"",_xlfn.REGEXEXTRACT(CELL("address",M49), "\$([A-Z]+)\$[0-9]+"))),_xlfn.REGEXEXTRACT(CELL("address",M49), "\$([A-Z]+)\$[0-9]+"))</f>
        <v/>
      </c>
      <c r="N49" s="7" t="str" cm="1">
        <f t="array" aca="1" ref="N49" ca="1">IFERROR(IF(OR('Raw Data'!N49="",LEN(TRIM('Raw Data'!N49))=0),"",IF(AND(ISNUMBER('Raw Data'!N49), IFERROR('Raw Data'!N49 = ROUND('Raw Data'!N49, 2),FALSE)),"",_xlfn.REGEXEXTRACT(CELL("address",N49), "\$([A-Z]+)\$[0-9]+"))),_xlfn.REGEXEXTRACT(CELL("address",N49), "\$([A-Z]+)\$[0-9]+"))</f>
        <v/>
      </c>
      <c r="O49" s="7" t="str" cm="1">
        <f t="array" aca="1" ref="O49" ca="1">IFERROR(IF(OR('Raw Data'!O49="",LEN(TRIM('Raw Data'!O49))=0),"",IF(AND(ISNUMBER('Raw Data'!O49), IFERROR('Raw Data'!O49 = ROUND('Raw Data'!O49, 2),FALSE)),"",_xlfn.REGEXEXTRACT(CELL("address",O49), "\$([A-Z]+)\$[0-9]+"))),_xlfn.REGEXEXTRACT(CELL("address",O49), "\$([A-Z]+)\$[0-9]+"))</f>
        <v/>
      </c>
      <c r="P49" s="7" t="str" cm="1">
        <f t="array" aca="1" ref="P49" ca="1">IFERROR(IF(OR('Raw Data'!P49="",LEN(TRIM('Raw Data'!P49))=0),"",IF(AND(ISNUMBER('Raw Data'!P49),'Raw Data'!P49&gt;=Configuration!$D$2),"",_xlfn.REGEXEXTRACT(CELL("address",'Raw Data'!P49),"\$([A-Z]+)\$[0-9]+"))),_xlfn.REGEXEXTRACT(CELL("address",P49), "\$([A-Z]+)\$[0-9]+"))</f>
        <v/>
      </c>
      <c r="Q49" s="7" t="str" cm="1">
        <f t="array" aca="1" ref="Q49" ca="1">IFERROR(IF(OR('Raw Data'!Q49="",LEN(TRIM('Raw Data'!Q49))=0),"",IF(AND(ISNUMBER('Raw Data'!Q49),'Raw Data'!Q49&gt;=Configuration!$D$2),"",_xlfn.REGEXEXTRACT(CELL("address",'Raw Data'!Q49),"\$([A-Z]+)\$[0-9]+"))),_xlfn.REGEXEXTRACT(CELL("address",Q49), "\$([A-Z]+)\$[0-9]+"))</f>
        <v/>
      </c>
      <c r="R49" s="7" t="str" cm="1">
        <f t="array" aca="1" ref="R49" ca="1">IFERROR(IF(OR('Raw Data'!R49="",LEN(TRIM('Raw Data'!R49))=0),"",IF(AND(ISNUMBER('Raw Data'!R49), IFERROR('Raw Data'!R49 = ROUND('Raw Data'!R49, 2),FALSE)),"",_xlfn.REGEXEXTRACT(CELL("address",R49), "\$([A-Z]+)\$[0-9]+"))),_xlfn.REGEXEXTRACT(CELL("address",R49), "\$([A-Z]+)\$[0-9]+"))</f>
        <v/>
      </c>
      <c r="S49" s="7" t="str" cm="1">
        <f t="array" aca="1" ref="S49" ca="1">IFERROR(IF(OR('Raw Data'!S49="",LEN(TRIM('Raw Data'!S49))=0),"",IF(AND(ISNUMBER('Raw Data'!S49), IFERROR('Raw Data'!S49 = ROUND('Raw Data'!S49, 2),FALSE)),"",_xlfn.REGEXEXTRACT(CELL("address",S49), "\$([A-Z]+)\$[0-9]+"))),_xlfn.REGEXEXTRACT(CELL("address",S49), "\$([A-Z]+)\$[0-9]+"))</f>
        <v/>
      </c>
      <c r="T49" s="7" t="str" cm="1">
        <f t="array" aca="1" ref="T49" ca="1">IFERROR(IF(OR('Raw Data'!T49="",LEN(TRIM('Raw Data'!T49))=0),"",IF(AND(ISNUMBER('Raw Data'!T49), IFERROR('Raw Data'!T49 = ROUND('Raw Data'!T49, 2),FALSE)),"",_xlfn.REGEXEXTRACT(CELL("address",T49), "\$([A-Z]+)\$[0-9]+"))),_xlfn.REGEXEXTRACT(CELL("address",T49), "\$([A-Z]+)\$[0-9]+"))</f>
        <v/>
      </c>
      <c r="U49" s="7" t="str" cm="1">
        <f t="array" aca="1" ref="U49" ca="1">IFERROR(IF(OR('Raw Data'!U49="",LEN(TRIM('Raw Data'!U49))=0),"",IF(AND(LEN('Raw Data'!U49) &lt;= 5,LEN('Raw Data'!U49)&gt; 0),"",_xlfn.REGEXEXTRACT(CELL("address",'Raw Data'!U49),"\$([A-Z]+)\$[0-9]+"))),_xlfn.REGEXEXTRACT(CELL("address",'Raw Data'!U49),"\$([A-Z]+)\$[0-9]+"))</f>
        <v/>
      </c>
      <c r="V49" s="7" t="str" cm="1">
        <f t="array" aca="1" ref="V49" ca="1">IFERROR(IF(OR('Raw Data'!V49="",LEN(TRIM('Raw Data'!V49))=0),"",IF(AND(ISNUMBER('Raw Data'!V49), IFERROR('Raw Data'!V49 = ROUND('Raw Data'!V49, 2),FALSE)),"",_xlfn.REGEXEXTRACT(CELL("address",V49), "\$([A-Z]+)\$[0-9]+"))),_xlfn.REGEXEXTRACT(CELL("address",V49), "\$([A-Z]+)\$[0-9]+"))</f>
        <v/>
      </c>
      <c r="W49" s="7" t="str" cm="1">
        <f t="array" aca="1" ref="W49" ca="1">IFERROR(IF(OR('Raw Data'!W49="",LEN(TRIM('Raw Data'!W49))=0),"",IF(AND(ISNUMBER('Raw Data'!W49), IFERROR('Raw Data'!W49 = ROUND('Raw Data'!W49, 2),FALSE)),"",_xlfn.REGEXEXTRACT(CELL("address",W49), "\$([A-Z]+)\$[0-9]+"))),_xlfn.REGEXEXTRACT(CELL("address",W49), "\$([A-Z]+)\$[0-9]+"))</f>
        <v/>
      </c>
      <c r="X49" s="7" t="str" cm="1">
        <f t="array" aca="1" ref="X49" ca="1">IFERROR(IF(OR('Raw Data'!X49="",LEN(TRIM('Raw Data'!X49))=0),"",IF(AND(ISNUMBER('Raw Data'!X49), IFERROR('Raw Data'!X49 = ROUND('Raw Data'!X49, 2),FALSE)),"",_xlfn.REGEXEXTRACT(CELL("address",X49), "\$([A-Z]+)\$[0-9]+"))),_xlfn.REGEXEXTRACT(CELL("address",X49), "\$([A-Z]+)\$[0-9]+"))</f>
        <v/>
      </c>
    </row>
    <row r="50" spans="2:24" x14ac:dyDescent="0.25">
      <c r="B50" s="7" t="str" cm="1">
        <f t="array" aca="1" ref="B50" ca="1">IFERROR(IF(OR('Raw Data'!B50="",LEN(TRIM('Raw Data'!B50))=0),"",IF(AND(LEN('Raw Data'!B50) &lt;= 50,LEN('Raw Data'!B50)&gt; 0),"",_xlfn.REGEXEXTRACT(CELL("address",'Raw Data'!B50),"\$([A-Z]+)\$[0-9]+"))),_xlfn.REGEXEXTRACT(CELL("address",'Raw Data'!B50),"\$([A-Z]+)\$[0-9]+"))</f>
        <v/>
      </c>
      <c r="C50" s="7" t="str" cm="1">
        <f t="array" aca="1" ref="C50" ca="1">IFERROR(IF(OR('Raw Data'!C50="",LEN(TRIM('Raw Data'!C50))=0),"",IF(AND(LEN('Raw Data'!C50) &lt;= 50,LEN('Raw Data'!C50)&gt; 0),"",_xlfn.REGEXEXTRACT(CELL("address",'Raw Data'!C50),"\$([A-Z]+)\$[0-9]+"))),_xlfn.REGEXEXTRACT(CELL("address",'Raw Data'!C50),"\$([A-Z]+)\$[0-9]+"))</f>
        <v/>
      </c>
      <c r="D50" s="7" t="str" cm="1">
        <f t="array" aca="1" ref="D50" ca="1">IFERROR(IF(OR('Raw Data'!D50="",LEN(TRIM('Raw Data'!D50))=0),"",IF(AND(LEN('Raw Data'!D50) &lt;= 255,LEN('Raw Data'!D50)&gt; 0),"",_xlfn.REGEXEXTRACT(CELL("address",'Raw Data'!D50),"\$([A-Z]+)\$[0-9]+"))),_xlfn.REGEXEXTRACT(CELL("address",'Raw Data'!D50),"\$([A-Z]+)\$[0-9]+"))</f>
        <v/>
      </c>
      <c r="E50" s="7" t="str" cm="1">
        <f t="array" aca="1" ref="E50" ca="1">IFERROR(IF(OR('Raw Data'!E50="",LEN(TRIM('Raw Data'!E50))=0),"",IF(AND(ISNUMBER('Raw Data'!E50),'Raw Data'!E50&gt;=Configuration!$D$2),"",_xlfn.REGEXEXTRACT(CELL("address",'Raw Data'!E50),"\$([A-Z]+)\$[0-9]+"))),_xlfn.REGEXEXTRACT(CELL("address",E50), "\$([A-Z]+)\$[0-9]+"))</f>
        <v/>
      </c>
      <c r="F50" s="7" t="str" cm="1">
        <f t="array" aca="1" ref="F50" ca="1">IFERROR(IF(OR('Raw Data'!F50="",LEN(TRIM('Raw Data'!F50))=0),"",IF(AND(LEN('Raw Data'!F50) &lt;= 20,LEN('Raw Data'!F50)&gt; 0),"",_xlfn.REGEXEXTRACT(CELL("address",'Raw Data'!F50),"\$([A-Z]+)\$[0-9]+"))),_xlfn.REGEXEXTRACT(CELL("address",'Raw Data'!F50),"\$([A-Z]+)\$[0-9]+"))</f>
        <v/>
      </c>
      <c r="G50" s="7" t="str" cm="1">
        <f t="array" aca="1" ref="G50" ca="1">IFERROR(IF(OR('Raw Data'!G50="",LEN(TRIM('Raw Data'!G50))=0),"",IF(AND(ISNUMBER('Raw Data'!G50), IFERROR('Raw Data'!G50 = ROUND('Raw Data'!G50, 2),FALSE)),"",_xlfn.REGEXEXTRACT(CELL("address",G50), "\$([A-Z]+)\$[0-9]+"))),_xlfn.REGEXEXTRACT(CELL("address",G50), "\$([A-Z]+)\$[0-9]+"))</f>
        <v/>
      </c>
      <c r="H50" s="7" t="str" cm="1">
        <f t="array" aca="1" ref="H50" ca="1">IFERROR(IF(OR('Raw Data'!H50="",LEN(TRIM('Raw Data'!H50))=0),"",IF(AND(ISNUMBER('Raw Data'!H50), IFERROR('Raw Data'!H50 = ROUND('Raw Data'!H50, 2),FALSE)),"",_xlfn.REGEXEXTRACT(CELL("address",H50), "\$([A-Z]+)\$[0-9]+"))),_xlfn.REGEXEXTRACT(CELL("address",H50), "\$([A-Z]+)\$[0-9]+"))</f>
        <v/>
      </c>
      <c r="I50" s="7" t="str" cm="1">
        <f t="array" aca="1" ref="I50" ca="1">IFERROR(IF(OR('Raw Data'!I50="",LEN(TRIM('Raw Data'!I50))=0),"",IF(AND(LEN('Raw Data'!I50) &lt;= 50,LEN('Raw Data'!I50)&gt; 0),"",_xlfn.REGEXEXTRACT(CELL("address",'Raw Data'!I50),"\$([A-Z]+)\$[0-9]+"))),_xlfn.REGEXEXTRACT(CELL("address",'Raw Data'!I50),"\$([A-Z]+)\$[0-9]+"))</f>
        <v/>
      </c>
      <c r="J50" s="7" t="str" cm="1">
        <f t="array" aca="1" ref="J50" ca="1">IFERROR(IF(OR('Raw Data'!J50="",LEN(TRIM('Raw Data'!J50))=0),"",IF(AND(ISNUMBER('Raw Data'!J50),'Raw Data'!J50&gt;=Configuration!$D$2),"",_xlfn.REGEXEXTRACT(CELL("address",'Raw Data'!J50),"\$([A-Z]+)\$[0-9]+"))),_xlfn.REGEXEXTRACT(CELL("address",J50), "\$([A-Z]+)\$[0-9]+"))</f>
        <v/>
      </c>
      <c r="K50" s="7" t="str" cm="1">
        <f t="array" aca="1" ref="K50" ca="1">IFERROR(IF(OR('Raw Data'!K50="",LEN(TRIM('Raw Data'!K50))=0),"",IF(AND(ISNUMBER('Raw Data'!K50), IFERROR('Raw Data'!K50 = ROUND('Raw Data'!K50, 2),FALSE)),"",_xlfn.REGEXEXTRACT(CELL("address",K50), "\$([A-Z]+)\$[0-9]+"))),_xlfn.REGEXEXTRACT(CELL("address",K50), "\$([A-Z]+)\$[0-9]+"))</f>
        <v/>
      </c>
      <c r="L50" s="7" t="str" cm="1">
        <f t="array" aca="1" ref="L50" ca="1">IFERROR(IF(OR('Raw Data'!L50="",LEN(TRIM('Raw Data'!L50))=0),"",IF(AND(ISNUMBER('Raw Data'!L50), IFERROR('Raw Data'!L50 = ROUND('Raw Data'!L50, 2),FALSE)),"",_xlfn.REGEXEXTRACT(CELL("address",L50), "\$([A-Z]+)\$[0-9]+"))),_xlfn.REGEXEXTRACT(CELL("address",L50), "\$([A-Z]+)\$[0-9]+"))</f>
        <v/>
      </c>
      <c r="M50" s="7" t="str" cm="1">
        <f t="array" aca="1" ref="M50" ca="1">IFERROR(IF(OR('Raw Data'!M50="",LEN(TRIM('Raw Data'!M50))=0),"",IF(AND(ISNUMBER('Raw Data'!M50), IFERROR('Raw Data'!M50 = ROUND('Raw Data'!M50, 2),FALSE)),"",_xlfn.REGEXEXTRACT(CELL("address",M50), "\$([A-Z]+)\$[0-9]+"))),_xlfn.REGEXEXTRACT(CELL("address",M50), "\$([A-Z]+)\$[0-9]+"))</f>
        <v/>
      </c>
      <c r="N50" s="7" t="str" cm="1">
        <f t="array" aca="1" ref="N50" ca="1">IFERROR(IF(OR('Raw Data'!N50="",LEN(TRIM('Raw Data'!N50))=0),"",IF(AND(ISNUMBER('Raw Data'!N50), IFERROR('Raw Data'!N50 = ROUND('Raw Data'!N50, 2),FALSE)),"",_xlfn.REGEXEXTRACT(CELL("address",N50), "\$([A-Z]+)\$[0-9]+"))),_xlfn.REGEXEXTRACT(CELL("address",N50), "\$([A-Z]+)\$[0-9]+"))</f>
        <v/>
      </c>
      <c r="O50" s="7" t="str" cm="1">
        <f t="array" aca="1" ref="O50" ca="1">IFERROR(IF(OR('Raw Data'!O50="",LEN(TRIM('Raw Data'!O50))=0),"",IF(AND(ISNUMBER('Raw Data'!O50), IFERROR('Raw Data'!O50 = ROUND('Raw Data'!O50, 2),FALSE)),"",_xlfn.REGEXEXTRACT(CELL("address",O50), "\$([A-Z]+)\$[0-9]+"))),_xlfn.REGEXEXTRACT(CELL("address",O50), "\$([A-Z]+)\$[0-9]+"))</f>
        <v/>
      </c>
      <c r="P50" s="7" t="str" cm="1">
        <f t="array" aca="1" ref="P50" ca="1">IFERROR(IF(OR('Raw Data'!P50="",LEN(TRIM('Raw Data'!P50))=0),"",IF(AND(ISNUMBER('Raw Data'!P50),'Raw Data'!P50&gt;=Configuration!$D$2),"",_xlfn.REGEXEXTRACT(CELL("address",'Raw Data'!P50),"\$([A-Z]+)\$[0-9]+"))),_xlfn.REGEXEXTRACT(CELL("address",P50), "\$([A-Z]+)\$[0-9]+"))</f>
        <v/>
      </c>
      <c r="Q50" s="7" t="str" cm="1">
        <f t="array" aca="1" ref="Q50" ca="1">IFERROR(IF(OR('Raw Data'!Q50="",LEN(TRIM('Raw Data'!Q50))=0),"",IF(AND(ISNUMBER('Raw Data'!Q50),'Raw Data'!Q50&gt;=Configuration!$D$2),"",_xlfn.REGEXEXTRACT(CELL("address",'Raw Data'!Q50),"\$([A-Z]+)\$[0-9]+"))),_xlfn.REGEXEXTRACT(CELL("address",Q50), "\$([A-Z]+)\$[0-9]+"))</f>
        <v/>
      </c>
      <c r="R50" s="7" t="str" cm="1">
        <f t="array" aca="1" ref="R50" ca="1">IFERROR(IF(OR('Raw Data'!R50="",LEN(TRIM('Raw Data'!R50))=0),"",IF(AND(ISNUMBER('Raw Data'!R50), IFERROR('Raw Data'!R50 = ROUND('Raw Data'!R50, 2),FALSE)),"",_xlfn.REGEXEXTRACT(CELL("address",R50), "\$([A-Z]+)\$[0-9]+"))),_xlfn.REGEXEXTRACT(CELL("address",R50), "\$([A-Z]+)\$[0-9]+"))</f>
        <v/>
      </c>
      <c r="S50" s="7" t="str" cm="1">
        <f t="array" aca="1" ref="S50" ca="1">IFERROR(IF(OR('Raw Data'!S50="",LEN(TRIM('Raw Data'!S50))=0),"",IF(AND(ISNUMBER('Raw Data'!S50), IFERROR('Raw Data'!S50 = ROUND('Raw Data'!S50, 2),FALSE)),"",_xlfn.REGEXEXTRACT(CELL("address",S50), "\$([A-Z]+)\$[0-9]+"))),_xlfn.REGEXEXTRACT(CELL("address",S50), "\$([A-Z]+)\$[0-9]+"))</f>
        <v/>
      </c>
      <c r="T50" s="7" t="str" cm="1">
        <f t="array" aca="1" ref="T50" ca="1">IFERROR(IF(OR('Raw Data'!T50="",LEN(TRIM('Raw Data'!T50))=0),"",IF(AND(ISNUMBER('Raw Data'!T50), IFERROR('Raw Data'!T50 = ROUND('Raw Data'!T50, 2),FALSE)),"",_xlfn.REGEXEXTRACT(CELL("address",T50), "\$([A-Z]+)\$[0-9]+"))),_xlfn.REGEXEXTRACT(CELL("address",T50), "\$([A-Z]+)\$[0-9]+"))</f>
        <v/>
      </c>
      <c r="U50" s="7" t="str" cm="1">
        <f t="array" aca="1" ref="U50" ca="1">IFERROR(IF(OR('Raw Data'!U50="",LEN(TRIM('Raw Data'!U50))=0),"",IF(AND(LEN('Raw Data'!U50) &lt;= 5,LEN('Raw Data'!U50)&gt; 0),"",_xlfn.REGEXEXTRACT(CELL("address",'Raw Data'!U50),"\$([A-Z]+)\$[0-9]+"))),_xlfn.REGEXEXTRACT(CELL("address",'Raw Data'!U50),"\$([A-Z]+)\$[0-9]+"))</f>
        <v/>
      </c>
      <c r="V50" s="7" t="str" cm="1">
        <f t="array" aca="1" ref="V50" ca="1">IFERROR(IF(OR('Raw Data'!V50="",LEN(TRIM('Raw Data'!V50))=0),"",IF(AND(ISNUMBER('Raw Data'!V50), IFERROR('Raw Data'!V50 = ROUND('Raw Data'!V50, 2),FALSE)),"",_xlfn.REGEXEXTRACT(CELL("address",V50), "\$([A-Z]+)\$[0-9]+"))),_xlfn.REGEXEXTRACT(CELL("address",V50), "\$([A-Z]+)\$[0-9]+"))</f>
        <v/>
      </c>
      <c r="W50" s="7" t="str" cm="1">
        <f t="array" aca="1" ref="W50" ca="1">IFERROR(IF(OR('Raw Data'!W50="",LEN(TRIM('Raw Data'!W50))=0),"",IF(AND(ISNUMBER('Raw Data'!W50), IFERROR('Raw Data'!W50 = ROUND('Raw Data'!W50, 2),FALSE)),"",_xlfn.REGEXEXTRACT(CELL("address",W50), "\$([A-Z]+)\$[0-9]+"))),_xlfn.REGEXEXTRACT(CELL("address",W50), "\$([A-Z]+)\$[0-9]+"))</f>
        <v/>
      </c>
      <c r="X50" s="7" t="str" cm="1">
        <f t="array" aca="1" ref="X50" ca="1">IFERROR(IF(OR('Raw Data'!X50="",LEN(TRIM('Raw Data'!X50))=0),"",IF(AND(ISNUMBER('Raw Data'!X50), IFERROR('Raw Data'!X50 = ROUND('Raw Data'!X50, 2),FALSE)),"",_xlfn.REGEXEXTRACT(CELL("address",X50), "\$([A-Z]+)\$[0-9]+"))),_xlfn.REGEXEXTRACT(CELL("address",X50), "\$([A-Z]+)\$[0-9]+"))</f>
        <v/>
      </c>
    </row>
    <row r="51" spans="2:24" x14ac:dyDescent="0.25">
      <c r="B51" s="7" t="str" cm="1">
        <f t="array" aca="1" ref="B51" ca="1">IFERROR(IF(OR('Raw Data'!B51="",LEN(TRIM('Raw Data'!B51))=0),"",IF(AND(LEN('Raw Data'!B51) &lt;= 50,LEN('Raw Data'!B51)&gt; 0),"",_xlfn.REGEXEXTRACT(CELL("address",'Raw Data'!B51),"\$([A-Z]+)\$[0-9]+"))),_xlfn.REGEXEXTRACT(CELL("address",'Raw Data'!B51),"\$([A-Z]+)\$[0-9]+"))</f>
        <v/>
      </c>
      <c r="C51" s="7" t="str" cm="1">
        <f t="array" aca="1" ref="C51" ca="1">IFERROR(IF(OR('Raw Data'!C51="",LEN(TRIM('Raw Data'!C51))=0),"",IF(AND(LEN('Raw Data'!C51) &lt;= 50,LEN('Raw Data'!C51)&gt; 0),"",_xlfn.REGEXEXTRACT(CELL("address",'Raw Data'!C51),"\$([A-Z]+)\$[0-9]+"))),_xlfn.REGEXEXTRACT(CELL("address",'Raw Data'!C51),"\$([A-Z]+)\$[0-9]+"))</f>
        <v/>
      </c>
      <c r="D51" s="7" t="str" cm="1">
        <f t="array" aca="1" ref="D51" ca="1">IFERROR(IF(OR('Raw Data'!D51="",LEN(TRIM('Raw Data'!D51))=0),"",IF(AND(LEN('Raw Data'!D51) &lt;= 255,LEN('Raw Data'!D51)&gt; 0),"",_xlfn.REGEXEXTRACT(CELL("address",'Raw Data'!D51),"\$([A-Z]+)\$[0-9]+"))),_xlfn.REGEXEXTRACT(CELL("address",'Raw Data'!D51),"\$([A-Z]+)\$[0-9]+"))</f>
        <v/>
      </c>
      <c r="E51" s="7" t="str" cm="1">
        <f t="array" aca="1" ref="E51" ca="1">IFERROR(IF(OR('Raw Data'!E51="",LEN(TRIM('Raw Data'!E51))=0),"",IF(AND(ISNUMBER('Raw Data'!E51),'Raw Data'!E51&gt;=Configuration!$D$2),"",_xlfn.REGEXEXTRACT(CELL("address",'Raw Data'!E51),"\$([A-Z]+)\$[0-9]+"))),_xlfn.REGEXEXTRACT(CELL("address",E51), "\$([A-Z]+)\$[0-9]+"))</f>
        <v/>
      </c>
      <c r="F51" s="7" t="str" cm="1">
        <f t="array" aca="1" ref="F51" ca="1">IFERROR(IF(OR('Raw Data'!F51="",LEN(TRIM('Raw Data'!F51))=0),"",IF(AND(LEN('Raw Data'!F51) &lt;= 20,LEN('Raw Data'!F51)&gt; 0),"",_xlfn.REGEXEXTRACT(CELL("address",'Raw Data'!F51),"\$([A-Z]+)\$[0-9]+"))),_xlfn.REGEXEXTRACT(CELL("address",'Raw Data'!F51),"\$([A-Z]+)\$[0-9]+"))</f>
        <v/>
      </c>
      <c r="G51" s="7" t="str" cm="1">
        <f t="array" aca="1" ref="G51" ca="1">IFERROR(IF(OR('Raw Data'!G51="",LEN(TRIM('Raw Data'!G51))=0),"",IF(AND(ISNUMBER('Raw Data'!G51), IFERROR('Raw Data'!G51 = ROUND('Raw Data'!G51, 2),FALSE)),"",_xlfn.REGEXEXTRACT(CELL("address",G51), "\$([A-Z]+)\$[0-9]+"))),_xlfn.REGEXEXTRACT(CELL("address",G51), "\$([A-Z]+)\$[0-9]+"))</f>
        <v/>
      </c>
      <c r="H51" s="7" t="str" cm="1">
        <f t="array" aca="1" ref="H51" ca="1">IFERROR(IF(OR('Raw Data'!H51="",LEN(TRIM('Raw Data'!H51))=0),"",IF(AND(ISNUMBER('Raw Data'!H51), IFERROR('Raw Data'!H51 = ROUND('Raw Data'!H51, 2),FALSE)),"",_xlfn.REGEXEXTRACT(CELL("address",H51), "\$([A-Z]+)\$[0-9]+"))),_xlfn.REGEXEXTRACT(CELL("address",H51), "\$([A-Z]+)\$[0-9]+"))</f>
        <v/>
      </c>
      <c r="I51" s="7" t="str" cm="1">
        <f t="array" aca="1" ref="I51" ca="1">IFERROR(IF(OR('Raw Data'!I51="",LEN(TRIM('Raw Data'!I51))=0),"",IF(AND(LEN('Raw Data'!I51) &lt;= 50,LEN('Raw Data'!I51)&gt; 0),"",_xlfn.REGEXEXTRACT(CELL("address",'Raw Data'!I51),"\$([A-Z]+)\$[0-9]+"))),_xlfn.REGEXEXTRACT(CELL("address",'Raw Data'!I51),"\$([A-Z]+)\$[0-9]+"))</f>
        <v/>
      </c>
      <c r="J51" s="7" t="str" cm="1">
        <f t="array" aca="1" ref="J51" ca="1">IFERROR(IF(OR('Raw Data'!J51="",LEN(TRIM('Raw Data'!J51))=0),"",IF(AND(ISNUMBER('Raw Data'!J51),'Raw Data'!J51&gt;=Configuration!$D$2),"",_xlfn.REGEXEXTRACT(CELL("address",'Raw Data'!J51),"\$([A-Z]+)\$[0-9]+"))),_xlfn.REGEXEXTRACT(CELL("address",J51), "\$([A-Z]+)\$[0-9]+"))</f>
        <v/>
      </c>
      <c r="K51" s="7" t="str" cm="1">
        <f t="array" aca="1" ref="K51" ca="1">IFERROR(IF(OR('Raw Data'!K51="",LEN(TRIM('Raw Data'!K51))=0),"",IF(AND(ISNUMBER('Raw Data'!K51), IFERROR('Raw Data'!K51 = ROUND('Raw Data'!K51, 2),FALSE)),"",_xlfn.REGEXEXTRACT(CELL("address",K51), "\$([A-Z]+)\$[0-9]+"))),_xlfn.REGEXEXTRACT(CELL("address",K51), "\$([A-Z]+)\$[0-9]+"))</f>
        <v/>
      </c>
      <c r="L51" s="7" t="str" cm="1">
        <f t="array" aca="1" ref="L51" ca="1">IFERROR(IF(OR('Raw Data'!L51="",LEN(TRIM('Raw Data'!L51))=0),"",IF(AND(ISNUMBER('Raw Data'!L51), IFERROR('Raw Data'!L51 = ROUND('Raw Data'!L51, 2),FALSE)),"",_xlfn.REGEXEXTRACT(CELL("address",L51), "\$([A-Z]+)\$[0-9]+"))),_xlfn.REGEXEXTRACT(CELL("address",L51), "\$([A-Z]+)\$[0-9]+"))</f>
        <v/>
      </c>
      <c r="M51" s="7" t="str" cm="1">
        <f t="array" aca="1" ref="M51" ca="1">IFERROR(IF(OR('Raw Data'!M51="",LEN(TRIM('Raw Data'!M51))=0),"",IF(AND(ISNUMBER('Raw Data'!M51), IFERROR('Raw Data'!M51 = ROUND('Raw Data'!M51, 2),FALSE)),"",_xlfn.REGEXEXTRACT(CELL("address",M51), "\$([A-Z]+)\$[0-9]+"))),_xlfn.REGEXEXTRACT(CELL("address",M51), "\$([A-Z]+)\$[0-9]+"))</f>
        <v/>
      </c>
      <c r="N51" s="7" t="str" cm="1">
        <f t="array" aca="1" ref="N51" ca="1">IFERROR(IF(OR('Raw Data'!N51="",LEN(TRIM('Raw Data'!N51))=0),"",IF(AND(ISNUMBER('Raw Data'!N51), IFERROR('Raw Data'!N51 = ROUND('Raw Data'!N51, 2),FALSE)),"",_xlfn.REGEXEXTRACT(CELL("address",N51), "\$([A-Z]+)\$[0-9]+"))),_xlfn.REGEXEXTRACT(CELL("address",N51), "\$([A-Z]+)\$[0-9]+"))</f>
        <v/>
      </c>
      <c r="O51" s="7" t="str" cm="1">
        <f t="array" aca="1" ref="O51" ca="1">IFERROR(IF(OR('Raw Data'!O51="",LEN(TRIM('Raw Data'!O51))=0),"",IF(AND(ISNUMBER('Raw Data'!O51), IFERROR('Raw Data'!O51 = ROUND('Raw Data'!O51, 2),FALSE)),"",_xlfn.REGEXEXTRACT(CELL("address",O51), "\$([A-Z]+)\$[0-9]+"))),_xlfn.REGEXEXTRACT(CELL("address",O51), "\$([A-Z]+)\$[0-9]+"))</f>
        <v/>
      </c>
      <c r="P51" s="7" t="str" cm="1">
        <f t="array" aca="1" ref="P51" ca="1">IFERROR(IF(OR('Raw Data'!P51="",LEN(TRIM('Raw Data'!P51))=0),"",IF(AND(ISNUMBER('Raw Data'!P51),'Raw Data'!P51&gt;=Configuration!$D$2),"",_xlfn.REGEXEXTRACT(CELL("address",'Raw Data'!P51),"\$([A-Z]+)\$[0-9]+"))),_xlfn.REGEXEXTRACT(CELL("address",P51), "\$([A-Z]+)\$[0-9]+"))</f>
        <v/>
      </c>
      <c r="Q51" s="7" t="str" cm="1">
        <f t="array" aca="1" ref="Q51" ca="1">IFERROR(IF(OR('Raw Data'!Q51="",LEN(TRIM('Raw Data'!Q51))=0),"",IF(AND(ISNUMBER('Raw Data'!Q51),'Raw Data'!Q51&gt;=Configuration!$D$2),"",_xlfn.REGEXEXTRACT(CELL("address",'Raw Data'!Q51),"\$([A-Z]+)\$[0-9]+"))),_xlfn.REGEXEXTRACT(CELL("address",Q51), "\$([A-Z]+)\$[0-9]+"))</f>
        <v/>
      </c>
      <c r="R51" s="7" t="str" cm="1">
        <f t="array" aca="1" ref="R51" ca="1">IFERROR(IF(OR('Raw Data'!R51="",LEN(TRIM('Raw Data'!R51))=0),"",IF(AND(ISNUMBER('Raw Data'!R51), IFERROR('Raw Data'!R51 = ROUND('Raw Data'!R51, 2),FALSE)),"",_xlfn.REGEXEXTRACT(CELL("address",R51), "\$([A-Z]+)\$[0-9]+"))),_xlfn.REGEXEXTRACT(CELL("address",R51), "\$([A-Z]+)\$[0-9]+"))</f>
        <v/>
      </c>
      <c r="S51" s="7" t="str" cm="1">
        <f t="array" aca="1" ref="S51" ca="1">IFERROR(IF(OR('Raw Data'!S51="",LEN(TRIM('Raw Data'!S51))=0),"",IF(AND(ISNUMBER('Raw Data'!S51), IFERROR('Raw Data'!S51 = ROUND('Raw Data'!S51, 2),FALSE)),"",_xlfn.REGEXEXTRACT(CELL("address",S51), "\$([A-Z]+)\$[0-9]+"))),_xlfn.REGEXEXTRACT(CELL("address",S51), "\$([A-Z]+)\$[0-9]+"))</f>
        <v/>
      </c>
      <c r="T51" s="7" t="str" cm="1">
        <f t="array" aca="1" ref="T51" ca="1">IFERROR(IF(OR('Raw Data'!T51="",LEN(TRIM('Raw Data'!T51))=0),"",IF(AND(ISNUMBER('Raw Data'!T51), IFERROR('Raw Data'!T51 = ROUND('Raw Data'!T51, 2),FALSE)),"",_xlfn.REGEXEXTRACT(CELL("address",T51), "\$([A-Z]+)\$[0-9]+"))),_xlfn.REGEXEXTRACT(CELL("address",T51), "\$([A-Z]+)\$[0-9]+"))</f>
        <v/>
      </c>
      <c r="U51" s="7" t="str" cm="1">
        <f t="array" aca="1" ref="U51" ca="1">IFERROR(IF(OR('Raw Data'!U51="",LEN(TRIM('Raw Data'!U51))=0),"",IF(AND(LEN('Raw Data'!U51) &lt;= 5,LEN('Raw Data'!U51)&gt; 0),"",_xlfn.REGEXEXTRACT(CELL("address",'Raw Data'!U51),"\$([A-Z]+)\$[0-9]+"))),_xlfn.REGEXEXTRACT(CELL("address",'Raw Data'!U51),"\$([A-Z]+)\$[0-9]+"))</f>
        <v/>
      </c>
      <c r="V51" s="7" t="str" cm="1">
        <f t="array" aca="1" ref="V51" ca="1">IFERROR(IF(OR('Raw Data'!V51="",LEN(TRIM('Raw Data'!V51))=0),"",IF(AND(ISNUMBER('Raw Data'!V51), IFERROR('Raw Data'!V51 = ROUND('Raw Data'!V51, 2),FALSE)),"",_xlfn.REGEXEXTRACT(CELL("address",V51), "\$([A-Z]+)\$[0-9]+"))),_xlfn.REGEXEXTRACT(CELL("address",V51), "\$([A-Z]+)\$[0-9]+"))</f>
        <v/>
      </c>
      <c r="W51" s="7" t="str" cm="1">
        <f t="array" aca="1" ref="W51" ca="1">IFERROR(IF(OR('Raw Data'!W51="",LEN(TRIM('Raw Data'!W51))=0),"",IF(AND(ISNUMBER('Raw Data'!W51), IFERROR('Raw Data'!W51 = ROUND('Raw Data'!W51, 2),FALSE)),"",_xlfn.REGEXEXTRACT(CELL("address",W51), "\$([A-Z]+)\$[0-9]+"))),_xlfn.REGEXEXTRACT(CELL("address",W51), "\$([A-Z]+)\$[0-9]+"))</f>
        <v/>
      </c>
      <c r="X51" s="7" t="str" cm="1">
        <f t="array" aca="1" ref="X51" ca="1">IFERROR(IF(OR('Raw Data'!X51="",LEN(TRIM('Raw Data'!X51))=0),"",IF(AND(ISNUMBER('Raw Data'!X51), IFERROR('Raw Data'!X51 = ROUND('Raw Data'!X51, 2),FALSE)),"",_xlfn.REGEXEXTRACT(CELL("address",X51), "\$([A-Z]+)\$[0-9]+"))),_xlfn.REGEXEXTRACT(CELL("address",X51), "\$([A-Z]+)\$[0-9]+"))</f>
        <v/>
      </c>
    </row>
    <row r="52" spans="2:24" x14ac:dyDescent="0.25">
      <c r="B52" s="7" t="str" cm="1">
        <f t="array" aca="1" ref="B52" ca="1">IFERROR(IF(OR('Raw Data'!B52="",LEN(TRIM('Raw Data'!B52))=0),"",IF(AND(LEN('Raw Data'!B52) &lt;= 50,LEN('Raw Data'!B52)&gt; 0),"",_xlfn.REGEXEXTRACT(CELL("address",'Raw Data'!B52),"\$([A-Z]+)\$[0-9]+"))),_xlfn.REGEXEXTRACT(CELL("address",'Raw Data'!B52),"\$([A-Z]+)\$[0-9]+"))</f>
        <v/>
      </c>
      <c r="C52" s="7" t="str" cm="1">
        <f t="array" aca="1" ref="C52" ca="1">IFERROR(IF(OR('Raw Data'!C52="",LEN(TRIM('Raw Data'!C52))=0),"",IF(AND(LEN('Raw Data'!C52) &lt;= 50,LEN('Raw Data'!C52)&gt; 0),"",_xlfn.REGEXEXTRACT(CELL("address",'Raw Data'!C52),"\$([A-Z]+)\$[0-9]+"))),_xlfn.REGEXEXTRACT(CELL("address",'Raw Data'!C52),"\$([A-Z]+)\$[0-9]+"))</f>
        <v/>
      </c>
      <c r="D52" s="7" t="str" cm="1">
        <f t="array" aca="1" ref="D52" ca="1">IFERROR(IF(OR('Raw Data'!D52="",LEN(TRIM('Raw Data'!D52))=0),"",IF(AND(LEN('Raw Data'!D52) &lt;= 255,LEN('Raw Data'!D52)&gt; 0),"",_xlfn.REGEXEXTRACT(CELL("address",'Raw Data'!D52),"\$([A-Z]+)\$[0-9]+"))),_xlfn.REGEXEXTRACT(CELL("address",'Raw Data'!D52),"\$([A-Z]+)\$[0-9]+"))</f>
        <v/>
      </c>
      <c r="E52" s="7" t="str" cm="1">
        <f t="array" aca="1" ref="E52" ca="1">IFERROR(IF(OR('Raw Data'!E52="",LEN(TRIM('Raw Data'!E52))=0),"",IF(AND(ISNUMBER('Raw Data'!E52),'Raw Data'!E52&gt;=Configuration!$D$2),"",_xlfn.REGEXEXTRACT(CELL("address",'Raw Data'!E52),"\$([A-Z]+)\$[0-9]+"))),_xlfn.REGEXEXTRACT(CELL("address",E52), "\$([A-Z]+)\$[0-9]+"))</f>
        <v/>
      </c>
      <c r="F52" s="7" t="str" cm="1">
        <f t="array" aca="1" ref="F52" ca="1">IFERROR(IF(OR('Raw Data'!F52="",LEN(TRIM('Raw Data'!F52))=0),"",IF(AND(LEN('Raw Data'!F52) &lt;= 20,LEN('Raw Data'!F52)&gt; 0),"",_xlfn.REGEXEXTRACT(CELL("address",'Raw Data'!F52),"\$([A-Z]+)\$[0-9]+"))),_xlfn.REGEXEXTRACT(CELL("address",'Raw Data'!F52),"\$([A-Z]+)\$[0-9]+"))</f>
        <v/>
      </c>
      <c r="G52" s="7" t="str" cm="1">
        <f t="array" aca="1" ref="G52" ca="1">IFERROR(IF(OR('Raw Data'!G52="",LEN(TRIM('Raw Data'!G52))=0),"",IF(AND(ISNUMBER('Raw Data'!G52), IFERROR('Raw Data'!G52 = ROUND('Raw Data'!G52, 2),FALSE)),"",_xlfn.REGEXEXTRACT(CELL("address",G52), "\$([A-Z]+)\$[0-9]+"))),_xlfn.REGEXEXTRACT(CELL("address",G52), "\$([A-Z]+)\$[0-9]+"))</f>
        <v/>
      </c>
      <c r="H52" s="7" t="str" cm="1">
        <f t="array" aca="1" ref="H52" ca="1">IFERROR(IF(OR('Raw Data'!H52="",LEN(TRIM('Raw Data'!H52))=0),"",IF(AND(ISNUMBER('Raw Data'!H52), IFERROR('Raw Data'!H52 = ROUND('Raw Data'!H52, 2),FALSE)),"",_xlfn.REGEXEXTRACT(CELL("address",H52), "\$([A-Z]+)\$[0-9]+"))),_xlfn.REGEXEXTRACT(CELL("address",H52), "\$([A-Z]+)\$[0-9]+"))</f>
        <v/>
      </c>
      <c r="I52" s="7" t="str" cm="1">
        <f t="array" aca="1" ref="I52" ca="1">IFERROR(IF(OR('Raw Data'!I52="",LEN(TRIM('Raw Data'!I52))=0),"",IF(AND(LEN('Raw Data'!I52) &lt;= 50,LEN('Raw Data'!I52)&gt; 0),"",_xlfn.REGEXEXTRACT(CELL("address",'Raw Data'!I52),"\$([A-Z]+)\$[0-9]+"))),_xlfn.REGEXEXTRACT(CELL("address",'Raw Data'!I52),"\$([A-Z]+)\$[0-9]+"))</f>
        <v/>
      </c>
      <c r="J52" s="7" t="str" cm="1">
        <f t="array" aca="1" ref="J52" ca="1">IFERROR(IF(OR('Raw Data'!J52="",LEN(TRIM('Raw Data'!J52))=0),"",IF(AND(ISNUMBER('Raw Data'!J52),'Raw Data'!J52&gt;=Configuration!$D$2),"",_xlfn.REGEXEXTRACT(CELL("address",'Raw Data'!J52),"\$([A-Z]+)\$[0-9]+"))),_xlfn.REGEXEXTRACT(CELL("address",J52), "\$([A-Z]+)\$[0-9]+"))</f>
        <v/>
      </c>
      <c r="K52" s="7" t="str" cm="1">
        <f t="array" aca="1" ref="K52" ca="1">IFERROR(IF(OR('Raw Data'!K52="",LEN(TRIM('Raw Data'!K52))=0),"",IF(AND(ISNUMBER('Raw Data'!K52), IFERROR('Raw Data'!K52 = ROUND('Raw Data'!K52, 2),FALSE)),"",_xlfn.REGEXEXTRACT(CELL("address",K52), "\$([A-Z]+)\$[0-9]+"))),_xlfn.REGEXEXTRACT(CELL("address",K52), "\$([A-Z]+)\$[0-9]+"))</f>
        <v/>
      </c>
      <c r="L52" s="7" t="str" cm="1">
        <f t="array" aca="1" ref="L52" ca="1">IFERROR(IF(OR('Raw Data'!L52="",LEN(TRIM('Raw Data'!L52))=0),"",IF(AND(ISNUMBER('Raw Data'!L52), IFERROR('Raw Data'!L52 = ROUND('Raw Data'!L52, 2),FALSE)),"",_xlfn.REGEXEXTRACT(CELL("address",L52), "\$([A-Z]+)\$[0-9]+"))),_xlfn.REGEXEXTRACT(CELL("address",L52), "\$([A-Z]+)\$[0-9]+"))</f>
        <v/>
      </c>
      <c r="M52" s="7" t="str" cm="1">
        <f t="array" aca="1" ref="M52" ca="1">IFERROR(IF(OR('Raw Data'!M52="",LEN(TRIM('Raw Data'!M52))=0),"",IF(AND(ISNUMBER('Raw Data'!M52), IFERROR('Raw Data'!M52 = ROUND('Raw Data'!M52, 2),FALSE)),"",_xlfn.REGEXEXTRACT(CELL("address",M52), "\$([A-Z]+)\$[0-9]+"))),_xlfn.REGEXEXTRACT(CELL("address",M52), "\$([A-Z]+)\$[0-9]+"))</f>
        <v/>
      </c>
      <c r="N52" s="7" t="str" cm="1">
        <f t="array" aca="1" ref="N52" ca="1">IFERROR(IF(OR('Raw Data'!N52="",LEN(TRIM('Raw Data'!N52))=0),"",IF(AND(ISNUMBER('Raw Data'!N52), IFERROR('Raw Data'!N52 = ROUND('Raw Data'!N52, 2),FALSE)),"",_xlfn.REGEXEXTRACT(CELL("address",N52), "\$([A-Z]+)\$[0-9]+"))),_xlfn.REGEXEXTRACT(CELL("address",N52), "\$([A-Z]+)\$[0-9]+"))</f>
        <v/>
      </c>
      <c r="O52" s="7" t="str" cm="1">
        <f t="array" aca="1" ref="O52" ca="1">IFERROR(IF(OR('Raw Data'!O52="",LEN(TRIM('Raw Data'!O52))=0),"",IF(AND(ISNUMBER('Raw Data'!O52), IFERROR('Raw Data'!O52 = ROUND('Raw Data'!O52, 2),FALSE)),"",_xlfn.REGEXEXTRACT(CELL("address",O52), "\$([A-Z]+)\$[0-9]+"))),_xlfn.REGEXEXTRACT(CELL("address",O52), "\$([A-Z]+)\$[0-9]+"))</f>
        <v/>
      </c>
      <c r="P52" s="7" t="str" cm="1">
        <f t="array" aca="1" ref="P52" ca="1">IFERROR(IF(OR('Raw Data'!P52="",LEN(TRIM('Raw Data'!P52))=0),"",IF(AND(ISNUMBER('Raw Data'!P52),'Raw Data'!P52&gt;=Configuration!$D$2),"",_xlfn.REGEXEXTRACT(CELL("address",'Raw Data'!P52),"\$([A-Z]+)\$[0-9]+"))),_xlfn.REGEXEXTRACT(CELL("address",P52), "\$([A-Z]+)\$[0-9]+"))</f>
        <v/>
      </c>
      <c r="Q52" s="7" t="str" cm="1">
        <f t="array" aca="1" ref="Q52" ca="1">IFERROR(IF(OR('Raw Data'!Q52="",LEN(TRIM('Raw Data'!Q52))=0),"",IF(AND(ISNUMBER('Raw Data'!Q52),'Raw Data'!Q52&gt;=Configuration!$D$2),"",_xlfn.REGEXEXTRACT(CELL("address",'Raw Data'!Q52),"\$([A-Z]+)\$[0-9]+"))),_xlfn.REGEXEXTRACT(CELL("address",Q52), "\$([A-Z]+)\$[0-9]+"))</f>
        <v/>
      </c>
      <c r="R52" s="7" t="str" cm="1">
        <f t="array" aca="1" ref="R52" ca="1">IFERROR(IF(OR('Raw Data'!R52="",LEN(TRIM('Raw Data'!R52))=0),"",IF(AND(ISNUMBER('Raw Data'!R52), IFERROR('Raw Data'!R52 = ROUND('Raw Data'!R52, 2),FALSE)),"",_xlfn.REGEXEXTRACT(CELL("address",R52), "\$([A-Z]+)\$[0-9]+"))),_xlfn.REGEXEXTRACT(CELL("address",R52), "\$([A-Z]+)\$[0-9]+"))</f>
        <v/>
      </c>
      <c r="S52" s="7" t="str" cm="1">
        <f t="array" aca="1" ref="S52" ca="1">IFERROR(IF(OR('Raw Data'!S52="",LEN(TRIM('Raw Data'!S52))=0),"",IF(AND(ISNUMBER('Raw Data'!S52), IFERROR('Raw Data'!S52 = ROUND('Raw Data'!S52, 2),FALSE)),"",_xlfn.REGEXEXTRACT(CELL("address",S52), "\$([A-Z]+)\$[0-9]+"))),_xlfn.REGEXEXTRACT(CELL("address",S52), "\$([A-Z]+)\$[0-9]+"))</f>
        <v/>
      </c>
      <c r="T52" s="7" t="str" cm="1">
        <f t="array" aca="1" ref="T52" ca="1">IFERROR(IF(OR('Raw Data'!T52="",LEN(TRIM('Raw Data'!T52))=0),"",IF(AND(ISNUMBER('Raw Data'!T52), IFERROR('Raw Data'!T52 = ROUND('Raw Data'!T52, 2),FALSE)),"",_xlfn.REGEXEXTRACT(CELL("address",T52), "\$([A-Z]+)\$[0-9]+"))),_xlfn.REGEXEXTRACT(CELL("address",T52), "\$([A-Z]+)\$[0-9]+"))</f>
        <v/>
      </c>
      <c r="U52" s="7" t="str" cm="1">
        <f t="array" aca="1" ref="U52" ca="1">IFERROR(IF(OR('Raw Data'!U52="",LEN(TRIM('Raw Data'!U52))=0),"",IF(AND(LEN('Raw Data'!U52) &lt;= 5,LEN('Raw Data'!U52)&gt; 0),"",_xlfn.REGEXEXTRACT(CELL("address",'Raw Data'!U52),"\$([A-Z]+)\$[0-9]+"))),_xlfn.REGEXEXTRACT(CELL("address",'Raw Data'!U52),"\$([A-Z]+)\$[0-9]+"))</f>
        <v/>
      </c>
      <c r="V52" s="7" t="str" cm="1">
        <f t="array" aca="1" ref="V52" ca="1">IFERROR(IF(OR('Raw Data'!V52="",LEN(TRIM('Raw Data'!V52))=0),"",IF(AND(ISNUMBER('Raw Data'!V52), IFERROR('Raw Data'!V52 = ROUND('Raw Data'!V52, 2),FALSE)),"",_xlfn.REGEXEXTRACT(CELL("address",V52), "\$([A-Z]+)\$[0-9]+"))),_xlfn.REGEXEXTRACT(CELL("address",V52), "\$([A-Z]+)\$[0-9]+"))</f>
        <v/>
      </c>
      <c r="W52" s="7" t="str" cm="1">
        <f t="array" aca="1" ref="W52" ca="1">IFERROR(IF(OR('Raw Data'!W52="",LEN(TRIM('Raw Data'!W52))=0),"",IF(AND(ISNUMBER('Raw Data'!W52), IFERROR('Raw Data'!W52 = ROUND('Raw Data'!W52, 2),FALSE)),"",_xlfn.REGEXEXTRACT(CELL("address",W52), "\$([A-Z]+)\$[0-9]+"))),_xlfn.REGEXEXTRACT(CELL("address",W52), "\$([A-Z]+)\$[0-9]+"))</f>
        <v/>
      </c>
      <c r="X52" s="7" t="str" cm="1">
        <f t="array" aca="1" ref="X52" ca="1">IFERROR(IF(OR('Raw Data'!X52="",LEN(TRIM('Raw Data'!X52))=0),"",IF(AND(ISNUMBER('Raw Data'!X52), IFERROR('Raw Data'!X52 = ROUND('Raw Data'!X52, 2),FALSE)),"",_xlfn.REGEXEXTRACT(CELL("address",X52), "\$([A-Z]+)\$[0-9]+"))),_xlfn.REGEXEXTRACT(CELL("address",X52), "\$([A-Z]+)\$[0-9]+"))</f>
        <v/>
      </c>
    </row>
    <row r="53" spans="2:24" x14ac:dyDescent="0.25">
      <c r="B53" s="7" t="str" cm="1">
        <f t="array" aca="1" ref="B53" ca="1">IFERROR(IF(OR('Raw Data'!B53="",LEN(TRIM('Raw Data'!B53))=0),"",IF(AND(LEN('Raw Data'!B53) &lt;= 50,LEN('Raw Data'!B53)&gt; 0),"",_xlfn.REGEXEXTRACT(CELL("address",'Raw Data'!B53),"\$([A-Z]+)\$[0-9]+"))),_xlfn.REGEXEXTRACT(CELL("address",'Raw Data'!B53),"\$([A-Z]+)\$[0-9]+"))</f>
        <v/>
      </c>
      <c r="C53" s="7" t="str" cm="1">
        <f t="array" aca="1" ref="C53" ca="1">IFERROR(IF(OR('Raw Data'!C53="",LEN(TRIM('Raw Data'!C53))=0),"",IF(AND(LEN('Raw Data'!C53) &lt;= 50,LEN('Raw Data'!C53)&gt; 0),"",_xlfn.REGEXEXTRACT(CELL("address",'Raw Data'!C53),"\$([A-Z]+)\$[0-9]+"))),_xlfn.REGEXEXTRACT(CELL("address",'Raw Data'!C53),"\$([A-Z]+)\$[0-9]+"))</f>
        <v/>
      </c>
      <c r="D53" s="7" t="str" cm="1">
        <f t="array" aca="1" ref="D53" ca="1">IFERROR(IF(OR('Raw Data'!D53="",LEN(TRIM('Raw Data'!D53))=0),"",IF(AND(LEN('Raw Data'!D53) &lt;= 255,LEN('Raw Data'!D53)&gt; 0),"",_xlfn.REGEXEXTRACT(CELL("address",'Raw Data'!D53),"\$([A-Z]+)\$[0-9]+"))),_xlfn.REGEXEXTRACT(CELL("address",'Raw Data'!D53),"\$([A-Z]+)\$[0-9]+"))</f>
        <v/>
      </c>
      <c r="E53" s="7" t="str" cm="1">
        <f t="array" aca="1" ref="E53" ca="1">IFERROR(IF(OR('Raw Data'!E53="",LEN(TRIM('Raw Data'!E53))=0),"",IF(AND(ISNUMBER('Raw Data'!E53),'Raw Data'!E53&gt;=Configuration!$D$2),"",_xlfn.REGEXEXTRACT(CELL("address",'Raw Data'!E53),"\$([A-Z]+)\$[0-9]+"))),_xlfn.REGEXEXTRACT(CELL("address",E53), "\$([A-Z]+)\$[0-9]+"))</f>
        <v/>
      </c>
      <c r="F53" s="7" t="str" cm="1">
        <f t="array" aca="1" ref="F53" ca="1">IFERROR(IF(OR('Raw Data'!F53="",LEN(TRIM('Raw Data'!F53))=0),"",IF(AND(LEN('Raw Data'!F53) &lt;= 20,LEN('Raw Data'!F53)&gt; 0),"",_xlfn.REGEXEXTRACT(CELL("address",'Raw Data'!F53),"\$([A-Z]+)\$[0-9]+"))),_xlfn.REGEXEXTRACT(CELL("address",'Raw Data'!F53),"\$([A-Z]+)\$[0-9]+"))</f>
        <v/>
      </c>
      <c r="G53" s="7" t="str" cm="1">
        <f t="array" aca="1" ref="G53" ca="1">IFERROR(IF(OR('Raw Data'!G53="",LEN(TRIM('Raw Data'!G53))=0),"",IF(AND(ISNUMBER('Raw Data'!G53), IFERROR('Raw Data'!G53 = ROUND('Raw Data'!G53, 2),FALSE)),"",_xlfn.REGEXEXTRACT(CELL("address",G53), "\$([A-Z]+)\$[0-9]+"))),_xlfn.REGEXEXTRACT(CELL("address",G53), "\$([A-Z]+)\$[0-9]+"))</f>
        <v/>
      </c>
      <c r="H53" s="7" t="str" cm="1">
        <f t="array" aca="1" ref="H53" ca="1">IFERROR(IF(OR('Raw Data'!H53="",LEN(TRIM('Raw Data'!H53))=0),"",IF(AND(ISNUMBER('Raw Data'!H53), IFERROR('Raw Data'!H53 = ROUND('Raw Data'!H53, 2),FALSE)),"",_xlfn.REGEXEXTRACT(CELL("address",H53), "\$([A-Z]+)\$[0-9]+"))),_xlfn.REGEXEXTRACT(CELL("address",H53), "\$([A-Z]+)\$[0-9]+"))</f>
        <v/>
      </c>
      <c r="I53" s="7" t="str" cm="1">
        <f t="array" aca="1" ref="I53" ca="1">IFERROR(IF(OR('Raw Data'!I53="",LEN(TRIM('Raw Data'!I53))=0),"",IF(AND(LEN('Raw Data'!I53) &lt;= 50,LEN('Raw Data'!I53)&gt; 0),"",_xlfn.REGEXEXTRACT(CELL("address",'Raw Data'!I53),"\$([A-Z]+)\$[0-9]+"))),_xlfn.REGEXEXTRACT(CELL("address",'Raw Data'!I53),"\$([A-Z]+)\$[0-9]+"))</f>
        <v/>
      </c>
      <c r="J53" s="7" t="str" cm="1">
        <f t="array" aca="1" ref="J53" ca="1">IFERROR(IF(OR('Raw Data'!J53="",LEN(TRIM('Raw Data'!J53))=0),"",IF(AND(ISNUMBER('Raw Data'!J53),'Raw Data'!J53&gt;=Configuration!$D$2),"",_xlfn.REGEXEXTRACT(CELL("address",'Raw Data'!J53),"\$([A-Z]+)\$[0-9]+"))),_xlfn.REGEXEXTRACT(CELL("address",J53), "\$([A-Z]+)\$[0-9]+"))</f>
        <v/>
      </c>
      <c r="K53" s="7" t="str" cm="1">
        <f t="array" aca="1" ref="K53" ca="1">IFERROR(IF(OR('Raw Data'!K53="",LEN(TRIM('Raw Data'!K53))=0),"",IF(AND(ISNUMBER('Raw Data'!K53), IFERROR('Raw Data'!K53 = ROUND('Raw Data'!K53, 2),FALSE)),"",_xlfn.REGEXEXTRACT(CELL("address",K53), "\$([A-Z]+)\$[0-9]+"))),_xlfn.REGEXEXTRACT(CELL("address",K53), "\$([A-Z]+)\$[0-9]+"))</f>
        <v/>
      </c>
      <c r="L53" s="7" t="str" cm="1">
        <f t="array" aca="1" ref="L53" ca="1">IFERROR(IF(OR('Raw Data'!L53="",LEN(TRIM('Raw Data'!L53))=0),"",IF(AND(ISNUMBER('Raw Data'!L53), IFERROR('Raw Data'!L53 = ROUND('Raw Data'!L53, 2),FALSE)),"",_xlfn.REGEXEXTRACT(CELL("address",L53), "\$([A-Z]+)\$[0-9]+"))),_xlfn.REGEXEXTRACT(CELL("address",L53), "\$([A-Z]+)\$[0-9]+"))</f>
        <v/>
      </c>
      <c r="M53" s="7" t="str" cm="1">
        <f t="array" aca="1" ref="M53" ca="1">IFERROR(IF(OR('Raw Data'!M53="",LEN(TRIM('Raw Data'!M53))=0),"",IF(AND(ISNUMBER('Raw Data'!M53), IFERROR('Raw Data'!M53 = ROUND('Raw Data'!M53, 2),FALSE)),"",_xlfn.REGEXEXTRACT(CELL("address",M53), "\$([A-Z]+)\$[0-9]+"))),_xlfn.REGEXEXTRACT(CELL("address",M53), "\$([A-Z]+)\$[0-9]+"))</f>
        <v/>
      </c>
      <c r="N53" s="7" t="str" cm="1">
        <f t="array" aca="1" ref="N53" ca="1">IFERROR(IF(OR('Raw Data'!N53="",LEN(TRIM('Raw Data'!N53))=0),"",IF(AND(ISNUMBER('Raw Data'!N53), IFERROR('Raw Data'!N53 = ROUND('Raw Data'!N53, 2),FALSE)),"",_xlfn.REGEXEXTRACT(CELL("address",N53), "\$([A-Z]+)\$[0-9]+"))),_xlfn.REGEXEXTRACT(CELL("address",N53), "\$([A-Z]+)\$[0-9]+"))</f>
        <v/>
      </c>
      <c r="O53" s="7" t="str" cm="1">
        <f t="array" aca="1" ref="O53" ca="1">IFERROR(IF(OR('Raw Data'!O53="",LEN(TRIM('Raw Data'!O53))=0),"",IF(AND(ISNUMBER('Raw Data'!O53), IFERROR('Raw Data'!O53 = ROUND('Raw Data'!O53, 2),FALSE)),"",_xlfn.REGEXEXTRACT(CELL("address",O53), "\$([A-Z]+)\$[0-9]+"))),_xlfn.REGEXEXTRACT(CELL("address",O53), "\$([A-Z]+)\$[0-9]+"))</f>
        <v/>
      </c>
      <c r="P53" s="7" t="str" cm="1">
        <f t="array" aca="1" ref="P53" ca="1">IFERROR(IF(OR('Raw Data'!P53="",LEN(TRIM('Raw Data'!P53))=0),"",IF(AND(ISNUMBER('Raw Data'!P53),'Raw Data'!P53&gt;=Configuration!$D$2),"",_xlfn.REGEXEXTRACT(CELL("address",'Raw Data'!P53),"\$([A-Z]+)\$[0-9]+"))),_xlfn.REGEXEXTRACT(CELL("address",P53), "\$([A-Z]+)\$[0-9]+"))</f>
        <v/>
      </c>
      <c r="Q53" s="7" t="str" cm="1">
        <f t="array" aca="1" ref="Q53" ca="1">IFERROR(IF(OR('Raw Data'!Q53="",LEN(TRIM('Raw Data'!Q53))=0),"",IF(AND(ISNUMBER('Raw Data'!Q53),'Raw Data'!Q53&gt;=Configuration!$D$2),"",_xlfn.REGEXEXTRACT(CELL("address",'Raw Data'!Q53),"\$([A-Z]+)\$[0-9]+"))),_xlfn.REGEXEXTRACT(CELL("address",Q53), "\$([A-Z]+)\$[0-9]+"))</f>
        <v/>
      </c>
      <c r="R53" s="7" t="str" cm="1">
        <f t="array" aca="1" ref="R53" ca="1">IFERROR(IF(OR('Raw Data'!R53="",LEN(TRIM('Raw Data'!R53))=0),"",IF(AND(ISNUMBER('Raw Data'!R53), IFERROR('Raw Data'!R53 = ROUND('Raw Data'!R53, 2),FALSE)),"",_xlfn.REGEXEXTRACT(CELL("address",R53), "\$([A-Z]+)\$[0-9]+"))),_xlfn.REGEXEXTRACT(CELL("address",R53), "\$([A-Z]+)\$[0-9]+"))</f>
        <v/>
      </c>
      <c r="S53" s="7" t="str" cm="1">
        <f t="array" aca="1" ref="S53" ca="1">IFERROR(IF(OR('Raw Data'!S53="",LEN(TRIM('Raw Data'!S53))=0),"",IF(AND(ISNUMBER('Raw Data'!S53), IFERROR('Raw Data'!S53 = ROUND('Raw Data'!S53, 2),FALSE)),"",_xlfn.REGEXEXTRACT(CELL("address",S53), "\$([A-Z]+)\$[0-9]+"))),_xlfn.REGEXEXTRACT(CELL("address",S53), "\$([A-Z]+)\$[0-9]+"))</f>
        <v/>
      </c>
      <c r="T53" s="7" t="str" cm="1">
        <f t="array" aca="1" ref="T53" ca="1">IFERROR(IF(OR('Raw Data'!T53="",LEN(TRIM('Raw Data'!T53))=0),"",IF(AND(ISNUMBER('Raw Data'!T53), IFERROR('Raw Data'!T53 = ROUND('Raw Data'!T53, 2),FALSE)),"",_xlfn.REGEXEXTRACT(CELL("address",T53), "\$([A-Z]+)\$[0-9]+"))),_xlfn.REGEXEXTRACT(CELL("address",T53), "\$([A-Z]+)\$[0-9]+"))</f>
        <v/>
      </c>
      <c r="U53" s="7" t="str" cm="1">
        <f t="array" aca="1" ref="U53" ca="1">IFERROR(IF(OR('Raw Data'!U53="",LEN(TRIM('Raw Data'!U53))=0),"",IF(AND(LEN('Raw Data'!U53) &lt;= 5,LEN('Raw Data'!U53)&gt; 0),"",_xlfn.REGEXEXTRACT(CELL("address",'Raw Data'!U53),"\$([A-Z]+)\$[0-9]+"))),_xlfn.REGEXEXTRACT(CELL("address",'Raw Data'!U53),"\$([A-Z]+)\$[0-9]+"))</f>
        <v/>
      </c>
      <c r="V53" s="7" t="str" cm="1">
        <f t="array" aca="1" ref="V53" ca="1">IFERROR(IF(OR('Raw Data'!V53="",LEN(TRIM('Raw Data'!V53))=0),"",IF(AND(ISNUMBER('Raw Data'!V53), IFERROR('Raw Data'!V53 = ROUND('Raw Data'!V53, 2),FALSE)),"",_xlfn.REGEXEXTRACT(CELL("address",V53), "\$([A-Z]+)\$[0-9]+"))),_xlfn.REGEXEXTRACT(CELL("address",V53), "\$([A-Z]+)\$[0-9]+"))</f>
        <v/>
      </c>
      <c r="W53" s="7" t="str" cm="1">
        <f t="array" aca="1" ref="W53" ca="1">IFERROR(IF(OR('Raw Data'!W53="",LEN(TRIM('Raw Data'!W53))=0),"",IF(AND(ISNUMBER('Raw Data'!W53), IFERROR('Raw Data'!W53 = ROUND('Raw Data'!W53, 2),FALSE)),"",_xlfn.REGEXEXTRACT(CELL("address",W53), "\$([A-Z]+)\$[0-9]+"))),_xlfn.REGEXEXTRACT(CELL("address",W53), "\$([A-Z]+)\$[0-9]+"))</f>
        <v/>
      </c>
      <c r="X53" s="7" t="str" cm="1">
        <f t="array" aca="1" ref="X53" ca="1">IFERROR(IF(OR('Raw Data'!X53="",LEN(TRIM('Raw Data'!X53))=0),"",IF(AND(ISNUMBER('Raw Data'!X53), IFERROR('Raw Data'!X53 = ROUND('Raw Data'!X53, 2),FALSE)),"",_xlfn.REGEXEXTRACT(CELL("address",X53), "\$([A-Z]+)\$[0-9]+"))),_xlfn.REGEXEXTRACT(CELL("address",X53), "\$([A-Z]+)\$[0-9]+"))</f>
        <v/>
      </c>
    </row>
    <row r="54" spans="2:24" x14ac:dyDescent="0.25">
      <c r="B54" s="7" t="str" cm="1">
        <f t="array" aca="1" ref="B54" ca="1">IFERROR(IF(OR('Raw Data'!B54="",LEN(TRIM('Raw Data'!B54))=0),"",IF(AND(LEN('Raw Data'!B54) &lt;= 50,LEN('Raw Data'!B54)&gt; 0),"",_xlfn.REGEXEXTRACT(CELL("address",'Raw Data'!B54),"\$([A-Z]+)\$[0-9]+"))),_xlfn.REGEXEXTRACT(CELL("address",'Raw Data'!B54),"\$([A-Z]+)\$[0-9]+"))</f>
        <v/>
      </c>
      <c r="C54" s="7" t="str" cm="1">
        <f t="array" aca="1" ref="C54" ca="1">IFERROR(IF(OR('Raw Data'!C54="",LEN(TRIM('Raw Data'!C54))=0),"",IF(AND(LEN('Raw Data'!C54) &lt;= 50,LEN('Raw Data'!C54)&gt; 0),"",_xlfn.REGEXEXTRACT(CELL("address",'Raw Data'!C54),"\$([A-Z]+)\$[0-9]+"))),_xlfn.REGEXEXTRACT(CELL("address",'Raw Data'!C54),"\$([A-Z]+)\$[0-9]+"))</f>
        <v/>
      </c>
      <c r="D54" s="7" t="str" cm="1">
        <f t="array" aca="1" ref="D54" ca="1">IFERROR(IF(OR('Raw Data'!D54="",LEN(TRIM('Raw Data'!D54))=0),"",IF(AND(LEN('Raw Data'!D54) &lt;= 255,LEN('Raw Data'!D54)&gt; 0),"",_xlfn.REGEXEXTRACT(CELL("address",'Raw Data'!D54),"\$([A-Z]+)\$[0-9]+"))),_xlfn.REGEXEXTRACT(CELL("address",'Raw Data'!D54),"\$([A-Z]+)\$[0-9]+"))</f>
        <v/>
      </c>
      <c r="E54" s="7" t="str" cm="1">
        <f t="array" aca="1" ref="E54" ca="1">IFERROR(IF(OR('Raw Data'!E54="",LEN(TRIM('Raw Data'!E54))=0),"",IF(AND(ISNUMBER('Raw Data'!E54),'Raw Data'!E54&gt;=Configuration!$D$2),"",_xlfn.REGEXEXTRACT(CELL("address",'Raw Data'!E54),"\$([A-Z]+)\$[0-9]+"))),_xlfn.REGEXEXTRACT(CELL("address",E54), "\$([A-Z]+)\$[0-9]+"))</f>
        <v/>
      </c>
      <c r="F54" s="7" t="str" cm="1">
        <f t="array" aca="1" ref="F54" ca="1">IFERROR(IF(OR('Raw Data'!F54="",LEN(TRIM('Raw Data'!F54))=0),"",IF(AND(LEN('Raw Data'!F54) &lt;= 20,LEN('Raw Data'!F54)&gt; 0),"",_xlfn.REGEXEXTRACT(CELL("address",'Raw Data'!F54),"\$([A-Z]+)\$[0-9]+"))),_xlfn.REGEXEXTRACT(CELL("address",'Raw Data'!F54),"\$([A-Z]+)\$[0-9]+"))</f>
        <v/>
      </c>
      <c r="G54" s="7" t="str" cm="1">
        <f t="array" aca="1" ref="G54" ca="1">IFERROR(IF(OR('Raw Data'!G54="",LEN(TRIM('Raw Data'!G54))=0),"",IF(AND(ISNUMBER('Raw Data'!G54), IFERROR('Raw Data'!G54 = ROUND('Raw Data'!G54, 2),FALSE)),"",_xlfn.REGEXEXTRACT(CELL("address",G54), "\$([A-Z]+)\$[0-9]+"))),_xlfn.REGEXEXTRACT(CELL("address",G54), "\$([A-Z]+)\$[0-9]+"))</f>
        <v/>
      </c>
      <c r="H54" s="7" t="str" cm="1">
        <f t="array" aca="1" ref="H54" ca="1">IFERROR(IF(OR('Raw Data'!H54="",LEN(TRIM('Raw Data'!H54))=0),"",IF(AND(ISNUMBER('Raw Data'!H54), IFERROR('Raw Data'!H54 = ROUND('Raw Data'!H54, 2),FALSE)),"",_xlfn.REGEXEXTRACT(CELL("address",H54), "\$([A-Z]+)\$[0-9]+"))),_xlfn.REGEXEXTRACT(CELL("address",H54), "\$([A-Z]+)\$[0-9]+"))</f>
        <v/>
      </c>
      <c r="I54" s="7" t="str" cm="1">
        <f t="array" aca="1" ref="I54" ca="1">IFERROR(IF(OR('Raw Data'!I54="",LEN(TRIM('Raw Data'!I54))=0),"",IF(AND(LEN('Raw Data'!I54) &lt;= 50,LEN('Raw Data'!I54)&gt; 0),"",_xlfn.REGEXEXTRACT(CELL("address",'Raw Data'!I54),"\$([A-Z]+)\$[0-9]+"))),_xlfn.REGEXEXTRACT(CELL("address",'Raw Data'!I54),"\$([A-Z]+)\$[0-9]+"))</f>
        <v/>
      </c>
      <c r="J54" s="7" t="str" cm="1">
        <f t="array" aca="1" ref="J54" ca="1">IFERROR(IF(OR('Raw Data'!J54="",LEN(TRIM('Raw Data'!J54))=0),"",IF(AND(ISNUMBER('Raw Data'!J54),'Raw Data'!J54&gt;=Configuration!$D$2),"",_xlfn.REGEXEXTRACT(CELL("address",'Raw Data'!J54),"\$([A-Z]+)\$[0-9]+"))),_xlfn.REGEXEXTRACT(CELL("address",J54), "\$([A-Z]+)\$[0-9]+"))</f>
        <v/>
      </c>
      <c r="K54" s="7" t="str" cm="1">
        <f t="array" aca="1" ref="K54" ca="1">IFERROR(IF(OR('Raw Data'!K54="",LEN(TRIM('Raw Data'!K54))=0),"",IF(AND(ISNUMBER('Raw Data'!K54), IFERROR('Raw Data'!K54 = ROUND('Raw Data'!K54, 2),FALSE)),"",_xlfn.REGEXEXTRACT(CELL("address",K54), "\$([A-Z]+)\$[0-9]+"))),_xlfn.REGEXEXTRACT(CELL("address",K54), "\$([A-Z]+)\$[0-9]+"))</f>
        <v/>
      </c>
      <c r="L54" s="7" t="str" cm="1">
        <f t="array" aca="1" ref="L54" ca="1">IFERROR(IF(OR('Raw Data'!L54="",LEN(TRIM('Raw Data'!L54))=0),"",IF(AND(ISNUMBER('Raw Data'!L54), IFERROR('Raw Data'!L54 = ROUND('Raw Data'!L54, 2),FALSE)),"",_xlfn.REGEXEXTRACT(CELL("address",L54), "\$([A-Z]+)\$[0-9]+"))),_xlfn.REGEXEXTRACT(CELL("address",L54), "\$([A-Z]+)\$[0-9]+"))</f>
        <v/>
      </c>
      <c r="M54" s="7" t="str" cm="1">
        <f t="array" aca="1" ref="M54" ca="1">IFERROR(IF(OR('Raw Data'!M54="",LEN(TRIM('Raw Data'!M54))=0),"",IF(AND(ISNUMBER('Raw Data'!M54), IFERROR('Raw Data'!M54 = ROUND('Raw Data'!M54, 2),FALSE)),"",_xlfn.REGEXEXTRACT(CELL("address",M54), "\$([A-Z]+)\$[0-9]+"))),_xlfn.REGEXEXTRACT(CELL("address",M54), "\$([A-Z]+)\$[0-9]+"))</f>
        <v/>
      </c>
      <c r="N54" s="7" t="str" cm="1">
        <f t="array" aca="1" ref="N54" ca="1">IFERROR(IF(OR('Raw Data'!N54="",LEN(TRIM('Raw Data'!N54))=0),"",IF(AND(ISNUMBER('Raw Data'!N54), IFERROR('Raw Data'!N54 = ROUND('Raw Data'!N54, 2),FALSE)),"",_xlfn.REGEXEXTRACT(CELL("address",N54), "\$([A-Z]+)\$[0-9]+"))),_xlfn.REGEXEXTRACT(CELL("address",N54), "\$([A-Z]+)\$[0-9]+"))</f>
        <v/>
      </c>
      <c r="O54" s="7" t="str" cm="1">
        <f t="array" aca="1" ref="O54" ca="1">IFERROR(IF(OR('Raw Data'!O54="",LEN(TRIM('Raw Data'!O54))=0),"",IF(AND(ISNUMBER('Raw Data'!O54), IFERROR('Raw Data'!O54 = ROUND('Raw Data'!O54, 2),FALSE)),"",_xlfn.REGEXEXTRACT(CELL("address",O54), "\$([A-Z]+)\$[0-9]+"))),_xlfn.REGEXEXTRACT(CELL("address",O54), "\$([A-Z]+)\$[0-9]+"))</f>
        <v/>
      </c>
      <c r="P54" s="7" t="str" cm="1">
        <f t="array" aca="1" ref="P54" ca="1">IFERROR(IF(OR('Raw Data'!P54="",LEN(TRIM('Raw Data'!P54))=0),"",IF(AND(ISNUMBER('Raw Data'!P54),'Raw Data'!P54&gt;=Configuration!$D$2),"",_xlfn.REGEXEXTRACT(CELL("address",'Raw Data'!P54),"\$([A-Z]+)\$[0-9]+"))),_xlfn.REGEXEXTRACT(CELL("address",P54), "\$([A-Z]+)\$[0-9]+"))</f>
        <v/>
      </c>
      <c r="Q54" s="7" t="str" cm="1">
        <f t="array" aca="1" ref="Q54" ca="1">IFERROR(IF(OR('Raw Data'!Q54="",LEN(TRIM('Raw Data'!Q54))=0),"",IF(AND(ISNUMBER('Raw Data'!Q54),'Raw Data'!Q54&gt;=Configuration!$D$2),"",_xlfn.REGEXEXTRACT(CELL("address",'Raw Data'!Q54),"\$([A-Z]+)\$[0-9]+"))),_xlfn.REGEXEXTRACT(CELL("address",Q54), "\$([A-Z]+)\$[0-9]+"))</f>
        <v/>
      </c>
      <c r="R54" s="7" t="str" cm="1">
        <f t="array" aca="1" ref="R54" ca="1">IFERROR(IF(OR('Raw Data'!R54="",LEN(TRIM('Raw Data'!R54))=0),"",IF(AND(ISNUMBER('Raw Data'!R54), IFERROR('Raw Data'!R54 = ROUND('Raw Data'!R54, 2),FALSE)),"",_xlfn.REGEXEXTRACT(CELL("address",R54), "\$([A-Z]+)\$[0-9]+"))),_xlfn.REGEXEXTRACT(CELL("address",R54), "\$([A-Z]+)\$[0-9]+"))</f>
        <v/>
      </c>
      <c r="S54" s="7" t="str" cm="1">
        <f t="array" aca="1" ref="S54" ca="1">IFERROR(IF(OR('Raw Data'!S54="",LEN(TRIM('Raw Data'!S54))=0),"",IF(AND(ISNUMBER('Raw Data'!S54), IFERROR('Raw Data'!S54 = ROUND('Raw Data'!S54, 2),FALSE)),"",_xlfn.REGEXEXTRACT(CELL("address",S54), "\$([A-Z]+)\$[0-9]+"))),_xlfn.REGEXEXTRACT(CELL("address",S54), "\$([A-Z]+)\$[0-9]+"))</f>
        <v/>
      </c>
      <c r="T54" s="7" t="str" cm="1">
        <f t="array" aca="1" ref="T54" ca="1">IFERROR(IF(OR('Raw Data'!T54="",LEN(TRIM('Raw Data'!T54))=0),"",IF(AND(ISNUMBER('Raw Data'!T54), IFERROR('Raw Data'!T54 = ROUND('Raw Data'!T54, 2),FALSE)),"",_xlfn.REGEXEXTRACT(CELL("address",T54), "\$([A-Z]+)\$[0-9]+"))),_xlfn.REGEXEXTRACT(CELL("address",T54), "\$([A-Z]+)\$[0-9]+"))</f>
        <v/>
      </c>
      <c r="U54" s="7" t="str" cm="1">
        <f t="array" aca="1" ref="U54" ca="1">IFERROR(IF(OR('Raw Data'!U54="",LEN(TRIM('Raw Data'!U54))=0),"",IF(AND(LEN('Raw Data'!U54) &lt;= 5,LEN('Raw Data'!U54)&gt; 0),"",_xlfn.REGEXEXTRACT(CELL("address",'Raw Data'!U54),"\$([A-Z]+)\$[0-9]+"))),_xlfn.REGEXEXTRACT(CELL("address",'Raw Data'!U54),"\$([A-Z]+)\$[0-9]+"))</f>
        <v/>
      </c>
      <c r="V54" s="7" t="str" cm="1">
        <f t="array" aca="1" ref="V54" ca="1">IFERROR(IF(OR('Raw Data'!V54="",LEN(TRIM('Raw Data'!V54))=0),"",IF(AND(ISNUMBER('Raw Data'!V54), IFERROR('Raw Data'!V54 = ROUND('Raw Data'!V54, 2),FALSE)),"",_xlfn.REGEXEXTRACT(CELL("address",V54), "\$([A-Z]+)\$[0-9]+"))),_xlfn.REGEXEXTRACT(CELL("address",V54), "\$([A-Z]+)\$[0-9]+"))</f>
        <v/>
      </c>
      <c r="W54" s="7" t="str" cm="1">
        <f t="array" aca="1" ref="W54" ca="1">IFERROR(IF(OR('Raw Data'!W54="",LEN(TRIM('Raw Data'!W54))=0),"",IF(AND(ISNUMBER('Raw Data'!W54), IFERROR('Raw Data'!W54 = ROUND('Raw Data'!W54, 2),FALSE)),"",_xlfn.REGEXEXTRACT(CELL("address",W54), "\$([A-Z]+)\$[0-9]+"))),_xlfn.REGEXEXTRACT(CELL("address",W54), "\$([A-Z]+)\$[0-9]+"))</f>
        <v/>
      </c>
      <c r="X54" s="7" t="str" cm="1">
        <f t="array" aca="1" ref="X54" ca="1">IFERROR(IF(OR('Raw Data'!X54="",LEN(TRIM('Raw Data'!X54))=0),"",IF(AND(ISNUMBER('Raw Data'!X54), IFERROR('Raw Data'!X54 = ROUND('Raw Data'!X54, 2),FALSE)),"",_xlfn.REGEXEXTRACT(CELL("address",X54), "\$([A-Z]+)\$[0-9]+"))),_xlfn.REGEXEXTRACT(CELL("address",X54), "\$([A-Z]+)\$[0-9]+"))</f>
        <v/>
      </c>
    </row>
    <row r="55" spans="2:24" x14ac:dyDescent="0.25">
      <c r="B55" s="7" t="str" cm="1">
        <f t="array" aca="1" ref="B55" ca="1">IFERROR(IF(OR('Raw Data'!B55="",LEN(TRIM('Raw Data'!B55))=0),"",IF(AND(LEN('Raw Data'!B55) &lt;= 50,LEN('Raw Data'!B55)&gt; 0),"",_xlfn.REGEXEXTRACT(CELL("address",'Raw Data'!B55),"\$([A-Z]+)\$[0-9]+"))),_xlfn.REGEXEXTRACT(CELL("address",'Raw Data'!B55),"\$([A-Z]+)\$[0-9]+"))</f>
        <v/>
      </c>
      <c r="C55" s="7" t="str" cm="1">
        <f t="array" aca="1" ref="C55" ca="1">IFERROR(IF(OR('Raw Data'!C55="",LEN(TRIM('Raw Data'!C55))=0),"",IF(AND(LEN('Raw Data'!C55) &lt;= 50,LEN('Raw Data'!C55)&gt; 0),"",_xlfn.REGEXEXTRACT(CELL("address",'Raw Data'!C55),"\$([A-Z]+)\$[0-9]+"))),_xlfn.REGEXEXTRACT(CELL("address",'Raw Data'!C55),"\$([A-Z]+)\$[0-9]+"))</f>
        <v/>
      </c>
      <c r="D55" s="7" t="str" cm="1">
        <f t="array" aca="1" ref="D55" ca="1">IFERROR(IF(OR('Raw Data'!D55="",LEN(TRIM('Raw Data'!D55))=0),"",IF(AND(LEN('Raw Data'!D55) &lt;= 255,LEN('Raw Data'!D55)&gt; 0),"",_xlfn.REGEXEXTRACT(CELL("address",'Raw Data'!D55),"\$([A-Z]+)\$[0-9]+"))),_xlfn.REGEXEXTRACT(CELL("address",'Raw Data'!D55),"\$([A-Z]+)\$[0-9]+"))</f>
        <v/>
      </c>
      <c r="E55" s="7" t="str" cm="1">
        <f t="array" aca="1" ref="E55" ca="1">IFERROR(IF(OR('Raw Data'!E55="",LEN(TRIM('Raw Data'!E55))=0),"",IF(AND(ISNUMBER('Raw Data'!E55),'Raw Data'!E55&gt;=Configuration!$D$2),"",_xlfn.REGEXEXTRACT(CELL("address",'Raw Data'!E55),"\$([A-Z]+)\$[0-9]+"))),_xlfn.REGEXEXTRACT(CELL("address",E55), "\$([A-Z]+)\$[0-9]+"))</f>
        <v/>
      </c>
      <c r="F55" s="7" t="str" cm="1">
        <f t="array" aca="1" ref="F55" ca="1">IFERROR(IF(OR('Raw Data'!F55="",LEN(TRIM('Raw Data'!F55))=0),"",IF(AND(LEN('Raw Data'!F55) &lt;= 20,LEN('Raw Data'!F55)&gt; 0),"",_xlfn.REGEXEXTRACT(CELL("address",'Raw Data'!F55),"\$([A-Z]+)\$[0-9]+"))),_xlfn.REGEXEXTRACT(CELL("address",'Raw Data'!F55),"\$([A-Z]+)\$[0-9]+"))</f>
        <v/>
      </c>
      <c r="G55" s="7" t="str" cm="1">
        <f t="array" aca="1" ref="G55" ca="1">IFERROR(IF(OR('Raw Data'!G55="",LEN(TRIM('Raw Data'!G55))=0),"",IF(AND(ISNUMBER('Raw Data'!G55), IFERROR('Raw Data'!G55 = ROUND('Raw Data'!G55, 2),FALSE)),"",_xlfn.REGEXEXTRACT(CELL("address",G55), "\$([A-Z]+)\$[0-9]+"))),_xlfn.REGEXEXTRACT(CELL("address",G55), "\$([A-Z]+)\$[0-9]+"))</f>
        <v/>
      </c>
      <c r="H55" s="7" t="str" cm="1">
        <f t="array" aca="1" ref="H55" ca="1">IFERROR(IF(OR('Raw Data'!H55="",LEN(TRIM('Raw Data'!H55))=0),"",IF(AND(ISNUMBER('Raw Data'!H55), IFERROR('Raw Data'!H55 = ROUND('Raw Data'!H55, 2),FALSE)),"",_xlfn.REGEXEXTRACT(CELL("address",H55), "\$([A-Z]+)\$[0-9]+"))),_xlfn.REGEXEXTRACT(CELL("address",H55), "\$([A-Z]+)\$[0-9]+"))</f>
        <v/>
      </c>
      <c r="I55" s="7" t="str" cm="1">
        <f t="array" aca="1" ref="I55" ca="1">IFERROR(IF(OR('Raw Data'!I55="",LEN(TRIM('Raw Data'!I55))=0),"",IF(AND(LEN('Raw Data'!I55) &lt;= 50,LEN('Raw Data'!I55)&gt; 0),"",_xlfn.REGEXEXTRACT(CELL("address",'Raw Data'!I55),"\$([A-Z]+)\$[0-9]+"))),_xlfn.REGEXEXTRACT(CELL("address",'Raw Data'!I55),"\$([A-Z]+)\$[0-9]+"))</f>
        <v/>
      </c>
      <c r="J55" s="7" t="str" cm="1">
        <f t="array" aca="1" ref="J55" ca="1">IFERROR(IF(OR('Raw Data'!J55="",LEN(TRIM('Raw Data'!J55))=0),"",IF(AND(ISNUMBER('Raw Data'!J55),'Raw Data'!J55&gt;=Configuration!$D$2),"",_xlfn.REGEXEXTRACT(CELL("address",'Raw Data'!J55),"\$([A-Z]+)\$[0-9]+"))),_xlfn.REGEXEXTRACT(CELL("address",J55), "\$([A-Z]+)\$[0-9]+"))</f>
        <v/>
      </c>
      <c r="K55" s="7" t="str" cm="1">
        <f t="array" aca="1" ref="K55" ca="1">IFERROR(IF(OR('Raw Data'!K55="",LEN(TRIM('Raw Data'!K55))=0),"",IF(AND(ISNUMBER('Raw Data'!K55), IFERROR('Raw Data'!K55 = ROUND('Raw Data'!K55, 2),FALSE)),"",_xlfn.REGEXEXTRACT(CELL("address",K55), "\$([A-Z]+)\$[0-9]+"))),_xlfn.REGEXEXTRACT(CELL("address",K55), "\$([A-Z]+)\$[0-9]+"))</f>
        <v/>
      </c>
      <c r="L55" s="7" t="str" cm="1">
        <f t="array" aca="1" ref="L55" ca="1">IFERROR(IF(OR('Raw Data'!L55="",LEN(TRIM('Raw Data'!L55))=0),"",IF(AND(ISNUMBER('Raw Data'!L55), IFERROR('Raw Data'!L55 = ROUND('Raw Data'!L55, 2),FALSE)),"",_xlfn.REGEXEXTRACT(CELL("address",L55), "\$([A-Z]+)\$[0-9]+"))),_xlfn.REGEXEXTRACT(CELL("address",L55), "\$([A-Z]+)\$[0-9]+"))</f>
        <v/>
      </c>
      <c r="M55" s="7" t="str" cm="1">
        <f t="array" aca="1" ref="M55" ca="1">IFERROR(IF(OR('Raw Data'!M55="",LEN(TRIM('Raw Data'!M55))=0),"",IF(AND(ISNUMBER('Raw Data'!M55), IFERROR('Raw Data'!M55 = ROUND('Raw Data'!M55, 2),FALSE)),"",_xlfn.REGEXEXTRACT(CELL("address",M55), "\$([A-Z]+)\$[0-9]+"))),_xlfn.REGEXEXTRACT(CELL("address",M55), "\$([A-Z]+)\$[0-9]+"))</f>
        <v/>
      </c>
      <c r="N55" s="7" t="str" cm="1">
        <f t="array" aca="1" ref="N55" ca="1">IFERROR(IF(OR('Raw Data'!N55="",LEN(TRIM('Raw Data'!N55))=0),"",IF(AND(ISNUMBER('Raw Data'!N55), IFERROR('Raw Data'!N55 = ROUND('Raw Data'!N55, 2),FALSE)),"",_xlfn.REGEXEXTRACT(CELL("address",N55), "\$([A-Z]+)\$[0-9]+"))),_xlfn.REGEXEXTRACT(CELL("address",N55), "\$([A-Z]+)\$[0-9]+"))</f>
        <v/>
      </c>
      <c r="O55" s="7" t="str" cm="1">
        <f t="array" aca="1" ref="O55" ca="1">IFERROR(IF(OR('Raw Data'!O55="",LEN(TRIM('Raw Data'!O55))=0),"",IF(AND(ISNUMBER('Raw Data'!O55), IFERROR('Raw Data'!O55 = ROUND('Raw Data'!O55, 2),FALSE)),"",_xlfn.REGEXEXTRACT(CELL("address",O55), "\$([A-Z]+)\$[0-9]+"))),_xlfn.REGEXEXTRACT(CELL("address",O55), "\$([A-Z]+)\$[0-9]+"))</f>
        <v/>
      </c>
      <c r="P55" s="7" t="str" cm="1">
        <f t="array" aca="1" ref="P55" ca="1">IFERROR(IF(OR('Raw Data'!P55="",LEN(TRIM('Raw Data'!P55))=0),"",IF(AND(ISNUMBER('Raw Data'!P55),'Raw Data'!P55&gt;=Configuration!$D$2),"",_xlfn.REGEXEXTRACT(CELL("address",'Raw Data'!P55),"\$([A-Z]+)\$[0-9]+"))),_xlfn.REGEXEXTRACT(CELL("address",P55), "\$([A-Z]+)\$[0-9]+"))</f>
        <v/>
      </c>
      <c r="Q55" s="7" t="str" cm="1">
        <f t="array" aca="1" ref="Q55" ca="1">IFERROR(IF(OR('Raw Data'!Q55="",LEN(TRIM('Raw Data'!Q55))=0),"",IF(AND(ISNUMBER('Raw Data'!Q55),'Raw Data'!Q55&gt;=Configuration!$D$2),"",_xlfn.REGEXEXTRACT(CELL("address",'Raw Data'!Q55),"\$([A-Z]+)\$[0-9]+"))),_xlfn.REGEXEXTRACT(CELL("address",Q55), "\$([A-Z]+)\$[0-9]+"))</f>
        <v/>
      </c>
      <c r="R55" s="7" t="str" cm="1">
        <f t="array" aca="1" ref="R55" ca="1">IFERROR(IF(OR('Raw Data'!R55="",LEN(TRIM('Raw Data'!R55))=0),"",IF(AND(ISNUMBER('Raw Data'!R55), IFERROR('Raw Data'!R55 = ROUND('Raw Data'!R55, 2),FALSE)),"",_xlfn.REGEXEXTRACT(CELL("address",R55), "\$([A-Z]+)\$[0-9]+"))),_xlfn.REGEXEXTRACT(CELL("address",R55), "\$([A-Z]+)\$[0-9]+"))</f>
        <v/>
      </c>
      <c r="S55" s="7" t="str" cm="1">
        <f t="array" aca="1" ref="S55" ca="1">IFERROR(IF(OR('Raw Data'!S55="",LEN(TRIM('Raw Data'!S55))=0),"",IF(AND(ISNUMBER('Raw Data'!S55), IFERROR('Raw Data'!S55 = ROUND('Raw Data'!S55, 2),FALSE)),"",_xlfn.REGEXEXTRACT(CELL("address",S55), "\$([A-Z]+)\$[0-9]+"))),_xlfn.REGEXEXTRACT(CELL("address",S55), "\$([A-Z]+)\$[0-9]+"))</f>
        <v/>
      </c>
      <c r="T55" s="7" t="str" cm="1">
        <f t="array" aca="1" ref="T55" ca="1">IFERROR(IF(OR('Raw Data'!T55="",LEN(TRIM('Raw Data'!T55))=0),"",IF(AND(ISNUMBER('Raw Data'!T55), IFERROR('Raw Data'!T55 = ROUND('Raw Data'!T55, 2),FALSE)),"",_xlfn.REGEXEXTRACT(CELL("address",T55), "\$([A-Z]+)\$[0-9]+"))),_xlfn.REGEXEXTRACT(CELL("address",T55), "\$([A-Z]+)\$[0-9]+"))</f>
        <v/>
      </c>
      <c r="U55" s="7" t="str" cm="1">
        <f t="array" aca="1" ref="U55" ca="1">IFERROR(IF(OR('Raw Data'!U55="",LEN(TRIM('Raw Data'!U55))=0),"",IF(AND(LEN('Raw Data'!U55) &lt;= 5,LEN('Raw Data'!U55)&gt; 0),"",_xlfn.REGEXEXTRACT(CELL("address",'Raw Data'!U55),"\$([A-Z]+)\$[0-9]+"))),_xlfn.REGEXEXTRACT(CELL("address",'Raw Data'!U55),"\$([A-Z]+)\$[0-9]+"))</f>
        <v/>
      </c>
      <c r="V55" s="7" t="str" cm="1">
        <f t="array" aca="1" ref="V55" ca="1">IFERROR(IF(OR('Raw Data'!V55="",LEN(TRIM('Raw Data'!V55))=0),"",IF(AND(ISNUMBER('Raw Data'!V55), IFERROR('Raw Data'!V55 = ROUND('Raw Data'!V55, 2),FALSE)),"",_xlfn.REGEXEXTRACT(CELL("address",V55), "\$([A-Z]+)\$[0-9]+"))),_xlfn.REGEXEXTRACT(CELL("address",V55), "\$([A-Z]+)\$[0-9]+"))</f>
        <v/>
      </c>
      <c r="W55" s="7" t="str" cm="1">
        <f t="array" aca="1" ref="W55" ca="1">IFERROR(IF(OR('Raw Data'!W55="",LEN(TRIM('Raw Data'!W55))=0),"",IF(AND(ISNUMBER('Raw Data'!W55), IFERROR('Raw Data'!W55 = ROUND('Raw Data'!W55, 2),FALSE)),"",_xlfn.REGEXEXTRACT(CELL("address",W55), "\$([A-Z]+)\$[0-9]+"))),_xlfn.REGEXEXTRACT(CELL("address",W55), "\$([A-Z]+)\$[0-9]+"))</f>
        <v/>
      </c>
      <c r="X55" s="7" t="str" cm="1">
        <f t="array" aca="1" ref="X55" ca="1">IFERROR(IF(OR('Raw Data'!X55="",LEN(TRIM('Raw Data'!X55))=0),"",IF(AND(ISNUMBER('Raw Data'!X55), IFERROR('Raw Data'!X55 = ROUND('Raw Data'!X55, 2),FALSE)),"",_xlfn.REGEXEXTRACT(CELL("address",X55), "\$([A-Z]+)\$[0-9]+"))),_xlfn.REGEXEXTRACT(CELL("address",X55), "\$([A-Z]+)\$[0-9]+"))</f>
        <v/>
      </c>
    </row>
    <row r="56" spans="2:24" x14ac:dyDescent="0.25">
      <c r="B56" s="7" t="str" cm="1">
        <f t="array" aca="1" ref="B56" ca="1">IFERROR(IF(OR('Raw Data'!B56="",LEN(TRIM('Raw Data'!B56))=0),"",IF(AND(LEN('Raw Data'!B56) &lt;= 50,LEN('Raw Data'!B56)&gt; 0),"",_xlfn.REGEXEXTRACT(CELL("address",'Raw Data'!B56),"\$([A-Z]+)\$[0-9]+"))),_xlfn.REGEXEXTRACT(CELL("address",'Raw Data'!B56),"\$([A-Z]+)\$[0-9]+"))</f>
        <v/>
      </c>
      <c r="C56" s="7" t="str" cm="1">
        <f t="array" aca="1" ref="C56" ca="1">IFERROR(IF(OR('Raw Data'!C56="",LEN(TRIM('Raw Data'!C56))=0),"",IF(AND(LEN('Raw Data'!C56) &lt;= 50,LEN('Raw Data'!C56)&gt; 0),"",_xlfn.REGEXEXTRACT(CELL("address",'Raw Data'!C56),"\$([A-Z]+)\$[0-9]+"))),_xlfn.REGEXEXTRACT(CELL("address",'Raw Data'!C56),"\$([A-Z]+)\$[0-9]+"))</f>
        <v/>
      </c>
      <c r="D56" s="7" t="str" cm="1">
        <f t="array" aca="1" ref="D56" ca="1">IFERROR(IF(OR('Raw Data'!D56="",LEN(TRIM('Raw Data'!D56))=0),"",IF(AND(LEN('Raw Data'!D56) &lt;= 255,LEN('Raw Data'!D56)&gt; 0),"",_xlfn.REGEXEXTRACT(CELL("address",'Raw Data'!D56),"\$([A-Z]+)\$[0-9]+"))),_xlfn.REGEXEXTRACT(CELL("address",'Raw Data'!D56),"\$([A-Z]+)\$[0-9]+"))</f>
        <v/>
      </c>
      <c r="E56" s="7" t="str" cm="1">
        <f t="array" aca="1" ref="E56" ca="1">IFERROR(IF(OR('Raw Data'!E56="",LEN(TRIM('Raw Data'!E56))=0),"",IF(AND(ISNUMBER('Raw Data'!E56),'Raw Data'!E56&gt;=Configuration!$D$2),"",_xlfn.REGEXEXTRACT(CELL("address",'Raw Data'!E56),"\$([A-Z]+)\$[0-9]+"))),_xlfn.REGEXEXTRACT(CELL("address",E56), "\$([A-Z]+)\$[0-9]+"))</f>
        <v/>
      </c>
      <c r="F56" s="7" t="str" cm="1">
        <f t="array" aca="1" ref="F56" ca="1">IFERROR(IF(OR('Raw Data'!F56="",LEN(TRIM('Raw Data'!F56))=0),"",IF(AND(LEN('Raw Data'!F56) &lt;= 20,LEN('Raw Data'!F56)&gt; 0),"",_xlfn.REGEXEXTRACT(CELL("address",'Raw Data'!F56),"\$([A-Z]+)\$[0-9]+"))),_xlfn.REGEXEXTRACT(CELL("address",'Raw Data'!F56),"\$([A-Z]+)\$[0-9]+"))</f>
        <v/>
      </c>
      <c r="G56" s="7" t="str" cm="1">
        <f t="array" aca="1" ref="G56" ca="1">IFERROR(IF(OR('Raw Data'!G56="",LEN(TRIM('Raw Data'!G56))=0),"",IF(AND(ISNUMBER('Raw Data'!G56), IFERROR('Raw Data'!G56 = ROUND('Raw Data'!G56, 2),FALSE)),"",_xlfn.REGEXEXTRACT(CELL("address",G56), "\$([A-Z]+)\$[0-9]+"))),_xlfn.REGEXEXTRACT(CELL("address",G56), "\$([A-Z]+)\$[0-9]+"))</f>
        <v/>
      </c>
      <c r="H56" s="7" t="str" cm="1">
        <f t="array" aca="1" ref="H56" ca="1">IFERROR(IF(OR('Raw Data'!H56="",LEN(TRIM('Raw Data'!H56))=0),"",IF(AND(ISNUMBER('Raw Data'!H56), IFERROR('Raw Data'!H56 = ROUND('Raw Data'!H56, 2),FALSE)),"",_xlfn.REGEXEXTRACT(CELL("address",H56), "\$([A-Z]+)\$[0-9]+"))),_xlfn.REGEXEXTRACT(CELL("address",H56), "\$([A-Z]+)\$[0-9]+"))</f>
        <v/>
      </c>
      <c r="I56" s="7" t="str" cm="1">
        <f t="array" aca="1" ref="I56" ca="1">IFERROR(IF(OR('Raw Data'!I56="",LEN(TRIM('Raw Data'!I56))=0),"",IF(AND(LEN('Raw Data'!I56) &lt;= 50,LEN('Raw Data'!I56)&gt; 0),"",_xlfn.REGEXEXTRACT(CELL("address",'Raw Data'!I56),"\$([A-Z]+)\$[0-9]+"))),_xlfn.REGEXEXTRACT(CELL("address",'Raw Data'!I56),"\$([A-Z]+)\$[0-9]+"))</f>
        <v/>
      </c>
      <c r="J56" s="7" t="str" cm="1">
        <f t="array" aca="1" ref="J56" ca="1">IFERROR(IF(OR('Raw Data'!J56="",LEN(TRIM('Raw Data'!J56))=0),"",IF(AND(ISNUMBER('Raw Data'!J56),'Raw Data'!J56&gt;=Configuration!$D$2),"",_xlfn.REGEXEXTRACT(CELL("address",'Raw Data'!J56),"\$([A-Z]+)\$[0-9]+"))),_xlfn.REGEXEXTRACT(CELL("address",J56), "\$([A-Z]+)\$[0-9]+"))</f>
        <v/>
      </c>
      <c r="K56" s="7" t="str" cm="1">
        <f t="array" aca="1" ref="K56" ca="1">IFERROR(IF(OR('Raw Data'!K56="",LEN(TRIM('Raw Data'!K56))=0),"",IF(AND(ISNUMBER('Raw Data'!K56), IFERROR('Raw Data'!K56 = ROUND('Raw Data'!K56, 2),FALSE)),"",_xlfn.REGEXEXTRACT(CELL("address",K56), "\$([A-Z]+)\$[0-9]+"))),_xlfn.REGEXEXTRACT(CELL("address",K56), "\$([A-Z]+)\$[0-9]+"))</f>
        <v/>
      </c>
      <c r="L56" s="7" t="str" cm="1">
        <f t="array" aca="1" ref="L56" ca="1">IFERROR(IF(OR('Raw Data'!L56="",LEN(TRIM('Raw Data'!L56))=0),"",IF(AND(ISNUMBER('Raw Data'!L56), IFERROR('Raw Data'!L56 = ROUND('Raw Data'!L56, 2),FALSE)),"",_xlfn.REGEXEXTRACT(CELL("address",L56), "\$([A-Z]+)\$[0-9]+"))),_xlfn.REGEXEXTRACT(CELL("address",L56), "\$([A-Z]+)\$[0-9]+"))</f>
        <v/>
      </c>
      <c r="M56" s="7" t="str" cm="1">
        <f t="array" aca="1" ref="M56" ca="1">IFERROR(IF(OR('Raw Data'!M56="",LEN(TRIM('Raw Data'!M56))=0),"",IF(AND(ISNUMBER('Raw Data'!M56), IFERROR('Raw Data'!M56 = ROUND('Raw Data'!M56, 2),FALSE)),"",_xlfn.REGEXEXTRACT(CELL("address",M56), "\$([A-Z]+)\$[0-9]+"))),_xlfn.REGEXEXTRACT(CELL("address",M56), "\$([A-Z]+)\$[0-9]+"))</f>
        <v/>
      </c>
      <c r="N56" s="7" t="str" cm="1">
        <f t="array" aca="1" ref="N56" ca="1">IFERROR(IF(OR('Raw Data'!N56="",LEN(TRIM('Raw Data'!N56))=0),"",IF(AND(ISNUMBER('Raw Data'!N56), IFERROR('Raw Data'!N56 = ROUND('Raw Data'!N56, 2),FALSE)),"",_xlfn.REGEXEXTRACT(CELL("address",N56), "\$([A-Z]+)\$[0-9]+"))),_xlfn.REGEXEXTRACT(CELL("address",N56), "\$([A-Z]+)\$[0-9]+"))</f>
        <v/>
      </c>
      <c r="O56" s="7" t="str" cm="1">
        <f t="array" aca="1" ref="O56" ca="1">IFERROR(IF(OR('Raw Data'!O56="",LEN(TRIM('Raw Data'!O56))=0),"",IF(AND(ISNUMBER('Raw Data'!O56), IFERROR('Raw Data'!O56 = ROUND('Raw Data'!O56, 2),FALSE)),"",_xlfn.REGEXEXTRACT(CELL("address",O56), "\$([A-Z]+)\$[0-9]+"))),_xlfn.REGEXEXTRACT(CELL("address",O56), "\$([A-Z]+)\$[0-9]+"))</f>
        <v/>
      </c>
      <c r="P56" s="7" t="str" cm="1">
        <f t="array" aca="1" ref="P56" ca="1">IFERROR(IF(OR('Raw Data'!P56="",LEN(TRIM('Raw Data'!P56))=0),"",IF(AND(ISNUMBER('Raw Data'!P56),'Raw Data'!P56&gt;=Configuration!$D$2),"",_xlfn.REGEXEXTRACT(CELL("address",'Raw Data'!P56),"\$([A-Z]+)\$[0-9]+"))),_xlfn.REGEXEXTRACT(CELL("address",P56), "\$([A-Z]+)\$[0-9]+"))</f>
        <v/>
      </c>
      <c r="Q56" s="7" t="str" cm="1">
        <f t="array" aca="1" ref="Q56" ca="1">IFERROR(IF(OR('Raw Data'!Q56="",LEN(TRIM('Raw Data'!Q56))=0),"",IF(AND(ISNUMBER('Raw Data'!Q56),'Raw Data'!Q56&gt;=Configuration!$D$2),"",_xlfn.REGEXEXTRACT(CELL("address",'Raw Data'!Q56),"\$([A-Z]+)\$[0-9]+"))),_xlfn.REGEXEXTRACT(CELL("address",Q56), "\$([A-Z]+)\$[0-9]+"))</f>
        <v/>
      </c>
      <c r="R56" s="7" t="str" cm="1">
        <f t="array" aca="1" ref="R56" ca="1">IFERROR(IF(OR('Raw Data'!R56="",LEN(TRIM('Raw Data'!R56))=0),"",IF(AND(ISNUMBER('Raw Data'!R56), IFERROR('Raw Data'!R56 = ROUND('Raw Data'!R56, 2),FALSE)),"",_xlfn.REGEXEXTRACT(CELL("address",R56), "\$([A-Z]+)\$[0-9]+"))),_xlfn.REGEXEXTRACT(CELL("address",R56), "\$([A-Z]+)\$[0-9]+"))</f>
        <v/>
      </c>
      <c r="S56" s="7" t="str" cm="1">
        <f t="array" aca="1" ref="S56" ca="1">IFERROR(IF(OR('Raw Data'!S56="",LEN(TRIM('Raw Data'!S56))=0),"",IF(AND(ISNUMBER('Raw Data'!S56), IFERROR('Raw Data'!S56 = ROUND('Raw Data'!S56, 2),FALSE)),"",_xlfn.REGEXEXTRACT(CELL("address",S56), "\$([A-Z]+)\$[0-9]+"))),_xlfn.REGEXEXTRACT(CELL("address",S56), "\$([A-Z]+)\$[0-9]+"))</f>
        <v/>
      </c>
      <c r="T56" s="7" t="str" cm="1">
        <f t="array" aca="1" ref="T56" ca="1">IFERROR(IF(OR('Raw Data'!T56="",LEN(TRIM('Raw Data'!T56))=0),"",IF(AND(ISNUMBER('Raw Data'!T56), IFERROR('Raw Data'!T56 = ROUND('Raw Data'!T56, 2),FALSE)),"",_xlfn.REGEXEXTRACT(CELL("address",T56), "\$([A-Z]+)\$[0-9]+"))),_xlfn.REGEXEXTRACT(CELL("address",T56), "\$([A-Z]+)\$[0-9]+"))</f>
        <v/>
      </c>
      <c r="U56" s="7" t="str" cm="1">
        <f t="array" aca="1" ref="U56" ca="1">IFERROR(IF(OR('Raw Data'!U56="",LEN(TRIM('Raw Data'!U56))=0),"",IF(AND(LEN('Raw Data'!U56) &lt;= 5,LEN('Raw Data'!U56)&gt; 0),"",_xlfn.REGEXEXTRACT(CELL("address",'Raw Data'!U56),"\$([A-Z]+)\$[0-9]+"))),_xlfn.REGEXEXTRACT(CELL("address",'Raw Data'!U56),"\$([A-Z]+)\$[0-9]+"))</f>
        <v/>
      </c>
      <c r="V56" s="7" t="str" cm="1">
        <f t="array" aca="1" ref="V56" ca="1">IFERROR(IF(OR('Raw Data'!V56="",LEN(TRIM('Raw Data'!V56))=0),"",IF(AND(ISNUMBER('Raw Data'!V56), IFERROR('Raw Data'!V56 = ROUND('Raw Data'!V56, 2),FALSE)),"",_xlfn.REGEXEXTRACT(CELL("address",V56), "\$([A-Z]+)\$[0-9]+"))),_xlfn.REGEXEXTRACT(CELL("address",V56), "\$([A-Z]+)\$[0-9]+"))</f>
        <v/>
      </c>
      <c r="W56" s="7" t="str" cm="1">
        <f t="array" aca="1" ref="W56" ca="1">IFERROR(IF(OR('Raw Data'!W56="",LEN(TRIM('Raw Data'!W56))=0),"",IF(AND(ISNUMBER('Raw Data'!W56), IFERROR('Raw Data'!W56 = ROUND('Raw Data'!W56, 2),FALSE)),"",_xlfn.REGEXEXTRACT(CELL("address",W56), "\$([A-Z]+)\$[0-9]+"))),_xlfn.REGEXEXTRACT(CELL("address",W56), "\$([A-Z]+)\$[0-9]+"))</f>
        <v/>
      </c>
      <c r="X56" s="7" t="str" cm="1">
        <f t="array" aca="1" ref="X56" ca="1">IFERROR(IF(OR('Raw Data'!X56="",LEN(TRIM('Raw Data'!X56))=0),"",IF(AND(ISNUMBER('Raw Data'!X56), IFERROR('Raw Data'!X56 = ROUND('Raw Data'!X56, 2),FALSE)),"",_xlfn.REGEXEXTRACT(CELL("address",X56), "\$([A-Z]+)\$[0-9]+"))),_xlfn.REGEXEXTRACT(CELL("address",X56), "\$([A-Z]+)\$[0-9]+"))</f>
        <v/>
      </c>
    </row>
    <row r="57" spans="2:24" x14ac:dyDescent="0.25">
      <c r="B57" s="7" t="str" cm="1">
        <f t="array" aca="1" ref="B57" ca="1">IFERROR(IF(OR('Raw Data'!B57="",LEN(TRIM('Raw Data'!B57))=0),"",IF(AND(LEN('Raw Data'!B57) &lt;= 50,LEN('Raw Data'!B57)&gt; 0),"",_xlfn.REGEXEXTRACT(CELL("address",'Raw Data'!B57),"\$([A-Z]+)\$[0-9]+"))),_xlfn.REGEXEXTRACT(CELL("address",'Raw Data'!B57),"\$([A-Z]+)\$[0-9]+"))</f>
        <v/>
      </c>
      <c r="C57" s="7" t="str" cm="1">
        <f t="array" aca="1" ref="C57" ca="1">IFERROR(IF(OR('Raw Data'!C57="",LEN(TRIM('Raw Data'!C57))=0),"",IF(AND(LEN('Raw Data'!C57) &lt;= 50,LEN('Raw Data'!C57)&gt; 0),"",_xlfn.REGEXEXTRACT(CELL("address",'Raw Data'!C57),"\$([A-Z]+)\$[0-9]+"))),_xlfn.REGEXEXTRACT(CELL("address",'Raw Data'!C57),"\$([A-Z]+)\$[0-9]+"))</f>
        <v/>
      </c>
      <c r="D57" s="7" t="str" cm="1">
        <f t="array" aca="1" ref="D57" ca="1">IFERROR(IF(OR('Raw Data'!D57="",LEN(TRIM('Raw Data'!D57))=0),"",IF(AND(LEN('Raw Data'!D57) &lt;= 255,LEN('Raw Data'!D57)&gt; 0),"",_xlfn.REGEXEXTRACT(CELL("address",'Raw Data'!D57),"\$([A-Z]+)\$[0-9]+"))),_xlfn.REGEXEXTRACT(CELL("address",'Raw Data'!D57),"\$([A-Z]+)\$[0-9]+"))</f>
        <v/>
      </c>
      <c r="E57" s="7" t="str" cm="1">
        <f t="array" aca="1" ref="E57" ca="1">IFERROR(IF(OR('Raw Data'!E57="",LEN(TRIM('Raw Data'!E57))=0),"",IF(AND(ISNUMBER('Raw Data'!E57),'Raw Data'!E57&gt;=Configuration!$D$2),"",_xlfn.REGEXEXTRACT(CELL("address",'Raw Data'!E57),"\$([A-Z]+)\$[0-9]+"))),_xlfn.REGEXEXTRACT(CELL("address",E57), "\$([A-Z]+)\$[0-9]+"))</f>
        <v/>
      </c>
      <c r="F57" s="7" t="str" cm="1">
        <f t="array" aca="1" ref="F57" ca="1">IFERROR(IF(OR('Raw Data'!F57="",LEN(TRIM('Raw Data'!F57))=0),"",IF(AND(LEN('Raw Data'!F57) &lt;= 20,LEN('Raw Data'!F57)&gt; 0),"",_xlfn.REGEXEXTRACT(CELL("address",'Raw Data'!F57),"\$([A-Z]+)\$[0-9]+"))),_xlfn.REGEXEXTRACT(CELL("address",'Raw Data'!F57),"\$([A-Z]+)\$[0-9]+"))</f>
        <v/>
      </c>
      <c r="G57" s="7" t="str" cm="1">
        <f t="array" aca="1" ref="G57" ca="1">IFERROR(IF(OR('Raw Data'!G57="",LEN(TRIM('Raw Data'!G57))=0),"",IF(AND(ISNUMBER('Raw Data'!G57), IFERROR('Raw Data'!G57 = ROUND('Raw Data'!G57, 2),FALSE)),"",_xlfn.REGEXEXTRACT(CELL("address",G57), "\$([A-Z]+)\$[0-9]+"))),_xlfn.REGEXEXTRACT(CELL("address",G57), "\$([A-Z]+)\$[0-9]+"))</f>
        <v/>
      </c>
      <c r="H57" s="7" t="str" cm="1">
        <f t="array" aca="1" ref="H57" ca="1">IFERROR(IF(OR('Raw Data'!H57="",LEN(TRIM('Raw Data'!H57))=0),"",IF(AND(ISNUMBER('Raw Data'!H57), IFERROR('Raw Data'!H57 = ROUND('Raw Data'!H57, 2),FALSE)),"",_xlfn.REGEXEXTRACT(CELL("address",H57), "\$([A-Z]+)\$[0-9]+"))),_xlfn.REGEXEXTRACT(CELL("address",H57), "\$([A-Z]+)\$[0-9]+"))</f>
        <v/>
      </c>
      <c r="I57" s="7" t="str" cm="1">
        <f t="array" aca="1" ref="I57" ca="1">IFERROR(IF(OR('Raw Data'!I57="",LEN(TRIM('Raw Data'!I57))=0),"",IF(AND(LEN('Raw Data'!I57) &lt;= 50,LEN('Raw Data'!I57)&gt; 0),"",_xlfn.REGEXEXTRACT(CELL("address",'Raw Data'!I57),"\$([A-Z]+)\$[0-9]+"))),_xlfn.REGEXEXTRACT(CELL("address",'Raw Data'!I57),"\$([A-Z]+)\$[0-9]+"))</f>
        <v/>
      </c>
      <c r="J57" s="7" t="str" cm="1">
        <f t="array" aca="1" ref="J57" ca="1">IFERROR(IF(OR('Raw Data'!J57="",LEN(TRIM('Raw Data'!J57))=0),"",IF(AND(ISNUMBER('Raw Data'!J57),'Raw Data'!J57&gt;=Configuration!$D$2),"",_xlfn.REGEXEXTRACT(CELL("address",'Raw Data'!J57),"\$([A-Z]+)\$[0-9]+"))),_xlfn.REGEXEXTRACT(CELL("address",J57), "\$([A-Z]+)\$[0-9]+"))</f>
        <v/>
      </c>
      <c r="K57" s="7" t="str" cm="1">
        <f t="array" aca="1" ref="K57" ca="1">IFERROR(IF(OR('Raw Data'!K57="",LEN(TRIM('Raw Data'!K57))=0),"",IF(AND(ISNUMBER('Raw Data'!K57), IFERROR('Raw Data'!K57 = ROUND('Raw Data'!K57, 2),FALSE)),"",_xlfn.REGEXEXTRACT(CELL("address",K57), "\$([A-Z]+)\$[0-9]+"))),_xlfn.REGEXEXTRACT(CELL("address",K57), "\$([A-Z]+)\$[0-9]+"))</f>
        <v/>
      </c>
      <c r="L57" s="7" t="str" cm="1">
        <f t="array" aca="1" ref="L57" ca="1">IFERROR(IF(OR('Raw Data'!L57="",LEN(TRIM('Raw Data'!L57))=0),"",IF(AND(ISNUMBER('Raw Data'!L57), IFERROR('Raw Data'!L57 = ROUND('Raw Data'!L57, 2),FALSE)),"",_xlfn.REGEXEXTRACT(CELL("address",L57), "\$([A-Z]+)\$[0-9]+"))),_xlfn.REGEXEXTRACT(CELL("address",L57), "\$([A-Z]+)\$[0-9]+"))</f>
        <v/>
      </c>
      <c r="M57" s="7" t="str" cm="1">
        <f t="array" aca="1" ref="M57" ca="1">IFERROR(IF(OR('Raw Data'!M57="",LEN(TRIM('Raw Data'!M57))=0),"",IF(AND(ISNUMBER('Raw Data'!M57), IFERROR('Raw Data'!M57 = ROUND('Raw Data'!M57, 2),FALSE)),"",_xlfn.REGEXEXTRACT(CELL("address",M57), "\$([A-Z]+)\$[0-9]+"))),_xlfn.REGEXEXTRACT(CELL("address",M57), "\$([A-Z]+)\$[0-9]+"))</f>
        <v/>
      </c>
      <c r="N57" s="7" t="str" cm="1">
        <f t="array" aca="1" ref="N57" ca="1">IFERROR(IF(OR('Raw Data'!N57="",LEN(TRIM('Raw Data'!N57))=0),"",IF(AND(ISNUMBER('Raw Data'!N57), IFERROR('Raw Data'!N57 = ROUND('Raw Data'!N57, 2),FALSE)),"",_xlfn.REGEXEXTRACT(CELL("address",N57), "\$([A-Z]+)\$[0-9]+"))),_xlfn.REGEXEXTRACT(CELL("address",N57), "\$([A-Z]+)\$[0-9]+"))</f>
        <v/>
      </c>
      <c r="O57" s="7" t="str" cm="1">
        <f t="array" aca="1" ref="O57" ca="1">IFERROR(IF(OR('Raw Data'!O57="",LEN(TRIM('Raw Data'!O57))=0),"",IF(AND(ISNUMBER('Raw Data'!O57), IFERROR('Raw Data'!O57 = ROUND('Raw Data'!O57, 2),FALSE)),"",_xlfn.REGEXEXTRACT(CELL("address",O57), "\$([A-Z]+)\$[0-9]+"))),_xlfn.REGEXEXTRACT(CELL("address",O57), "\$([A-Z]+)\$[0-9]+"))</f>
        <v/>
      </c>
      <c r="P57" s="7" t="str" cm="1">
        <f t="array" aca="1" ref="P57" ca="1">IFERROR(IF(OR('Raw Data'!P57="",LEN(TRIM('Raw Data'!P57))=0),"",IF(AND(ISNUMBER('Raw Data'!P57),'Raw Data'!P57&gt;=Configuration!$D$2),"",_xlfn.REGEXEXTRACT(CELL("address",'Raw Data'!P57),"\$([A-Z]+)\$[0-9]+"))),_xlfn.REGEXEXTRACT(CELL("address",P57), "\$([A-Z]+)\$[0-9]+"))</f>
        <v/>
      </c>
      <c r="Q57" s="7" t="str" cm="1">
        <f t="array" aca="1" ref="Q57" ca="1">IFERROR(IF(OR('Raw Data'!Q57="",LEN(TRIM('Raw Data'!Q57))=0),"",IF(AND(ISNUMBER('Raw Data'!Q57),'Raw Data'!Q57&gt;=Configuration!$D$2),"",_xlfn.REGEXEXTRACT(CELL("address",'Raw Data'!Q57),"\$([A-Z]+)\$[0-9]+"))),_xlfn.REGEXEXTRACT(CELL("address",Q57), "\$([A-Z]+)\$[0-9]+"))</f>
        <v/>
      </c>
      <c r="R57" s="7" t="str" cm="1">
        <f t="array" aca="1" ref="R57" ca="1">IFERROR(IF(OR('Raw Data'!R57="",LEN(TRIM('Raw Data'!R57))=0),"",IF(AND(ISNUMBER('Raw Data'!R57), IFERROR('Raw Data'!R57 = ROUND('Raw Data'!R57, 2),FALSE)),"",_xlfn.REGEXEXTRACT(CELL("address",R57), "\$([A-Z]+)\$[0-9]+"))),_xlfn.REGEXEXTRACT(CELL("address",R57), "\$([A-Z]+)\$[0-9]+"))</f>
        <v/>
      </c>
      <c r="S57" s="7" t="str" cm="1">
        <f t="array" aca="1" ref="S57" ca="1">IFERROR(IF(OR('Raw Data'!S57="",LEN(TRIM('Raw Data'!S57))=0),"",IF(AND(ISNUMBER('Raw Data'!S57), IFERROR('Raw Data'!S57 = ROUND('Raw Data'!S57, 2),FALSE)),"",_xlfn.REGEXEXTRACT(CELL("address",S57), "\$([A-Z]+)\$[0-9]+"))),_xlfn.REGEXEXTRACT(CELL("address",S57), "\$([A-Z]+)\$[0-9]+"))</f>
        <v/>
      </c>
      <c r="T57" s="7" t="str" cm="1">
        <f t="array" aca="1" ref="T57" ca="1">IFERROR(IF(OR('Raw Data'!T57="",LEN(TRIM('Raw Data'!T57))=0),"",IF(AND(ISNUMBER('Raw Data'!T57), IFERROR('Raw Data'!T57 = ROUND('Raw Data'!T57, 2),FALSE)),"",_xlfn.REGEXEXTRACT(CELL("address",T57), "\$([A-Z]+)\$[0-9]+"))),_xlfn.REGEXEXTRACT(CELL("address",T57), "\$([A-Z]+)\$[0-9]+"))</f>
        <v/>
      </c>
      <c r="U57" s="7" t="str" cm="1">
        <f t="array" aca="1" ref="U57" ca="1">IFERROR(IF(OR('Raw Data'!U57="",LEN(TRIM('Raw Data'!U57))=0),"",IF(AND(LEN('Raw Data'!U57) &lt;= 5,LEN('Raw Data'!U57)&gt; 0),"",_xlfn.REGEXEXTRACT(CELL("address",'Raw Data'!U57),"\$([A-Z]+)\$[0-9]+"))),_xlfn.REGEXEXTRACT(CELL("address",'Raw Data'!U57),"\$([A-Z]+)\$[0-9]+"))</f>
        <v/>
      </c>
      <c r="V57" s="7" t="str" cm="1">
        <f t="array" aca="1" ref="V57" ca="1">IFERROR(IF(OR('Raw Data'!V57="",LEN(TRIM('Raw Data'!V57))=0),"",IF(AND(ISNUMBER('Raw Data'!V57), IFERROR('Raw Data'!V57 = ROUND('Raw Data'!V57, 2),FALSE)),"",_xlfn.REGEXEXTRACT(CELL("address",V57), "\$([A-Z]+)\$[0-9]+"))),_xlfn.REGEXEXTRACT(CELL("address",V57), "\$([A-Z]+)\$[0-9]+"))</f>
        <v/>
      </c>
      <c r="W57" s="7" t="str" cm="1">
        <f t="array" aca="1" ref="W57" ca="1">IFERROR(IF(OR('Raw Data'!W57="",LEN(TRIM('Raw Data'!W57))=0),"",IF(AND(ISNUMBER('Raw Data'!W57), IFERROR('Raw Data'!W57 = ROUND('Raw Data'!W57, 2),FALSE)),"",_xlfn.REGEXEXTRACT(CELL("address",W57), "\$([A-Z]+)\$[0-9]+"))),_xlfn.REGEXEXTRACT(CELL("address",W57), "\$([A-Z]+)\$[0-9]+"))</f>
        <v/>
      </c>
      <c r="X57" s="7" t="str" cm="1">
        <f t="array" aca="1" ref="X57" ca="1">IFERROR(IF(OR('Raw Data'!X57="",LEN(TRIM('Raw Data'!X57))=0),"",IF(AND(ISNUMBER('Raw Data'!X57), IFERROR('Raw Data'!X57 = ROUND('Raw Data'!X57, 2),FALSE)),"",_xlfn.REGEXEXTRACT(CELL("address",X57), "\$([A-Z]+)\$[0-9]+"))),_xlfn.REGEXEXTRACT(CELL("address",X57), "\$([A-Z]+)\$[0-9]+"))</f>
        <v/>
      </c>
    </row>
    <row r="58" spans="2:24" x14ac:dyDescent="0.25">
      <c r="B58" s="7" t="str" cm="1">
        <f t="array" aca="1" ref="B58" ca="1">IFERROR(IF(OR('Raw Data'!B58="",LEN(TRIM('Raw Data'!B58))=0),"",IF(AND(LEN('Raw Data'!B58) &lt;= 50,LEN('Raw Data'!B58)&gt; 0),"",_xlfn.REGEXEXTRACT(CELL("address",'Raw Data'!B58),"\$([A-Z]+)\$[0-9]+"))),_xlfn.REGEXEXTRACT(CELL("address",'Raw Data'!B58),"\$([A-Z]+)\$[0-9]+"))</f>
        <v/>
      </c>
      <c r="C58" s="7" t="str" cm="1">
        <f t="array" aca="1" ref="C58" ca="1">IFERROR(IF(OR('Raw Data'!C58="",LEN(TRIM('Raw Data'!C58))=0),"",IF(AND(LEN('Raw Data'!C58) &lt;= 50,LEN('Raw Data'!C58)&gt; 0),"",_xlfn.REGEXEXTRACT(CELL("address",'Raw Data'!C58),"\$([A-Z]+)\$[0-9]+"))),_xlfn.REGEXEXTRACT(CELL("address",'Raw Data'!C58),"\$([A-Z]+)\$[0-9]+"))</f>
        <v/>
      </c>
      <c r="D58" s="7" t="str" cm="1">
        <f t="array" aca="1" ref="D58" ca="1">IFERROR(IF(OR('Raw Data'!D58="",LEN(TRIM('Raw Data'!D58))=0),"",IF(AND(LEN('Raw Data'!D58) &lt;= 255,LEN('Raw Data'!D58)&gt; 0),"",_xlfn.REGEXEXTRACT(CELL("address",'Raw Data'!D58),"\$([A-Z]+)\$[0-9]+"))),_xlfn.REGEXEXTRACT(CELL("address",'Raw Data'!D58),"\$([A-Z]+)\$[0-9]+"))</f>
        <v/>
      </c>
      <c r="E58" s="7" t="str" cm="1">
        <f t="array" aca="1" ref="E58" ca="1">IFERROR(IF(OR('Raw Data'!E58="",LEN(TRIM('Raw Data'!E58))=0),"",IF(AND(ISNUMBER('Raw Data'!E58),'Raw Data'!E58&gt;=Configuration!$D$2),"",_xlfn.REGEXEXTRACT(CELL("address",'Raw Data'!E58),"\$([A-Z]+)\$[0-9]+"))),_xlfn.REGEXEXTRACT(CELL("address",E58), "\$([A-Z]+)\$[0-9]+"))</f>
        <v/>
      </c>
      <c r="F58" s="7" t="str" cm="1">
        <f t="array" aca="1" ref="F58" ca="1">IFERROR(IF(OR('Raw Data'!F58="",LEN(TRIM('Raw Data'!F58))=0),"",IF(AND(LEN('Raw Data'!F58) &lt;= 20,LEN('Raw Data'!F58)&gt; 0),"",_xlfn.REGEXEXTRACT(CELL("address",'Raw Data'!F58),"\$([A-Z]+)\$[0-9]+"))),_xlfn.REGEXEXTRACT(CELL("address",'Raw Data'!F58),"\$([A-Z]+)\$[0-9]+"))</f>
        <v/>
      </c>
      <c r="G58" s="7" t="str" cm="1">
        <f t="array" aca="1" ref="G58" ca="1">IFERROR(IF(OR('Raw Data'!G58="",LEN(TRIM('Raw Data'!G58))=0),"",IF(AND(ISNUMBER('Raw Data'!G58), IFERROR('Raw Data'!G58 = ROUND('Raw Data'!G58, 2),FALSE)),"",_xlfn.REGEXEXTRACT(CELL("address",G58), "\$([A-Z]+)\$[0-9]+"))),_xlfn.REGEXEXTRACT(CELL("address",G58), "\$([A-Z]+)\$[0-9]+"))</f>
        <v/>
      </c>
      <c r="H58" s="7" t="str" cm="1">
        <f t="array" aca="1" ref="H58" ca="1">IFERROR(IF(OR('Raw Data'!H58="",LEN(TRIM('Raw Data'!H58))=0),"",IF(AND(ISNUMBER('Raw Data'!H58), IFERROR('Raw Data'!H58 = ROUND('Raw Data'!H58, 2),FALSE)),"",_xlfn.REGEXEXTRACT(CELL("address",H58), "\$([A-Z]+)\$[0-9]+"))),_xlfn.REGEXEXTRACT(CELL("address",H58), "\$([A-Z]+)\$[0-9]+"))</f>
        <v/>
      </c>
      <c r="I58" s="7" t="str" cm="1">
        <f t="array" aca="1" ref="I58" ca="1">IFERROR(IF(OR('Raw Data'!I58="",LEN(TRIM('Raw Data'!I58))=0),"",IF(AND(LEN('Raw Data'!I58) &lt;= 50,LEN('Raw Data'!I58)&gt; 0),"",_xlfn.REGEXEXTRACT(CELL("address",'Raw Data'!I58),"\$([A-Z]+)\$[0-9]+"))),_xlfn.REGEXEXTRACT(CELL("address",'Raw Data'!I58),"\$([A-Z]+)\$[0-9]+"))</f>
        <v/>
      </c>
      <c r="J58" s="7" t="str" cm="1">
        <f t="array" aca="1" ref="J58" ca="1">IFERROR(IF(OR('Raw Data'!J58="",LEN(TRIM('Raw Data'!J58))=0),"",IF(AND(ISNUMBER('Raw Data'!J58),'Raw Data'!J58&gt;=Configuration!$D$2),"",_xlfn.REGEXEXTRACT(CELL("address",'Raw Data'!J58),"\$([A-Z]+)\$[0-9]+"))),_xlfn.REGEXEXTRACT(CELL("address",J58), "\$([A-Z]+)\$[0-9]+"))</f>
        <v/>
      </c>
      <c r="K58" s="7" t="str" cm="1">
        <f t="array" aca="1" ref="K58" ca="1">IFERROR(IF(OR('Raw Data'!K58="",LEN(TRIM('Raw Data'!K58))=0),"",IF(AND(ISNUMBER('Raw Data'!K58), IFERROR('Raw Data'!K58 = ROUND('Raw Data'!K58, 2),FALSE)),"",_xlfn.REGEXEXTRACT(CELL("address",K58), "\$([A-Z]+)\$[0-9]+"))),_xlfn.REGEXEXTRACT(CELL("address",K58), "\$([A-Z]+)\$[0-9]+"))</f>
        <v/>
      </c>
      <c r="L58" s="7" t="str" cm="1">
        <f t="array" aca="1" ref="L58" ca="1">IFERROR(IF(OR('Raw Data'!L58="",LEN(TRIM('Raw Data'!L58))=0),"",IF(AND(ISNUMBER('Raw Data'!L58), IFERROR('Raw Data'!L58 = ROUND('Raw Data'!L58, 2),FALSE)),"",_xlfn.REGEXEXTRACT(CELL("address",L58), "\$([A-Z]+)\$[0-9]+"))),_xlfn.REGEXEXTRACT(CELL("address",L58), "\$([A-Z]+)\$[0-9]+"))</f>
        <v/>
      </c>
      <c r="M58" s="7" t="str" cm="1">
        <f t="array" aca="1" ref="M58" ca="1">IFERROR(IF(OR('Raw Data'!M58="",LEN(TRIM('Raw Data'!M58))=0),"",IF(AND(ISNUMBER('Raw Data'!M58), IFERROR('Raw Data'!M58 = ROUND('Raw Data'!M58, 2),FALSE)),"",_xlfn.REGEXEXTRACT(CELL("address",M58), "\$([A-Z]+)\$[0-9]+"))),_xlfn.REGEXEXTRACT(CELL("address",M58), "\$([A-Z]+)\$[0-9]+"))</f>
        <v/>
      </c>
      <c r="N58" s="7" t="str" cm="1">
        <f t="array" aca="1" ref="N58" ca="1">IFERROR(IF(OR('Raw Data'!N58="",LEN(TRIM('Raw Data'!N58))=0),"",IF(AND(ISNUMBER('Raw Data'!N58), IFERROR('Raw Data'!N58 = ROUND('Raw Data'!N58, 2),FALSE)),"",_xlfn.REGEXEXTRACT(CELL("address",N58), "\$([A-Z]+)\$[0-9]+"))),_xlfn.REGEXEXTRACT(CELL("address",N58), "\$([A-Z]+)\$[0-9]+"))</f>
        <v/>
      </c>
      <c r="O58" s="7" t="str" cm="1">
        <f t="array" aca="1" ref="O58" ca="1">IFERROR(IF(OR('Raw Data'!O58="",LEN(TRIM('Raw Data'!O58))=0),"",IF(AND(ISNUMBER('Raw Data'!O58), IFERROR('Raw Data'!O58 = ROUND('Raw Data'!O58, 2),FALSE)),"",_xlfn.REGEXEXTRACT(CELL("address",O58), "\$([A-Z]+)\$[0-9]+"))),_xlfn.REGEXEXTRACT(CELL("address",O58), "\$([A-Z]+)\$[0-9]+"))</f>
        <v/>
      </c>
      <c r="P58" s="7" t="str" cm="1">
        <f t="array" aca="1" ref="P58" ca="1">IFERROR(IF(OR('Raw Data'!P58="",LEN(TRIM('Raw Data'!P58))=0),"",IF(AND(ISNUMBER('Raw Data'!P58),'Raw Data'!P58&gt;=Configuration!$D$2),"",_xlfn.REGEXEXTRACT(CELL("address",'Raw Data'!P58),"\$([A-Z]+)\$[0-9]+"))),_xlfn.REGEXEXTRACT(CELL("address",P58), "\$([A-Z]+)\$[0-9]+"))</f>
        <v/>
      </c>
      <c r="Q58" s="7" t="str" cm="1">
        <f t="array" aca="1" ref="Q58" ca="1">IFERROR(IF(OR('Raw Data'!Q58="",LEN(TRIM('Raw Data'!Q58))=0),"",IF(AND(ISNUMBER('Raw Data'!Q58),'Raw Data'!Q58&gt;=Configuration!$D$2),"",_xlfn.REGEXEXTRACT(CELL("address",'Raw Data'!Q58),"\$([A-Z]+)\$[0-9]+"))),_xlfn.REGEXEXTRACT(CELL("address",Q58), "\$([A-Z]+)\$[0-9]+"))</f>
        <v/>
      </c>
      <c r="R58" s="7" t="str" cm="1">
        <f t="array" aca="1" ref="R58" ca="1">IFERROR(IF(OR('Raw Data'!R58="",LEN(TRIM('Raw Data'!R58))=0),"",IF(AND(ISNUMBER('Raw Data'!R58), IFERROR('Raw Data'!R58 = ROUND('Raw Data'!R58, 2),FALSE)),"",_xlfn.REGEXEXTRACT(CELL("address",R58), "\$([A-Z]+)\$[0-9]+"))),_xlfn.REGEXEXTRACT(CELL("address",R58), "\$([A-Z]+)\$[0-9]+"))</f>
        <v/>
      </c>
      <c r="S58" s="7" t="str" cm="1">
        <f t="array" aca="1" ref="S58" ca="1">IFERROR(IF(OR('Raw Data'!S58="",LEN(TRIM('Raw Data'!S58))=0),"",IF(AND(ISNUMBER('Raw Data'!S58), IFERROR('Raw Data'!S58 = ROUND('Raw Data'!S58, 2),FALSE)),"",_xlfn.REGEXEXTRACT(CELL("address",S58), "\$([A-Z]+)\$[0-9]+"))),_xlfn.REGEXEXTRACT(CELL("address",S58), "\$([A-Z]+)\$[0-9]+"))</f>
        <v/>
      </c>
      <c r="T58" s="7" t="str" cm="1">
        <f t="array" aca="1" ref="T58" ca="1">IFERROR(IF(OR('Raw Data'!T58="",LEN(TRIM('Raw Data'!T58))=0),"",IF(AND(ISNUMBER('Raw Data'!T58), IFERROR('Raw Data'!T58 = ROUND('Raw Data'!T58, 2),FALSE)),"",_xlfn.REGEXEXTRACT(CELL("address",T58), "\$([A-Z]+)\$[0-9]+"))),_xlfn.REGEXEXTRACT(CELL("address",T58), "\$([A-Z]+)\$[0-9]+"))</f>
        <v/>
      </c>
      <c r="U58" s="7" t="str" cm="1">
        <f t="array" aca="1" ref="U58" ca="1">IFERROR(IF(OR('Raw Data'!U58="",LEN(TRIM('Raw Data'!U58))=0),"",IF(AND(LEN('Raw Data'!U58) &lt;= 5,LEN('Raw Data'!U58)&gt; 0),"",_xlfn.REGEXEXTRACT(CELL("address",'Raw Data'!U58),"\$([A-Z]+)\$[0-9]+"))),_xlfn.REGEXEXTRACT(CELL("address",'Raw Data'!U58),"\$([A-Z]+)\$[0-9]+"))</f>
        <v/>
      </c>
      <c r="V58" s="7" t="str" cm="1">
        <f t="array" aca="1" ref="V58" ca="1">IFERROR(IF(OR('Raw Data'!V58="",LEN(TRIM('Raw Data'!V58))=0),"",IF(AND(ISNUMBER('Raw Data'!V58), IFERROR('Raw Data'!V58 = ROUND('Raw Data'!V58, 2),FALSE)),"",_xlfn.REGEXEXTRACT(CELL("address",V58), "\$([A-Z]+)\$[0-9]+"))),_xlfn.REGEXEXTRACT(CELL("address",V58), "\$([A-Z]+)\$[0-9]+"))</f>
        <v/>
      </c>
      <c r="W58" s="7" t="str" cm="1">
        <f t="array" aca="1" ref="W58" ca="1">IFERROR(IF(OR('Raw Data'!W58="",LEN(TRIM('Raw Data'!W58))=0),"",IF(AND(ISNUMBER('Raw Data'!W58), IFERROR('Raw Data'!W58 = ROUND('Raw Data'!W58, 2),FALSE)),"",_xlfn.REGEXEXTRACT(CELL("address",W58), "\$([A-Z]+)\$[0-9]+"))),_xlfn.REGEXEXTRACT(CELL("address",W58), "\$([A-Z]+)\$[0-9]+"))</f>
        <v/>
      </c>
      <c r="X58" s="7" t="str" cm="1">
        <f t="array" aca="1" ref="X58" ca="1">IFERROR(IF(OR('Raw Data'!X58="",LEN(TRIM('Raw Data'!X58))=0),"",IF(AND(ISNUMBER('Raw Data'!X58), IFERROR('Raw Data'!X58 = ROUND('Raw Data'!X58, 2),FALSE)),"",_xlfn.REGEXEXTRACT(CELL("address",X58), "\$([A-Z]+)\$[0-9]+"))),_xlfn.REGEXEXTRACT(CELL("address",X58), "\$([A-Z]+)\$[0-9]+"))</f>
        <v/>
      </c>
    </row>
    <row r="59" spans="2:24" x14ac:dyDescent="0.25">
      <c r="B59" s="7" t="str" cm="1">
        <f t="array" aca="1" ref="B59" ca="1">IFERROR(IF(OR('Raw Data'!B59="",LEN(TRIM('Raw Data'!B59))=0),"",IF(AND(LEN('Raw Data'!B59) &lt;= 50,LEN('Raw Data'!B59)&gt; 0),"",_xlfn.REGEXEXTRACT(CELL("address",'Raw Data'!B59),"\$([A-Z]+)\$[0-9]+"))),_xlfn.REGEXEXTRACT(CELL("address",'Raw Data'!B59),"\$([A-Z]+)\$[0-9]+"))</f>
        <v/>
      </c>
      <c r="C59" s="7" t="str" cm="1">
        <f t="array" aca="1" ref="C59" ca="1">IFERROR(IF(OR('Raw Data'!C59="",LEN(TRIM('Raw Data'!C59))=0),"",IF(AND(LEN('Raw Data'!C59) &lt;= 50,LEN('Raw Data'!C59)&gt; 0),"",_xlfn.REGEXEXTRACT(CELL("address",'Raw Data'!C59),"\$([A-Z]+)\$[0-9]+"))),_xlfn.REGEXEXTRACT(CELL("address",'Raw Data'!C59),"\$([A-Z]+)\$[0-9]+"))</f>
        <v/>
      </c>
      <c r="D59" s="7" t="str" cm="1">
        <f t="array" aca="1" ref="D59" ca="1">IFERROR(IF(OR('Raw Data'!D59="",LEN(TRIM('Raw Data'!D59))=0),"",IF(AND(LEN('Raw Data'!D59) &lt;= 255,LEN('Raw Data'!D59)&gt; 0),"",_xlfn.REGEXEXTRACT(CELL("address",'Raw Data'!D59),"\$([A-Z]+)\$[0-9]+"))),_xlfn.REGEXEXTRACT(CELL("address",'Raw Data'!D59),"\$([A-Z]+)\$[0-9]+"))</f>
        <v/>
      </c>
      <c r="E59" s="7" t="str" cm="1">
        <f t="array" aca="1" ref="E59" ca="1">IFERROR(IF(OR('Raw Data'!E59="",LEN(TRIM('Raw Data'!E59))=0),"",IF(AND(ISNUMBER('Raw Data'!E59),'Raw Data'!E59&gt;=Configuration!$D$2),"",_xlfn.REGEXEXTRACT(CELL("address",'Raw Data'!E59),"\$([A-Z]+)\$[0-9]+"))),_xlfn.REGEXEXTRACT(CELL("address",E59), "\$([A-Z]+)\$[0-9]+"))</f>
        <v/>
      </c>
      <c r="F59" s="7" t="str" cm="1">
        <f t="array" aca="1" ref="F59" ca="1">IFERROR(IF(OR('Raw Data'!F59="",LEN(TRIM('Raw Data'!F59))=0),"",IF(AND(LEN('Raw Data'!F59) &lt;= 20,LEN('Raw Data'!F59)&gt; 0),"",_xlfn.REGEXEXTRACT(CELL("address",'Raw Data'!F59),"\$([A-Z]+)\$[0-9]+"))),_xlfn.REGEXEXTRACT(CELL("address",'Raw Data'!F59),"\$([A-Z]+)\$[0-9]+"))</f>
        <v/>
      </c>
      <c r="G59" s="7" t="str" cm="1">
        <f t="array" aca="1" ref="G59" ca="1">IFERROR(IF(OR('Raw Data'!G59="",LEN(TRIM('Raw Data'!G59))=0),"",IF(AND(ISNUMBER('Raw Data'!G59), IFERROR('Raw Data'!G59 = ROUND('Raw Data'!G59, 2),FALSE)),"",_xlfn.REGEXEXTRACT(CELL("address",G59), "\$([A-Z]+)\$[0-9]+"))),_xlfn.REGEXEXTRACT(CELL("address",G59), "\$([A-Z]+)\$[0-9]+"))</f>
        <v/>
      </c>
      <c r="H59" s="7" t="str" cm="1">
        <f t="array" aca="1" ref="H59" ca="1">IFERROR(IF(OR('Raw Data'!H59="",LEN(TRIM('Raw Data'!H59))=0),"",IF(AND(ISNUMBER('Raw Data'!H59), IFERROR('Raw Data'!H59 = ROUND('Raw Data'!H59, 2),FALSE)),"",_xlfn.REGEXEXTRACT(CELL("address",H59), "\$([A-Z]+)\$[0-9]+"))),_xlfn.REGEXEXTRACT(CELL("address",H59), "\$([A-Z]+)\$[0-9]+"))</f>
        <v/>
      </c>
      <c r="I59" s="7" t="str" cm="1">
        <f t="array" aca="1" ref="I59" ca="1">IFERROR(IF(OR('Raw Data'!I59="",LEN(TRIM('Raw Data'!I59))=0),"",IF(AND(LEN('Raw Data'!I59) &lt;= 50,LEN('Raw Data'!I59)&gt; 0),"",_xlfn.REGEXEXTRACT(CELL("address",'Raw Data'!I59),"\$([A-Z]+)\$[0-9]+"))),_xlfn.REGEXEXTRACT(CELL("address",'Raw Data'!I59),"\$([A-Z]+)\$[0-9]+"))</f>
        <v/>
      </c>
      <c r="J59" s="7" t="str" cm="1">
        <f t="array" aca="1" ref="J59" ca="1">IFERROR(IF(OR('Raw Data'!J59="",LEN(TRIM('Raw Data'!J59))=0),"",IF(AND(ISNUMBER('Raw Data'!J59),'Raw Data'!J59&gt;=Configuration!$D$2),"",_xlfn.REGEXEXTRACT(CELL("address",'Raw Data'!J59),"\$([A-Z]+)\$[0-9]+"))),_xlfn.REGEXEXTRACT(CELL("address",J59), "\$([A-Z]+)\$[0-9]+"))</f>
        <v/>
      </c>
      <c r="K59" s="7" t="str" cm="1">
        <f t="array" aca="1" ref="K59" ca="1">IFERROR(IF(OR('Raw Data'!K59="",LEN(TRIM('Raw Data'!K59))=0),"",IF(AND(ISNUMBER('Raw Data'!K59), IFERROR('Raw Data'!K59 = ROUND('Raw Data'!K59, 2),FALSE)),"",_xlfn.REGEXEXTRACT(CELL("address",K59), "\$([A-Z]+)\$[0-9]+"))),_xlfn.REGEXEXTRACT(CELL("address",K59), "\$([A-Z]+)\$[0-9]+"))</f>
        <v/>
      </c>
      <c r="L59" s="7" t="str" cm="1">
        <f t="array" aca="1" ref="L59" ca="1">IFERROR(IF(OR('Raw Data'!L59="",LEN(TRIM('Raw Data'!L59))=0),"",IF(AND(ISNUMBER('Raw Data'!L59), IFERROR('Raw Data'!L59 = ROUND('Raw Data'!L59, 2),FALSE)),"",_xlfn.REGEXEXTRACT(CELL("address",L59), "\$([A-Z]+)\$[0-9]+"))),_xlfn.REGEXEXTRACT(CELL("address",L59), "\$([A-Z]+)\$[0-9]+"))</f>
        <v/>
      </c>
      <c r="M59" s="7" t="str" cm="1">
        <f t="array" aca="1" ref="M59" ca="1">IFERROR(IF(OR('Raw Data'!M59="",LEN(TRIM('Raw Data'!M59))=0),"",IF(AND(ISNUMBER('Raw Data'!M59), IFERROR('Raw Data'!M59 = ROUND('Raw Data'!M59, 2),FALSE)),"",_xlfn.REGEXEXTRACT(CELL("address",M59), "\$([A-Z]+)\$[0-9]+"))),_xlfn.REGEXEXTRACT(CELL("address",M59), "\$([A-Z]+)\$[0-9]+"))</f>
        <v/>
      </c>
      <c r="N59" s="7" t="str" cm="1">
        <f t="array" aca="1" ref="N59" ca="1">IFERROR(IF(OR('Raw Data'!N59="",LEN(TRIM('Raw Data'!N59))=0),"",IF(AND(ISNUMBER('Raw Data'!N59), IFERROR('Raw Data'!N59 = ROUND('Raw Data'!N59, 2),FALSE)),"",_xlfn.REGEXEXTRACT(CELL("address",N59), "\$([A-Z]+)\$[0-9]+"))),_xlfn.REGEXEXTRACT(CELL("address",N59), "\$([A-Z]+)\$[0-9]+"))</f>
        <v/>
      </c>
      <c r="O59" s="7" t="str" cm="1">
        <f t="array" aca="1" ref="O59" ca="1">IFERROR(IF(OR('Raw Data'!O59="",LEN(TRIM('Raw Data'!O59))=0),"",IF(AND(ISNUMBER('Raw Data'!O59), IFERROR('Raw Data'!O59 = ROUND('Raw Data'!O59, 2),FALSE)),"",_xlfn.REGEXEXTRACT(CELL("address",O59), "\$([A-Z]+)\$[0-9]+"))),_xlfn.REGEXEXTRACT(CELL("address",O59), "\$([A-Z]+)\$[0-9]+"))</f>
        <v/>
      </c>
      <c r="P59" s="7" t="str" cm="1">
        <f t="array" aca="1" ref="P59" ca="1">IFERROR(IF(OR('Raw Data'!P59="",LEN(TRIM('Raw Data'!P59))=0),"",IF(AND(ISNUMBER('Raw Data'!P59),'Raw Data'!P59&gt;=Configuration!$D$2),"",_xlfn.REGEXEXTRACT(CELL("address",'Raw Data'!P59),"\$([A-Z]+)\$[0-9]+"))),_xlfn.REGEXEXTRACT(CELL("address",P59), "\$([A-Z]+)\$[0-9]+"))</f>
        <v/>
      </c>
      <c r="Q59" s="7" t="str" cm="1">
        <f t="array" aca="1" ref="Q59" ca="1">IFERROR(IF(OR('Raw Data'!Q59="",LEN(TRIM('Raw Data'!Q59))=0),"",IF(AND(ISNUMBER('Raw Data'!Q59),'Raw Data'!Q59&gt;=Configuration!$D$2),"",_xlfn.REGEXEXTRACT(CELL("address",'Raw Data'!Q59),"\$([A-Z]+)\$[0-9]+"))),_xlfn.REGEXEXTRACT(CELL("address",Q59), "\$([A-Z]+)\$[0-9]+"))</f>
        <v/>
      </c>
      <c r="R59" s="7" t="str" cm="1">
        <f t="array" aca="1" ref="R59" ca="1">IFERROR(IF(OR('Raw Data'!R59="",LEN(TRIM('Raw Data'!R59))=0),"",IF(AND(ISNUMBER('Raw Data'!R59), IFERROR('Raw Data'!R59 = ROUND('Raw Data'!R59, 2),FALSE)),"",_xlfn.REGEXEXTRACT(CELL("address",R59), "\$([A-Z]+)\$[0-9]+"))),_xlfn.REGEXEXTRACT(CELL("address",R59), "\$([A-Z]+)\$[0-9]+"))</f>
        <v/>
      </c>
      <c r="S59" s="7" t="str" cm="1">
        <f t="array" aca="1" ref="S59" ca="1">IFERROR(IF(OR('Raw Data'!S59="",LEN(TRIM('Raw Data'!S59))=0),"",IF(AND(ISNUMBER('Raw Data'!S59), IFERROR('Raw Data'!S59 = ROUND('Raw Data'!S59, 2),FALSE)),"",_xlfn.REGEXEXTRACT(CELL("address",S59), "\$([A-Z]+)\$[0-9]+"))),_xlfn.REGEXEXTRACT(CELL("address",S59), "\$([A-Z]+)\$[0-9]+"))</f>
        <v/>
      </c>
      <c r="T59" s="7" t="str" cm="1">
        <f t="array" aca="1" ref="T59" ca="1">IFERROR(IF(OR('Raw Data'!T59="",LEN(TRIM('Raw Data'!T59))=0),"",IF(AND(ISNUMBER('Raw Data'!T59), IFERROR('Raw Data'!T59 = ROUND('Raw Data'!T59, 2),FALSE)),"",_xlfn.REGEXEXTRACT(CELL("address",T59), "\$([A-Z]+)\$[0-9]+"))),_xlfn.REGEXEXTRACT(CELL("address",T59), "\$([A-Z]+)\$[0-9]+"))</f>
        <v/>
      </c>
      <c r="U59" s="7" t="str" cm="1">
        <f t="array" aca="1" ref="U59" ca="1">IFERROR(IF(OR('Raw Data'!U59="",LEN(TRIM('Raw Data'!U59))=0),"",IF(AND(LEN('Raw Data'!U59) &lt;= 5,LEN('Raw Data'!U59)&gt; 0),"",_xlfn.REGEXEXTRACT(CELL("address",'Raw Data'!U59),"\$([A-Z]+)\$[0-9]+"))),_xlfn.REGEXEXTRACT(CELL("address",'Raw Data'!U59),"\$([A-Z]+)\$[0-9]+"))</f>
        <v/>
      </c>
      <c r="V59" s="7" t="str" cm="1">
        <f t="array" aca="1" ref="V59" ca="1">IFERROR(IF(OR('Raw Data'!V59="",LEN(TRIM('Raw Data'!V59))=0),"",IF(AND(ISNUMBER('Raw Data'!V59), IFERROR('Raw Data'!V59 = ROUND('Raw Data'!V59, 2),FALSE)),"",_xlfn.REGEXEXTRACT(CELL("address",V59), "\$([A-Z]+)\$[0-9]+"))),_xlfn.REGEXEXTRACT(CELL("address",V59), "\$([A-Z]+)\$[0-9]+"))</f>
        <v/>
      </c>
      <c r="W59" s="7" t="str" cm="1">
        <f t="array" aca="1" ref="W59" ca="1">IFERROR(IF(OR('Raw Data'!W59="",LEN(TRIM('Raw Data'!W59))=0),"",IF(AND(ISNUMBER('Raw Data'!W59), IFERROR('Raw Data'!W59 = ROUND('Raw Data'!W59, 2),FALSE)),"",_xlfn.REGEXEXTRACT(CELL("address",W59), "\$([A-Z]+)\$[0-9]+"))),_xlfn.REGEXEXTRACT(CELL("address",W59), "\$([A-Z]+)\$[0-9]+"))</f>
        <v/>
      </c>
      <c r="X59" s="7" t="str" cm="1">
        <f t="array" aca="1" ref="X59" ca="1">IFERROR(IF(OR('Raw Data'!X59="",LEN(TRIM('Raw Data'!X59))=0),"",IF(AND(ISNUMBER('Raw Data'!X59), IFERROR('Raw Data'!X59 = ROUND('Raw Data'!X59, 2),FALSE)),"",_xlfn.REGEXEXTRACT(CELL("address",X59), "\$([A-Z]+)\$[0-9]+"))),_xlfn.REGEXEXTRACT(CELL("address",X59), "\$([A-Z]+)\$[0-9]+"))</f>
        <v/>
      </c>
    </row>
    <row r="60" spans="2:24" x14ac:dyDescent="0.25">
      <c r="B60" s="7" t="str" cm="1">
        <f t="array" aca="1" ref="B60" ca="1">IFERROR(IF(OR('Raw Data'!B60="",LEN(TRIM('Raw Data'!B60))=0),"",IF(AND(LEN('Raw Data'!B60) &lt;= 50,LEN('Raw Data'!B60)&gt; 0),"",_xlfn.REGEXEXTRACT(CELL("address",'Raw Data'!B60),"\$([A-Z]+)\$[0-9]+"))),_xlfn.REGEXEXTRACT(CELL("address",'Raw Data'!B60),"\$([A-Z]+)\$[0-9]+"))</f>
        <v/>
      </c>
      <c r="C60" s="7" t="str" cm="1">
        <f t="array" aca="1" ref="C60" ca="1">IFERROR(IF(OR('Raw Data'!C60="",LEN(TRIM('Raw Data'!C60))=0),"",IF(AND(LEN('Raw Data'!C60) &lt;= 50,LEN('Raw Data'!C60)&gt; 0),"",_xlfn.REGEXEXTRACT(CELL("address",'Raw Data'!C60),"\$([A-Z]+)\$[0-9]+"))),_xlfn.REGEXEXTRACT(CELL("address",'Raw Data'!C60),"\$([A-Z]+)\$[0-9]+"))</f>
        <v/>
      </c>
      <c r="D60" s="7" t="str" cm="1">
        <f t="array" aca="1" ref="D60" ca="1">IFERROR(IF(OR('Raw Data'!D60="",LEN(TRIM('Raw Data'!D60))=0),"",IF(AND(LEN('Raw Data'!D60) &lt;= 255,LEN('Raw Data'!D60)&gt; 0),"",_xlfn.REGEXEXTRACT(CELL("address",'Raw Data'!D60),"\$([A-Z]+)\$[0-9]+"))),_xlfn.REGEXEXTRACT(CELL("address",'Raw Data'!D60),"\$([A-Z]+)\$[0-9]+"))</f>
        <v/>
      </c>
      <c r="E60" s="7" t="str" cm="1">
        <f t="array" aca="1" ref="E60" ca="1">IFERROR(IF(OR('Raw Data'!E60="",LEN(TRIM('Raw Data'!E60))=0),"",IF(AND(ISNUMBER('Raw Data'!E60),'Raw Data'!E60&gt;=Configuration!$D$2),"",_xlfn.REGEXEXTRACT(CELL("address",'Raw Data'!E60),"\$([A-Z]+)\$[0-9]+"))),_xlfn.REGEXEXTRACT(CELL("address",E60), "\$([A-Z]+)\$[0-9]+"))</f>
        <v/>
      </c>
      <c r="F60" s="7" t="str" cm="1">
        <f t="array" aca="1" ref="F60" ca="1">IFERROR(IF(OR('Raw Data'!F60="",LEN(TRIM('Raw Data'!F60))=0),"",IF(AND(LEN('Raw Data'!F60) &lt;= 20,LEN('Raw Data'!F60)&gt; 0),"",_xlfn.REGEXEXTRACT(CELL("address",'Raw Data'!F60),"\$([A-Z]+)\$[0-9]+"))),_xlfn.REGEXEXTRACT(CELL("address",'Raw Data'!F60),"\$([A-Z]+)\$[0-9]+"))</f>
        <v/>
      </c>
      <c r="G60" s="7" t="str" cm="1">
        <f t="array" aca="1" ref="G60" ca="1">IFERROR(IF(OR('Raw Data'!G60="",LEN(TRIM('Raw Data'!G60))=0),"",IF(AND(ISNUMBER('Raw Data'!G60), IFERROR('Raw Data'!G60 = ROUND('Raw Data'!G60, 2),FALSE)),"",_xlfn.REGEXEXTRACT(CELL("address",G60), "\$([A-Z]+)\$[0-9]+"))),_xlfn.REGEXEXTRACT(CELL("address",G60), "\$([A-Z]+)\$[0-9]+"))</f>
        <v/>
      </c>
      <c r="H60" s="7" t="str" cm="1">
        <f t="array" aca="1" ref="H60" ca="1">IFERROR(IF(OR('Raw Data'!H60="",LEN(TRIM('Raw Data'!H60))=0),"",IF(AND(ISNUMBER('Raw Data'!H60), IFERROR('Raw Data'!H60 = ROUND('Raw Data'!H60, 2),FALSE)),"",_xlfn.REGEXEXTRACT(CELL("address",H60), "\$([A-Z]+)\$[0-9]+"))),_xlfn.REGEXEXTRACT(CELL("address",H60), "\$([A-Z]+)\$[0-9]+"))</f>
        <v/>
      </c>
      <c r="I60" s="7" t="str" cm="1">
        <f t="array" aca="1" ref="I60" ca="1">IFERROR(IF(OR('Raw Data'!I60="",LEN(TRIM('Raw Data'!I60))=0),"",IF(AND(LEN('Raw Data'!I60) &lt;= 50,LEN('Raw Data'!I60)&gt; 0),"",_xlfn.REGEXEXTRACT(CELL("address",'Raw Data'!I60),"\$([A-Z]+)\$[0-9]+"))),_xlfn.REGEXEXTRACT(CELL("address",'Raw Data'!I60),"\$([A-Z]+)\$[0-9]+"))</f>
        <v/>
      </c>
      <c r="J60" s="7" t="str" cm="1">
        <f t="array" aca="1" ref="J60" ca="1">IFERROR(IF(OR('Raw Data'!J60="",LEN(TRIM('Raw Data'!J60))=0),"",IF(AND(ISNUMBER('Raw Data'!J60),'Raw Data'!J60&gt;=Configuration!$D$2),"",_xlfn.REGEXEXTRACT(CELL("address",'Raw Data'!J60),"\$([A-Z]+)\$[0-9]+"))),_xlfn.REGEXEXTRACT(CELL("address",J60), "\$([A-Z]+)\$[0-9]+"))</f>
        <v/>
      </c>
      <c r="K60" s="7" t="str" cm="1">
        <f t="array" aca="1" ref="K60" ca="1">IFERROR(IF(OR('Raw Data'!K60="",LEN(TRIM('Raw Data'!K60))=0),"",IF(AND(ISNUMBER('Raw Data'!K60), IFERROR('Raw Data'!K60 = ROUND('Raw Data'!K60, 2),FALSE)),"",_xlfn.REGEXEXTRACT(CELL("address",K60), "\$([A-Z]+)\$[0-9]+"))),_xlfn.REGEXEXTRACT(CELL("address",K60), "\$([A-Z]+)\$[0-9]+"))</f>
        <v/>
      </c>
      <c r="L60" s="7" t="str" cm="1">
        <f t="array" aca="1" ref="L60" ca="1">IFERROR(IF(OR('Raw Data'!L60="",LEN(TRIM('Raw Data'!L60))=0),"",IF(AND(ISNUMBER('Raw Data'!L60), IFERROR('Raw Data'!L60 = ROUND('Raw Data'!L60, 2),FALSE)),"",_xlfn.REGEXEXTRACT(CELL("address",L60), "\$([A-Z]+)\$[0-9]+"))),_xlfn.REGEXEXTRACT(CELL("address",L60), "\$([A-Z]+)\$[0-9]+"))</f>
        <v/>
      </c>
      <c r="M60" s="7" t="str" cm="1">
        <f t="array" aca="1" ref="M60" ca="1">IFERROR(IF(OR('Raw Data'!M60="",LEN(TRIM('Raw Data'!M60))=0),"",IF(AND(ISNUMBER('Raw Data'!M60), IFERROR('Raw Data'!M60 = ROUND('Raw Data'!M60, 2),FALSE)),"",_xlfn.REGEXEXTRACT(CELL("address",M60), "\$([A-Z]+)\$[0-9]+"))),_xlfn.REGEXEXTRACT(CELL("address",M60), "\$([A-Z]+)\$[0-9]+"))</f>
        <v/>
      </c>
      <c r="N60" s="7" t="str" cm="1">
        <f t="array" aca="1" ref="N60" ca="1">IFERROR(IF(OR('Raw Data'!N60="",LEN(TRIM('Raw Data'!N60))=0),"",IF(AND(ISNUMBER('Raw Data'!N60), IFERROR('Raw Data'!N60 = ROUND('Raw Data'!N60, 2),FALSE)),"",_xlfn.REGEXEXTRACT(CELL("address",N60), "\$([A-Z]+)\$[0-9]+"))),_xlfn.REGEXEXTRACT(CELL("address",N60), "\$([A-Z]+)\$[0-9]+"))</f>
        <v/>
      </c>
      <c r="O60" s="7" t="str" cm="1">
        <f t="array" aca="1" ref="O60" ca="1">IFERROR(IF(OR('Raw Data'!O60="",LEN(TRIM('Raw Data'!O60))=0),"",IF(AND(ISNUMBER('Raw Data'!O60), IFERROR('Raw Data'!O60 = ROUND('Raw Data'!O60, 2),FALSE)),"",_xlfn.REGEXEXTRACT(CELL("address",O60), "\$([A-Z]+)\$[0-9]+"))),_xlfn.REGEXEXTRACT(CELL("address",O60), "\$([A-Z]+)\$[0-9]+"))</f>
        <v/>
      </c>
      <c r="P60" s="7" t="str" cm="1">
        <f t="array" aca="1" ref="P60" ca="1">IFERROR(IF(OR('Raw Data'!P60="",LEN(TRIM('Raw Data'!P60))=0),"",IF(AND(ISNUMBER('Raw Data'!P60),'Raw Data'!P60&gt;=Configuration!$D$2),"",_xlfn.REGEXEXTRACT(CELL("address",'Raw Data'!P60),"\$([A-Z]+)\$[0-9]+"))),_xlfn.REGEXEXTRACT(CELL("address",P60), "\$([A-Z]+)\$[0-9]+"))</f>
        <v/>
      </c>
      <c r="Q60" s="7" t="str" cm="1">
        <f t="array" aca="1" ref="Q60" ca="1">IFERROR(IF(OR('Raw Data'!Q60="",LEN(TRIM('Raw Data'!Q60))=0),"",IF(AND(ISNUMBER('Raw Data'!Q60),'Raw Data'!Q60&gt;=Configuration!$D$2),"",_xlfn.REGEXEXTRACT(CELL("address",'Raw Data'!Q60),"\$([A-Z]+)\$[0-9]+"))),_xlfn.REGEXEXTRACT(CELL("address",Q60), "\$([A-Z]+)\$[0-9]+"))</f>
        <v/>
      </c>
      <c r="R60" s="7" t="str" cm="1">
        <f t="array" aca="1" ref="R60" ca="1">IFERROR(IF(OR('Raw Data'!R60="",LEN(TRIM('Raw Data'!R60))=0),"",IF(AND(ISNUMBER('Raw Data'!R60), IFERROR('Raw Data'!R60 = ROUND('Raw Data'!R60, 2),FALSE)),"",_xlfn.REGEXEXTRACT(CELL("address",R60), "\$([A-Z]+)\$[0-9]+"))),_xlfn.REGEXEXTRACT(CELL("address",R60), "\$([A-Z]+)\$[0-9]+"))</f>
        <v/>
      </c>
      <c r="S60" s="7" t="str" cm="1">
        <f t="array" aca="1" ref="S60" ca="1">IFERROR(IF(OR('Raw Data'!S60="",LEN(TRIM('Raw Data'!S60))=0),"",IF(AND(ISNUMBER('Raw Data'!S60), IFERROR('Raw Data'!S60 = ROUND('Raw Data'!S60, 2),FALSE)),"",_xlfn.REGEXEXTRACT(CELL("address",S60), "\$([A-Z]+)\$[0-9]+"))),_xlfn.REGEXEXTRACT(CELL("address",S60), "\$([A-Z]+)\$[0-9]+"))</f>
        <v/>
      </c>
      <c r="T60" s="7" t="str" cm="1">
        <f t="array" aca="1" ref="T60" ca="1">IFERROR(IF(OR('Raw Data'!T60="",LEN(TRIM('Raw Data'!T60))=0),"",IF(AND(ISNUMBER('Raw Data'!T60), IFERROR('Raw Data'!T60 = ROUND('Raw Data'!T60, 2),FALSE)),"",_xlfn.REGEXEXTRACT(CELL("address",T60), "\$([A-Z]+)\$[0-9]+"))),_xlfn.REGEXEXTRACT(CELL("address",T60), "\$([A-Z]+)\$[0-9]+"))</f>
        <v/>
      </c>
      <c r="U60" s="7" t="str" cm="1">
        <f t="array" aca="1" ref="U60" ca="1">IFERROR(IF(OR('Raw Data'!U60="",LEN(TRIM('Raw Data'!U60))=0),"",IF(AND(LEN('Raw Data'!U60) &lt;= 5,LEN('Raw Data'!U60)&gt; 0),"",_xlfn.REGEXEXTRACT(CELL("address",'Raw Data'!U60),"\$([A-Z]+)\$[0-9]+"))),_xlfn.REGEXEXTRACT(CELL("address",'Raw Data'!U60),"\$([A-Z]+)\$[0-9]+"))</f>
        <v/>
      </c>
      <c r="V60" s="7" t="str" cm="1">
        <f t="array" aca="1" ref="V60" ca="1">IFERROR(IF(OR('Raw Data'!V60="",LEN(TRIM('Raw Data'!V60))=0),"",IF(AND(ISNUMBER('Raw Data'!V60), IFERROR('Raw Data'!V60 = ROUND('Raw Data'!V60, 2),FALSE)),"",_xlfn.REGEXEXTRACT(CELL("address",V60), "\$([A-Z]+)\$[0-9]+"))),_xlfn.REGEXEXTRACT(CELL("address",V60), "\$([A-Z]+)\$[0-9]+"))</f>
        <v/>
      </c>
      <c r="W60" s="7" t="str" cm="1">
        <f t="array" aca="1" ref="W60" ca="1">IFERROR(IF(OR('Raw Data'!W60="",LEN(TRIM('Raw Data'!W60))=0),"",IF(AND(ISNUMBER('Raw Data'!W60), IFERROR('Raw Data'!W60 = ROUND('Raw Data'!W60, 2),FALSE)),"",_xlfn.REGEXEXTRACT(CELL("address",W60), "\$([A-Z]+)\$[0-9]+"))),_xlfn.REGEXEXTRACT(CELL("address",W60), "\$([A-Z]+)\$[0-9]+"))</f>
        <v/>
      </c>
      <c r="X60" s="7" t="str" cm="1">
        <f t="array" aca="1" ref="X60" ca="1">IFERROR(IF(OR('Raw Data'!X60="",LEN(TRIM('Raw Data'!X60))=0),"",IF(AND(ISNUMBER('Raw Data'!X60), IFERROR('Raw Data'!X60 = ROUND('Raw Data'!X60, 2),FALSE)),"",_xlfn.REGEXEXTRACT(CELL("address",X60), "\$([A-Z]+)\$[0-9]+"))),_xlfn.REGEXEXTRACT(CELL("address",X60), "\$([A-Z]+)\$[0-9]+"))</f>
        <v/>
      </c>
    </row>
    <row r="61" spans="2:24" x14ac:dyDescent="0.25">
      <c r="B61" s="7" t="str" cm="1">
        <f t="array" aca="1" ref="B61" ca="1">IFERROR(IF(OR('Raw Data'!B61="",LEN(TRIM('Raw Data'!B61))=0),"",IF(AND(LEN('Raw Data'!B61) &lt;= 50,LEN('Raw Data'!B61)&gt; 0),"",_xlfn.REGEXEXTRACT(CELL("address",'Raw Data'!B61),"\$([A-Z]+)\$[0-9]+"))),_xlfn.REGEXEXTRACT(CELL("address",'Raw Data'!B61),"\$([A-Z]+)\$[0-9]+"))</f>
        <v/>
      </c>
      <c r="C61" s="7" t="str" cm="1">
        <f t="array" aca="1" ref="C61" ca="1">IFERROR(IF(OR('Raw Data'!C61="",LEN(TRIM('Raw Data'!C61))=0),"",IF(AND(LEN('Raw Data'!C61) &lt;= 50,LEN('Raw Data'!C61)&gt; 0),"",_xlfn.REGEXEXTRACT(CELL("address",'Raw Data'!C61),"\$([A-Z]+)\$[0-9]+"))),_xlfn.REGEXEXTRACT(CELL("address",'Raw Data'!C61),"\$([A-Z]+)\$[0-9]+"))</f>
        <v/>
      </c>
      <c r="D61" s="7" t="str" cm="1">
        <f t="array" aca="1" ref="D61" ca="1">IFERROR(IF(OR('Raw Data'!D61="",LEN(TRIM('Raw Data'!D61))=0),"",IF(AND(LEN('Raw Data'!D61) &lt;= 255,LEN('Raw Data'!D61)&gt; 0),"",_xlfn.REGEXEXTRACT(CELL("address",'Raw Data'!D61),"\$([A-Z]+)\$[0-9]+"))),_xlfn.REGEXEXTRACT(CELL("address",'Raw Data'!D61),"\$([A-Z]+)\$[0-9]+"))</f>
        <v/>
      </c>
      <c r="E61" s="7" t="str" cm="1">
        <f t="array" aca="1" ref="E61" ca="1">IFERROR(IF(OR('Raw Data'!E61="",LEN(TRIM('Raw Data'!E61))=0),"",IF(AND(ISNUMBER('Raw Data'!E61),'Raw Data'!E61&gt;=Configuration!$D$2),"",_xlfn.REGEXEXTRACT(CELL("address",'Raw Data'!E61),"\$([A-Z]+)\$[0-9]+"))),_xlfn.REGEXEXTRACT(CELL("address",E61), "\$([A-Z]+)\$[0-9]+"))</f>
        <v/>
      </c>
      <c r="F61" s="7" t="str" cm="1">
        <f t="array" aca="1" ref="F61" ca="1">IFERROR(IF(OR('Raw Data'!F61="",LEN(TRIM('Raw Data'!F61))=0),"",IF(AND(LEN('Raw Data'!F61) &lt;= 20,LEN('Raw Data'!F61)&gt; 0),"",_xlfn.REGEXEXTRACT(CELL("address",'Raw Data'!F61),"\$([A-Z]+)\$[0-9]+"))),_xlfn.REGEXEXTRACT(CELL("address",'Raw Data'!F61),"\$([A-Z]+)\$[0-9]+"))</f>
        <v/>
      </c>
      <c r="G61" s="7" t="str" cm="1">
        <f t="array" aca="1" ref="G61" ca="1">IFERROR(IF(OR('Raw Data'!G61="",LEN(TRIM('Raw Data'!G61))=0),"",IF(AND(ISNUMBER('Raw Data'!G61), IFERROR('Raw Data'!G61 = ROUND('Raw Data'!G61, 2),FALSE)),"",_xlfn.REGEXEXTRACT(CELL("address",G61), "\$([A-Z]+)\$[0-9]+"))),_xlfn.REGEXEXTRACT(CELL("address",G61), "\$([A-Z]+)\$[0-9]+"))</f>
        <v/>
      </c>
      <c r="H61" s="7" t="str" cm="1">
        <f t="array" aca="1" ref="H61" ca="1">IFERROR(IF(OR('Raw Data'!H61="",LEN(TRIM('Raw Data'!H61))=0),"",IF(AND(ISNUMBER('Raw Data'!H61), IFERROR('Raw Data'!H61 = ROUND('Raw Data'!H61, 2),FALSE)),"",_xlfn.REGEXEXTRACT(CELL("address",H61), "\$([A-Z]+)\$[0-9]+"))),_xlfn.REGEXEXTRACT(CELL("address",H61), "\$([A-Z]+)\$[0-9]+"))</f>
        <v/>
      </c>
      <c r="I61" s="7" t="str" cm="1">
        <f t="array" aca="1" ref="I61" ca="1">IFERROR(IF(OR('Raw Data'!I61="",LEN(TRIM('Raw Data'!I61))=0),"",IF(AND(LEN('Raw Data'!I61) &lt;= 50,LEN('Raw Data'!I61)&gt; 0),"",_xlfn.REGEXEXTRACT(CELL("address",'Raw Data'!I61),"\$([A-Z]+)\$[0-9]+"))),_xlfn.REGEXEXTRACT(CELL("address",'Raw Data'!I61),"\$([A-Z]+)\$[0-9]+"))</f>
        <v/>
      </c>
      <c r="J61" s="7" t="str" cm="1">
        <f t="array" aca="1" ref="J61" ca="1">IFERROR(IF(OR('Raw Data'!J61="",LEN(TRIM('Raw Data'!J61))=0),"",IF(AND(ISNUMBER('Raw Data'!J61),'Raw Data'!J61&gt;=Configuration!$D$2),"",_xlfn.REGEXEXTRACT(CELL("address",'Raw Data'!J61),"\$([A-Z]+)\$[0-9]+"))),_xlfn.REGEXEXTRACT(CELL("address",J61), "\$([A-Z]+)\$[0-9]+"))</f>
        <v/>
      </c>
      <c r="K61" s="7" t="str" cm="1">
        <f t="array" aca="1" ref="K61" ca="1">IFERROR(IF(OR('Raw Data'!K61="",LEN(TRIM('Raw Data'!K61))=0),"",IF(AND(ISNUMBER('Raw Data'!K61), IFERROR('Raw Data'!K61 = ROUND('Raw Data'!K61, 2),FALSE)),"",_xlfn.REGEXEXTRACT(CELL("address",K61), "\$([A-Z]+)\$[0-9]+"))),_xlfn.REGEXEXTRACT(CELL("address",K61), "\$([A-Z]+)\$[0-9]+"))</f>
        <v/>
      </c>
      <c r="L61" s="7" t="str" cm="1">
        <f t="array" aca="1" ref="L61" ca="1">IFERROR(IF(OR('Raw Data'!L61="",LEN(TRIM('Raw Data'!L61))=0),"",IF(AND(ISNUMBER('Raw Data'!L61), IFERROR('Raw Data'!L61 = ROUND('Raw Data'!L61, 2),FALSE)),"",_xlfn.REGEXEXTRACT(CELL("address",L61), "\$([A-Z]+)\$[0-9]+"))),_xlfn.REGEXEXTRACT(CELL("address",L61), "\$([A-Z]+)\$[0-9]+"))</f>
        <v/>
      </c>
      <c r="M61" s="7" t="str" cm="1">
        <f t="array" aca="1" ref="M61" ca="1">IFERROR(IF(OR('Raw Data'!M61="",LEN(TRIM('Raw Data'!M61))=0),"",IF(AND(ISNUMBER('Raw Data'!M61), IFERROR('Raw Data'!M61 = ROUND('Raw Data'!M61, 2),FALSE)),"",_xlfn.REGEXEXTRACT(CELL("address",M61), "\$([A-Z]+)\$[0-9]+"))),_xlfn.REGEXEXTRACT(CELL("address",M61), "\$([A-Z]+)\$[0-9]+"))</f>
        <v/>
      </c>
      <c r="N61" s="7" t="str" cm="1">
        <f t="array" aca="1" ref="N61" ca="1">IFERROR(IF(OR('Raw Data'!N61="",LEN(TRIM('Raw Data'!N61))=0),"",IF(AND(ISNUMBER('Raw Data'!N61), IFERROR('Raw Data'!N61 = ROUND('Raw Data'!N61, 2),FALSE)),"",_xlfn.REGEXEXTRACT(CELL("address",N61), "\$([A-Z]+)\$[0-9]+"))),_xlfn.REGEXEXTRACT(CELL("address",N61), "\$([A-Z]+)\$[0-9]+"))</f>
        <v/>
      </c>
      <c r="O61" s="7" t="str" cm="1">
        <f t="array" aca="1" ref="O61" ca="1">IFERROR(IF(OR('Raw Data'!O61="",LEN(TRIM('Raw Data'!O61))=0),"",IF(AND(ISNUMBER('Raw Data'!O61), IFERROR('Raw Data'!O61 = ROUND('Raw Data'!O61, 2),FALSE)),"",_xlfn.REGEXEXTRACT(CELL("address",O61), "\$([A-Z]+)\$[0-9]+"))),_xlfn.REGEXEXTRACT(CELL("address",O61), "\$([A-Z]+)\$[0-9]+"))</f>
        <v/>
      </c>
      <c r="P61" s="7" t="str" cm="1">
        <f t="array" aca="1" ref="P61" ca="1">IFERROR(IF(OR('Raw Data'!P61="",LEN(TRIM('Raw Data'!P61))=0),"",IF(AND(ISNUMBER('Raw Data'!P61),'Raw Data'!P61&gt;=Configuration!$D$2),"",_xlfn.REGEXEXTRACT(CELL("address",'Raw Data'!P61),"\$([A-Z]+)\$[0-9]+"))),_xlfn.REGEXEXTRACT(CELL("address",P61), "\$([A-Z]+)\$[0-9]+"))</f>
        <v/>
      </c>
      <c r="Q61" s="7" t="str" cm="1">
        <f t="array" aca="1" ref="Q61" ca="1">IFERROR(IF(OR('Raw Data'!Q61="",LEN(TRIM('Raw Data'!Q61))=0),"",IF(AND(ISNUMBER('Raw Data'!Q61),'Raw Data'!Q61&gt;=Configuration!$D$2),"",_xlfn.REGEXEXTRACT(CELL("address",'Raw Data'!Q61),"\$([A-Z]+)\$[0-9]+"))),_xlfn.REGEXEXTRACT(CELL("address",Q61), "\$([A-Z]+)\$[0-9]+"))</f>
        <v/>
      </c>
      <c r="R61" s="7" t="str" cm="1">
        <f t="array" aca="1" ref="R61" ca="1">IFERROR(IF(OR('Raw Data'!R61="",LEN(TRIM('Raw Data'!R61))=0),"",IF(AND(ISNUMBER('Raw Data'!R61), IFERROR('Raw Data'!R61 = ROUND('Raw Data'!R61, 2),FALSE)),"",_xlfn.REGEXEXTRACT(CELL("address",R61), "\$([A-Z]+)\$[0-9]+"))),_xlfn.REGEXEXTRACT(CELL("address",R61), "\$([A-Z]+)\$[0-9]+"))</f>
        <v/>
      </c>
      <c r="S61" s="7" t="str" cm="1">
        <f t="array" aca="1" ref="S61" ca="1">IFERROR(IF(OR('Raw Data'!S61="",LEN(TRIM('Raw Data'!S61))=0),"",IF(AND(ISNUMBER('Raw Data'!S61), IFERROR('Raw Data'!S61 = ROUND('Raw Data'!S61, 2),FALSE)),"",_xlfn.REGEXEXTRACT(CELL("address",S61), "\$([A-Z]+)\$[0-9]+"))),_xlfn.REGEXEXTRACT(CELL("address",S61), "\$([A-Z]+)\$[0-9]+"))</f>
        <v/>
      </c>
      <c r="T61" s="7" t="str" cm="1">
        <f t="array" aca="1" ref="T61" ca="1">IFERROR(IF(OR('Raw Data'!T61="",LEN(TRIM('Raw Data'!T61))=0),"",IF(AND(ISNUMBER('Raw Data'!T61), IFERROR('Raw Data'!T61 = ROUND('Raw Data'!T61, 2),FALSE)),"",_xlfn.REGEXEXTRACT(CELL("address",T61), "\$([A-Z]+)\$[0-9]+"))),_xlfn.REGEXEXTRACT(CELL("address",T61), "\$([A-Z]+)\$[0-9]+"))</f>
        <v/>
      </c>
      <c r="U61" s="7" t="str" cm="1">
        <f t="array" aca="1" ref="U61" ca="1">IFERROR(IF(OR('Raw Data'!U61="",LEN(TRIM('Raw Data'!U61))=0),"",IF(AND(LEN('Raw Data'!U61) &lt;= 5,LEN('Raw Data'!U61)&gt; 0),"",_xlfn.REGEXEXTRACT(CELL("address",'Raw Data'!U61),"\$([A-Z]+)\$[0-9]+"))),_xlfn.REGEXEXTRACT(CELL("address",'Raw Data'!U61),"\$([A-Z]+)\$[0-9]+"))</f>
        <v/>
      </c>
      <c r="V61" s="7" t="str" cm="1">
        <f t="array" aca="1" ref="V61" ca="1">IFERROR(IF(OR('Raw Data'!V61="",LEN(TRIM('Raw Data'!V61))=0),"",IF(AND(ISNUMBER('Raw Data'!V61), IFERROR('Raw Data'!V61 = ROUND('Raw Data'!V61, 2),FALSE)),"",_xlfn.REGEXEXTRACT(CELL("address",V61), "\$([A-Z]+)\$[0-9]+"))),_xlfn.REGEXEXTRACT(CELL("address",V61), "\$([A-Z]+)\$[0-9]+"))</f>
        <v/>
      </c>
      <c r="W61" s="7" t="str" cm="1">
        <f t="array" aca="1" ref="W61" ca="1">IFERROR(IF(OR('Raw Data'!W61="",LEN(TRIM('Raw Data'!W61))=0),"",IF(AND(ISNUMBER('Raw Data'!W61), IFERROR('Raw Data'!W61 = ROUND('Raw Data'!W61, 2),FALSE)),"",_xlfn.REGEXEXTRACT(CELL("address",W61), "\$([A-Z]+)\$[0-9]+"))),_xlfn.REGEXEXTRACT(CELL("address",W61), "\$([A-Z]+)\$[0-9]+"))</f>
        <v/>
      </c>
      <c r="X61" s="7" t="str" cm="1">
        <f t="array" aca="1" ref="X61" ca="1">IFERROR(IF(OR('Raw Data'!X61="",LEN(TRIM('Raw Data'!X61))=0),"",IF(AND(ISNUMBER('Raw Data'!X61), IFERROR('Raw Data'!X61 = ROUND('Raw Data'!X61, 2),FALSE)),"",_xlfn.REGEXEXTRACT(CELL("address",X61), "\$([A-Z]+)\$[0-9]+"))),_xlfn.REGEXEXTRACT(CELL("address",X61), "\$([A-Z]+)\$[0-9]+"))</f>
        <v/>
      </c>
    </row>
    <row r="62" spans="2:24" x14ac:dyDescent="0.25">
      <c r="B62" s="7" t="str" cm="1">
        <f t="array" aca="1" ref="B62" ca="1">IFERROR(IF(OR('Raw Data'!B62="",LEN(TRIM('Raw Data'!B62))=0),"",IF(AND(LEN('Raw Data'!B62) &lt;= 50,LEN('Raw Data'!B62)&gt; 0),"",_xlfn.REGEXEXTRACT(CELL("address",'Raw Data'!B62),"\$([A-Z]+)\$[0-9]+"))),_xlfn.REGEXEXTRACT(CELL("address",'Raw Data'!B62),"\$([A-Z]+)\$[0-9]+"))</f>
        <v/>
      </c>
      <c r="C62" s="7" t="str" cm="1">
        <f t="array" aca="1" ref="C62" ca="1">IFERROR(IF(OR('Raw Data'!C62="",LEN(TRIM('Raw Data'!C62))=0),"",IF(AND(LEN('Raw Data'!C62) &lt;= 50,LEN('Raw Data'!C62)&gt; 0),"",_xlfn.REGEXEXTRACT(CELL("address",'Raw Data'!C62),"\$([A-Z]+)\$[0-9]+"))),_xlfn.REGEXEXTRACT(CELL("address",'Raw Data'!C62),"\$([A-Z]+)\$[0-9]+"))</f>
        <v/>
      </c>
      <c r="D62" s="7" t="str" cm="1">
        <f t="array" aca="1" ref="D62" ca="1">IFERROR(IF(OR('Raw Data'!D62="",LEN(TRIM('Raw Data'!D62))=0),"",IF(AND(LEN('Raw Data'!D62) &lt;= 255,LEN('Raw Data'!D62)&gt; 0),"",_xlfn.REGEXEXTRACT(CELL("address",'Raw Data'!D62),"\$([A-Z]+)\$[0-9]+"))),_xlfn.REGEXEXTRACT(CELL("address",'Raw Data'!D62),"\$([A-Z]+)\$[0-9]+"))</f>
        <v/>
      </c>
      <c r="E62" s="7" t="str" cm="1">
        <f t="array" aca="1" ref="E62" ca="1">IFERROR(IF(OR('Raw Data'!E62="",LEN(TRIM('Raw Data'!E62))=0),"",IF(AND(ISNUMBER('Raw Data'!E62),'Raw Data'!E62&gt;=Configuration!$D$2),"",_xlfn.REGEXEXTRACT(CELL("address",'Raw Data'!E62),"\$([A-Z]+)\$[0-9]+"))),_xlfn.REGEXEXTRACT(CELL("address",E62), "\$([A-Z]+)\$[0-9]+"))</f>
        <v/>
      </c>
      <c r="F62" s="7" t="str" cm="1">
        <f t="array" aca="1" ref="F62" ca="1">IFERROR(IF(OR('Raw Data'!F62="",LEN(TRIM('Raw Data'!F62))=0),"",IF(AND(LEN('Raw Data'!F62) &lt;= 20,LEN('Raw Data'!F62)&gt; 0),"",_xlfn.REGEXEXTRACT(CELL("address",'Raw Data'!F62),"\$([A-Z]+)\$[0-9]+"))),_xlfn.REGEXEXTRACT(CELL("address",'Raw Data'!F62),"\$([A-Z]+)\$[0-9]+"))</f>
        <v/>
      </c>
      <c r="G62" s="7" t="str" cm="1">
        <f t="array" aca="1" ref="G62" ca="1">IFERROR(IF(OR('Raw Data'!G62="",LEN(TRIM('Raw Data'!G62))=0),"",IF(AND(ISNUMBER('Raw Data'!G62), IFERROR('Raw Data'!G62 = ROUND('Raw Data'!G62, 2),FALSE)),"",_xlfn.REGEXEXTRACT(CELL("address",G62), "\$([A-Z]+)\$[0-9]+"))),_xlfn.REGEXEXTRACT(CELL("address",G62), "\$([A-Z]+)\$[0-9]+"))</f>
        <v/>
      </c>
      <c r="H62" s="7" t="str" cm="1">
        <f t="array" aca="1" ref="H62" ca="1">IFERROR(IF(OR('Raw Data'!H62="",LEN(TRIM('Raw Data'!H62))=0),"",IF(AND(ISNUMBER('Raw Data'!H62), IFERROR('Raw Data'!H62 = ROUND('Raw Data'!H62, 2),FALSE)),"",_xlfn.REGEXEXTRACT(CELL("address",H62), "\$([A-Z]+)\$[0-9]+"))),_xlfn.REGEXEXTRACT(CELL("address",H62), "\$([A-Z]+)\$[0-9]+"))</f>
        <v/>
      </c>
      <c r="I62" s="7" t="str" cm="1">
        <f t="array" aca="1" ref="I62" ca="1">IFERROR(IF(OR('Raw Data'!I62="",LEN(TRIM('Raw Data'!I62))=0),"",IF(AND(LEN('Raw Data'!I62) &lt;= 50,LEN('Raw Data'!I62)&gt; 0),"",_xlfn.REGEXEXTRACT(CELL("address",'Raw Data'!I62),"\$([A-Z]+)\$[0-9]+"))),_xlfn.REGEXEXTRACT(CELL("address",'Raw Data'!I62),"\$([A-Z]+)\$[0-9]+"))</f>
        <v/>
      </c>
      <c r="J62" s="7" t="str" cm="1">
        <f t="array" aca="1" ref="J62" ca="1">IFERROR(IF(OR('Raw Data'!J62="",LEN(TRIM('Raw Data'!J62))=0),"",IF(AND(ISNUMBER('Raw Data'!J62),'Raw Data'!J62&gt;=Configuration!$D$2),"",_xlfn.REGEXEXTRACT(CELL("address",'Raw Data'!J62),"\$([A-Z]+)\$[0-9]+"))),_xlfn.REGEXEXTRACT(CELL("address",J62), "\$([A-Z]+)\$[0-9]+"))</f>
        <v/>
      </c>
      <c r="K62" s="7" t="str" cm="1">
        <f t="array" aca="1" ref="K62" ca="1">IFERROR(IF(OR('Raw Data'!K62="",LEN(TRIM('Raw Data'!K62))=0),"",IF(AND(ISNUMBER('Raw Data'!K62), IFERROR('Raw Data'!K62 = ROUND('Raw Data'!K62, 2),FALSE)),"",_xlfn.REGEXEXTRACT(CELL("address",K62), "\$([A-Z]+)\$[0-9]+"))),_xlfn.REGEXEXTRACT(CELL("address",K62), "\$([A-Z]+)\$[0-9]+"))</f>
        <v/>
      </c>
      <c r="L62" s="7" t="str" cm="1">
        <f t="array" aca="1" ref="L62" ca="1">IFERROR(IF(OR('Raw Data'!L62="",LEN(TRIM('Raw Data'!L62))=0),"",IF(AND(ISNUMBER('Raw Data'!L62), IFERROR('Raw Data'!L62 = ROUND('Raw Data'!L62, 2),FALSE)),"",_xlfn.REGEXEXTRACT(CELL("address",L62), "\$([A-Z]+)\$[0-9]+"))),_xlfn.REGEXEXTRACT(CELL("address",L62), "\$([A-Z]+)\$[0-9]+"))</f>
        <v/>
      </c>
      <c r="M62" s="7" t="str" cm="1">
        <f t="array" aca="1" ref="M62" ca="1">IFERROR(IF(OR('Raw Data'!M62="",LEN(TRIM('Raw Data'!M62))=0),"",IF(AND(ISNUMBER('Raw Data'!M62), IFERROR('Raw Data'!M62 = ROUND('Raw Data'!M62, 2),FALSE)),"",_xlfn.REGEXEXTRACT(CELL("address",M62), "\$([A-Z]+)\$[0-9]+"))),_xlfn.REGEXEXTRACT(CELL("address",M62), "\$([A-Z]+)\$[0-9]+"))</f>
        <v/>
      </c>
      <c r="N62" s="7" t="str" cm="1">
        <f t="array" aca="1" ref="N62" ca="1">IFERROR(IF(OR('Raw Data'!N62="",LEN(TRIM('Raw Data'!N62))=0),"",IF(AND(ISNUMBER('Raw Data'!N62), IFERROR('Raw Data'!N62 = ROUND('Raw Data'!N62, 2),FALSE)),"",_xlfn.REGEXEXTRACT(CELL("address",N62), "\$([A-Z]+)\$[0-9]+"))),_xlfn.REGEXEXTRACT(CELL("address",N62), "\$([A-Z]+)\$[0-9]+"))</f>
        <v/>
      </c>
      <c r="O62" s="7" t="str" cm="1">
        <f t="array" aca="1" ref="O62" ca="1">IFERROR(IF(OR('Raw Data'!O62="",LEN(TRIM('Raw Data'!O62))=0),"",IF(AND(ISNUMBER('Raw Data'!O62), IFERROR('Raw Data'!O62 = ROUND('Raw Data'!O62, 2),FALSE)),"",_xlfn.REGEXEXTRACT(CELL("address",O62), "\$([A-Z]+)\$[0-9]+"))),_xlfn.REGEXEXTRACT(CELL("address",O62), "\$([A-Z]+)\$[0-9]+"))</f>
        <v/>
      </c>
      <c r="P62" s="7" t="str" cm="1">
        <f t="array" aca="1" ref="P62" ca="1">IFERROR(IF(OR('Raw Data'!P62="",LEN(TRIM('Raw Data'!P62))=0),"",IF(AND(ISNUMBER('Raw Data'!P62),'Raw Data'!P62&gt;=Configuration!$D$2),"",_xlfn.REGEXEXTRACT(CELL("address",'Raw Data'!P62),"\$([A-Z]+)\$[0-9]+"))),_xlfn.REGEXEXTRACT(CELL("address",P62), "\$([A-Z]+)\$[0-9]+"))</f>
        <v/>
      </c>
      <c r="Q62" s="7" t="str" cm="1">
        <f t="array" aca="1" ref="Q62" ca="1">IFERROR(IF(OR('Raw Data'!Q62="",LEN(TRIM('Raw Data'!Q62))=0),"",IF(AND(ISNUMBER('Raw Data'!Q62),'Raw Data'!Q62&gt;=Configuration!$D$2),"",_xlfn.REGEXEXTRACT(CELL("address",'Raw Data'!Q62),"\$([A-Z]+)\$[0-9]+"))),_xlfn.REGEXEXTRACT(CELL("address",Q62), "\$([A-Z]+)\$[0-9]+"))</f>
        <v/>
      </c>
      <c r="R62" s="7" t="str" cm="1">
        <f t="array" aca="1" ref="R62" ca="1">IFERROR(IF(OR('Raw Data'!R62="",LEN(TRIM('Raw Data'!R62))=0),"",IF(AND(ISNUMBER('Raw Data'!R62), IFERROR('Raw Data'!R62 = ROUND('Raw Data'!R62, 2),FALSE)),"",_xlfn.REGEXEXTRACT(CELL("address",R62), "\$([A-Z]+)\$[0-9]+"))),_xlfn.REGEXEXTRACT(CELL("address",R62), "\$([A-Z]+)\$[0-9]+"))</f>
        <v/>
      </c>
      <c r="S62" s="7" t="str" cm="1">
        <f t="array" aca="1" ref="S62" ca="1">IFERROR(IF(OR('Raw Data'!S62="",LEN(TRIM('Raw Data'!S62))=0),"",IF(AND(ISNUMBER('Raw Data'!S62), IFERROR('Raw Data'!S62 = ROUND('Raw Data'!S62, 2),FALSE)),"",_xlfn.REGEXEXTRACT(CELL("address",S62), "\$([A-Z]+)\$[0-9]+"))),_xlfn.REGEXEXTRACT(CELL("address",S62), "\$([A-Z]+)\$[0-9]+"))</f>
        <v/>
      </c>
      <c r="T62" s="7" t="str" cm="1">
        <f t="array" aca="1" ref="T62" ca="1">IFERROR(IF(OR('Raw Data'!T62="",LEN(TRIM('Raw Data'!T62))=0),"",IF(AND(ISNUMBER('Raw Data'!T62), IFERROR('Raw Data'!T62 = ROUND('Raw Data'!T62, 2),FALSE)),"",_xlfn.REGEXEXTRACT(CELL("address",T62), "\$([A-Z]+)\$[0-9]+"))),_xlfn.REGEXEXTRACT(CELL("address",T62), "\$([A-Z]+)\$[0-9]+"))</f>
        <v/>
      </c>
      <c r="U62" s="7" t="str" cm="1">
        <f t="array" aca="1" ref="U62" ca="1">IFERROR(IF(OR('Raw Data'!U62="",LEN(TRIM('Raw Data'!U62))=0),"",IF(AND(LEN('Raw Data'!U62) &lt;= 5,LEN('Raw Data'!U62)&gt; 0),"",_xlfn.REGEXEXTRACT(CELL("address",'Raw Data'!U62),"\$([A-Z]+)\$[0-9]+"))),_xlfn.REGEXEXTRACT(CELL("address",'Raw Data'!U62),"\$([A-Z]+)\$[0-9]+"))</f>
        <v/>
      </c>
      <c r="V62" s="7" t="str" cm="1">
        <f t="array" aca="1" ref="V62" ca="1">IFERROR(IF(OR('Raw Data'!V62="",LEN(TRIM('Raw Data'!V62))=0),"",IF(AND(ISNUMBER('Raw Data'!V62), IFERROR('Raw Data'!V62 = ROUND('Raw Data'!V62, 2),FALSE)),"",_xlfn.REGEXEXTRACT(CELL("address",V62), "\$([A-Z]+)\$[0-9]+"))),_xlfn.REGEXEXTRACT(CELL("address",V62), "\$([A-Z]+)\$[0-9]+"))</f>
        <v/>
      </c>
      <c r="W62" s="7" t="str" cm="1">
        <f t="array" aca="1" ref="W62" ca="1">IFERROR(IF(OR('Raw Data'!W62="",LEN(TRIM('Raw Data'!W62))=0),"",IF(AND(ISNUMBER('Raw Data'!W62), IFERROR('Raw Data'!W62 = ROUND('Raw Data'!W62, 2),FALSE)),"",_xlfn.REGEXEXTRACT(CELL("address",W62), "\$([A-Z]+)\$[0-9]+"))),_xlfn.REGEXEXTRACT(CELL("address",W62), "\$([A-Z]+)\$[0-9]+"))</f>
        <v/>
      </c>
      <c r="X62" s="7" t="str" cm="1">
        <f t="array" aca="1" ref="X62" ca="1">IFERROR(IF(OR('Raw Data'!X62="",LEN(TRIM('Raw Data'!X62))=0),"",IF(AND(ISNUMBER('Raw Data'!X62), IFERROR('Raw Data'!X62 = ROUND('Raw Data'!X62, 2),FALSE)),"",_xlfn.REGEXEXTRACT(CELL("address",X62), "\$([A-Z]+)\$[0-9]+"))),_xlfn.REGEXEXTRACT(CELL("address",X62), "\$([A-Z]+)\$[0-9]+"))</f>
        <v/>
      </c>
    </row>
    <row r="63" spans="2:24" x14ac:dyDescent="0.25">
      <c r="B63" s="7" t="str" cm="1">
        <f t="array" aca="1" ref="B63" ca="1">IFERROR(IF(OR('Raw Data'!B63="",LEN(TRIM('Raw Data'!B63))=0),"",IF(AND(LEN('Raw Data'!B63) &lt;= 50,LEN('Raw Data'!B63)&gt; 0),"",_xlfn.REGEXEXTRACT(CELL("address",'Raw Data'!B63),"\$([A-Z]+)\$[0-9]+"))),_xlfn.REGEXEXTRACT(CELL("address",'Raw Data'!B63),"\$([A-Z]+)\$[0-9]+"))</f>
        <v/>
      </c>
      <c r="C63" s="7" t="str" cm="1">
        <f t="array" aca="1" ref="C63" ca="1">IFERROR(IF(OR('Raw Data'!C63="",LEN(TRIM('Raw Data'!C63))=0),"",IF(AND(LEN('Raw Data'!C63) &lt;= 50,LEN('Raw Data'!C63)&gt; 0),"",_xlfn.REGEXEXTRACT(CELL("address",'Raw Data'!C63),"\$([A-Z]+)\$[0-9]+"))),_xlfn.REGEXEXTRACT(CELL("address",'Raw Data'!C63),"\$([A-Z]+)\$[0-9]+"))</f>
        <v/>
      </c>
      <c r="D63" s="7" t="str" cm="1">
        <f t="array" aca="1" ref="D63" ca="1">IFERROR(IF(OR('Raw Data'!D63="",LEN(TRIM('Raw Data'!D63))=0),"",IF(AND(LEN('Raw Data'!D63) &lt;= 255,LEN('Raw Data'!D63)&gt; 0),"",_xlfn.REGEXEXTRACT(CELL("address",'Raw Data'!D63),"\$([A-Z]+)\$[0-9]+"))),_xlfn.REGEXEXTRACT(CELL("address",'Raw Data'!D63),"\$([A-Z]+)\$[0-9]+"))</f>
        <v/>
      </c>
      <c r="E63" s="7" t="str" cm="1">
        <f t="array" aca="1" ref="E63" ca="1">IFERROR(IF(OR('Raw Data'!E63="",LEN(TRIM('Raw Data'!E63))=0),"",IF(AND(ISNUMBER('Raw Data'!E63),'Raw Data'!E63&gt;=Configuration!$D$2),"",_xlfn.REGEXEXTRACT(CELL("address",'Raw Data'!E63),"\$([A-Z]+)\$[0-9]+"))),_xlfn.REGEXEXTRACT(CELL("address",E63), "\$([A-Z]+)\$[0-9]+"))</f>
        <v/>
      </c>
      <c r="F63" s="7" t="str" cm="1">
        <f t="array" aca="1" ref="F63" ca="1">IFERROR(IF(OR('Raw Data'!F63="",LEN(TRIM('Raw Data'!F63))=0),"",IF(AND(LEN('Raw Data'!F63) &lt;= 20,LEN('Raw Data'!F63)&gt; 0),"",_xlfn.REGEXEXTRACT(CELL("address",'Raw Data'!F63),"\$([A-Z]+)\$[0-9]+"))),_xlfn.REGEXEXTRACT(CELL("address",'Raw Data'!F63),"\$([A-Z]+)\$[0-9]+"))</f>
        <v/>
      </c>
      <c r="G63" s="7" t="str" cm="1">
        <f t="array" aca="1" ref="G63" ca="1">IFERROR(IF(OR('Raw Data'!G63="",LEN(TRIM('Raw Data'!G63))=0),"",IF(AND(ISNUMBER('Raw Data'!G63), IFERROR('Raw Data'!G63 = ROUND('Raw Data'!G63, 2),FALSE)),"",_xlfn.REGEXEXTRACT(CELL("address",G63), "\$([A-Z]+)\$[0-9]+"))),_xlfn.REGEXEXTRACT(CELL("address",G63), "\$([A-Z]+)\$[0-9]+"))</f>
        <v/>
      </c>
      <c r="H63" s="7" t="str" cm="1">
        <f t="array" aca="1" ref="H63" ca="1">IFERROR(IF(OR('Raw Data'!H63="",LEN(TRIM('Raw Data'!H63))=0),"",IF(AND(ISNUMBER('Raw Data'!H63), IFERROR('Raw Data'!H63 = ROUND('Raw Data'!H63, 2),FALSE)),"",_xlfn.REGEXEXTRACT(CELL("address",H63), "\$([A-Z]+)\$[0-9]+"))),_xlfn.REGEXEXTRACT(CELL("address",H63), "\$([A-Z]+)\$[0-9]+"))</f>
        <v/>
      </c>
      <c r="I63" s="7" t="str" cm="1">
        <f t="array" aca="1" ref="I63" ca="1">IFERROR(IF(OR('Raw Data'!I63="",LEN(TRIM('Raw Data'!I63))=0),"",IF(AND(LEN('Raw Data'!I63) &lt;= 50,LEN('Raw Data'!I63)&gt; 0),"",_xlfn.REGEXEXTRACT(CELL("address",'Raw Data'!I63),"\$([A-Z]+)\$[0-9]+"))),_xlfn.REGEXEXTRACT(CELL("address",'Raw Data'!I63),"\$([A-Z]+)\$[0-9]+"))</f>
        <v/>
      </c>
      <c r="J63" s="7" t="str" cm="1">
        <f t="array" aca="1" ref="J63" ca="1">IFERROR(IF(OR('Raw Data'!J63="",LEN(TRIM('Raw Data'!J63))=0),"",IF(AND(ISNUMBER('Raw Data'!J63),'Raw Data'!J63&gt;=Configuration!$D$2),"",_xlfn.REGEXEXTRACT(CELL("address",'Raw Data'!J63),"\$([A-Z]+)\$[0-9]+"))),_xlfn.REGEXEXTRACT(CELL("address",J63), "\$([A-Z]+)\$[0-9]+"))</f>
        <v/>
      </c>
      <c r="K63" s="7" t="str" cm="1">
        <f t="array" aca="1" ref="K63" ca="1">IFERROR(IF(OR('Raw Data'!K63="",LEN(TRIM('Raw Data'!K63))=0),"",IF(AND(ISNUMBER('Raw Data'!K63), IFERROR('Raw Data'!K63 = ROUND('Raw Data'!K63, 2),FALSE)),"",_xlfn.REGEXEXTRACT(CELL("address",K63), "\$([A-Z]+)\$[0-9]+"))),_xlfn.REGEXEXTRACT(CELL("address",K63), "\$([A-Z]+)\$[0-9]+"))</f>
        <v/>
      </c>
      <c r="L63" s="7" t="str" cm="1">
        <f t="array" aca="1" ref="L63" ca="1">IFERROR(IF(OR('Raw Data'!L63="",LEN(TRIM('Raw Data'!L63))=0),"",IF(AND(ISNUMBER('Raw Data'!L63), IFERROR('Raw Data'!L63 = ROUND('Raw Data'!L63, 2),FALSE)),"",_xlfn.REGEXEXTRACT(CELL("address",L63), "\$([A-Z]+)\$[0-9]+"))),_xlfn.REGEXEXTRACT(CELL("address",L63), "\$([A-Z]+)\$[0-9]+"))</f>
        <v/>
      </c>
      <c r="M63" s="7" t="str" cm="1">
        <f t="array" aca="1" ref="M63" ca="1">IFERROR(IF(OR('Raw Data'!M63="",LEN(TRIM('Raw Data'!M63))=0),"",IF(AND(ISNUMBER('Raw Data'!M63), IFERROR('Raw Data'!M63 = ROUND('Raw Data'!M63, 2),FALSE)),"",_xlfn.REGEXEXTRACT(CELL("address",M63), "\$([A-Z]+)\$[0-9]+"))),_xlfn.REGEXEXTRACT(CELL("address",M63), "\$([A-Z]+)\$[0-9]+"))</f>
        <v/>
      </c>
      <c r="N63" s="7" t="str" cm="1">
        <f t="array" aca="1" ref="N63" ca="1">IFERROR(IF(OR('Raw Data'!N63="",LEN(TRIM('Raw Data'!N63))=0),"",IF(AND(ISNUMBER('Raw Data'!N63), IFERROR('Raw Data'!N63 = ROUND('Raw Data'!N63, 2),FALSE)),"",_xlfn.REGEXEXTRACT(CELL("address",N63), "\$([A-Z]+)\$[0-9]+"))),_xlfn.REGEXEXTRACT(CELL("address",N63), "\$([A-Z]+)\$[0-9]+"))</f>
        <v/>
      </c>
      <c r="O63" s="7" t="str" cm="1">
        <f t="array" aca="1" ref="O63" ca="1">IFERROR(IF(OR('Raw Data'!O63="",LEN(TRIM('Raw Data'!O63))=0),"",IF(AND(ISNUMBER('Raw Data'!O63), IFERROR('Raw Data'!O63 = ROUND('Raw Data'!O63, 2),FALSE)),"",_xlfn.REGEXEXTRACT(CELL("address",O63), "\$([A-Z]+)\$[0-9]+"))),_xlfn.REGEXEXTRACT(CELL("address",O63), "\$([A-Z]+)\$[0-9]+"))</f>
        <v/>
      </c>
      <c r="P63" s="7" t="str" cm="1">
        <f t="array" aca="1" ref="P63" ca="1">IFERROR(IF(OR('Raw Data'!P63="",LEN(TRIM('Raw Data'!P63))=0),"",IF(AND(ISNUMBER('Raw Data'!P63),'Raw Data'!P63&gt;=Configuration!$D$2),"",_xlfn.REGEXEXTRACT(CELL("address",'Raw Data'!P63),"\$([A-Z]+)\$[0-9]+"))),_xlfn.REGEXEXTRACT(CELL("address",P63), "\$([A-Z]+)\$[0-9]+"))</f>
        <v/>
      </c>
      <c r="Q63" s="7" t="str" cm="1">
        <f t="array" aca="1" ref="Q63" ca="1">IFERROR(IF(OR('Raw Data'!Q63="",LEN(TRIM('Raw Data'!Q63))=0),"",IF(AND(ISNUMBER('Raw Data'!Q63),'Raw Data'!Q63&gt;=Configuration!$D$2),"",_xlfn.REGEXEXTRACT(CELL("address",'Raw Data'!Q63),"\$([A-Z]+)\$[0-9]+"))),_xlfn.REGEXEXTRACT(CELL("address",Q63), "\$([A-Z]+)\$[0-9]+"))</f>
        <v/>
      </c>
      <c r="R63" s="7" t="str" cm="1">
        <f t="array" aca="1" ref="R63" ca="1">IFERROR(IF(OR('Raw Data'!R63="",LEN(TRIM('Raw Data'!R63))=0),"",IF(AND(ISNUMBER('Raw Data'!R63), IFERROR('Raw Data'!R63 = ROUND('Raw Data'!R63, 2),FALSE)),"",_xlfn.REGEXEXTRACT(CELL("address",R63), "\$([A-Z]+)\$[0-9]+"))),_xlfn.REGEXEXTRACT(CELL("address",R63), "\$([A-Z]+)\$[0-9]+"))</f>
        <v/>
      </c>
      <c r="S63" s="7" t="str" cm="1">
        <f t="array" aca="1" ref="S63" ca="1">IFERROR(IF(OR('Raw Data'!S63="",LEN(TRIM('Raw Data'!S63))=0),"",IF(AND(ISNUMBER('Raw Data'!S63), IFERROR('Raw Data'!S63 = ROUND('Raw Data'!S63, 2),FALSE)),"",_xlfn.REGEXEXTRACT(CELL("address",S63), "\$([A-Z]+)\$[0-9]+"))),_xlfn.REGEXEXTRACT(CELL("address",S63), "\$([A-Z]+)\$[0-9]+"))</f>
        <v/>
      </c>
      <c r="T63" s="7" t="str" cm="1">
        <f t="array" aca="1" ref="T63" ca="1">IFERROR(IF(OR('Raw Data'!T63="",LEN(TRIM('Raw Data'!T63))=0),"",IF(AND(ISNUMBER('Raw Data'!T63), IFERROR('Raw Data'!T63 = ROUND('Raw Data'!T63, 2),FALSE)),"",_xlfn.REGEXEXTRACT(CELL("address",T63), "\$([A-Z]+)\$[0-9]+"))),_xlfn.REGEXEXTRACT(CELL("address",T63), "\$([A-Z]+)\$[0-9]+"))</f>
        <v/>
      </c>
      <c r="U63" s="7" t="str" cm="1">
        <f t="array" aca="1" ref="U63" ca="1">IFERROR(IF(OR('Raw Data'!U63="",LEN(TRIM('Raw Data'!U63))=0),"",IF(AND(LEN('Raw Data'!U63) &lt;= 5,LEN('Raw Data'!U63)&gt; 0),"",_xlfn.REGEXEXTRACT(CELL("address",'Raw Data'!U63),"\$([A-Z]+)\$[0-9]+"))),_xlfn.REGEXEXTRACT(CELL("address",'Raw Data'!U63),"\$([A-Z]+)\$[0-9]+"))</f>
        <v/>
      </c>
      <c r="V63" s="7" t="str" cm="1">
        <f t="array" aca="1" ref="V63" ca="1">IFERROR(IF(OR('Raw Data'!V63="",LEN(TRIM('Raw Data'!V63))=0),"",IF(AND(ISNUMBER('Raw Data'!V63), IFERROR('Raw Data'!V63 = ROUND('Raw Data'!V63, 2),FALSE)),"",_xlfn.REGEXEXTRACT(CELL("address",V63), "\$([A-Z]+)\$[0-9]+"))),_xlfn.REGEXEXTRACT(CELL("address",V63), "\$([A-Z]+)\$[0-9]+"))</f>
        <v/>
      </c>
      <c r="W63" s="7" t="str" cm="1">
        <f t="array" aca="1" ref="W63" ca="1">IFERROR(IF(OR('Raw Data'!W63="",LEN(TRIM('Raw Data'!W63))=0),"",IF(AND(ISNUMBER('Raw Data'!W63), IFERROR('Raw Data'!W63 = ROUND('Raw Data'!W63, 2),FALSE)),"",_xlfn.REGEXEXTRACT(CELL("address",W63), "\$([A-Z]+)\$[0-9]+"))),_xlfn.REGEXEXTRACT(CELL("address",W63), "\$([A-Z]+)\$[0-9]+"))</f>
        <v/>
      </c>
      <c r="X63" s="7" t="str" cm="1">
        <f t="array" aca="1" ref="X63" ca="1">IFERROR(IF(OR('Raw Data'!X63="",LEN(TRIM('Raw Data'!X63))=0),"",IF(AND(ISNUMBER('Raw Data'!X63), IFERROR('Raw Data'!X63 = ROUND('Raw Data'!X63, 2),FALSE)),"",_xlfn.REGEXEXTRACT(CELL("address",X63), "\$([A-Z]+)\$[0-9]+"))),_xlfn.REGEXEXTRACT(CELL("address",X63), "\$([A-Z]+)\$[0-9]+"))</f>
        <v/>
      </c>
    </row>
    <row r="64" spans="2:24" x14ac:dyDescent="0.25">
      <c r="B64" s="7" t="str" cm="1">
        <f t="array" aca="1" ref="B64" ca="1">IFERROR(IF(OR('Raw Data'!B64="",LEN(TRIM('Raw Data'!B64))=0),"",IF(AND(LEN('Raw Data'!B64) &lt;= 50,LEN('Raw Data'!B64)&gt; 0),"",_xlfn.REGEXEXTRACT(CELL("address",'Raw Data'!B64),"\$([A-Z]+)\$[0-9]+"))),_xlfn.REGEXEXTRACT(CELL("address",'Raw Data'!B64),"\$([A-Z]+)\$[0-9]+"))</f>
        <v/>
      </c>
      <c r="C64" s="7" t="str" cm="1">
        <f t="array" aca="1" ref="C64" ca="1">IFERROR(IF(OR('Raw Data'!C64="",LEN(TRIM('Raw Data'!C64))=0),"",IF(AND(LEN('Raw Data'!C64) &lt;= 50,LEN('Raw Data'!C64)&gt; 0),"",_xlfn.REGEXEXTRACT(CELL("address",'Raw Data'!C64),"\$([A-Z]+)\$[0-9]+"))),_xlfn.REGEXEXTRACT(CELL("address",'Raw Data'!C64),"\$([A-Z]+)\$[0-9]+"))</f>
        <v/>
      </c>
      <c r="D64" s="7" t="str" cm="1">
        <f t="array" aca="1" ref="D64" ca="1">IFERROR(IF(OR('Raw Data'!D64="",LEN(TRIM('Raw Data'!D64))=0),"",IF(AND(LEN('Raw Data'!D64) &lt;= 255,LEN('Raw Data'!D64)&gt; 0),"",_xlfn.REGEXEXTRACT(CELL("address",'Raw Data'!D64),"\$([A-Z]+)\$[0-9]+"))),_xlfn.REGEXEXTRACT(CELL("address",'Raw Data'!D64),"\$([A-Z]+)\$[0-9]+"))</f>
        <v/>
      </c>
      <c r="E64" s="7" t="str" cm="1">
        <f t="array" aca="1" ref="E64" ca="1">IFERROR(IF(OR('Raw Data'!E64="",LEN(TRIM('Raw Data'!E64))=0),"",IF(AND(ISNUMBER('Raw Data'!E64),'Raw Data'!E64&gt;=Configuration!$D$2),"",_xlfn.REGEXEXTRACT(CELL("address",'Raw Data'!E64),"\$([A-Z]+)\$[0-9]+"))),_xlfn.REGEXEXTRACT(CELL("address",E64), "\$([A-Z]+)\$[0-9]+"))</f>
        <v/>
      </c>
      <c r="F64" s="7" t="str" cm="1">
        <f t="array" aca="1" ref="F64" ca="1">IFERROR(IF(OR('Raw Data'!F64="",LEN(TRIM('Raw Data'!F64))=0),"",IF(AND(LEN('Raw Data'!F64) &lt;= 20,LEN('Raw Data'!F64)&gt; 0),"",_xlfn.REGEXEXTRACT(CELL("address",'Raw Data'!F64),"\$([A-Z]+)\$[0-9]+"))),_xlfn.REGEXEXTRACT(CELL("address",'Raw Data'!F64),"\$([A-Z]+)\$[0-9]+"))</f>
        <v/>
      </c>
      <c r="G64" s="7" t="str" cm="1">
        <f t="array" aca="1" ref="G64" ca="1">IFERROR(IF(OR('Raw Data'!G64="",LEN(TRIM('Raw Data'!G64))=0),"",IF(AND(ISNUMBER('Raw Data'!G64), IFERROR('Raw Data'!G64 = ROUND('Raw Data'!G64, 2),FALSE)),"",_xlfn.REGEXEXTRACT(CELL("address",G64), "\$([A-Z]+)\$[0-9]+"))),_xlfn.REGEXEXTRACT(CELL("address",G64), "\$([A-Z]+)\$[0-9]+"))</f>
        <v/>
      </c>
      <c r="H64" s="7" t="str" cm="1">
        <f t="array" aca="1" ref="H64" ca="1">IFERROR(IF(OR('Raw Data'!H64="",LEN(TRIM('Raw Data'!H64))=0),"",IF(AND(ISNUMBER('Raw Data'!H64), IFERROR('Raw Data'!H64 = ROUND('Raw Data'!H64, 2),FALSE)),"",_xlfn.REGEXEXTRACT(CELL("address",H64), "\$([A-Z]+)\$[0-9]+"))),_xlfn.REGEXEXTRACT(CELL("address",H64), "\$([A-Z]+)\$[0-9]+"))</f>
        <v/>
      </c>
      <c r="I64" s="7" t="str" cm="1">
        <f t="array" aca="1" ref="I64" ca="1">IFERROR(IF(OR('Raw Data'!I64="",LEN(TRIM('Raw Data'!I64))=0),"",IF(AND(LEN('Raw Data'!I64) &lt;= 50,LEN('Raw Data'!I64)&gt; 0),"",_xlfn.REGEXEXTRACT(CELL("address",'Raw Data'!I64),"\$([A-Z]+)\$[0-9]+"))),_xlfn.REGEXEXTRACT(CELL("address",'Raw Data'!I64),"\$([A-Z]+)\$[0-9]+"))</f>
        <v/>
      </c>
      <c r="J64" s="7" t="str" cm="1">
        <f t="array" aca="1" ref="J64" ca="1">IFERROR(IF(OR('Raw Data'!J64="",LEN(TRIM('Raw Data'!J64))=0),"",IF(AND(ISNUMBER('Raw Data'!J64),'Raw Data'!J64&gt;=Configuration!$D$2),"",_xlfn.REGEXEXTRACT(CELL("address",'Raw Data'!J64),"\$([A-Z]+)\$[0-9]+"))),_xlfn.REGEXEXTRACT(CELL("address",J64), "\$([A-Z]+)\$[0-9]+"))</f>
        <v/>
      </c>
      <c r="K64" s="7" t="str" cm="1">
        <f t="array" aca="1" ref="K64" ca="1">IFERROR(IF(OR('Raw Data'!K64="",LEN(TRIM('Raw Data'!K64))=0),"",IF(AND(ISNUMBER('Raw Data'!K64), IFERROR('Raw Data'!K64 = ROUND('Raw Data'!K64, 2),FALSE)),"",_xlfn.REGEXEXTRACT(CELL("address",K64), "\$([A-Z]+)\$[0-9]+"))),_xlfn.REGEXEXTRACT(CELL("address",K64), "\$([A-Z]+)\$[0-9]+"))</f>
        <v/>
      </c>
      <c r="L64" s="7" t="str" cm="1">
        <f t="array" aca="1" ref="L64" ca="1">IFERROR(IF(OR('Raw Data'!L64="",LEN(TRIM('Raw Data'!L64))=0),"",IF(AND(ISNUMBER('Raw Data'!L64), IFERROR('Raw Data'!L64 = ROUND('Raw Data'!L64, 2),FALSE)),"",_xlfn.REGEXEXTRACT(CELL("address",L64), "\$([A-Z]+)\$[0-9]+"))),_xlfn.REGEXEXTRACT(CELL("address",L64), "\$([A-Z]+)\$[0-9]+"))</f>
        <v/>
      </c>
      <c r="M64" s="7" t="str" cm="1">
        <f t="array" aca="1" ref="M64" ca="1">IFERROR(IF(OR('Raw Data'!M64="",LEN(TRIM('Raw Data'!M64))=0),"",IF(AND(ISNUMBER('Raw Data'!M64), IFERROR('Raw Data'!M64 = ROUND('Raw Data'!M64, 2),FALSE)),"",_xlfn.REGEXEXTRACT(CELL("address",M64), "\$([A-Z]+)\$[0-9]+"))),_xlfn.REGEXEXTRACT(CELL("address",M64), "\$([A-Z]+)\$[0-9]+"))</f>
        <v/>
      </c>
      <c r="N64" s="7" t="str" cm="1">
        <f t="array" aca="1" ref="N64" ca="1">IFERROR(IF(OR('Raw Data'!N64="",LEN(TRIM('Raw Data'!N64))=0),"",IF(AND(ISNUMBER('Raw Data'!N64), IFERROR('Raw Data'!N64 = ROUND('Raw Data'!N64, 2),FALSE)),"",_xlfn.REGEXEXTRACT(CELL("address",N64), "\$([A-Z]+)\$[0-9]+"))),_xlfn.REGEXEXTRACT(CELL("address",N64), "\$([A-Z]+)\$[0-9]+"))</f>
        <v/>
      </c>
      <c r="O64" s="7" t="str" cm="1">
        <f t="array" aca="1" ref="O64" ca="1">IFERROR(IF(OR('Raw Data'!O64="",LEN(TRIM('Raw Data'!O64))=0),"",IF(AND(ISNUMBER('Raw Data'!O64), IFERROR('Raw Data'!O64 = ROUND('Raw Data'!O64, 2),FALSE)),"",_xlfn.REGEXEXTRACT(CELL("address",O64), "\$([A-Z]+)\$[0-9]+"))),_xlfn.REGEXEXTRACT(CELL("address",O64), "\$([A-Z]+)\$[0-9]+"))</f>
        <v/>
      </c>
      <c r="P64" s="7" t="str" cm="1">
        <f t="array" aca="1" ref="P64" ca="1">IFERROR(IF(OR('Raw Data'!P64="",LEN(TRIM('Raw Data'!P64))=0),"",IF(AND(ISNUMBER('Raw Data'!P64),'Raw Data'!P64&gt;=Configuration!$D$2),"",_xlfn.REGEXEXTRACT(CELL("address",'Raw Data'!P64),"\$([A-Z]+)\$[0-9]+"))),_xlfn.REGEXEXTRACT(CELL("address",P64), "\$([A-Z]+)\$[0-9]+"))</f>
        <v/>
      </c>
      <c r="Q64" s="7" t="str" cm="1">
        <f t="array" aca="1" ref="Q64" ca="1">IFERROR(IF(OR('Raw Data'!Q64="",LEN(TRIM('Raw Data'!Q64))=0),"",IF(AND(ISNUMBER('Raw Data'!Q64),'Raw Data'!Q64&gt;=Configuration!$D$2),"",_xlfn.REGEXEXTRACT(CELL("address",'Raw Data'!Q64),"\$([A-Z]+)\$[0-9]+"))),_xlfn.REGEXEXTRACT(CELL("address",Q64), "\$([A-Z]+)\$[0-9]+"))</f>
        <v/>
      </c>
      <c r="R64" s="7" t="str" cm="1">
        <f t="array" aca="1" ref="R64" ca="1">IFERROR(IF(OR('Raw Data'!R64="",LEN(TRIM('Raw Data'!R64))=0),"",IF(AND(ISNUMBER('Raw Data'!R64), IFERROR('Raw Data'!R64 = ROUND('Raw Data'!R64, 2),FALSE)),"",_xlfn.REGEXEXTRACT(CELL("address",R64), "\$([A-Z]+)\$[0-9]+"))),_xlfn.REGEXEXTRACT(CELL("address",R64), "\$([A-Z]+)\$[0-9]+"))</f>
        <v/>
      </c>
      <c r="S64" s="7" t="str" cm="1">
        <f t="array" aca="1" ref="S64" ca="1">IFERROR(IF(OR('Raw Data'!S64="",LEN(TRIM('Raw Data'!S64))=0),"",IF(AND(ISNUMBER('Raw Data'!S64), IFERROR('Raw Data'!S64 = ROUND('Raw Data'!S64, 2),FALSE)),"",_xlfn.REGEXEXTRACT(CELL("address",S64), "\$([A-Z]+)\$[0-9]+"))),_xlfn.REGEXEXTRACT(CELL("address",S64), "\$([A-Z]+)\$[0-9]+"))</f>
        <v/>
      </c>
      <c r="T64" s="7" t="str" cm="1">
        <f t="array" aca="1" ref="T64" ca="1">IFERROR(IF(OR('Raw Data'!T64="",LEN(TRIM('Raw Data'!T64))=0),"",IF(AND(ISNUMBER('Raw Data'!T64), IFERROR('Raw Data'!T64 = ROUND('Raw Data'!T64, 2),FALSE)),"",_xlfn.REGEXEXTRACT(CELL("address",T64), "\$([A-Z]+)\$[0-9]+"))),_xlfn.REGEXEXTRACT(CELL("address",T64), "\$([A-Z]+)\$[0-9]+"))</f>
        <v/>
      </c>
      <c r="U64" s="7" t="str" cm="1">
        <f t="array" aca="1" ref="U64" ca="1">IFERROR(IF(OR('Raw Data'!U64="",LEN(TRIM('Raw Data'!U64))=0),"",IF(AND(LEN('Raw Data'!U64) &lt;= 5,LEN('Raw Data'!U64)&gt; 0),"",_xlfn.REGEXEXTRACT(CELL("address",'Raw Data'!U64),"\$([A-Z]+)\$[0-9]+"))),_xlfn.REGEXEXTRACT(CELL("address",'Raw Data'!U64),"\$([A-Z]+)\$[0-9]+"))</f>
        <v/>
      </c>
      <c r="V64" s="7" t="str" cm="1">
        <f t="array" aca="1" ref="V64" ca="1">IFERROR(IF(OR('Raw Data'!V64="",LEN(TRIM('Raw Data'!V64))=0),"",IF(AND(ISNUMBER('Raw Data'!V64), IFERROR('Raw Data'!V64 = ROUND('Raw Data'!V64, 2),FALSE)),"",_xlfn.REGEXEXTRACT(CELL("address",V64), "\$([A-Z]+)\$[0-9]+"))),_xlfn.REGEXEXTRACT(CELL("address",V64), "\$([A-Z]+)\$[0-9]+"))</f>
        <v/>
      </c>
      <c r="W64" s="7" t="str" cm="1">
        <f t="array" aca="1" ref="W64" ca="1">IFERROR(IF(OR('Raw Data'!W64="",LEN(TRIM('Raw Data'!W64))=0),"",IF(AND(ISNUMBER('Raw Data'!W64), IFERROR('Raw Data'!W64 = ROUND('Raw Data'!W64, 2),FALSE)),"",_xlfn.REGEXEXTRACT(CELL("address",W64), "\$([A-Z]+)\$[0-9]+"))),_xlfn.REGEXEXTRACT(CELL("address",W64), "\$([A-Z]+)\$[0-9]+"))</f>
        <v/>
      </c>
      <c r="X64" s="7" t="str" cm="1">
        <f t="array" aca="1" ref="X64" ca="1">IFERROR(IF(OR('Raw Data'!X64="",LEN(TRIM('Raw Data'!X64))=0),"",IF(AND(ISNUMBER('Raw Data'!X64), IFERROR('Raw Data'!X64 = ROUND('Raw Data'!X64, 2),FALSE)),"",_xlfn.REGEXEXTRACT(CELL("address",X64), "\$([A-Z]+)\$[0-9]+"))),_xlfn.REGEXEXTRACT(CELL("address",X64), "\$([A-Z]+)\$[0-9]+"))</f>
        <v/>
      </c>
    </row>
    <row r="65" spans="2:24" x14ac:dyDescent="0.25">
      <c r="B65" s="7" t="str" cm="1">
        <f t="array" aca="1" ref="B65" ca="1">IFERROR(IF(OR('Raw Data'!B65="",LEN(TRIM('Raw Data'!B65))=0),"",IF(AND(LEN('Raw Data'!B65) &lt;= 50,LEN('Raw Data'!B65)&gt; 0),"",_xlfn.REGEXEXTRACT(CELL("address",'Raw Data'!B65),"\$([A-Z]+)\$[0-9]+"))),_xlfn.REGEXEXTRACT(CELL("address",'Raw Data'!B65),"\$([A-Z]+)\$[0-9]+"))</f>
        <v/>
      </c>
      <c r="C65" s="7" t="str" cm="1">
        <f t="array" aca="1" ref="C65" ca="1">IFERROR(IF(OR('Raw Data'!C65="",LEN(TRIM('Raw Data'!C65))=0),"",IF(AND(LEN('Raw Data'!C65) &lt;= 50,LEN('Raw Data'!C65)&gt; 0),"",_xlfn.REGEXEXTRACT(CELL("address",'Raw Data'!C65),"\$([A-Z]+)\$[0-9]+"))),_xlfn.REGEXEXTRACT(CELL("address",'Raw Data'!C65),"\$([A-Z]+)\$[0-9]+"))</f>
        <v/>
      </c>
      <c r="D65" s="7" t="str" cm="1">
        <f t="array" aca="1" ref="D65" ca="1">IFERROR(IF(OR('Raw Data'!D65="",LEN(TRIM('Raw Data'!D65))=0),"",IF(AND(LEN('Raw Data'!D65) &lt;= 255,LEN('Raw Data'!D65)&gt; 0),"",_xlfn.REGEXEXTRACT(CELL("address",'Raw Data'!D65),"\$([A-Z]+)\$[0-9]+"))),_xlfn.REGEXEXTRACT(CELL("address",'Raw Data'!D65),"\$([A-Z]+)\$[0-9]+"))</f>
        <v/>
      </c>
      <c r="E65" s="7" t="str" cm="1">
        <f t="array" aca="1" ref="E65" ca="1">IFERROR(IF(OR('Raw Data'!E65="",LEN(TRIM('Raw Data'!E65))=0),"",IF(AND(ISNUMBER('Raw Data'!E65),'Raw Data'!E65&gt;=Configuration!$D$2),"",_xlfn.REGEXEXTRACT(CELL("address",'Raw Data'!E65),"\$([A-Z]+)\$[0-9]+"))),_xlfn.REGEXEXTRACT(CELL("address",E65), "\$([A-Z]+)\$[0-9]+"))</f>
        <v/>
      </c>
      <c r="F65" s="7" t="str" cm="1">
        <f t="array" aca="1" ref="F65" ca="1">IFERROR(IF(OR('Raw Data'!F65="",LEN(TRIM('Raw Data'!F65))=0),"",IF(AND(LEN('Raw Data'!F65) &lt;= 20,LEN('Raw Data'!F65)&gt; 0),"",_xlfn.REGEXEXTRACT(CELL("address",'Raw Data'!F65),"\$([A-Z]+)\$[0-9]+"))),_xlfn.REGEXEXTRACT(CELL("address",'Raw Data'!F65),"\$([A-Z]+)\$[0-9]+"))</f>
        <v/>
      </c>
      <c r="G65" s="7" t="str" cm="1">
        <f t="array" aca="1" ref="G65" ca="1">IFERROR(IF(OR('Raw Data'!G65="",LEN(TRIM('Raw Data'!G65))=0),"",IF(AND(ISNUMBER('Raw Data'!G65), IFERROR('Raw Data'!G65 = ROUND('Raw Data'!G65, 2),FALSE)),"",_xlfn.REGEXEXTRACT(CELL("address",G65), "\$([A-Z]+)\$[0-9]+"))),_xlfn.REGEXEXTRACT(CELL("address",G65), "\$([A-Z]+)\$[0-9]+"))</f>
        <v/>
      </c>
      <c r="H65" s="7" t="str" cm="1">
        <f t="array" aca="1" ref="H65" ca="1">IFERROR(IF(OR('Raw Data'!H65="",LEN(TRIM('Raw Data'!H65))=0),"",IF(AND(ISNUMBER('Raw Data'!H65), IFERROR('Raw Data'!H65 = ROUND('Raw Data'!H65, 2),FALSE)),"",_xlfn.REGEXEXTRACT(CELL("address",H65), "\$([A-Z]+)\$[0-9]+"))),_xlfn.REGEXEXTRACT(CELL("address",H65), "\$([A-Z]+)\$[0-9]+"))</f>
        <v/>
      </c>
      <c r="I65" s="7" t="str" cm="1">
        <f t="array" aca="1" ref="I65" ca="1">IFERROR(IF(OR('Raw Data'!I65="",LEN(TRIM('Raw Data'!I65))=0),"",IF(AND(LEN('Raw Data'!I65) &lt;= 50,LEN('Raw Data'!I65)&gt; 0),"",_xlfn.REGEXEXTRACT(CELL("address",'Raw Data'!I65),"\$([A-Z]+)\$[0-9]+"))),_xlfn.REGEXEXTRACT(CELL("address",'Raw Data'!I65),"\$([A-Z]+)\$[0-9]+"))</f>
        <v/>
      </c>
      <c r="J65" s="7" t="str" cm="1">
        <f t="array" aca="1" ref="J65" ca="1">IFERROR(IF(OR('Raw Data'!J65="",LEN(TRIM('Raw Data'!J65))=0),"",IF(AND(ISNUMBER('Raw Data'!J65),'Raw Data'!J65&gt;=Configuration!$D$2),"",_xlfn.REGEXEXTRACT(CELL("address",'Raw Data'!J65),"\$([A-Z]+)\$[0-9]+"))),_xlfn.REGEXEXTRACT(CELL("address",J65), "\$([A-Z]+)\$[0-9]+"))</f>
        <v/>
      </c>
      <c r="K65" s="7" t="str" cm="1">
        <f t="array" aca="1" ref="K65" ca="1">IFERROR(IF(OR('Raw Data'!K65="",LEN(TRIM('Raw Data'!K65))=0),"",IF(AND(ISNUMBER('Raw Data'!K65), IFERROR('Raw Data'!K65 = ROUND('Raw Data'!K65, 2),FALSE)),"",_xlfn.REGEXEXTRACT(CELL("address",K65), "\$([A-Z]+)\$[0-9]+"))),_xlfn.REGEXEXTRACT(CELL("address",K65), "\$([A-Z]+)\$[0-9]+"))</f>
        <v/>
      </c>
      <c r="L65" s="7" t="str" cm="1">
        <f t="array" aca="1" ref="L65" ca="1">IFERROR(IF(OR('Raw Data'!L65="",LEN(TRIM('Raw Data'!L65))=0),"",IF(AND(ISNUMBER('Raw Data'!L65), IFERROR('Raw Data'!L65 = ROUND('Raw Data'!L65, 2),FALSE)),"",_xlfn.REGEXEXTRACT(CELL("address",L65), "\$([A-Z]+)\$[0-9]+"))),_xlfn.REGEXEXTRACT(CELL("address",L65), "\$([A-Z]+)\$[0-9]+"))</f>
        <v/>
      </c>
      <c r="M65" s="7" t="str" cm="1">
        <f t="array" aca="1" ref="M65" ca="1">IFERROR(IF(OR('Raw Data'!M65="",LEN(TRIM('Raw Data'!M65))=0),"",IF(AND(ISNUMBER('Raw Data'!M65), IFERROR('Raw Data'!M65 = ROUND('Raw Data'!M65, 2),FALSE)),"",_xlfn.REGEXEXTRACT(CELL("address",M65), "\$([A-Z]+)\$[0-9]+"))),_xlfn.REGEXEXTRACT(CELL("address",M65), "\$([A-Z]+)\$[0-9]+"))</f>
        <v/>
      </c>
      <c r="N65" s="7" t="str" cm="1">
        <f t="array" aca="1" ref="N65" ca="1">IFERROR(IF(OR('Raw Data'!N65="",LEN(TRIM('Raw Data'!N65))=0),"",IF(AND(ISNUMBER('Raw Data'!N65), IFERROR('Raw Data'!N65 = ROUND('Raw Data'!N65, 2),FALSE)),"",_xlfn.REGEXEXTRACT(CELL("address",N65), "\$([A-Z]+)\$[0-9]+"))),_xlfn.REGEXEXTRACT(CELL("address",N65), "\$([A-Z]+)\$[0-9]+"))</f>
        <v/>
      </c>
      <c r="O65" s="7" t="str" cm="1">
        <f t="array" aca="1" ref="O65" ca="1">IFERROR(IF(OR('Raw Data'!O65="",LEN(TRIM('Raw Data'!O65))=0),"",IF(AND(ISNUMBER('Raw Data'!O65), IFERROR('Raw Data'!O65 = ROUND('Raw Data'!O65, 2),FALSE)),"",_xlfn.REGEXEXTRACT(CELL("address",O65), "\$([A-Z]+)\$[0-9]+"))),_xlfn.REGEXEXTRACT(CELL("address",O65), "\$([A-Z]+)\$[0-9]+"))</f>
        <v/>
      </c>
      <c r="P65" s="7" t="str" cm="1">
        <f t="array" aca="1" ref="P65" ca="1">IFERROR(IF(OR('Raw Data'!P65="",LEN(TRIM('Raw Data'!P65))=0),"",IF(AND(ISNUMBER('Raw Data'!P65),'Raw Data'!P65&gt;=Configuration!$D$2),"",_xlfn.REGEXEXTRACT(CELL("address",'Raw Data'!P65),"\$([A-Z]+)\$[0-9]+"))),_xlfn.REGEXEXTRACT(CELL("address",P65), "\$([A-Z]+)\$[0-9]+"))</f>
        <v/>
      </c>
      <c r="Q65" s="7" t="str" cm="1">
        <f t="array" aca="1" ref="Q65" ca="1">IFERROR(IF(OR('Raw Data'!Q65="",LEN(TRIM('Raw Data'!Q65))=0),"",IF(AND(ISNUMBER('Raw Data'!Q65),'Raw Data'!Q65&gt;=Configuration!$D$2),"",_xlfn.REGEXEXTRACT(CELL("address",'Raw Data'!Q65),"\$([A-Z]+)\$[0-9]+"))),_xlfn.REGEXEXTRACT(CELL("address",Q65), "\$([A-Z]+)\$[0-9]+"))</f>
        <v/>
      </c>
      <c r="R65" s="7" t="str" cm="1">
        <f t="array" aca="1" ref="R65" ca="1">IFERROR(IF(OR('Raw Data'!R65="",LEN(TRIM('Raw Data'!R65))=0),"",IF(AND(ISNUMBER('Raw Data'!R65), IFERROR('Raw Data'!R65 = ROUND('Raw Data'!R65, 2),FALSE)),"",_xlfn.REGEXEXTRACT(CELL("address",R65), "\$([A-Z]+)\$[0-9]+"))),_xlfn.REGEXEXTRACT(CELL("address",R65), "\$([A-Z]+)\$[0-9]+"))</f>
        <v/>
      </c>
      <c r="S65" s="7" t="str" cm="1">
        <f t="array" aca="1" ref="S65" ca="1">IFERROR(IF(OR('Raw Data'!S65="",LEN(TRIM('Raw Data'!S65))=0),"",IF(AND(ISNUMBER('Raw Data'!S65), IFERROR('Raw Data'!S65 = ROUND('Raw Data'!S65, 2),FALSE)),"",_xlfn.REGEXEXTRACT(CELL("address",S65), "\$([A-Z]+)\$[0-9]+"))),_xlfn.REGEXEXTRACT(CELL("address",S65), "\$([A-Z]+)\$[0-9]+"))</f>
        <v/>
      </c>
      <c r="T65" s="7" t="str" cm="1">
        <f t="array" aca="1" ref="T65" ca="1">IFERROR(IF(OR('Raw Data'!T65="",LEN(TRIM('Raw Data'!T65))=0),"",IF(AND(ISNUMBER('Raw Data'!T65), IFERROR('Raw Data'!T65 = ROUND('Raw Data'!T65, 2),FALSE)),"",_xlfn.REGEXEXTRACT(CELL("address",T65), "\$([A-Z]+)\$[0-9]+"))),_xlfn.REGEXEXTRACT(CELL("address",T65), "\$([A-Z]+)\$[0-9]+"))</f>
        <v/>
      </c>
      <c r="U65" s="7" t="str" cm="1">
        <f t="array" aca="1" ref="U65" ca="1">IFERROR(IF(OR('Raw Data'!U65="",LEN(TRIM('Raw Data'!U65))=0),"",IF(AND(LEN('Raw Data'!U65) &lt;= 5,LEN('Raw Data'!U65)&gt; 0),"",_xlfn.REGEXEXTRACT(CELL("address",'Raw Data'!U65),"\$([A-Z]+)\$[0-9]+"))),_xlfn.REGEXEXTRACT(CELL("address",'Raw Data'!U65),"\$([A-Z]+)\$[0-9]+"))</f>
        <v/>
      </c>
      <c r="V65" s="7" t="str" cm="1">
        <f t="array" aca="1" ref="V65" ca="1">IFERROR(IF(OR('Raw Data'!V65="",LEN(TRIM('Raw Data'!V65))=0),"",IF(AND(ISNUMBER('Raw Data'!V65), IFERROR('Raw Data'!V65 = ROUND('Raw Data'!V65, 2),FALSE)),"",_xlfn.REGEXEXTRACT(CELL("address",V65), "\$([A-Z]+)\$[0-9]+"))),_xlfn.REGEXEXTRACT(CELL("address",V65), "\$([A-Z]+)\$[0-9]+"))</f>
        <v/>
      </c>
      <c r="W65" s="7" t="str" cm="1">
        <f t="array" aca="1" ref="W65" ca="1">IFERROR(IF(OR('Raw Data'!W65="",LEN(TRIM('Raw Data'!W65))=0),"",IF(AND(ISNUMBER('Raw Data'!W65), IFERROR('Raw Data'!W65 = ROUND('Raw Data'!W65, 2),FALSE)),"",_xlfn.REGEXEXTRACT(CELL("address",W65), "\$([A-Z]+)\$[0-9]+"))),_xlfn.REGEXEXTRACT(CELL("address",W65), "\$([A-Z]+)\$[0-9]+"))</f>
        <v/>
      </c>
      <c r="X65" s="7" t="str" cm="1">
        <f t="array" aca="1" ref="X65" ca="1">IFERROR(IF(OR('Raw Data'!X65="",LEN(TRIM('Raw Data'!X65))=0),"",IF(AND(ISNUMBER('Raw Data'!X65), IFERROR('Raw Data'!X65 = ROUND('Raw Data'!X65, 2),FALSE)),"",_xlfn.REGEXEXTRACT(CELL("address",X65), "\$([A-Z]+)\$[0-9]+"))),_xlfn.REGEXEXTRACT(CELL("address",X65), "\$([A-Z]+)\$[0-9]+"))</f>
        <v/>
      </c>
    </row>
    <row r="66" spans="2:24" x14ac:dyDescent="0.25">
      <c r="B66" s="7" t="str" cm="1">
        <f t="array" aca="1" ref="B66" ca="1">IFERROR(IF(OR('Raw Data'!B66="",LEN(TRIM('Raw Data'!B66))=0),"",IF(AND(LEN('Raw Data'!B66) &lt;= 50,LEN('Raw Data'!B66)&gt; 0),"",_xlfn.REGEXEXTRACT(CELL("address",'Raw Data'!B66),"\$([A-Z]+)\$[0-9]+"))),_xlfn.REGEXEXTRACT(CELL("address",'Raw Data'!B66),"\$([A-Z]+)\$[0-9]+"))</f>
        <v/>
      </c>
      <c r="C66" s="7" t="str" cm="1">
        <f t="array" aca="1" ref="C66" ca="1">IFERROR(IF(OR('Raw Data'!C66="",LEN(TRIM('Raw Data'!C66))=0),"",IF(AND(LEN('Raw Data'!C66) &lt;= 50,LEN('Raw Data'!C66)&gt; 0),"",_xlfn.REGEXEXTRACT(CELL("address",'Raw Data'!C66),"\$([A-Z]+)\$[0-9]+"))),_xlfn.REGEXEXTRACT(CELL("address",'Raw Data'!C66),"\$([A-Z]+)\$[0-9]+"))</f>
        <v/>
      </c>
      <c r="D66" s="7" t="str" cm="1">
        <f t="array" aca="1" ref="D66" ca="1">IFERROR(IF(OR('Raw Data'!D66="",LEN(TRIM('Raw Data'!D66))=0),"",IF(AND(LEN('Raw Data'!D66) &lt;= 255,LEN('Raw Data'!D66)&gt; 0),"",_xlfn.REGEXEXTRACT(CELL("address",'Raw Data'!D66),"\$([A-Z]+)\$[0-9]+"))),_xlfn.REGEXEXTRACT(CELL("address",'Raw Data'!D66),"\$([A-Z]+)\$[0-9]+"))</f>
        <v/>
      </c>
      <c r="E66" s="7" t="str" cm="1">
        <f t="array" aca="1" ref="E66" ca="1">IFERROR(IF(OR('Raw Data'!E66="",LEN(TRIM('Raw Data'!E66))=0),"",IF(AND(ISNUMBER('Raw Data'!E66),'Raw Data'!E66&gt;=Configuration!$D$2),"",_xlfn.REGEXEXTRACT(CELL("address",'Raw Data'!E66),"\$([A-Z]+)\$[0-9]+"))),_xlfn.REGEXEXTRACT(CELL("address",E66), "\$([A-Z]+)\$[0-9]+"))</f>
        <v/>
      </c>
      <c r="F66" s="7" t="str" cm="1">
        <f t="array" aca="1" ref="F66" ca="1">IFERROR(IF(OR('Raw Data'!F66="",LEN(TRIM('Raw Data'!F66))=0),"",IF(AND(LEN('Raw Data'!F66) &lt;= 20,LEN('Raw Data'!F66)&gt; 0),"",_xlfn.REGEXEXTRACT(CELL("address",'Raw Data'!F66),"\$([A-Z]+)\$[0-9]+"))),_xlfn.REGEXEXTRACT(CELL("address",'Raw Data'!F66),"\$([A-Z]+)\$[0-9]+"))</f>
        <v/>
      </c>
      <c r="G66" s="7" t="str" cm="1">
        <f t="array" aca="1" ref="G66" ca="1">IFERROR(IF(OR('Raw Data'!G66="",LEN(TRIM('Raw Data'!G66))=0),"",IF(AND(ISNUMBER('Raw Data'!G66), IFERROR('Raw Data'!G66 = ROUND('Raw Data'!G66, 2),FALSE)),"",_xlfn.REGEXEXTRACT(CELL("address",G66), "\$([A-Z]+)\$[0-9]+"))),_xlfn.REGEXEXTRACT(CELL("address",G66), "\$([A-Z]+)\$[0-9]+"))</f>
        <v/>
      </c>
      <c r="H66" s="7" t="str" cm="1">
        <f t="array" aca="1" ref="H66" ca="1">IFERROR(IF(OR('Raw Data'!H66="",LEN(TRIM('Raw Data'!H66))=0),"",IF(AND(ISNUMBER('Raw Data'!H66), IFERROR('Raw Data'!H66 = ROUND('Raw Data'!H66, 2),FALSE)),"",_xlfn.REGEXEXTRACT(CELL("address",H66), "\$([A-Z]+)\$[0-9]+"))),_xlfn.REGEXEXTRACT(CELL("address",H66), "\$([A-Z]+)\$[0-9]+"))</f>
        <v/>
      </c>
      <c r="I66" s="7" t="str" cm="1">
        <f t="array" aca="1" ref="I66" ca="1">IFERROR(IF(OR('Raw Data'!I66="",LEN(TRIM('Raw Data'!I66))=0),"",IF(AND(LEN('Raw Data'!I66) &lt;= 50,LEN('Raw Data'!I66)&gt; 0),"",_xlfn.REGEXEXTRACT(CELL("address",'Raw Data'!I66),"\$([A-Z]+)\$[0-9]+"))),_xlfn.REGEXEXTRACT(CELL("address",'Raw Data'!I66),"\$([A-Z]+)\$[0-9]+"))</f>
        <v/>
      </c>
      <c r="J66" s="7" t="str" cm="1">
        <f t="array" aca="1" ref="J66" ca="1">IFERROR(IF(OR('Raw Data'!J66="",LEN(TRIM('Raw Data'!J66))=0),"",IF(AND(ISNUMBER('Raw Data'!J66),'Raw Data'!J66&gt;=Configuration!$D$2),"",_xlfn.REGEXEXTRACT(CELL("address",'Raw Data'!J66),"\$([A-Z]+)\$[0-9]+"))),_xlfn.REGEXEXTRACT(CELL("address",J66), "\$([A-Z]+)\$[0-9]+"))</f>
        <v/>
      </c>
      <c r="K66" s="7" t="str" cm="1">
        <f t="array" aca="1" ref="K66" ca="1">IFERROR(IF(OR('Raw Data'!K66="",LEN(TRIM('Raw Data'!K66))=0),"",IF(AND(ISNUMBER('Raw Data'!K66), IFERROR('Raw Data'!K66 = ROUND('Raw Data'!K66, 2),FALSE)),"",_xlfn.REGEXEXTRACT(CELL("address",K66), "\$([A-Z]+)\$[0-9]+"))),_xlfn.REGEXEXTRACT(CELL("address",K66), "\$([A-Z]+)\$[0-9]+"))</f>
        <v/>
      </c>
      <c r="L66" s="7" t="str" cm="1">
        <f t="array" aca="1" ref="L66" ca="1">IFERROR(IF(OR('Raw Data'!L66="",LEN(TRIM('Raw Data'!L66))=0),"",IF(AND(ISNUMBER('Raw Data'!L66), IFERROR('Raw Data'!L66 = ROUND('Raw Data'!L66, 2),FALSE)),"",_xlfn.REGEXEXTRACT(CELL("address",L66), "\$([A-Z]+)\$[0-9]+"))),_xlfn.REGEXEXTRACT(CELL("address",L66), "\$([A-Z]+)\$[0-9]+"))</f>
        <v/>
      </c>
      <c r="M66" s="7" t="str" cm="1">
        <f t="array" aca="1" ref="M66" ca="1">IFERROR(IF(OR('Raw Data'!M66="",LEN(TRIM('Raw Data'!M66))=0),"",IF(AND(ISNUMBER('Raw Data'!M66), IFERROR('Raw Data'!M66 = ROUND('Raw Data'!M66, 2),FALSE)),"",_xlfn.REGEXEXTRACT(CELL("address",M66), "\$([A-Z]+)\$[0-9]+"))),_xlfn.REGEXEXTRACT(CELL("address",M66), "\$([A-Z]+)\$[0-9]+"))</f>
        <v/>
      </c>
      <c r="N66" s="7" t="str" cm="1">
        <f t="array" aca="1" ref="N66" ca="1">IFERROR(IF(OR('Raw Data'!N66="",LEN(TRIM('Raw Data'!N66))=0),"",IF(AND(ISNUMBER('Raw Data'!N66), IFERROR('Raw Data'!N66 = ROUND('Raw Data'!N66, 2),FALSE)),"",_xlfn.REGEXEXTRACT(CELL("address",N66), "\$([A-Z]+)\$[0-9]+"))),_xlfn.REGEXEXTRACT(CELL("address",N66), "\$([A-Z]+)\$[0-9]+"))</f>
        <v/>
      </c>
      <c r="O66" s="7" t="str" cm="1">
        <f t="array" aca="1" ref="O66" ca="1">IFERROR(IF(OR('Raw Data'!O66="",LEN(TRIM('Raw Data'!O66))=0),"",IF(AND(ISNUMBER('Raw Data'!O66), IFERROR('Raw Data'!O66 = ROUND('Raw Data'!O66, 2),FALSE)),"",_xlfn.REGEXEXTRACT(CELL("address",O66), "\$([A-Z]+)\$[0-9]+"))),_xlfn.REGEXEXTRACT(CELL("address",O66), "\$([A-Z]+)\$[0-9]+"))</f>
        <v/>
      </c>
      <c r="P66" s="7" t="str" cm="1">
        <f t="array" aca="1" ref="P66" ca="1">IFERROR(IF(OR('Raw Data'!P66="",LEN(TRIM('Raw Data'!P66))=0),"",IF(AND(ISNUMBER('Raw Data'!P66),'Raw Data'!P66&gt;=Configuration!$D$2),"",_xlfn.REGEXEXTRACT(CELL("address",'Raw Data'!P66),"\$([A-Z]+)\$[0-9]+"))),_xlfn.REGEXEXTRACT(CELL("address",P66), "\$([A-Z]+)\$[0-9]+"))</f>
        <v/>
      </c>
      <c r="Q66" s="7" t="str" cm="1">
        <f t="array" aca="1" ref="Q66" ca="1">IFERROR(IF(OR('Raw Data'!Q66="",LEN(TRIM('Raw Data'!Q66))=0),"",IF(AND(ISNUMBER('Raw Data'!Q66),'Raw Data'!Q66&gt;=Configuration!$D$2),"",_xlfn.REGEXEXTRACT(CELL("address",'Raw Data'!Q66),"\$([A-Z]+)\$[0-9]+"))),_xlfn.REGEXEXTRACT(CELL("address",Q66), "\$([A-Z]+)\$[0-9]+"))</f>
        <v/>
      </c>
      <c r="R66" s="7" t="str" cm="1">
        <f t="array" aca="1" ref="R66" ca="1">IFERROR(IF(OR('Raw Data'!R66="",LEN(TRIM('Raw Data'!R66))=0),"",IF(AND(ISNUMBER('Raw Data'!R66), IFERROR('Raw Data'!R66 = ROUND('Raw Data'!R66, 2),FALSE)),"",_xlfn.REGEXEXTRACT(CELL("address",R66), "\$([A-Z]+)\$[0-9]+"))),_xlfn.REGEXEXTRACT(CELL("address",R66), "\$([A-Z]+)\$[0-9]+"))</f>
        <v/>
      </c>
      <c r="S66" s="7" t="str" cm="1">
        <f t="array" aca="1" ref="S66" ca="1">IFERROR(IF(OR('Raw Data'!S66="",LEN(TRIM('Raw Data'!S66))=0),"",IF(AND(ISNUMBER('Raw Data'!S66), IFERROR('Raw Data'!S66 = ROUND('Raw Data'!S66, 2),FALSE)),"",_xlfn.REGEXEXTRACT(CELL("address",S66), "\$([A-Z]+)\$[0-9]+"))),_xlfn.REGEXEXTRACT(CELL("address",S66), "\$([A-Z]+)\$[0-9]+"))</f>
        <v/>
      </c>
      <c r="T66" s="7" t="str" cm="1">
        <f t="array" aca="1" ref="T66" ca="1">IFERROR(IF(OR('Raw Data'!T66="",LEN(TRIM('Raw Data'!T66))=0),"",IF(AND(ISNUMBER('Raw Data'!T66), IFERROR('Raw Data'!T66 = ROUND('Raw Data'!T66, 2),FALSE)),"",_xlfn.REGEXEXTRACT(CELL("address",T66), "\$([A-Z]+)\$[0-9]+"))),_xlfn.REGEXEXTRACT(CELL("address",T66), "\$([A-Z]+)\$[0-9]+"))</f>
        <v/>
      </c>
      <c r="U66" s="7" t="str" cm="1">
        <f t="array" aca="1" ref="U66" ca="1">IFERROR(IF(OR('Raw Data'!U66="",LEN(TRIM('Raw Data'!U66))=0),"",IF(AND(LEN('Raw Data'!U66) &lt;= 5,LEN('Raw Data'!U66)&gt; 0),"",_xlfn.REGEXEXTRACT(CELL("address",'Raw Data'!U66),"\$([A-Z]+)\$[0-9]+"))),_xlfn.REGEXEXTRACT(CELL("address",'Raw Data'!U66),"\$([A-Z]+)\$[0-9]+"))</f>
        <v/>
      </c>
      <c r="V66" s="7" t="str" cm="1">
        <f t="array" aca="1" ref="V66" ca="1">IFERROR(IF(OR('Raw Data'!V66="",LEN(TRIM('Raw Data'!V66))=0),"",IF(AND(ISNUMBER('Raw Data'!V66), IFERROR('Raw Data'!V66 = ROUND('Raw Data'!V66, 2),FALSE)),"",_xlfn.REGEXEXTRACT(CELL("address",V66), "\$([A-Z]+)\$[0-9]+"))),_xlfn.REGEXEXTRACT(CELL("address",V66), "\$([A-Z]+)\$[0-9]+"))</f>
        <v/>
      </c>
      <c r="W66" s="7" t="str" cm="1">
        <f t="array" aca="1" ref="W66" ca="1">IFERROR(IF(OR('Raw Data'!W66="",LEN(TRIM('Raw Data'!W66))=0),"",IF(AND(ISNUMBER('Raw Data'!W66), IFERROR('Raw Data'!W66 = ROUND('Raw Data'!W66, 2),FALSE)),"",_xlfn.REGEXEXTRACT(CELL("address",W66), "\$([A-Z]+)\$[0-9]+"))),_xlfn.REGEXEXTRACT(CELL("address",W66), "\$([A-Z]+)\$[0-9]+"))</f>
        <v/>
      </c>
      <c r="X66" s="7" t="str" cm="1">
        <f t="array" aca="1" ref="X66" ca="1">IFERROR(IF(OR('Raw Data'!X66="",LEN(TRIM('Raw Data'!X66))=0),"",IF(AND(ISNUMBER('Raw Data'!X66), IFERROR('Raw Data'!X66 = ROUND('Raw Data'!X66, 2),FALSE)),"",_xlfn.REGEXEXTRACT(CELL("address",X66), "\$([A-Z]+)\$[0-9]+"))),_xlfn.REGEXEXTRACT(CELL("address",X66), "\$([A-Z]+)\$[0-9]+"))</f>
        <v/>
      </c>
    </row>
    <row r="67" spans="2:24" x14ac:dyDescent="0.25">
      <c r="B67" s="7" t="str" cm="1">
        <f t="array" aca="1" ref="B67" ca="1">IFERROR(IF(OR('Raw Data'!B67="",LEN(TRIM('Raw Data'!B67))=0),"",IF(AND(LEN('Raw Data'!B67) &lt;= 50,LEN('Raw Data'!B67)&gt; 0),"",_xlfn.REGEXEXTRACT(CELL("address",'Raw Data'!B67),"\$([A-Z]+)\$[0-9]+"))),_xlfn.REGEXEXTRACT(CELL("address",'Raw Data'!B67),"\$([A-Z]+)\$[0-9]+"))</f>
        <v/>
      </c>
      <c r="C67" s="7" t="str" cm="1">
        <f t="array" aca="1" ref="C67" ca="1">IFERROR(IF(OR('Raw Data'!C67="",LEN(TRIM('Raw Data'!C67))=0),"",IF(AND(LEN('Raw Data'!C67) &lt;= 50,LEN('Raw Data'!C67)&gt; 0),"",_xlfn.REGEXEXTRACT(CELL("address",'Raw Data'!C67),"\$([A-Z]+)\$[0-9]+"))),_xlfn.REGEXEXTRACT(CELL("address",'Raw Data'!C67),"\$([A-Z]+)\$[0-9]+"))</f>
        <v/>
      </c>
      <c r="D67" s="7" t="str" cm="1">
        <f t="array" aca="1" ref="D67" ca="1">IFERROR(IF(OR('Raw Data'!D67="",LEN(TRIM('Raw Data'!D67))=0),"",IF(AND(LEN('Raw Data'!D67) &lt;= 255,LEN('Raw Data'!D67)&gt; 0),"",_xlfn.REGEXEXTRACT(CELL("address",'Raw Data'!D67),"\$([A-Z]+)\$[0-9]+"))),_xlfn.REGEXEXTRACT(CELL("address",'Raw Data'!D67),"\$([A-Z]+)\$[0-9]+"))</f>
        <v/>
      </c>
      <c r="E67" s="7" t="str" cm="1">
        <f t="array" aca="1" ref="E67" ca="1">IFERROR(IF(OR('Raw Data'!E67="",LEN(TRIM('Raw Data'!E67))=0),"",IF(AND(ISNUMBER('Raw Data'!E67),'Raw Data'!E67&gt;=Configuration!$D$2),"",_xlfn.REGEXEXTRACT(CELL("address",'Raw Data'!E67),"\$([A-Z]+)\$[0-9]+"))),_xlfn.REGEXEXTRACT(CELL("address",E67), "\$([A-Z]+)\$[0-9]+"))</f>
        <v/>
      </c>
      <c r="F67" s="7" t="str" cm="1">
        <f t="array" aca="1" ref="F67" ca="1">IFERROR(IF(OR('Raw Data'!F67="",LEN(TRIM('Raw Data'!F67))=0),"",IF(AND(LEN('Raw Data'!F67) &lt;= 20,LEN('Raw Data'!F67)&gt; 0),"",_xlfn.REGEXEXTRACT(CELL("address",'Raw Data'!F67),"\$([A-Z]+)\$[0-9]+"))),_xlfn.REGEXEXTRACT(CELL("address",'Raw Data'!F67),"\$([A-Z]+)\$[0-9]+"))</f>
        <v/>
      </c>
      <c r="G67" s="7" t="str" cm="1">
        <f t="array" aca="1" ref="G67" ca="1">IFERROR(IF(OR('Raw Data'!G67="",LEN(TRIM('Raw Data'!G67))=0),"",IF(AND(ISNUMBER('Raw Data'!G67), IFERROR('Raw Data'!G67 = ROUND('Raw Data'!G67, 2),FALSE)),"",_xlfn.REGEXEXTRACT(CELL("address",G67), "\$([A-Z]+)\$[0-9]+"))),_xlfn.REGEXEXTRACT(CELL("address",G67), "\$([A-Z]+)\$[0-9]+"))</f>
        <v/>
      </c>
      <c r="H67" s="7" t="str" cm="1">
        <f t="array" aca="1" ref="H67" ca="1">IFERROR(IF(OR('Raw Data'!H67="",LEN(TRIM('Raw Data'!H67))=0),"",IF(AND(ISNUMBER('Raw Data'!H67), IFERROR('Raw Data'!H67 = ROUND('Raw Data'!H67, 2),FALSE)),"",_xlfn.REGEXEXTRACT(CELL("address",H67), "\$([A-Z]+)\$[0-9]+"))),_xlfn.REGEXEXTRACT(CELL("address",H67), "\$([A-Z]+)\$[0-9]+"))</f>
        <v/>
      </c>
      <c r="I67" s="7" t="str" cm="1">
        <f t="array" aca="1" ref="I67" ca="1">IFERROR(IF(OR('Raw Data'!I67="",LEN(TRIM('Raw Data'!I67))=0),"",IF(AND(LEN('Raw Data'!I67) &lt;= 50,LEN('Raw Data'!I67)&gt; 0),"",_xlfn.REGEXEXTRACT(CELL("address",'Raw Data'!I67),"\$([A-Z]+)\$[0-9]+"))),_xlfn.REGEXEXTRACT(CELL("address",'Raw Data'!I67),"\$([A-Z]+)\$[0-9]+"))</f>
        <v/>
      </c>
      <c r="J67" s="7" t="str" cm="1">
        <f t="array" aca="1" ref="J67" ca="1">IFERROR(IF(OR('Raw Data'!J67="",LEN(TRIM('Raw Data'!J67))=0),"",IF(AND(ISNUMBER('Raw Data'!J67),'Raw Data'!J67&gt;=Configuration!$D$2),"",_xlfn.REGEXEXTRACT(CELL("address",'Raw Data'!J67),"\$([A-Z]+)\$[0-9]+"))),_xlfn.REGEXEXTRACT(CELL("address",J67), "\$([A-Z]+)\$[0-9]+"))</f>
        <v/>
      </c>
      <c r="K67" s="7" t="str" cm="1">
        <f t="array" aca="1" ref="K67" ca="1">IFERROR(IF(OR('Raw Data'!K67="",LEN(TRIM('Raw Data'!K67))=0),"",IF(AND(ISNUMBER('Raw Data'!K67), IFERROR('Raw Data'!K67 = ROUND('Raw Data'!K67, 2),FALSE)),"",_xlfn.REGEXEXTRACT(CELL("address",K67), "\$([A-Z]+)\$[0-9]+"))),_xlfn.REGEXEXTRACT(CELL("address",K67), "\$([A-Z]+)\$[0-9]+"))</f>
        <v/>
      </c>
      <c r="L67" s="7" t="str" cm="1">
        <f t="array" aca="1" ref="L67" ca="1">IFERROR(IF(OR('Raw Data'!L67="",LEN(TRIM('Raw Data'!L67))=0),"",IF(AND(ISNUMBER('Raw Data'!L67), IFERROR('Raw Data'!L67 = ROUND('Raw Data'!L67, 2),FALSE)),"",_xlfn.REGEXEXTRACT(CELL("address",L67), "\$([A-Z]+)\$[0-9]+"))),_xlfn.REGEXEXTRACT(CELL("address",L67), "\$([A-Z]+)\$[0-9]+"))</f>
        <v/>
      </c>
      <c r="M67" s="7" t="str" cm="1">
        <f t="array" aca="1" ref="M67" ca="1">IFERROR(IF(OR('Raw Data'!M67="",LEN(TRIM('Raw Data'!M67))=0),"",IF(AND(ISNUMBER('Raw Data'!M67), IFERROR('Raw Data'!M67 = ROUND('Raw Data'!M67, 2),FALSE)),"",_xlfn.REGEXEXTRACT(CELL("address",M67), "\$([A-Z]+)\$[0-9]+"))),_xlfn.REGEXEXTRACT(CELL("address",M67), "\$([A-Z]+)\$[0-9]+"))</f>
        <v/>
      </c>
      <c r="N67" s="7" t="str" cm="1">
        <f t="array" aca="1" ref="N67" ca="1">IFERROR(IF(OR('Raw Data'!N67="",LEN(TRIM('Raw Data'!N67))=0),"",IF(AND(ISNUMBER('Raw Data'!N67), IFERROR('Raw Data'!N67 = ROUND('Raw Data'!N67, 2),FALSE)),"",_xlfn.REGEXEXTRACT(CELL("address",N67), "\$([A-Z]+)\$[0-9]+"))),_xlfn.REGEXEXTRACT(CELL("address",N67), "\$([A-Z]+)\$[0-9]+"))</f>
        <v/>
      </c>
      <c r="O67" s="7" t="str" cm="1">
        <f t="array" aca="1" ref="O67" ca="1">IFERROR(IF(OR('Raw Data'!O67="",LEN(TRIM('Raw Data'!O67))=0),"",IF(AND(ISNUMBER('Raw Data'!O67), IFERROR('Raw Data'!O67 = ROUND('Raw Data'!O67, 2),FALSE)),"",_xlfn.REGEXEXTRACT(CELL("address",O67), "\$([A-Z]+)\$[0-9]+"))),_xlfn.REGEXEXTRACT(CELL("address",O67), "\$([A-Z]+)\$[0-9]+"))</f>
        <v/>
      </c>
      <c r="P67" s="7" t="str" cm="1">
        <f t="array" aca="1" ref="P67" ca="1">IFERROR(IF(OR('Raw Data'!P67="",LEN(TRIM('Raw Data'!P67))=0),"",IF(AND(ISNUMBER('Raw Data'!P67),'Raw Data'!P67&gt;=Configuration!$D$2),"",_xlfn.REGEXEXTRACT(CELL("address",'Raw Data'!P67),"\$([A-Z]+)\$[0-9]+"))),_xlfn.REGEXEXTRACT(CELL("address",P67), "\$([A-Z]+)\$[0-9]+"))</f>
        <v/>
      </c>
      <c r="Q67" s="7" t="str" cm="1">
        <f t="array" aca="1" ref="Q67" ca="1">IFERROR(IF(OR('Raw Data'!Q67="",LEN(TRIM('Raw Data'!Q67))=0),"",IF(AND(ISNUMBER('Raw Data'!Q67),'Raw Data'!Q67&gt;=Configuration!$D$2),"",_xlfn.REGEXEXTRACT(CELL("address",'Raw Data'!Q67),"\$([A-Z]+)\$[0-9]+"))),_xlfn.REGEXEXTRACT(CELL("address",Q67), "\$([A-Z]+)\$[0-9]+"))</f>
        <v/>
      </c>
      <c r="R67" s="7" t="str" cm="1">
        <f t="array" aca="1" ref="R67" ca="1">IFERROR(IF(OR('Raw Data'!R67="",LEN(TRIM('Raw Data'!R67))=0),"",IF(AND(ISNUMBER('Raw Data'!R67), IFERROR('Raw Data'!R67 = ROUND('Raw Data'!R67, 2),FALSE)),"",_xlfn.REGEXEXTRACT(CELL("address",R67), "\$([A-Z]+)\$[0-9]+"))),_xlfn.REGEXEXTRACT(CELL("address",R67), "\$([A-Z]+)\$[0-9]+"))</f>
        <v/>
      </c>
      <c r="S67" s="7" t="str" cm="1">
        <f t="array" aca="1" ref="S67" ca="1">IFERROR(IF(OR('Raw Data'!S67="",LEN(TRIM('Raw Data'!S67))=0),"",IF(AND(ISNUMBER('Raw Data'!S67), IFERROR('Raw Data'!S67 = ROUND('Raw Data'!S67, 2),FALSE)),"",_xlfn.REGEXEXTRACT(CELL("address",S67), "\$([A-Z]+)\$[0-9]+"))),_xlfn.REGEXEXTRACT(CELL("address",S67), "\$([A-Z]+)\$[0-9]+"))</f>
        <v/>
      </c>
      <c r="T67" s="7" t="str" cm="1">
        <f t="array" aca="1" ref="T67" ca="1">IFERROR(IF(OR('Raw Data'!T67="",LEN(TRIM('Raw Data'!T67))=0),"",IF(AND(ISNUMBER('Raw Data'!T67), IFERROR('Raw Data'!T67 = ROUND('Raw Data'!T67, 2),FALSE)),"",_xlfn.REGEXEXTRACT(CELL("address",T67), "\$([A-Z]+)\$[0-9]+"))),_xlfn.REGEXEXTRACT(CELL("address",T67), "\$([A-Z]+)\$[0-9]+"))</f>
        <v/>
      </c>
      <c r="U67" s="7" t="str" cm="1">
        <f t="array" aca="1" ref="U67" ca="1">IFERROR(IF(OR('Raw Data'!U67="",LEN(TRIM('Raw Data'!U67))=0),"",IF(AND(LEN('Raw Data'!U67) &lt;= 5,LEN('Raw Data'!U67)&gt; 0),"",_xlfn.REGEXEXTRACT(CELL("address",'Raw Data'!U67),"\$([A-Z]+)\$[0-9]+"))),_xlfn.REGEXEXTRACT(CELL("address",'Raw Data'!U67),"\$([A-Z]+)\$[0-9]+"))</f>
        <v/>
      </c>
      <c r="V67" s="7" t="str" cm="1">
        <f t="array" aca="1" ref="V67" ca="1">IFERROR(IF(OR('Raw Data'!V67="",LEN(TRIM('Raw Data'!V67))=0),"",IF(AND(ISNUMBER('Raw Data'!V67), IFERROR('Raw Data'!V67 = ROUND('Raw Data'!V67, 2),FALSE)),"",_xlfn.REGEXEXTRACT(CELL("address",V67), "\$([A-Z]+)\$[0-9]+"))),_xlfn.REGEXEXTRACT(CELL("address",V67), "\$([A-Z]+)\$[0-9]+"))</f>
        <v/>
      </c>
      <c r="W67" s="7" t="str" cm="1">
        <f t="array" aca="1" ref="W67" ca="1">IFERROR(IF(OR('Raw Data'!W67="",LEN(TRIM('Raw Data'!W67))=0),"",IF(AND(ISNUMBER('Raw Data'!W67), IFERROR('Raw Data'!W67 = ROUND('Raw Data'!W67, 2),FALSE)),"",_xlfn.REGEXEXTRACT(CELL("address",W67), "\$([A-Z]+)\$[0-9]+"))),_xlfn.REGEXEXTRACT(CELL("address",W67), "\$([A-Z]+)\$[0-9]+"))</f>
        <v/>
      </c>
      <c r="X67" s="7" t="str" cm="1">
        <f t="array" aca="1" ref="X67" ca="1">IFERROR(IF(OR('Raw Data'!X67="",LEN(TRIM('Raw Data'!X67))=0),"",IF(AND(ISNUMBER('Raw Data'!X67), IFERROR('Raw Data'!X67 = ROUND('Raw Data'!X67, 2),FALSE)),"",_xlfn.REGEXEXTRACT(CELL("address",X67), "\$([A-Z]+)\$[0-9]+"))),_xlfn.REGEXEXTRACT(CELL("address",X67), "\$([A-Z]+)\$[0-9]+"))</f>
        <v/>
      </c>
    </row>
    <row r="68" spans="2:24" x14ac:dyDescent="0.25">
      <c r="B68" s="7" t="str" cm="1">
        <f t="array" aca="1" ref="B68" ca="1">IFERROR(IF(OR('Raw Data'!B68="",LEN(TRIM('Raw Data'!B68))=0),"",IF(AND(LEN('Raw Data'!B68) &lt;= 50,LEN('Raw Data'!B68)&gt; 0),"",_xlfn.REGEXEXTRACT(CELL("address",'Raw Data'!B68),"\$([A-Z]+)\$[0-9]+"))),_xlfn.REGEXEXTRACT(CELL("address",'Raw Data'!B68),"\$([A-Z]+)\$[0-9]+"))</f>
        <v/>
      </c>
      <c r="C68" s="7" t="str" cm="1">
        <f t="array" aca="1" ref="C68" ca="1">IFERROR(IF(OR('Raw Data'!C68="",LEN(TRIM('Raw Data'!C68))=0),"",IF(AND(LEN('Raw Data'!C68) &lt;= 50,LEN('Raw Data'!C68)&gt; 0),"",_xlfn.REGEXEXTRACT(CELL("address",'Raw Data'!C68),"\$([A-Z]+)\$[0-9]+"))),_xlfn.REGEXEXTRACT(CELL("address",'Raw Data'!C68),"\$([A-Z]+)\$[0-9]+"))</f>
        <v/>
      </c>
      <c r="D68" s="7" t="str" cm="1">
        <f t="array" aca="1" ref="D68" ca="1">IFERROR(IF(OR('Raw Data'!D68="",LEN(TRIM('Raw Data'!D68))=0),"",IF(AND(LEN('Raw Data'!D68) &lt;= 255,LEN('Raw Data'!D68)&gt; 0),"",_xlfn.REGEXEXTRACT(CELL("address",'Raw Data'!D68),"\$([A-Z]+)\$[0-9]+"))),_xlfn.REGEXEXTRACT(CELL("address",'Raw Data'!D68),"\$([A-Z]+)\$[0-9]+"))</f>
        <v/>
      </c>
      <c r="E68" s="7" t="str" cm="1">
        <f t="array" aca="1" ref="E68" ca="1">IFERROR(IF(OR('Raw Data'!E68="",LEN(TRIM('Raw Data'!E68))=0),"",IF(AND(ISNUMBER('Raw Data'!E68),'Raw Data'!E68&gt;=Configuration!$D$2),"",_xlfn.REGEXEXTRACT(CELL("address",'Raw Data'!E68),"\$([A-Z]+)\$[0-9]+"))),_xlfn.REGEXEXTRACT(CELL("address",E68), "\$([A-Z]+)\$[0-9]+"))</f>
        <v/>
      </c>
      <c r="F68" s="7" t="str" cm="1">
        <f t="array" aca="1" ref="F68" ca="1">IFERROR(IF(OR('Raw Data'!F68="",LEN(TRIM('Raw Data'!F68))=0),"",IF(AND(LEN('Raw Data'!F68) &lt;= 20,LEN('Raw Data'!F68)&gt; 0),"",_xlfn.REGEXEXTRACT(CELL("address",'Raw Data'!F68),"\$([A-Z]+)\$[0-9]+"))),_xlfn.REGEXEXTRACT(CELL("address",'Raw Data'!F68),"\$([A-Z]+)\$[0-9]+"))</f>
        <v/>
      </c>
      <c r="G68" s="7" t="str" cm="1">
        <f t="array" aca="1" ref="G68" ca="1">IFERROR(IF(OR('Raw Data'!G68="",LEN(TRIM('Raw Data'!G68))=0),"",IF(AND(ISNUMBER('Raw Data'!G68), IFERROR('Raw Data'!G68 = ROUND('Raw Data'!G68, 2),FALSE)),"",_xlfn.REGEXEXTRACT(CELL("address",G68), "\$([A-Z]+)\$[0-9]+"))),_xlfn.REGEXEXTRACT(CELL("address",G68), "\$([A-Z]+)\$[0-9]+"))</f>
        <v/>
      </c>
      <c r="H68" s="7" t="str" cm="1">
        <f t="array" aca="1" ref="H68" ca="1">IFERROR(IF(OR('Raw Data'!H68="",LEN(TRIM('Raw Data'!H68))=0),"",IF(AND(ISNUMBER('Raw Data'!H68), IFERROR('Raw Data'!H68 = ROUND('Raw Data'!H68, 2),FALSE)),"",_xlfn.REGEXEXTRACT(CELL("address",H68), "\$([A-Z]+)\$[0-9]+"))),_xlfn.REGEXEXTRACT(CELL("address",H68), "\$([A-Z]+)\$[0-9]+"))</f>
        <v/>
      </c>
      <c r="I68" s="7" t="str" cm="1">
        <f t="array" aca="1" ref="I68" ca="1">IFERROR(IF(OR('Raw Data'!I68="",LEN(TRIM('Raw Data'!I68))=0),"",IF(AND(LEN('Raw Data'!I68) &lt;= 50,LEN('Raw Data'!I68)&gt; 0),"",_xlfn.REGEXEXTRACT(CELL("address",'Raw Data'!I68),"\$([A-Z]+)\$[0-9]+"))),_xlfn.REGEXEXTRACT(CELL("address",'Raw Data'!I68),"\$([A-Z]+)\$[0-9]+"))</f>
        <v/>
      </c>
      <c r="J68" s="7" t="str" cm="1">
        <f t="array" aca="1" ref="J68" ca="1">IFERROR(IF(OR('Raw Data'!J68="",LEN(TRIM('Raw Data'!J68))=0),"",IF(AND(ISNUMBER('Raw Data'!J68),'Raw Data'!J68&gt;=Configuration!$D$2),"",_xlfn.REGEXEXTRACT(CELL("address",'Raw Data'!J68),"\$([A-Z]+)\$[0-9]+"))),_xlfn.REGEXEXTRACT(CELL("address",J68), "\$([A-Z]+)\$[0-9]+"))</f>
        <v/>
      </c>
      <c r="K68" s="7" t="str" cm="1">
        <f t="array" aca="1" ref="K68" ca="1">IFERROR(IF(OR('Raw Data'!K68="",LEN(TRIM('Raw Data'!K68))=0),"",IF(AND(ISNUMBER('Raw Data'!K68), IFERROR('Raw Data'!K68 = ROUND('Raw Data'!K68, 2),FALSE)),"",_xlfn.REGEXEXTRACT(CELL("address",K68), "\$([A-Z]+)\$[0-9]+"))),_xlfn.REGEXEXTRACT(CELL("address",K68), "\$([A-Z]+)\$[0-9]+"))</f>
        <v/>
      </c>
      <c r="L68" s="7" t="str" cm="1">
        <f t="array" aca="1" ref="L68" ca="1">IFERROR(IF(OR('Raw Data'!L68="",LEN(TRIM('Raw Data'!L68))=0),"",IF(AND(ISNUMBER('Raw Data'!L68), IFERROR('Raw Data'!L68 = ROUND('Raw Data'!L68, 2),FALSE)),"",_xlfn.REGEXEXTRACT(CELL("address",L68), "\$([A-Z]+)\$[0-9]+"))),_xlfn.REGEXEXTRACT(CELL("address",L68), "\$([A-Z]+)\$[0-9]+"))</f>
        <v/>
      </c>
      <c r="M68" s="7" t="str" cm="1">
        <f t="array" aca="1" ref="M68" ca="1">IFERROR(IF(OR('Raw Data'!M68="",LEN(TRIM('Raw Data'!M68))=0),"",IF(AND(ISNUMBER('Raw Data'!M68), IFERROR('Raw Data'!M68 = ROUND('Raw Data'!M68, 2),FALSE)),"",_xlfn.REGEXEXTRACT(CELL("address",M68), "\$([A-Z]+)\$[0-9]+"))),_xlfn.REGEXEXTRACT(CELL("address",M68), "\$([A-Z]+)\$[0-9]+"))</f>
        <v/>
      </c>
      <c r="N68" s="7" t="str" cm="1">
        <f t="array" aca="1" ref="N68" ca="1">IFERROR(IF(OR('Raw Data'!N68="",LEN(TRIM('Raw Data'!N68))=0),"",IF(AND(ISNUMBER('Raw Data'!N68), IFERROR('Raw Data'!N68 = ROUND('Raw Data'!N68, 2),FALSE)),"",_xlfn.REGEXEXTRACT(CELL("address",N68), "\$([A-Z]+)\$[0-9]+"))),_xlfn.REGEXEXTRACT(CELL("address",N68), "\$([A-Z]+)\$[0-9]+"))</f>
        <v/>
      </c>
      <c r="O68" s="7" t="str" cm="1">
        <f t="array" aca="1" ref="O68" ca="1">IFERROR(IF(OR('Raw Data'!O68="",LEN(TRIM('Raw Data'!O68))=0),"",IF(AND(ISNUMBER('Raw Data'!O68), IFERROR('Raw Data'!O68 = ROUND('Raw Data'!O68, 2),FALSE)),"",_xlfn.REGEXEXTRACT(CELL("address",O68), "\$([A-Z]+)\$[0-9]+"))),_xlfn.REGEXEXTRACT(CELL("address",O68), "\$([A-Z]+)\$[0-9]+"))</f>
        <v/>
      </c>
      <c r="P68" s="7" t="str" cm="1">
        <f t="array" aca="1" ref="P68" ca="1">IFERROR(IF(OR('Raw Data'!P68="",LEN(TRIM('Raw Data'!P68))=0),"",IF(AND(ISNUMBER('Raw Data'!P68),'Raw Data'!P68&gt;=Configuration!$D$2),"",_xlfn.REGEXEXTRACT(CELL("address",'Raw Data'!P68),"\$([A-Z]+)\$[0-9]+"))),_xlfn.REGEXEXTRACT(CELL("address",P68), "\$([A-Z]+)\$[0-9]+"))</f>
        <v/>
      </c>
      <c r="Q68" s="7" t="str" cm="1">
        <f t="array" aca="1" ref="Q68" ca="1">IFERROR(IF(OR('Raw Data'!Q68="",LEN(TRIM('Raw Data'!Q68))=0),"",IF(AND(ISNUMBER('Raw Data'!Q68),'Raw Data'!Q68&gt;=Configuration!$D$2),"",_xlfn.REGEXEXTRACT(CELL("address",'Raw Data'!Q68),"\$([A-Z]+)\$[0-9]+"))),_xlfn.REGEXEXTRACT(CELL("address",Q68), "\$([A-Z]+)\$[0-9]+"))</f>
        <v/>
      </c>
      <c r="R68" s="7" t="str" cm="1">
        <f t="array" aca="1" ref="R68" ca="1">IFERROR(IF(OR('Raw Data'!R68="",LEN(TRIM('Raw Data'!R68))=0),"",IF(AND(ISNUMBER('Raw Data'!R68), IFERROR('Raw Data'!R68 = ROUND('Raw Data'!R68, 2),FALSE)),"",_xlfn.REGEXEXTRACT(CELL("address",R68), "\$([A-Z]+)\$[0-9]+"))),_xlfn.REGEXEXTRACT(CELL("address",R68), "\$([A-Z]+)\$[0-9]+"))</f>
        <v/>
      </c>
      <c r="S68" s="7" t="str" cm="1">
        <f t="array" aca="1" ref="S68" ca="1">IFERROR(IF(OR('Raw Data'!S68="",LEN(TRIM('Raw Data'!S68))=0),"",IF(AND(ISNUMBER('Raw Data'!S68), IFERROR('Raw Data'!S68 = ROUND('Raw Data'!S68, 2),FALSE)),"",_xlfn.REGEXEXTRACT(CELL("address",S68), "\$([A-Z]+)\$[0-9]+"))),_xlfn.REGEXEXTRACT(CELL("address",S68), "\$([A-Z]+)\$[0-9]+"))</f>
        <v/>
      </c>
      <c r="T68" s="7" t="str" cm="1">
        <f t="array" aca="1" ref="T68" ca="1">IFERROR(IF(OR('Raw Data'!T68="",LEN(TRIM('Raw Data'!T68))=0),"",IF(AND(ISNUMBER('Raw Data'!T68), IFERROR('Raw Data'!T68 = ROUND('Raw Data'!T68, 2),FALSE)),"",_xlfn.REGEXEXTRACT(CELL("address",T68), "\$([A-Z]+)\$[0-9]+"))),_xlfn.REGEXEXTRACT(CELL("address",T68), "\$([A-Z]+)\$[0-9]+"))</f>
        <v/>
      </c>
      <c r="U68" s="7" t="str" cm="1">
        <f t="array" aca="1" ref="U68" ca="1">IFERROR(IF(OR('Raw Data'!U68="",LEN(TRIM('Raw Data'!U68))=0),"",IF(AND(LEN('Raw Data'!U68) &lt;= 5,LEN('Raw Data'!U68)&gt; 0),"",_xlfn.REGEXEXTRACT(CELL("address",'Raw Data'!U68),"\$([A-Z]+)\$[0-9]+"))),_xlfn.REGEXEXTRACT(CELL("address",'Raw Data'!U68),"\$([A-Z]+)\$[0-9]+"))</f>
        <v/>
      </c>
      <c r="V68" s="7" t="str" cm="1">
        <f t="array" aca="1" ref="V68" ca="1">IFERROR(IF(OR('Raw Data'!V68="",LEN(TRIM('Raw Data'!V68))=0),"",IF(AND(ISNUMBER('Raw Data'!V68), IFERROR('Raw Data'!V68 = ROUND('Raw Data'!V68, 2),FALSE)),"",_xlfn.REGEXEXTRACT(CELL("address",V68), "\$([A-Z]+)\$[0-9]+"))),_xlfn.REGEXEXTRACT(CELL("address",V68), "\$([A-Z]+)\$[0-9]+"))</f>
        <v/>
      </c>
      <c r="W68" s="7" t="str" cm="1">
        <f t="array" aca="1" ref="W68" ca="1">IFERROR(IF(OR('Raw Data'!W68="",LEN(TRIM('Raw Data'!W68))=0),"",IF(AND(ISNUMBER('Raw Data'!W68), IFERROR('Raw Data'!W68 = ROUND('Raw Data'!W68, 2),FALSE)),"",_xlfn.REGEXEXTRACT(CELL("address",W68), "\$([A-Z]+)\$[0-9]+"))),_xlfn.REGEXEXTRACT(CELL("address",W68), "\$([A-Z]+)\$[0-9]+"))</f>
        <v/>
      </c>
      <c r="X68" s="7" t="str" cm="1">
        <f t="array" aca="1" ref="X68" ca="1">IFERROR(IF(OR('Raw Data'!X68="",LEN(TRIM('Raw Data'!X68))=0),"",IF(AND(ISNUMBER('Raw Data'!X68), IFERROR('Raw Data'!X68 = ROUND('Raw Data'!X68, 2),FALSE)),"",_xlfn.REGEXEXTRACT(CELL("address",X68), "\$([A-Z]+)\$[0-9]+"))),_xlfn.REGEXEXTRACT(CELL("address",X68), "\$([A-Z]+)\$[0-9]+"))</f>
        <v/>
      </c>
    </row>
    <row r="69" spans="2:24" x14ac:dyDescent="0.25">
      <c r="B69" s="7" t="str" cm="1">
        <f t="array" aca="1" ref="B69" ca="1">IFERROR(IF(OR('Raw Data'!B69="",LEN(TRIM('Raw Data'!B69))=0),"",IF(AND(LEN('Raw Data'!B69) &lt;= 50,LEN('Raw Data'!B69)&gt; 0),"",_xlfn.REGEXEXTRACT(CELL("address",'Raw Data'!B69),"\$([A-Z]+)\$[0-9]+"))),_xlfn.REGEXEXTRACT(CELL("address",'Raw Data'!B69),"\$([A-Z]+)\$[0-9]+"))</f>
        <v/>
      </c>
      <c r="C69" s="7" t="str" cm="1">
        <f t="array" aca="1" ref="C69" ca="1">IFERROR(IF(OR('Raw Data'!C69="",LEN(TRIM('Raw Data'!C69))=0),"",IF(AND(LEN('Raw Data'!C69) &lt;= 50,LEN('Raw Data'!C69)&gt; 0),"",_xlfn.REGEXEXTRACT(CELL("address",'Raw Data'!C69),"\$([A-Z]+)\$[0-9]+"))),_xlfn.REGEXEXTRACT(CELL("address",'Raw Data'!C69),"\$([A-Z]+)\$[0-9]+"))</f>
        <v/>
      </c>
      <c r="D69" s="7" t="str" cm="1">
        <f t="array" aca="1" ref="D69" ca="1">IFERROR(IF(OR('Raw Data'!D69="",LEN(TRIM('Raw Data'!D69))=0),"",IF(AND(LEN('Raw Data'!D69) &lt;= 255,LEN('Raw Data'!D69)&gt; 0),"",_xlfn.REGEXEXTRACT(CELL("address",'Raw Data'!D69),"\$([A-Z]+)\$[0-9]+"))),_xlfn.REGEXEXTRACT(CELL("address",'Raw Data'!D69),"\$([A-Z]+)\$[0-9]+"))</f>
        <v/>
      </c>
      <c r="E69" s="7" t="str" cm="1">
        <f t="array" aca="1" ref="E69" ca="1">IFERROR(IF(OR('Raw Data'!E69="",LEN(TRIM('Raw Data'!E69))=0),"",IF(AND(ISNUMBER('Raw Data'!E69),'Raw Data'!E69&gt;=Configuration!$D$2),"",_xlfn.REGEXEXTRACT(CELL("address",'Raw Data'!E69),"\$([A-Z]+)\$[0-9]+"))),_xlfn.REGEXEXTRACT(CELL("address",E69), "\$([A-Z]+)\$[0-9]+"))</f>
        <v/>
      </c>
      <c r="F69" s="7" t="str" cm="1">
        <f t="array" aca="1" ref="F69" ca="1">IFERROR(IF(OR('Raw Data'!F69="",LEN(TRIM('Raw Data'!F69))=0),"",IF(AND(LEN('Raw Data'!F69) &lt;= 20,LEN('Raw Data'!F69)&gt; 0),"",_xlfn.REGEXEXTRACT(CELL("address",'Raw Data'!F69),"\$([A-Z]+)\$[0-9]+"))),_xlfn.REGEXEXTRACT(CELL("address",'Raw Data'!F69),"\$([A-Z]+)\$[0-9]+"))</f>
        <v/>
      </c>
      <c r="G69" s="7" t="str" cm="1">
        <f t="array" aca="1" ref="G69" ca="1">IFERROR(IF(OR('Raw Data'!G69="",LEN(TRIM('Raw Data'!G69))=0),"",IF(AND(ISNUMBER('Raw Data'!G69), IFERROR('Raw Data'!G69 = ROUND('Raw Data'!G69, 2),FALSE)),"",_xlfn.REGEXEXTRACT(CELL("address",G69), "\$([A-Z]+)\$[0-9]+"))),_xlfn.REGEXEXTRACT(CELL("address",G69), "\$([A-Z]+)\$[0-9]+"))</f>
        <v/>
      </c>
      <c r="H69" s="7" t="str" cm="1">
        <f t="array" aca="1" ref="H69" ca="1">IFERROR(IF(OR('Raw Data'!H69="",LEN(TRIM('Raw Data'!H69))=0),"",IF(AND(ISNUMBER('Raw Data'!H69), IFERROR('Raw Data'!H69 = ROUND('Raw Data'!H69, 2),FALSE)),"",_xlfn.REGEXEXTRACT(CELL("address",H69), "\$([A-Z]+)\$[0-9]+"))),_xlfn.REGEXEXTRACT(CELL("address",H69), "\$([A-Z]+)\$[0-9]+"))</f>
        <v/>
      </c>
      <c r="I69" s="7" t="str" cm="1">
        <f t="array" aca="1" ref="I69" ca="1">IFERROR(IF(OR('Raw Data'!I69="",LEN(TRIM('Raw Data'!I69))=0),"",IF(AND(LEN('Raw Data'!I69) &lt;= 50,LEN('Raw Data'!I69)&gt; 0),"",_xlfn.REGEXEXTRACT(CELL("address",'Raw Data'!I69),"\$([A-Z]+)\$[0-9]+"))),_xlfn.REGEXEXTRACT(CELL("address",'Raw Data'!I69),"\$([A-Z]+)\$[0-9]+"))</f>
        <v/>
      </c>
      <c r="J69" s="7" t="str" cm="1">
        <f t="array" aca="1" ref="J69" ca="1">IFERROR(IF(OR('Raw Data'!J69="",LEN(TRIM('Raw Data'!J69))=0),"",IF(AND(ISNUMBER('Raw Data'!J69),'Raw Data'!J69&gt;=Configuration!$D$2),"",_xlfn.REGEXEXTRACT(CELL("address",'Raw Data'!J69),"\$([A-Z]+)\$[0-9]+"))),_xlfn.REGEXEXTRACT(CELL("address",J69), "\$([A-Z]+)\$[0-9]+"))</f>
        <v/>
      </c>
      <c r="K69" s="7" t="str" cm="1">
        <f t="array" aca="1" ref="K69" ca="1">IFERROR(IF(OR('Raw Data'!K69="",LEN(TRIM('Raw Data'!K69))=0),"",IF(AND(ISNUMBER('Raw Data'!K69), IFERROR('Raw Data'!K69 = ROUND('Raw Data'!K69, 2),FALSE)),"",_xlfn.REGEXEXTRACT(CELL("address",K69), "\$([A-Z]+)\$[0-9]+"))),_xlfn.REGEXEXTRACT(CELL("address",K69), "\$([A-Z]+)\$[0-9]+"))</f>
        <v/>
      </c>
      <c r="L69" s="7" t="str" cm="1">
        <f t="array" aca="1" ref="L69" ca="1">IFERROR(IF(OR('Raw Data'!L69="",LEN(TRIM('Raw Data'!L69))=0),"",IF(AND(ISNUMBER('Raw Data'!L69), IFERROR('Raw Data'!L69 = ROUND('Raw Data'!L69, 2),FALSE)),"",_xlfn.REGEXEXTRACT(CELL("address",L69), "\$([A-Z]+)\$[0-9]+"))),_xlfn.REGEXEXTRACT(CELL("address",L69), "\$([A-Z]+)\$[0-9]+"))</f>
        <v/>
      </c>
      <c r="M69" s="7" t="str" cm="1">
        <f t="array" aca="1" ref="M69" ca="1">IFERROR(IF(OR('Raw Data'!M69="",LEN(TRIM('Raw Data'!M69))=0),"",IF(AND(ISNUMBER('Raw Data'!M69), IFERROR('Raw Data'!M69 = ROUND('Raw Data'!M69, 2),FALSE)),"",_xlfn.REGEXEXTRACT(CELL("address",M69), "\$([A-Z]+)\$[0-9]+"))),_xlfn.REGEXEXTRACT(CELL("address",M69), "\$([A-Z]+)\$[0-9]+"))</f>
        <v/>
      </c>
      <c r="N69" s="7" t="str" cm="1">
        <f t="array" aca="1" ref="N69" ca="1">IFERROR(IF(OR('Raw Data'!N69="",LEN(TRIM('Raw Data'!N69))=0),"",IF(AND(ISNUMBER('Raw Data'!N69), IFERROR('Raw Data'!N69 = ROUND('Raw Data'!N69, 2),FALSE)),"",_xlfn.REGEXEXTRACT(CELL("address",N69), "\$([A-Z]+)\$[0-9]+"))),_xlfn.REGEXEXTRACT(CELL("address",N69), "\$([A-Z]+)\$[0-9]+"))</f>
        <v/>
      </c>
      <c r="O69" s="7" t="str" cm="1">
        <f t="array" aca="1" ref="O69" ca="1">IFERROR(IF(OR('Raw Data'!O69="",LEN(TRIM('Raw Data'!O69))=0),"",IF(AND(ISNUMBER('Raw Data'!O69), IFERROR('Raw Data'!O69 = ROUND('Raw Data'!O69, 2),FALSE)),"",_xlfn.REGEXEXTRACT(CELL("address",O69), "\$([A-Z]+)\$[0-9]+"))),_xlfn.REGEXEXTRACT(CELL("address",O69), "\$([A-Z]+)\$[0-9]+"))</f>
        <v/>
      </c>
      <c r="P69" s="7" t="str" cm="1">
        <f t="array" aca="1" ref="P69" ca="1">IFERROR(IF(OR('Raw Data'!P69="",LEN(TRIM('Raw Data'!P69))=0),"",IF(AND(ISNUMBER('Raw Data'!P69),'Raw Data'!P69&gt;=Configuration!$D$2),"",_xlfn.REGEXEXTRACT(CELL("address",'Raw Data'!P69),"\$([A-Z]+)\$[0-9]+"))),_xlfn.REGEXEXTRACT(CELL("address",P69), "\$([A-Z]+)\$[0-9]+"))</f>
        <v/>
      </c>
      <c r="Q69" s="7" t="str" cm="1">
        <f t="array" aca="1" ref="Q69" ca="1">IFERROR(IF(OR('Raw Data'!Q69="",LEN(TRIM('Raw Data'!Q69))=0),"",IF(AND(ISNUMBER('Raw Data'!Q69),'Raw Data'!Q69&gt;=Configuration!$D$2),"",_xlfn.REGEXEXTRACT(CELL("address",'Raw Data'!Q69),"\$([A-Z]+)\$[0-9]+"))),_xlfn.REGEXEXTRACT(CELL("address",Q69), "\$([A-Z]+)\$[0-9]+"))</f>
        <v/>
      </c>
      <c r="R69" s="7" t="str" cm="1">
        <f t="array" aca="1" ref="R69" ca="1">IFERROR(IF(OR('Raw Data'!R69="",LEN(TRIM('Raw Data'!R69))=0),"",IF(AND(ISNUMBER('Raw Data'!R69), IFERROR('Raw Data'!R69 = ROUND('Raw Data'!R69, 2),FALSE)),"",_xlfn.REGEXEXTRACT(CELL("address",R69), "\$([A-Z]+)\$[0-9]+"))),_xlfn.REGEXEXTRACT(CELL("address",R69), "\$([A-Z]+)\$[0-9]+"))</f>
        <v/>
      </c>
      <c r="S69" s="7" t="str" cm="1">
        <f t="array" aca="1" ref="S69" ca="1">IFERROR(IF(OR('Raw Data'!S69="",LEN(TRIM('Raw Data'!S69))=0),"",IF(AND(ISNUMBER('Raw Data'!S69), IFERROR('Raw Data'!S69 = ROUND('Raw Data'!S69, 2),FALSE)),"",_xlfn.REGEXEXTRACT(CELL("address",S69), "\$([A-Z]+)\$[0-9]+"))),_xlfn.REGEXEXTRACT(CELL("address",S69), "\$([A-Z]+)\$[0-9]+"))</f>
        <v/>
      </c>
      <c r="T69" s="7" t="str" cm="1">
        <f t="array" aca="1" ref="T69" ca="1">IFERROR(IF(OR('Raw Data'!T69="",LEN(TRIM('Raw Data'!T69))=0),"",IF(AND(ISNUMBER('Raw Data'!T69), IFERROR('Raw Data'!T69 = ROUND('Raw Data'!T69, 2),FALSE)),"",_xlfn.REGEXEXTRACT(CELL("address",T69), "\$([A-Z]+)\$[0-9]+"))),_xlfn.REGEXEXTRACT(CELL("address",T69), "\$([A-Z]+)\$[0-9]+"))</f>
        <v/>
      </c>
      <c r="U69" s="7" t="str" cm="1">
        <f t="array" aca="1" ref="U69" ca="1">IFERROR(IF(OR('Raw Data'!U69="",LEN(TRIM('Raw Data'!U69))=0),"",IF(AND(LEN('Raw Data'!U69) &lt;= 5,LEN('Raw Data'!U69)&gt; 0),"",_xlfn.REGEXEXTRACT(CELL("address",'Raw Data'!U69),"\$([A-Z]+)\$[0-9]+"))),_xlfn.REGEXEXTRACT(CELL("address",'Raw Data'!U69),"\$([A-Z]+)\$[0-9]+"))</f>
        <v/>
      </c>
      <c r="V69" s="7" t="str" cm="1">
        <f t="array" aca="1" ref="V69" ca="1">IFERROR(IF(OR('Raw Data'!V69="",LEN(TRIM('Raw Data'!V69))=0),"",IF(AND(ISNUMBER('Raw Data'!V69), IFERROR('Raw Data'!V69 = ROUND('Raw Data'!V69, 2),FALSE)),"",_xlfn.REGEXEXTRACT(CELL("address",V69), "\$([A-Z]+)\$[0-9]+"))),_xlfn.REGEXEXTRACT(CELL("address",V69), "\$([A-Z]+)\$[0-9]+"))</f>
        <v/>
      </c>
      <c r="W69" s="7" t="str" cm="1">
        <f t="array" aca="1" ref="W69" ca="1">IFERROR(IF(OR('Raw Data'!W69="",LEN(TRIM('Raw Data'!W69))=0),"",IF(AND(ISNUMBER('Raw Data'!W69), IFERROR('Raw Data'!W69 = ROUND('Raw Data'!W69, 2),FALSE)),"",_xlfn.REGEXEXTRACT(CELL("address",W69), "\$([A-Z]+)\$[0-9]+"))),_xlfn.REGEXEXTRACT(CELL("address",W69), "\$([A-Z]+)\$[0-9]+"))</f>
        <v/>
      </c>
      <c r="X69" s="7" t="str" cm="1">
        <f t="array" aca="1" ref="X69" ca="1">IFERROR(IF(OR('Raw Data'!X69="",LEN(TRIM('Raw Data'!X69))=0),"",IF(AND(ISNUMBER('Raw Data'!X69), IFERROR('Raw Data'!X69 = ROUND('Raw Data'!X69, 2),FALSE)),"",_xlfn.REGEXEXTRACT(CELL("address",X69), "\$([A-Z]+)\$[0-9]+"))),_xlfn.REGEXEXTRACT(CELL("address",X69), "\$([A-Z]+)\$[0-9]+"))</f>
        <v/>
      </c>
    </row>
    <row r="70" spans="2:24" x14ac:dyDescent="0.25">
      <c r="B70" s="7" t="str" cm="1">
        <f t="array" aca="1" ref="B70" ca="1">IFERROR(IF(OR('Raw Data'!B70="",LEN(TRIM('Raw Data'!B70))=0),"",IF(AND(LEN('Raw Data'!B70) &lt;= 50,LEN('Raw Data'!B70)&gt; 0),"",_xlfn.REGEXEXTRACT(CELL("address",'Raw Data'!B70),"\$([A-Z]+)\$[0-9]+"))),_xlfn.REGEXEXTRACT(CELL("address",'Raw Data'!B70),"\$([A-Z]+)\$[0-9]+"))</f>
        <v/>
      </c>
      <c r="C70" s="7" t="str" cm="1">
        <f t="array" aca="1" ref="C70" ca="1">IFERROR(IF(OR('Raw Data'!C70="",LEN(TRIM('Raw Data'!C70))=0),"",IF(AND(LEN('Raw Data'!C70) &lt;= 50,LEN('Raw Data'!C70)&gt; 0),"",_xlfn.REGEXEXTRACT(CELL("address",'Raw Data'!C70),"\$([A-Z]+)\$[0-9]+"))),_xlfn.REGEXEXTRACT(CELL("address",'Raw Data'!C70),"\$([A-Z]+)\$[0-9]+"))</f>
        <v/>
      </c>
      <c r="D70" s="7" t="str" cm="1">
        <f t="array" aca="1" ref="D70" ca="1">IFERROR(IF(OR('Raw Data'!D70="",LEN(TRIM('Raw Data'!D70))=0),"",IF(AND(LEN('Raw Data'!D70) &lt;= 255,LEN('Raw Data'!D70)&gt; 0),"",_xlfn.REGEXEXTRACT(CELL("address",'Raw Data'!D70),"\$([A-Z]+)\$[0-9]+"))),_xlfn.REGEXEXTRACT(CELL("address",'Raw Data'!D70),"\$([A-Z]+)\$[0-9]+"))</f>
        <v/>
      </c>
      <c r="E70" s="7" t="str" cm="1">
        <f t="array" aca="1" ref="E70" ca="1">IFERROR(IF(OR('Raw Data'!E70="",LEN(TRIM('Raw Data'!E70))=0),"",IF(AND(ISNUMBER('Raw Data'!E70),'Raw Data'!E70&gt;=Configuration!$D$2),"",_xlfn.REGEXEXTRACT(CELL("address",'Raw Data'!E70),"\$([A-Z]+)\$[0-9]+"))),_xlfn.REGEXEXTRACT(CELL("address",E70), "\$([A-Z]+)\$[0-9]+"))</f>
        <v/>
      </c>
      <c r="F70" s="7" t="str" cm="1">
        <f t="array" aca="1" ref="F70" ca="1">IFERROR(IF(OR('Raw Data'!F70="",LEN(TRIM('Raw Data'!F70))=0),"",IF(AND(LEN('Raw Data'!F70) &lt;= 20,LEN('Raw Data'!F70)&gt; 0),"",_xlfn.REGEXEXTRACT(CELL("address",'Raw Data'!F70),"\$([A-Z]+)\$[0-9]+"))),_xlfn.REGEXEXTRACT(CELL("address",'Raw Data'!F70),"\$([A-Z]+)\$[0-9]+"))</f>
        <v/>
      </c>
      <c r="G70" s="7" t="str" cm="1">
        <f t="array" aca="1" ref="G70" ca="1">IFERROR(IF(OR('Raw Data'!G70="",LEN(TRIM('Raw Data'!G70))=0),"",IF(AND(ISNUMBER('Raw Data'!G70), IFERROR('Raw Data'!G70 = ROUND('Raw Data'!G70, 2),FALSE)),"",_xlfn.REGEXEXTRACT(CELL("address",G70), "\$([A-Z]+)\$[0-9]+"))),_xlfn.REGEXEXTRACT(CELL("address",G70), "\$([A-Z]+)\$[0-9]+"))</f>
        <v/>
      </c>
      <c r="H70" s="7" t="str" cm="1">
        <f t="array" aca="1" ref="H70" ca="1">IFERROR(IF(OR('Raw Data'!H70="",LEN(TRIM('Raw Data'!H70))=0),"",IF(AND(ISNUMBER('Raw Data'!H70), IFERROR('Raw Data'!H70 = ROUND('Raw Data'!H70, 2),FALSE)),"",_xlfn.REGEXEXTRACT(CELL("address",H70), "\$([A-Z]+)\$[0-9]+"))),_xlfn.REGEXEXTRACT(CELL("address",H70), "\$([A-Z]+)\$[0-9]+"))</f>
        <v/>
      </c>
      <c r="I70" s="7" t="str" cm="1">
        <f t="array" aca="1" ref="I70" ca="1">IFERROR(IF(OR('Raw Data'!I70="",LEN(TRIM('Raw Data'!I70))=0),"",IF(AND(LEN('Raw Data'!I70) &lt;= 50,LEN('Raw Data'!I70)&gt; 0),"",_xlfn.REGEXEXTRACT(CELL("address",'Raw Data'!I70),"\$([A-Z]+)\$[0-9]+"))),_xlfn.REGEXEXTRACT(CELL("address",'Raw Data'!I70),"\$([A-Z]+)\$[0-9]+"))</f>
        <v/>
      </c>
      <c r="J70" s="7" t="str" cm="1">
        <f t="array" aca="1" ref="J70" ca="1">IFERROR(IF(OR('Raw Data'!J70="",LEN(TRIM('Raw Data'!J70))=0),"",IF(AND(ISNUMBER('Raw Data'!J70),'Raw Data'!J70&gt;=Configuration!$D$2),"",_xlfn.REGEXEXTRACT(CELL("address",'Raw Data'!J70),"\$([A-Z]+)\$[0-9]+"))),_xlfn.REGEXEXTRACT(CELL("address",J70), "\$([A-Z]+)\$[0-9]+"))</f>
        <v/>
      </c>
      <c r="K70" s="7" t="str" cm="1">
        <f t="array" aca="1" ref="K70" ca="1">IFERROR(IF(OR('Raw Data'!K70="",LEN(TRIM('Raw Data'!K70))=0),"",IF(AND(ISNUMBER('Raw Data'!K70), IFERROR('Raw Data'!K70 = ROUND('Raw Data'!K70, 2),FALSE)),"",_xlfn.REGEXEXTRACT(CELL("address",K70), "\$([A-Z]+)\$[0-9]+"))),_xlfn.REGEXEXTRACT(CELL("address",K70), "\$([A-Z]+)\$[0-9]+"))</f>
        <v/>
      </c>
      <c r="L70" s="7" t="str" cm="1">
        <f t="array" aca="1" ref="L70" ca="1">IFERROR(IF(OR('Raw Data'!L70="",LEN(TRIM('Raw Data'!L70))=0),"",IF(AND(ISNUMBER('Raw Data'!L70), IFERROR('Raw Data'!L70 = ROUND('Raw Data'!L70, 2),FALSE)),"",_xlfn.REGEXEXTRACT(CELL("address",L70), "\$([A-Z]+)\$[0-9]+"))),_xlfn.REGEXEXTRACT(CELL("address",L70), "\$([A-Z]+)\$[0-9]+"))</f>
        <v/>
      </c>
      <c r="M70" s="7" t="str" cm="1">
        <f t="array" aca="1" ref="M70" ca="1">IFERROR(IF(OR('Raw Data'!M70="",LEN(TRIM('Raw Data'!M70))=0),"",IF(AND(ISNUMBER('Raw Data'!M70), IFERROR('Raw Data'!M70 = ROUND('Raw Data'!M70, 2),FALSE)),"",_xlfn.REGEXEXTRACT(CELL("address",M70), "\$([A-Z]+)\$[0-9]+"))),_xlfn.REGEXEXTRACT(CELL("address",M70), "\$([A-Z]+)\$[0-9]+"))</f>
        <v/>
      </c>
      <c r="N70" s="7" t="str" cm="1">
        <f t="array" aca="1" ref="N70" ca="1">IFERROR(IF(OR('Raw Data'!N70="",LEN(TRIM('Raw Data'!N70))=0),"",IF(AND(ISNUMBER('Raw Data'!N70), IFERROR('Raw Data'!N70 = ROUND('Raw Data'!N70, 2),FALSE)),"",_xlfn.REGEXEXTRACT(CELL("address",N70), "\$([A-Z]+)\$[0-9]+"))),_xlfn.REGEXEXTRACT(CELL("address",N70), "\$([A-Z]+)\$[0-9]+"))</f>
        <v/>
      </c>
      <c r="O70" s="7" t="str" cm="1">
        <f t="array" aca="1" ref="O70" ca="1">IFERROR(IF(OR('Raw Data'!O70="",LEN(TRIM('Raw Data'!O70))=0),"",IF(AND(ISNUMBER('Raw Data'!O70), IFERROR('Raw Data'!O70 = ROUND('Raw Data'!O70, 2),FALSE)),"",_xlfn.REGEXEXTRACT(CELL("address",O70), "\$([A-Z]+)\$[0-9]+"))),_xlfn.REGEXEXTRACT(CELL("address",O70), "\$([A-Z]+)\$[0-9]+"))</f>
        <v/>
      </c>
      <c r="P70" s="7" t="str" cm="1">
        <f t="array" aca="1" ref="P70" ca="1">IFERROR(IF(OR('Raw Data'!P70="",LEN(TRIM('Raw Data'!P70))=0),"",IF(AND(ISNUMBER('Raw Data'!P70),'Raw Data'!P70&gt;=Configuration!$D$2),"",_xlfn.REGEXEXTRACT(CELL("address",'Raw Data'!P70),"\$([A-Z]+)\$[0-9]+"))),_xlfn.REGEXEXTRACT(CELL("address",P70), "\$([A-Z]+)\$[0-9]+"))</f>
        <v/>
      </c>
      <c r="Q70" s="7" t="str" cm="1">
        <f t="array" aca="1" ref="Q70" ca="1">IFERROR(IF(OR('Raw Data'!Q70="",LEN(TRIM('Raw Data'!Q70))=0),"",IF(AND(ISNUMBER('Raw Data'!Q70),'Raw Data'!Q70&gt;=Configuration!$D$2),"",_xlfn.REGEXEXTRACT(CELL("address",'Raw Data'!Q70),"\$([A-Z]+)\$[0-9]+"))),_xlfn.REGEXEXTRACT(CELL("address",Q70), "\$([A-Z]+)\$[0-9]+"))</f>
        <v/>
      </c>
      <c r="R70" s="7" t="str" cm="1">
        <f t="array" aca="1" ref="R70" ca="1">IFERROR(IF(OR('Raw Data'!R70="",LEN(TRIM('Raw Data'!R70))=0),"",IF(AND(ISNUMBER('Raw Data'!R70), IFERROR('Raw Data'!R70 = ROUND('Raw Data'!R70, 2),FALSE)),"",_xlfn.REGEXEXTRACT(CELL("address",R70), "\$([A-Z]+)\$[0-9]+"))),_xlfn.REGEXEXTRACT(CELL("address",R70), "\$([A-Z]+)\$[0-9]+"))</f>
        <v/>
      </c>
      <c r="S70" s="7" t="str" cm="1">
        <f t="array" aca="1" ref="S70" ca="1">IFERROR(IF(OR('Raw Data'!S70="",LEN(TRIM('Raw Data'!S70))=0),"",IF(AND(ISNUMBER('Raw Data'!S70), IFERROR('Raw Data'!S70 = ROUND('Raw Data'!S70, 2),FALSE)),"",_xlfn.REGEXEXTRACT(CELL("address",S70), "\$([A-Z]+)\$[0-9]+"))),_xlfn.REGEXEXTRACT(CELL("address",S70), "\$([A-Z]+)\$[0-9]+"))</f>
        <v/>
      </c>
      <c r="T70" s="7" t="str" cm="1">
        <f t="array" aca="1" ref="T70" ca="1">IFERROR(IF(OR('Raw Data'!T70="",LEN(TRIM('Raw Data'!T70))=0),"",IF(AND(ISNUMBER('Raw Data'!T70), IFERROR('Raw Data'!T70 = ROUND('Raw Data'!T70, 2),FALSE)),"",_xlfn.REGEXEXTRACT(CELL("address",T70), "\$([A-Z]+)\$[0-9]+"))),_xlfn.REGEXEXTRACT(CELL("address",T70), "\$([A-Z]+)\$[0-9]+"))</f>
        <v/>
      </c>
      <c r="U70" s="7" t="str" cm="1">
        <f t="array" aca="1" ref="U70" ca="1">IFERROR(IF(OR('Raw Data'!U70="",LEN(TRIM('Raw Data'!U70))=0),"",IF(AND(LEN('Raw Data'!U70) &lt;= 5,LEN('Raw Data'!U70)&gt; 0),"",_xlfn.REGEXEXTRACT(CELL("address",'Raw Data'!U70),"\$([A-Z]+)\$[0-9]+"))),_xlfn.REGEXEXTRACT(CELL("address",'Raw Data'!U70),"\$([A-Z]+)\$[0-9]+"))</f>
        <v/>
      </c>
      <c r="V70" s="7" t="str" cm="1">
        <f t="array" aca="1" ref="V70" ca="1">IFERROR(IF(OR('Raw Data'!V70="",LEN(TRIM('Raw Data'!V70))=0),"",IF(AND(ISNUMBER('Raw Data'!V70), IFERROR('Raw Data'!V70 = ROUND('Raw Data'!V70, 2),FALSE)),"",_xlfn.REGEXEXTRACT(CELL("address",V70), "\$([A-Z]+)\$[0-9]+"))),_xlfn.REGEXEXTRACT(CELL("address",V70), "\$([A-Z]+)\$[0-9]+"))</f>
        <v/>
      </c>
      <c r="W70" s="7" t="str" cm="1">
        <f t="array" aca="1" ref="W70" ca="1">IFERROR(IF(OR('Raw Data'!W70="",LEN(TRIM('Raw Data'!W70))=0),"",IF(AND(ISNUMBER('Raw Data'!W70), IFERROR('Raw Data'!W70 = ROUND('Raw Data'!W70, 2),FALSE)),"",_xlfn.REGEXEXTRACT(CELL("address",W70), "\$([A-Z]+)\$[0-9]+"))),_xlfn.REGEXEXTRACT(CELL("address",W70), "\$([A-Z]+)\$[0-9]+"))</f>
        <v/>
      </c>
      <c r="X70" s="7" t="str" cm="1">
        <f t="array" aca="1" ref="X70" ca="1">IFERROR(IF(OR('Raw Data'!X70="",LEN(TRIM('Raw Data'!X70))=0),"",IF(AND(ISNUMBER('Raw Data'!X70), IFERROR('Raw Data'!X70 = ROUND('Raw Data'!X70, 2),FALSE)),"",_xlfn.REGEXEXTRACT(CELL("address",X70), "\$([A-Z]+)\$[0-9]+"))),_xlfn.REGEXEXTRACT(CELL("address",X70), "\$([A-Z]+)\$[0-9]+"))</f>
        <v/>
      </c>
    </row>
    <row r="71" spans="2:24" x14ac:dyDescent="0.25">
      <c r="B71" s="7" t="str" cm="1">
        <f t="array" aca="1" ref="B71" ca="1">IFERROR(IF(OR('Raw Data'!B71="",LEN(TRIM('Raw Data'!B71))=0),"",IF(AND(LEN('Raw Data'!B71) &lt;= 50,LEN('Raw Data'!B71)&gt; 0),"",_xlfn.REGEXEXTRACT(CELL("address",'Raw Data'!B71),"\$([A-Z]+)\$[0-9]+"))),_xlfn.REGEXEXTRACT(CELL("address",'Raw Data'!B71),"\$([A-Z]+)\$[0-9]+"))</f>
        <v/>
      </c>
      <c r="C71" s="7" t="str" cm="1">
        <f t="array" aca="1" ref="C71" ca="1">IFERROR(IF(OR('Raw Data'!C71="",LEN(TRIM('Raw Data'!C71))=0),"",IF(AND(LEN('Raw Data'!C71) &lt;= 50,LEN('Raw Data'!C71)&gt; 0),"",_xlfn.REGEXEXTRACT(CELL("address",'Raw Data'!C71),"\$([A-Z]+)\$[0-9]+"))),_xlfn.REGEXEXTRACT(CELL("address",'Raw Data'!C71),"\$([A-Z]+)\$[0-9]+"))</f>
        <v/>
      </c>
      <c r="D71" s="7" t="str" cm="1">
        <f t="array" aca="1" ref="D71" ca="1">IFERROR(IF(OR('Raw Data'!D71="",LEN(TRIM('Raw Data'!D71))=0),"",IF(AND(LEN('Raw Data'!D71) &lt;= 255,LEN('Raw Data'!D71)&gt; 0),"",_xlfn.REGEXEXTRACT(CELL("address",'Raw Data'!D71),"\$([A-Z]+)\$[0-9]+"))),_xlfn.REGEXEXTRACT(CELL("address",'Raw Data'!D71),"\$([A-Z]+)\$[0-9]+"))</f>
        <v/>
      </c>
      <c r="E71" s="7" t="str" cm="1">
        <f t="array" aca="1" ref="E71" ca="1">IFERROR(IF(OR('Raw Data'!E71="",LEN(TRIM('Raw Data'!E71))=0),"",IF(AND(ISNUMBER('Raw Data'!E71),'Raw Data'!E71&gt;=Configuration!$D$2),"",_xlfn.REGEXEXTRACT(CELL("address",'Raw Data'!E71),"\$([A-Z]+)\$[0-9]+"))),_xlfn.REGEXEXTRACT(CELL("address",E71), "\$([A-Z]+)\$[0-9]+"))</f>
        <v/>
      </c>
      <c r="F71" s="7" t="str" cm="1">
        <f t="array" aca="1" ref="F71" ca="1">IFERROR(IF(OR('Raw Data'!F71="",LEN(TRIM('Raw Data'!F71))=0),"",IF(AND(LEN('Raw Data'!F71) &lt;= 20,LEN('Raw Data'!F71)&gt; 0),"",_xlfn.REGEXEXTRACT(CELL("address",'Raw Data'!F71),"\$([A-Z]+)\$[0-9]+"))),_xlfn.REGEXEXTRACT(CELL("address",'Raw Data'!F71),"\$([A-Z]+)\$[0-9]+"))</f>
        <v/>
      </c>
      <c r="G71" s="7" t="str" cm="1">
        <f t="array" aca="1" ref="G71" ca="1">IFERROR(IF(OR('Raw Data'!G71="",LEN(TRIM('Raw Data'!G71))=0),"",IF(AND(ISNUMBER('Raw Data'!G71), IFERROR('Raw Data'!G71 = ROUND('Raw Data'!G71, 2),FALSE)),"",_xlfn.REGEXEXTRACT(CELL("address",G71), "\$([A-Z]+)\$[0-9]+"))),_xlfn.REGEXEXTRACT(CELL("address",G71), "\$([A-Z]+)\$[0-9]+"))</f>
        <v/>
      </c>
      <c r="H71" s="7" t="str" cm="1">
        <f t="array" aca="1" ref="H71" ca="1">IFERROR(IF(OR('Raw Data'!H71="",LEN(TRIM('Raw Data'!H71))=0),"",IF(AND(ISNUMBER('Raw Data'!H71), IFERROR('Raw Data'!H71 = ROUND('Raw Data'!H71, 2),FALSE)),"",_xlfn.REGEXEXTRACT(CELL("address",H71), "\$([A-Z]+)\$[0-9]+"))),_xlfn.REGEXEXTRACT(CELL("address",H71), "\$([A-Z]+)\$[0-9]+"))</f>
        <v/>
      </c>
      <c r="I71" s="7" t="str" cm="1">
        <f t="array" aca="1" ref="I71" ca="1">IFERROR(IF(OR('Raw Data'!I71="",LEN(TRIM('Raw Data'!I71))=0),"",IF(AND(LEN('Raw Data'!I71) &lt;= 50,LEN('Raw Data'!I71)&gt; 0),"",_xlfn.REGEXEXTRACT(CELL("address",'Raw Data'!I71),"\$([A-Z]+)\$[0-9]+"))),_xlfn.REGEXEXTRACT(CELL("address",'Raw Data'!I71),"\$([A-Z]+)\$[0-9]+"))</f>
        <v/>
      </c>
      <c r="J71" s="7" t="str" cm="1">
        <f t="array" aca="1" ref="J71" ca="1">IFERROR(IF(OR('Raw Data'!J71="",LEN(TRIM('Raw Data'!J71))=0),"",IF(AND(ISNUMBER('Raw Data'!J71),'Raw Data'!J71&gt;=Configuration!$D$2),"",_xlfn.REGEXEXTRACT(CELL("address",'Raw Data'!J71),"\$([A-Z]+)\$[0-9]+"))),_xlfn.REGEXEXTRACT(CELL("address",J71), "\$([A-Z]+)\$[0-9]+"))</f>
        <v/>
      </c>
      <c r="K71" s="7" t="str" cm="1">
        <f t="array" aca="1" ref="K71" ca="1">IFERROR(IF(OR('Raw Data'!K71="",LEN(TRIM('Raw Data'!K71))=0),"",IF(AND(ISNUMBER('Raw Data'!K71), IFERROR('Raw Data'!K71 = ROUND('Raw Data'!K71, 2),FALSE)),"",_xlfn.REGEXEXTRACT(CELL("address",K71), "\$([A-Z]+)\$[0-9]+"))),_xlfn.REGEXEXTRACT(CELL("address",K71), "\$([A-Z]+)\$[0-9]+"))</f>
        <v/>
      </c>
      <c r="L71" s="7" t="str" cm="1">
        <f t="array" aca="1" ref="L71" ca="1">IFERROR(IF(OR('Raw Data'!L71="",LEN(TRIM('Raw Data'!L71))=0),"",IF(AND(ISNUMBER('Raw Data'!L71), IFERROR('Raw Data'!L71 = ROUND('Raw Data'!L71, 2),FALSE)),"",_xlfn.REGEXEXTRACT(CELL("address",L71), "\$([A-Z]+)\$[0-9]+"))),_xlfn.REGEXEXTRACT(CELL("address",L71), "\$([A-Z]+)\$[0-9]+"))</f>
        <v/>
      </c>
      <c r="M71" s="7" t="str" cm="1">
        <f t="array" aca="1" ref="M71" ca="1">IFERROR(IF(OR('Raw Data'!M71="",LEN(TRIM('Raw Data'!M71))=0),"",IF(AND(ISNUMBER('Raw Data'!M71), IFERROR('Raw Data'!M71 = ROUND('Raw Data'!M71, 2),FALSE)),"",_xlfn.REGEXEXTRACT(CELL("address",M71), "\$([A-Z]+)\$[0-9]+"))),_xlfn.REGEXEXTRACT(CELL("address",M71), "\$([A-Z]+)\$[0-9]+"))</f>
        <v/>
      </c>
      <c r="N71" s="7" t="str" cm="1">
        <f t="array" aca="1" ref="N71" ca="1">IFERROR(IF(OR('Raw Data'!N71="",LEN(TRIM('Raw Data'!N71))=0),"",IF(AND(ISNUMBER('Raw Data'!N71), IFERROR('Raw Data'!N71 = ROUND('Raw Data'!N71, 2),FALSE)),"",_xlfn.REGEXEXTRACT(CELL("address",N71), "\$([A-Z]+)\$[0-9]+"))),_xlfn.REGEXEXTRACT(CELL("address",N71), "\$([A-Z]+)\$[0-9]+"))</f>
        <v/>
      </c>
      <c r="O71" s="7" t="str" cm="1">
        <f t="array" aca="1" ref="O71" ca="1">IFERROR(IF(OR('Raw Data'!O71="",LEN(TRIM('Raw Data'!O71))=0),"",IF(AND(ISNUMBER('Raw Data'!O71), IFERROR('Raw Data'!O71 = ROUND('Raw Data'!O71, 2),FALSE)),"",_xlfn.REGEXEXTRACT(CELL("address",O71), "\$([A-Z]+)\$[0-9]+"))),_xlfn.REGEXEXTRACT(CELL("address",O71), "\$([A-Z]+)\$[0-9]+"))</f>
        <v/>
      </c>
      <c r="P71" s="7" t="str" cm="1">
        <f t="array" aca="1" ref="P71" ca="1">IFERROR(IF(OR('Raw Data'!P71="",LEN(TRIM('Raw Data'!P71))=0),"",IF(AND(ISNUMBER('Raw Data'!P71),'Raw Data'!P71&gt;=Configuration!$D$2),"",_xlfn.REGEXEXTRACT(CELL("address",'Raw Data'!P71),"\$([A-Z]+)\$[0-9]+"))),_xlfn.REGEXEXTRACT(CELL("address",P71), "\$([A-Z]+)\$[0-9]+"))</f>
        <v/>
      </c>
      <c r="Q71" s="7" t="str" cm="1">
        <f t="array" aca="1" ref="Q71" ca="1">IFERROR(IF(OR('Raw Data'!Q71="",LEN(TRIM('Raw Data'!Q71))=0),"",IF(AND(ISNUMBER('Raw Data'!Q71),'Raw Data'!Q71&gt;=Configuration!$D$2),"",_xlfn.REGEXEXTRACT(CELL("address",'Raw Data'!Q71),"\$([A-Z]+)\$[0-9]+"))),_xlfn.REGEXEXTRACT(CELL("address",Q71), "\$([A-Z]+)\$[0-9]+"))</f>
        <v/>
      </c>
      <c r="R71" s="7" t="str" cm="1">
        <f t="array" aca="1" ref="R71" ca="1">IFERROR(IF(OR('Raw Data'!R71="",LEN(TRIM('Raw Data'!R71))=0),"",IF(AND(ISNUMBER('Raw Data'!R71), IFERROR('Raw Data'!R71 = ROUND('Raw Data'!R71, 2),FALSE)),"",_xlfn.REGEXEXTRACT(CELL("address",R71), "\$([A-Z]+)\$[0-9]+"))),_xlfn.REGEXEXTRACT(CELL("address",R71), "\$([A-Z]+)\$[0-9]+"))</f>
        <v/>
      </c>
      <c r="S71" s="7" t="str" cm="1">
        <f t="array" aca="1" ref="S71" ca="1">IFERROR(IF(OR('Raw Data'!S71="",LEN(TRIM('Raw Data'!S71))=0),"",IF(AND(ISNUMBER('Raw Data'!S71), IFERROR('Raw Data'!S71 = ROUND('Raw Data'!S71, 2),FALSE)),"",_xlfn.REGEXEXTRACT(CELL("address",S71), "\$([A-Z]+)\$[0-9]+"))),_xlfn.REGEXEXTRACT(CELL("address",S71), "\$([A-Z]+)\$[0-9]+"))</f>
        <v/>
      </c>
      <c r="T71" s="7" t="str" cm="1">
        <f t="array" aca="1" ref="T71" ca="1">IFERROR(IF(OR('Raw Data'!T71="",LEN(TRIM('Raw Data'!T71))=0),"",IF(AND(ISNUMBER('Raw Data'!T71), IFERROR('Raw Data'!T71 = ROUND('Raw Data'!T71, 2),FALSE)),"",_xlfn.REGEXEXTRACT(CELL("address",T71), "\$([A-Z]+)\$[0-9]+"))),_xlfn.REGEXEXTRACT(CELL("address",T71), "\$([A-Z]+)\$[0-9]+"))</f>
        <v/>
      </c>
      <c r="U71" s="7" t="str" cm="1">
        <f t="array" aca="1" ref="U71" ca="1">IFERROR(IF(OR('Raw Data'!U71="",LEN(TRIM('Raw Data'!U71))=0),"",IF(AND(LEN('Raw Data'!U71) &lt;= 5,LEN('Raw Data'!U71)&gt; 0),"",_xlfn.REGEXEXTRACT(CELL("address",'Raw Data'!U71),"\$([A-Z]+)\$[0-9]+"))),_xlfn.REGEXEXTRACT(CELL("address",'Raw Data'!U71),"\$([A-Z]+)\$[0-9]+"))</f>
        <v/>
      </c>
      <c r="V71" s="7" t="str" cm="1">
        <f t="array" aca="1" ref="V71" ca="1">IFERROR(IF(OR('Raw Data'!V71="",LEN(TRIM('Raw Data'!V71))=0),"",IF(AND(ISNUMBER('Raw Data'!V71), IFERROR('Raw Data'!V71 = ROUND('Raw Data'!V71, 2),FALSE)),"",_xlfn.REGEXEXTRACT(CELL("address",V71), "\$([A-Z]+)\$[0-9]+"))),_xlfn.REGEXEXTRACT(CELL("address",V71), "\$([A-Z]+)\$[0-9]+"))</f>
        <v/>
      </c>
      <c r="W71" s="7" t="str" cm="1">
        <f t="array" aca="1" ref="W71" ca="1">IFERROR(IF(OR('Raw Data'!W71="",LEN(TRIM('Raw Data'!W71))=0),"",IF(AND(ISNUMBER('Raw Data'!W71), IFERROR('Raw Data'!W71 = ROUND('Raw Data'!W71, 2),FALSE)),"",_xlfn.REGEXEXTRACT(CELL("address",W71), "\$([A-Z]+)\$[0-9]+"))),_xlfn.REGEXEXTRACT(CELL("address",W71), "\$([A-Z]+)\$[0-9]+"))</f>
        <v/>
      </c>
      <c r="X71" s="7" t="str" cm="1">
        <f t="array" aca="1" ref="X71" ca="1">IFERROR(IF(OR('Raw Data'!X71="",LEN(TRIM('Raw Data'!X71))=0),"",IF(AND(ISNUMBER('Raw Data'!X71), IFERROR('Raw Data'!X71 = ROUND('Raw Data'!X71, 2),FALSE)),"",_xlfn.REGEXEXTRACT(CELL("address",X71), "\$([A-Z]+)\$[0-9]+"))),_xlfn.REGEXEXTRACT(CELL("address",X71), "\$([A-Z]+)\$[0-9]+"))</f>
        <v/>
      </c>
    </row>
    <row r="72" spans="2:24" x14ac:dyDescent="0.25">
      <c r="B72" s="7" t="str" cm="1">
        <f t="array" aca="1" ref="B72" ca="1">IFERROR(IF(OR('Raw Data'!B72="",LEN(TRIM('Raw Data'!B72))=0),"",IF(AND(LEN('Raw Data'!B72) &lt;= 50,LEN('Raw Data'!B72)&gt; 0),"",_xlfn.REGEXEXTRACT(CELL("address",'Raw Data'!B72),"\$([A-Z]+)\$[0-9]+"))),_xlfn.REGEXEXTRACT(CELL("address",'Raw Data'!B72),"\$([A-Z]+)\$[0-9]+"))</f>
        <v/>
      </c>
      <c r="C72" s="7" t="str" cm="1">
        <f t="array" aca="1" ref="C72" ca="1">IFERROR(IF(OR('Raw Data'!C72="",LEN(TRIM('Raw Data'!C72))=0),"",IF(AND(LEN('Raw Data'!C72) &lt;= 50,LEN('Raw Data'!C72)&gt; 0),"",_xlfn.REGEXEXTRACT(CELL("address",'Raw Data'!C72),"\$([A-Z]+)\$[0-9]+"))),_xlfn.REGEXEXTRACT(CELL("address",'Raw Data'!C72),"\$([A-Z]+)\$[0-9]+"))</f>
        <v/>
      </c>
      <c r="D72" s="7" t="str" cm="1">
        <f t="array" aca="1" ref="D72" ca="1">IFERROR(IF(OR('Raw Data'!D72="",LEN(TRIM('Raw Data'!D72))=0),"",IF(AND(LEN('Raw Data'!D72) &lt;= 255,LEN('Raw Data'!D72)&gt; 0),"",_xlfn.REGEXEXTRACT(CELL("address",'Raw Data'!D72),"\$([A-Z]+)\$[0-9]+"))),_xlfn.REGEXEXTRACT(CELL("address",'Raw Data'!D72),"\$([A-Z]+)\$[0-9]+"))</f>
        <v/>
      </c>
      <c r="E72" s="7" t="str" cm="1">
        <f t="array" aca="1" ref="E72" ca="1">IFERROR(IF(OR('Raw Data'!E72="",LEN(TRIM('Raw Data'!E72))=0),"",IF(AND(ISNUMBER('Raw Data'!E72),'Raw Data'!E72&gt;=Configuration!$D$2),"",_xlfn.REGEXEXTRACT(CELL("address",'Raw Data'!E72),"\$([A-Z]+)\$[0-9]+"))),_xlfn.REGEXEXTRACT(CELL("address",E72), "\$([A-Z]+)\$[0-9]+"))</f>
        <v/>
      </c>
      <c r="F72" s="7" t="str" cm="1">
        <f t="array" aca="1" ref="F72" ca="1">IFERROR(IF(OR('Raw Data'!F72="",LEN(TRIM('Raw Data'!F72))=0),"",IF(AND(LEN('Raw Data'!F72) &lt;= 20,LEN('Raw Data'!F72)&gt; 0),"",_xlfn.REGEXEXTRACT(CELL("address",'Raw Data'!F72),"\$([A-Z]+)\$[0-9]+"))),_xlfn.REGEXEXTRACT(CELL("address",'Raw Data'!F72),"\$([A-Z]+)\$[0-9]+"))</f>
        <v/>
      </c>
      <c r="G72" s="7" t="str" cm="1">
        <f t="array" aca="1" ref="G72" ca="1">IFERROR(IF(OR('Raw Data'!G72="",LEN(TRIM('Raw Data'!G72))=0),"",IF(AND(ISNUMBER('Raw Data'!G72), IFERROR('Raw Data'!G72 = ROUND('Raw Data'!G72, 2),FALSE)),"",_xlfn.REGEXEXTRACT(CELL("address",G72), "\$([A-Z]+)\$[0-9]+"))),_xlfn.REGEXEXTRACT(CELL("address",G72), "\$([A-Z]+)\$[0-9]+"))</f>
        <v/>
      </c>
      <c r="H72" s="7" t="str" cm="1">
        <f t="array" aca="1" ref="H72" ca="1">IFERROR(IF(OR('Raw Data'!H72="",LEN(TRIM('Raw Data'!H72))=0),"",IF(AND(ISNUMBER('Raw Data'!H72), IFERROR('Raw Data'!H72 = ROUND('Raw Data'!H72, 2),FALSE)),"",_xlfn.REGEXEXTRACT(CELL("address",H72), "\$([A-Z]+)\$[0-9]+"))),_xlfn.REGEXEXTRACT(CELL("address",H72), "\$([A-Z]+)\$[0-9]+"))</f>
        <v/>
      </c>
      <c r="I72" s="7" t="str" cm="1">
        <f t="array" aca="1" ref="I72" ca="1">IFERROR(IF(OR('Raw Data'!I72="",LEN(TRIM('Raw Data'!I72))=0),"",IF(AND(LEN('Raw Data'!I72) &lt;= 50,LEN('Raw Data'!I72)&gt; 0),"",_xlfn.REGEXEXTRACT(CELL("address",'Raw Data'!I72),"\$([A-Z]+)\$[0-9]+"))),_xlfn.REGEXEXTRACT(CELL("address",'Raw Data'!I72),"\$([A-Z]+)\$[0-9]+"))</f>
        <v/>
      </c>
      <c r="J72" s="7" t="str" cm="1">
        <f t="array" aca="1" ref="J72" ca="1">IFERROR(IF(OR('Raw Data'!J72="",LEN(TRIM('Raw Data'!J72))=0),"",IF(AND(ISNUMBER('Raw Data'!J72),'Raw Data'!J72&gt;=Configuration!$D$2),"",_xlfn.REGEXEXTRACT(CELL("address",'Raw Data'!J72),"\$([A-Z]+)\$[0-9]+"))),_xlfn.REGEXEXTRACT(CELL("address",J72), "\$([A-Z]+)\$[0-9]+"))</f>
        <v/>
      </c>
      <c r="K72" s="7" t="str" cm="1">
        <f t="array" aca="1" ref="K72" ca="1">IFERROR(IF(OR('Raw Data'!K72="",LEN(TRIM('Raw Data'!K72))=0),"",IF(AND(ISNUMBER('Raw Data'!K72), IFERROR('Raw Data'!K72 = ROUND('Raw Data'!K72, 2),FALSE)),"",_xlfn.REGEXEXTRACT(CELL("address",K72), "\$([A-Z]+)\$[0-9]+"))),_xlfn.REGEXEXTRACT(CELL("address",K72), "\$([A-Z]+)\$[0-9]+"))</f>
        <v/>
      </c>
      <c r="L72" s="7" t="str" cm="1">
        <f t="array" aca="1" ref="L72" ca="1">IFERROR(IF(OR('Raw Data'!L72="",LEN(TRIM('Raw Data'!L72))=0),"",IF(AND(ISNUMBER('Raw Data'!L72), IFERROR('Raw Data'!L72 = ROUND('Raw Data'!L72, 2),FALSE)),"",_xlfn.REGEXEXTRACT(CELL("address",L72), "\$([A-Z]+)\$[0-9]+"))),_xlfn.REGEXEXTRACT(CELL("address",L72), "\$([A-Z]+)\$[0-9]+"))</f>
        <v/>
      </c>
      <c r="M72" s="7" t="str" cm="1">
        <f t="array" aca="1" ref="M72" ca="1">IFERROR(IF(OR('Raw Data'!M72="",LEN(TRIM('Raw Data'!M72))=0),"",IF(AND(ISNUMBER('Raw Data'!M72), IFERROR('Raw Data'!M72 = ROUND('Raw Data'!M72, 2),FALSE)),"",_xlfn.REGEXEXTRACT(CELL("address",M72), "\$([A-Z]+)\$[0-9]+"))),_xlfn.REGEXEXTRACT(CELL("address",M72), "\$([A-Z]+)\$[0-9]+"))</f>
        <v/>
      </c>
      <c r="N72" s="7" t="str" cm="1">
        <f t="array" aca="1" ref="N72" ca="1">IFERROR(IF(OR('Raw Data'!N72="",LEN(TRIM('Raw Data'!N72))=0),"",IF(AND(ISNUMBER('Raw Data'!N72), IFERROR('Raw Data'!N72 = ROUND('Raw Data'!N72, 2),FALSE)),"",_xlfn.REGEXEXTRACT(CELL("address",N72), "\$([A-Z]+)\$[0-9]+"))),_xlfn.REGEXEXTRACT(CELL("address",N72), "\$([A-Z]+)\$[0-9]+"))</f>
        <v/>
      </c>
      <c r="O72" s="7" t="str" cm="1">
        <f t="array" aca="1" ref="O72" ca="1">IFERROR(IF(OR('Raw Data'!O72="",LEN(TRIM('Raw Data'!O72))=0),"",IF(AND(ISNUMBER('Raw Data'!O72), IFERROR('Raw Data'!O72 = ROUND('Raw Data'!O72, 2),FALSE)),"",_xlfn.REGEXEXTRACT(CELL("address",O72), "\$([A-Z]+)\$[0-9]+"))),_xlfn.REGEXEXTRACT(CELL("address",O72), "\$([A-Z]+)\$[0-9]+"))</f>
        <v/>
      </c>
      <c r="P72" s="7" t="str" cm="1">
        <f t="array" aca="1" ref="P72" ca="1">IFERROR(IF(OR('Raw Data'!P72="",LEN(TRIM('Raw Data'!P72))=0),"",IF(AND(ISNUMBER('Raw Data'!P72),'Raw Data'!P72&gt;=Configuration!$D$2),"",_xlfn.REGEXEXTRACT(CELL("address",'Raw Data'!P72),"\$([A-Z]+)\$[0-9]+"))),_xlfn.REGEXEXTRACT(CELL("address",P72), "\$([A-Z]+)\$[0-9]+"))</f>
        <v/>
      </c>
      <c r="Q72" s="7" t="str" cm="1">
        <f t="array" aca="1" ref="Q72" ca="1">IFERROR(IF(OR('Raw Data'!Q72="",LEN(TRIM('Raw Data'!Q72))=0),"",IF(AND(ISNUMBER('Raw Data'!Q72),'Raw Data'!Q72&gt;=Configuration!$D$2),"",_xlfn.REGEXEXTRACT(CELL("address",'Raw Data'!Q72),"\$([A-Z]+)\$[0-9]+"))),_xlfn.REGEXEXTRACT(CELL("address",Q72), "\$([A-Z]+)\$[0-9]+"))</f>
        <v/>
      </c>
      <c r="R72" s="7" t="str" cm="1">
        <f t="array" aca="1" ref="R72" ca="1">IFERROR(IF(OR('Raw Data'!R72="",LEN(TRIM('Raw Data'!R72))=0),"",IF(AND(ISNUMBER('Raw Data'!R72), IFERROR('Raw Data'!R72 = ROUND('Raw Data'!R72, 2),FALSE)),"",_xlfn.REGEXEXTRACT(CELL("address",R72), "\$([A-Z]+)\$[0-9]+"))),_xlfn.REGEXEXTRACT(CELL("address",R72), "\$([A-Z]+)\$[0-9]+"))</f>
        <v/>
      </c>
      <c r="S72" s="7" t="str" cm="1">
        <f t="array" aca="1" ref="S72" ca="1">IFERROR(IF(OR('Raw Data'!S72="",LEN(TRIM('Raw Data'!S72))=0),"",IF(AND(ISNUMBER('Raw Data'!S72), IFERROR('Raw Data'!S72 = ROUND('Raw Data'!S72, 2),FALSE)),"",_xlfn.REGEXEXTRACT(CELL("address",S72), "\$([A-Z]+)\$[0-9]+"))),_xlfn.REGEXEXTRACT(CELL("address",S72), "\$([A-Z]+)\$[0-9]+"))</f>
        <v/>
      </c>
      <c r="T72" s="7" t="str" cm="1">
        <f t="array" aca="1" ref="T72" ca="1">IFERROR(IF(OR('Raw Data'!T72="",LEN(TRIM('Raw Data'!T72))=0),"",IF(AND(ISNUMBER('Raw Data'!T72), IFERROR('Raw Data'!T72 = ROUND('Raw Data'!T72, 2),FALSE)),"",_xlfn.REGEXEXTRACT(CELL("address",T72), "\$([A-Z]+)\$[0-9]+"))),_xlfn.REGEXEXTRACT(CELL("address",T72), "\$([A-Z]+)\$[0-9]+"))</f>
        <v/>
      </c>
      <c r="U72" s="7" t="str" cm="1">
        <f t="array" aca="1" ref="U72" ca="1">IFERROR(IF(OR('Raw Data'!U72="",LEN(TRIM('Raw Data'!U72))=0),"",IF(AND(LEN('Raw Data'!U72) &lt;= 5,LEN('Raw Data'!U72)&gt; 0),"",_xlfn.REGEXEXTRACT(CELL("address",'Raw Data'!U72),"\$([A-Z]+)\$[0-9]+"))),_xlfn.REGEXEXTRACT(CELL("address",'Raw Data'!U72),"\$([A-Z]+)\$[0-9]+"))</f>
        <v/>
      </c>
      <c r="V72" s="7" t="str" cm="1">
        <f t="array" aca="1" ref="V72" ca="1">IFERROR(IF(OR('Raw Data'!V72="",LEN(TRIM('Raw Data'!V72))=0),"",IF(AND(ISNUMBER('Raw Data'!V72), IFERROR('Raw Data'!V72 = ROUND('Raw Data'!V72, 2),FALSE)),"",_xlfn.REGEXEXTRACT(CELL("address",V72), "\$([A-Z]+)\$[0-9]+"))),_xlfn.REGEXEXTRACT(CELL("address",V72), "\$([A-Z]+)\$[0-9]+"))</f>
        <v/>
      </c>
      <c r="W72" s="7" t="str" cm="1">
        <f t="array" aca="1" ref="W72" ca="1">IFERROR(IF(OR('Raw Data'!W72="",LEN(TRIM('Raw Data'!W72))=0),"",IF(AND(ISNUMBER('Raw Data'!W72), IFERROR('Raw Data'!W72 = ROUND('Raw Data'!W72, 2),FALSE)),"",_xlfn.REGEXEXTRACT(CELL("address",W72), "\$([A-Z]+)\$[0-9]+"))),_xlfn.REGEXEXTRACT(CELL("address",W72), "\$([A-Z]+)\$[0-9]+"))</f>
        <v/>
      </c>
      <c r="X72" s="7" t="str" cm="1">
        <f t="array" aca="1" ref="X72" ca="1">IFERROR(IF(OR('Raw Data'!X72="",LEN(TRIM('Raw Data'!X72))=0),"",IF(AND(ISNUMBER('Raw Data'!X72), IFERROR('Raw Data'!X72 = ROUND('Raw Data'!X72, 2),FALSE)),"",_xlfn.REGEXEXTRACT(CELL("address",X72), "\$([A-Z]+)\$[0-9]+"))),_xlfn.REGEXEXTRACT(CELL("address",X72), "\$([A-Z]+)\$[0-9]+"))</f>
        <v/>
      </c>
    </row>
    <row r="73" spans="2:24" x14ac:dyDescent="0.25">
      <c r="B73" s="7" t="str" cm="1">
        <f t="array" aca="1" ref="B73" ca="1">IFERROR(IF(OR('Raw Data'!B73="",LEN(TRIM('Raw Data'!B73))=0),"",IF(AND(LEN('Raw Data'!B73) &lt;= 50,LEN('Raw Data'!B73)&gt; 0),"",_xlfn.REGEXEXTRACT(CELL("address",'Raw Data'!B73),"\$([A-Z]+)\$[0-9]+"))),_xlfn.REGEXEXTRACT(CELL("address",'Raw Data'!B73),"\$([A-Z]+)\$[0-9]+"))</f>
        <v/>
      </c>
      <c r="C73" s="7" t="str" cm="1">
        <f t="array" aca="1" ref="C73" ca="1">IFERROR(IF(OR('Raw Data'!C73="",LEN(TRIM('Raw Data'!C73))=0),"",IF(AND(LEN('Raw Data'!C73) &lt;= 50,LEN('Raw Data'!C73)&gt; 0),"",_xlfn.REGEXEXTRACT(CELL("address",'Raw Data'!C73),"\$([A-Z]+)\$[0-9]+"))),_xlfn.REGEXEXTRACT(CELL("address",'Raw Data'!C73),"\$([A-Z]+)\$[0-9]+"))</f>
        <v/>
      </c>
      <c r="D73" s="7" t="str" cm="1">
        <f t="array" aca="1" ref="D73" ca="1">IFERROR(IF(OR('Raw Data'!D73="",LEN(TRIM('Raw Data'!D73))=0),"",IF(AND(LEN('Raw Data'!D73) &lt;= 255,LEN('Raw Data'!D73)&gt; 0),"",_xlfn.REGEXEXTRACT(CELL("address",'Raw Data'!D73),"\$([A-Z]+)\$[0-9]+"))),_xlfn.REGEXEXTRACT(CELL("address",'Raw Data'!D73),"\$([A-Z]+)\$[0-9]+"))</f>
        <v/>
      </c>
      <c r="E73" s="7" t="str" cm="1">
        <f t="array" aca="1" ref="E73" ca="1">IFERROR(IF(OR('Raw Data'!E73="",LEN(TRIM('Raw Data'!E73))=0),"",IF(AND(ISNUMBER('Raw Data'!E73),'Raw Data'!E73&gt;=Configuration!$D$2),"",_xlfn.REGEXEXTRACT(CELL("address",'Raw Data'!E73),"\$([A-Z]+)\$[0-9]+"))),_xlfn.REGEXEXTRACT(CELL("address",E73), "\$([A-Z]+)\$[0-9]+"))</f>
        <v/>
      </c>
      <c r="F73" s="7" t="str" cm="1">
        <f t="array" aca="1" ref="F73" ca="1">IFERROR(IF(OR('Raw Data'!F73="",LEN(TRIM('Raw Data'!F73))=0),"",IF(AND(LEN('Raw Data'!F73) &lt;= 20,LEN('Raw Data'!F73)&gt; 0),"",_xlfn.REGEXEXTRACT(CELL("address",'Raw Data'!F73),"\$([A-Z]+)\$[0-9]+"))),_xlfn.REGEXEXTRACT(CELL("address",'Raw Data'!F73),"\$([A-Z]+)\$[0-9]+"))</f>
        <v/>
      </c>
      <c r="G73" s="7" t="str" cm="1">
        <f t="array" aca="1" ref="G73" ca="1">IFERROR(IF(OR('Raw Data'!G73="",LEN(TRIM('Raw Data'!G73))=0),"",IF(AND(ISNUMBER('Raw Data'!G73), IFERROR('Raw Data'!G73 = ROUND('Raw Data'!G73, 2),FALSE)),"",_xlfn.REGEXEXTRACT(CELL("address",G73), "\$([A-Z]+)\$[0-9]+"))),_xlfn.REGEXEXTRACT(CELL("address",G73), "\$([A-Z]+)\$[0-9]+"))</f>
        <v/>
      </c>
      <c r="H73" s="7" t="str" cm="1">
        <f t="array" aca="1" ref="H73" ca="1">IFERROR(IF(OR('Raw Data'!H73="",LEN(TRIM('Raw Data'!H73))=0),"",IF(AND(ISNUMBER('Raw Data'!H73), IFERROR('Raw Data'!H73 = ROUND('Raw Data'!H73, 2),FALSE)),"",_xlfn.REGEXEXTRACT(CELL("address",H73), "\$([A-Z]+)\$[0-9]+"))),_xlfn.REGEXEXTRACT(CELL("address",H73), "\$([A-Z]+)\$[0-9]+"))</f>
        <v/>
      </c>
      <c r="I73" s="7" t="str" cm="1">
        <f t="array" aca="1" ref="I73" ca="1">IFERROR(IF(OR('Raw Data'!I73="",LEN(TRIM('Raw Data'!I73))=0),"",IF(AND(LEN('Raw Data'!I73) &lt;= 50,LEN('Raw Data'!I73)&gt; 0),"",_xlfn.REGEXEXTRACT(CELL("address",'Raw Data'!I73),"\$([A-Z]+)\$[0-9]+"))),_xlfn.REGEXEXTRACT(CELL("address",'Raw Data'!I73),"\$([A-Z]+)\$[0-9]+"))</f>
        <v/>
      </c>
      <c r="J73" s="7" t="str" cm="1">
        <f t="array" aca="1" ref="J73" ca="1">IFERROR(IF(OR('Raw Data'!J73="",LEN(TRIM('Raw Data'!J73))=0),"",IF(AND(ISNUMBER('Raw Data'!J73),'Raw Data'!J73&gt;=Configuration!$D$2),"",_xlfn.REGEXEXTRACT(CELL("address",'Raw Data'!J73),"\$([A-Z]+)\$[0-9]+"))),_xlfn.REGEXEXTRACT(CELL("address",J73), "\$([A-Z]+)\$[0-9]+"))</f>
        <v/>
      </c>
      <c r="K73" s="7" t="str" cm="1">
        <f t="array" aca="1" ref="K73" ca="1">IFERROR(IF(OR('Raw Data'!K73="",LEN(TRIM('Raw Data'!K73))=0),"",IF(AND(ISNUMBER('Raw Data'!K73), IFERROR('Raw Data'!K73 = ROUND('Raw Data'!K73, 2),FALSE)),"",_xlfn.REGEXEXTRACT(CELL("address",K73), "\$([A-Z]+)\$[0-9]+"))),_xlfn.REGEXEXTRACT(CELL("address",K73), "\$([A-Z]+)\$[0-9]+"))</f>
        <v/>
      </c>
      <c r="L73" s="7" t="str" cm="1">
        <f t="array" aca="1" ref="L73" ca="1">IFERROR(IF(OR('Raw Data'!L73="",LEN(TRIM('Raw Data'!L73))=0),"",IF(AND(ISNUMBER('Raw Data'!L73), IFERROR('Raw Data'!L73 = ROUND('Raw Data'!L73, 2),FALSE)),"",_xlfn.REGEXEXTRACT(CELL("address",L73), "\$([A-Z]+)\$[0-9]+"))),_xlfn.REGEXEXTRACT(CELL("address",L73), "\$([A-Z]+)\$[0-9]+"))</f>
        <v/>
      </c>
      <c r="M73" s="7" t="str" cm="1">
        <f t="array" aca="1" ref="M73" ca="1">IFERROR(IF(OR('Raw Data'!M73="",LEN(TRIM('Raw Data'!M73))=0),"",IF(AND(ISNUMBER('Raw Data'!M73), IFERROR('Raw Data'!M73 = ROUND('Raw Data'!M73, 2),FALSE)),"",_xlfn.REGEXEXTRACT(CELL("address",M73), "\$([A-Z]+)\$[0-9]+"))),_xlfn.REGEXEXTRACT(CELL("address",M73), "\$([A-Z]+)\$[0-9]+"))</f>
        <v/>
      </c>
      <c r="N73" s="7" t="str" cm="1">
        <f t="array" aca="1" ref="N73" ca="1">IFERROR(IF(OR('Raw Data'!N73="",LEN(TRIM('Raw Data'!N73))=0),"",IF(AND(ISNUMBER('Raw Data'!N73), IFERROR('Raw Data'!N73 = ROUND('Raw Data'!N73, 2),FALSE)),"",_xlfn.REGEXEXTRACT(CELL("address",N73), "\$([A-Z]+)\$[0-9]+"))),_xlfn.REGEXEXTRACT(CELL("address",N73), "\$([A-Z]+)\$[0-9]+"))</f>
        <v/>
      </c>
      <c r="O73" s="7" t="str" cm="1">
        <f t="array" aca="1" ref="O73" ca="1">IFERROR(IF(OR('Raw Data'!O73="",LEN(TRIM('Raw Data'!O73))=0),"",IF(AND(ISNUMBER('Raw Data'!O73), IFERROR('Raw Data'!O73 = ROUND('Raw Data'!O73, 2),FALSE)),"",_xlfn.REGEXEXTRACT(CELL("address",O73), "\$([A-Z]+)\$[0-9]+"))),_xlfn.REGEXEXTRACT(CELL("address",O73), "\$([A-Z]+)\$[0-9]+"))</f>
        <v/>
      </c>
      <c r="P73" s="7" t="str" cm="1">
        <f t="array" aca="1" ref="P73" ca="1">IFERROR(IF(OR('Raw Data'!P73="",LEN(TRIM('Raw Data'!P73))=0),"",IF(AND(ISNUMBER('Raw Data'!P73),'Raw Data'!P73&gt;=Configuration!$D$2),"",_xlfn.REGEXEXTRACT(CELL("address",'Raw Data'!P73),"\$([A-Z]+)\$[0-9]+"))),_xlfn.REGEXEXTRACT(CELL("address",P73), "\$([A-Z]+)\$[0-9]+"))</f>
        <v/>
      </c>
      <c r="Q73" s="7" t="str" cm="1">
        <f t="array" aca="1" ref="Q73" ca="1">IFERROR(IF(OR('Raw Data'!Q73="",LEN(TRIM('Raw Data'!Q73))=0),"",IF(AND(ISNUMBER('Raw Data'!Q73),'Raw Data'!Q73&gt;=Configuration!$D$2),"",_xlfn.REGEXEXTRACT(CELL("address",'Raw Data'!Q73),"\$([A-Z]+)\$[0-9]+"))),_xlfn.REGEXEXTRACT(CELL("address",Q73), "\$([A-Z]+)\$[0-9]+"))</f>
        <v/>
      </c>
      <c r="R73" s="7" t="str" cm="1">
        <f t="array" aca="1" ref="R73" ca="1">IFERROR(IF(OR('Raw Data'!R73="",LEN(TRIM('Raw Data'!R73))=0),"",IF(AND(ISNUMBER('Raw Data'!R73), IFERROR('Raw Data'!R73 = ROUND('Raw Data'!R73, 2),FALSE)),"",_xlfn.REGEXEXTRACT(CELL("address",R73), "\$([A-Z]+)\$[0-9]+"))),_xlfn.REGEXEXTRACT(CELL("address",R73), "\$([A-Z]+)\$[0-9]+"))</f>
        <v/>
      </c>
      <c r="S73" s="7" t="str" cm="1">
        <f t="array" aca="1" ref="S73" ca="1">IFERROR(IF(OR('Raw Data'!S73="",LEN(TRIM('Raw Data'!S73))=0),"",IF(AND(ISNUMBER('Raw Data'!S73), IFERROR('Raw Data'!S73 = ROUND('Raw Data'!S73, 2),FALSE)),"",_xlfn.REGEXEXTRACT(CELL("address",S73), "\$([A-Z]+)\$[0-9]+"))),_xlfn.REGEXEXTRACT(CELL("address",S73), "\$([A-Z]+)\$[0-9]+"))</f>
        <v/>
      </c>
      <c r="T73" s="7" t="str" cm="1">
        <f t="array" aca="1" ref="T73" ca="1">IFERROR(IF(OR('Raw Data'!T73="",LEN(TRIM('Raw Data'!T73))=0),"",IF(AND(ISNUMBER('Raw Data'!T73), IFERROR('Raw Data'!T73 = ROUND('Raw Data'!T73, 2),FALSE)),"",_xlfn.REGEXEXTRACT(CELL("address",T73), "\$([A-Z]+)\$[0-9]+"))),_xlfn.REGEXEXTRACT(CELL("address",T73), "\$([A-Z]+)\$[0-9]+"))</f>
        <v/>
      </c>
      <c r="U73" s="7" t="str" cm="1">
        <f t="array" aca="1" ref="U73" ca="1">IFERROR(IF(OR('Raw Data'!U73="",LEN(TRIM('Raw Data'!U73))=0),"",IF(AND(LEN('Raw Data'!U73) &lt;= 5,LEN('Raw Data'!U73)&gt; 0),"",_xlfn.REGEXEXTRACT(CELL("address",'Raw Data'!U73),"\$([A-Z]+)\$[0-9]+"))),_xlfn.REGEXEXTRACT(CELL("address",'Raw Data'!U73),"\$([A-Z]+)\$[0-9]+"))</f>
        <v/>
      </c>
      <c r="V73" s="7" t="str" cm="1">
        <f t="array" aca="1" ref="V73" ca="1">IFERROR(IF(OR('Raw Data'!V73="",LEN(TRIM('Raw Data'!V73))=0),"",IF(AND(ISNUMBER('Raw Data'!V73), IFERROR('Raw Data'!V73 = ROUND('Raw Data'!V73, 2),FALSE)),"",_xlfn.REGEXEXTRACT(CELL("address",V73), "\$([A-Z]+)\$[0-9]+"))),_xlfn.REGEXEXTRACT(CELL("address",V73), "\$([A-Z]+)\$[0-9]+"))</f>
        <v/>
      </c>
      <c r="W73" s="7" t="str" cm="1">
        <f t="array" aca="1" ref="W73" ca="1">IFERROR(IF(OR('Raw Data'!W73="",LEN(TRIM('Raw Data'!W73))=0),"",IF(AND(ISNUMBER('Raw Data'!W73), IFERROR('Raw Data'!W73 = ROUND('Raw Data'!W73, 2),FALSE)),"",_xlfn.REGEXEXTRACT(CELL("address",W73), "\$([A-Z]+)\$[0-9]+"))),_xlfn.REGEXEXTRACT(CELL("address",W73), "\$([A-Z]+)\$[0-9]+"))</f>
        <v/>
      </c>
      <c r="X73" s="7" t="str" cm="1">
        <f t="array" aca="1" ref="X73" ca="1">IFERROR(IF(OR('Raw Data'!X73="",LEN(TRIM('Raw Data'!X73))=0),"",IF(AND(ISNUMBER('Raw Data'!X73), IFERROR('Raw Data'!X73 = ROUND('Raw Data'!X73, 2),FALSE)),"",_xlfn.REGEXEXTRACT(CELL("address",X73), "\$([A-Z]+)\$[0-9]+"))),_xlfn.REGEXEXTRACT(CELL("address",X73), "\$([A-Z]+)\$[0-9]+"))</f>
        <v/>
      </c>
    </row>
    <row r="74" spans="2:24" x14ac:dyDescent="0.25">
      <c r="B74" s="7" t="str" cm="1">
        <f t="array" aca="1" ref="B74" ca="1">IFERROR(IF(OR('Raw Data'!B74="",LEN(TRIM('Raw Data'!B74))=0),"",IF(AND(LEN('Raw Data'!B74) &lt;= 50,LEN('Raw Data'!B74)&gt; 0),"",_xlfn.REGEXEXTRACT(CELL("address",'Raw Data'!B74),"\$([A-Z]+)\$[0-9]+"))),_xlfn.REGEXEXTRACT(CELL("address",'Raw Data'!B74),"\$([A-Z]+)\$[0-9]+"))</f>
        <v/>
      </c>
      <c r="C74" s="7" t="str" cm="1">
        <f t="array" aca="1" ref="C74" ca="1">IFERROR(IF(OR('Raw Data'!C74="",LEN(TRIM('Raw Data'!C74))=0),"",IF(AND(LEN('Raw Data'!C74) &lt;= 50,LEN('Raw Data'!C74)&gt; 0),"",_xlfn.REGEXEXTRACT(CELL("address",'Raw Data'!C74),"\$([A-Z]+)\$[0-9]+"))),_xlfn.REGEXEXTRACT(CELL("address",'Raw Data'!C74),"\$([A-Z]+)\$[0-9]+"))</f>
        <v/>
      </c>
      <c r="D74" s="7" t="str" cm="1">
        <f t="array" aca="1" ref="D74" ca="1">IFERROR(IF(OR('Raw Data'!D74="",LEN(TRIM('Raw Data'!D74))=0),"",IF(AND(LEN('Raw Data'!D74) &lt;= 255,LEN('Raw Data'!D74)&gt; 0),"",_xlfn.REGEXEXTRACT(CELL("address",'Raw Data'!D74),"\$([A-Z]+)\$[0-9]+"))),_xlfn.REGEXEXTRACT(CELL("address",'Raw Data'!D74),"\$([A-Z]+)\$[0-9]+"))</f>
        <v/>
      </c>
      <c r="E74" s="7" t="str" cm="1">
        <f t="array" aca="1" ref="E74" ca="1">IFERROR(IF(OR('Raw Data'!E74="",LEN(TRIM('Raw Data'!E74))=0),"",IF(AND(ISNUMBER('Raw Data'!E74),'Raw Data'!E74&gt;=Configuration!$D$2),"",_xlfn.REGEXEXTRACT(CELL("address",'Raw Data'!E74),"\$([A-Z]+)\$[0-9]+"))),_xlfn.REGEXEXTRACT(CELL("address",E74), "\$([A-Z]+)\$[0-9]+"))</f>
        <v/>
      </c>
      <c r="F74" s="7" t="str" cm="1">
        <f t="array" aca="1" ref="F74" ca="1">IFERROR(IF(OR('Raw Data'!F74="",LEN(TRIM('Raw Data'!F74))=0),"",IF(AND(LEN('Raw Data'!F74) &lt;= 20,LEN('Raw Data'!F74)&gt; 0),"",_xlfn.REGEXEXTRACT(CELL("address",'Raw Data'!F74),"\$([A-Z]+)\$[0-9]+"))),_xlfn.REGEXEXTRACT(CELL("address",'Raw Data'!F74),"\$([A-Z]+)\$[0-9]+"))</f>
        <v/>
      </c>
      <c r="G74" s="7" t="str" cm="1">
        <f t="array" aca="1" ref="G74" ca="1">IFERROR(IF(OR('Raw Data'!G74="",LEN(TRIM('Raw Data'!G74))=0),"",IF(AND(ISNUMBER('Raw Data'!G74), IFERROR('Raw Data'!G74 = ROUND('Raw Data'!G74, 2),FALSE)),"",_xlfn.REGEXEXTRACT(CELL("address",G74), "\$([A-Z]+)\$[0-9]+"))),_xlfn.REGEXEXTRACT(CELL("address",G74), "\$([A-Z]+)\$[0-9]+"))</f>
        <v/>
      </c>
      <c r="H74" s="7" t="str" cm="1">
        <f t="array" aca="1" ref="H74" ca="1">IFERROR(IF(OR('Raw Data'!H74="",LEN(TRIM('Raw Data'!H74))=0),"",IF(AND(ISNUMBER('Raw Data'!H74), IFERROR('Raw Data'!H74 = ROUND('Raw Data'!H74, 2),FALSE)),"",_xlfn.REGEXEXTRACT(CELL("address",H74), "\$([A-Z]+)\$[0-9]+"))),_xlfn.REGEXEXTRACT(CELL("address",H74), "\$([A-Z]+)\$[0-9]+"))</f>
        <v/>
      </c>
      <c r="I74" s="7" t="str" cm="1">
        <f t="array" aca="1" ref="I74" ca="1">IFERROR(IF(OR('Raw Data'!I74="",LEN(TRIM('Raw Data'!I74))=0),"",IF(AND(LEN('Raw Data'!I74) &lt;= 50,LEN('Raw Data'!I74)&gt; 0),"",_xlfn.REGEXEXTRACT(CELL("address",'Raw Data'!I74),"\$([A-Z]+)\$[0-9]+"))),_xlfn.REGEXEXTRACT(CELL("address",'Raw Data'!I74),"\$([A-Z]+)\$[0-9]+"))</f>
        <v/>
      </c>
      <c r="J74" s="7" t="str" cm="1">
        <f t="array" aca="1" ref="J74" ca="1">IFERROR(IF(OR('Raw Data'!J74="",LEN(TRIM('Raw Data'!J74))=0),"",IF(AND(ISNUMBER('Raw Data'!J74),'Raw Data'!J74&gt;=Configuration!$D$2),"",_xlfn.REGEXEXTRACT(CELL("address",'Raw Data'!J74),"\$([A-Z]+)\$[0-9]+"))),_xlfn.REGEXEXTRACT(CELL("address",J74), "\$([A-Z]+)\$[0-9]+"))</f>
        <v/>
      </c>
      <c r="K74" s="7" t="str" cm="1">
        <f t="array" aca="1" ref="K74" ca="1">IFERROR(IF(OR('Raw Data'!K74="",LEN(TRIM('Raw Data'!K74))=0),"",IF(AND(ISNUMBER('Raw Data'!K74), IFERROR('Raw Data'!K74 = ROUND('Raw Data'!K74, 2),FALSE)),"",_xlfn.REGEXEXTRACT(CELL("address",K74), "\$([A-Z]+)\$[0-9]+"))),_xlfn.REGEXEXTRACT(CELL("address",K74), "\$([A-Z]+)\$[0-9]+"))</f>
        <v/>
      </c>
      <c r="L74" s="7" t="str" cm="1">
        <f t="array" aca="1" ref="L74" ca="1">IFERROR(IF(OR('Raw Data'!L74="",LEN(TRIM('Raw Data'!L74))=0),"",IF(AND(ISNUMBER('Raw Data'!L74), IFERROR('Raw Data'!L74 = ROUND('Raw Data'!L74, 2),FALSE)),"",_xlfn.REGEXEXTRACT(CELL("address",L74), "\$([A-Z]+)\$[0-9]+"))),_xlfn.REGEXEXTRACT(CELL("address",L74), "\$([A-Z]+)\$[0-9]+"))</f>
        <v/>
      </c>
      <c r="M74" s="7" t="str" cm="1">
        <f t="array" aca="1" ref="M74" ca="1">IFERROR(IF(OR('Raw Data'!M74="",LEN(TRIM('Raw Data'!M74))=0),"",IF(AND(ISNUMBER('Raw Data'!M74), IFERROR('Raw Data'!M74 = ROUND('Raw Data'!M74, 2),FALSE)),"",_xlfn.REGEXEXTRACT(CELL("address",M74), "\$([A-Z]+)\$[0-9]+"))),_xlfn.REGEXEXTRACT(CELL("address",M74), "\$([A-Z]+)\$[0-9]+"))</f>
        <v/>
      </c>
      <c r="N74" s="7" t="str" cm="1">
        <f t="array" aca="1" ref="N74" ca="1">IFERROR(IF(OR('Raw Data'!N74="",LEN(TRIM('Raw Data'!N74))=0),"",IF(AND(ISNUMBER('Raw Data'!N74), IFERROR('Raw Data'!N74 = ROUND('Raw Data'!N74, 2),FALSE)),"",_xlfn.REGEXEXTRACT(CELL("address",N74), "\$([A-Z]+)\$[0-9]+"))),_xlfn.REGEXEXTRACT(CELL("address",N74), "\$([A-Z]+)\$[0-9]+"))</f>
        <v/>
      </c>
      <c r="O74" s="7" t="str" cm="1">
        <f t="array" aca="1" ref="O74" ca="1">IFERROR(IF(OR('Raw Data'!O74="",LEN(TRIM('Raw Data'!O74))=0),"",IF(AND(ISNUMBER('Raw Data'!O74), IFERROR('Raw Data'!O74 = ROUND('Raw Data'!O74, 2),FALSE)),"",_xlfn.REGEXEXTRACT(CELL("address",O74), "\$([A-Z]+)\$[0-9]+"))),_xlfn.REGEXEXTRACT(CELL("address",O74), "\$([A-Z]+)\$[0-9]+"))</f>
        <v/>
      </c>
      <c r="P74" s="7" t="str" cm="1">
        <f t="array" aca="1" ref="P74" ca="1">IFERROR(IF(OR('Raw Data'!P74="",LEN(TRIM('Raw Data'!P74))=0),"",IF(AND(ISNUMBER('Raw Data'!P74),'Raw Data'!P74&gt;=Configuration!$D$2),"",_xlfn.REGEXEXTRACT(CELL("address",'Raw Data'!P74),"\$([A-Z]+)\$[0-9]+"))),_xlfn.REGEXEXTRACT(CELL("address",P74), "\$([A-Z]+)\$[0-9]+"))</f>
        <v/>
      </c>
      <c r="Q74" s="7" t="str" cm="1">
        <f t="array" aca="1" ref="Q74" ca="1">IFERROR(IF(OR('Raw Data'!Q74="",LEN(TRIM('Raw Data'!Q74))=0),"",IF(AND(ISNUMBER('Raw Data'!Q74),'Raw Data'!Q74&gt;=Configuration!$D$2),"",_xlfn.REGEXEXTRACT(CELL("address",'Raw Data'!Q74),"\$([A-Z]+)\$[0-9]+"))),_xlfn.REGEXEXTRACT(CELL("address",Q74), "\$([A-Z]+)\$[0-9]+"))</f>
        <v/>
      </c>
      <c r="R74" s="7" t="str" cm="1">
        <f t="array" aca="1" ref="R74" ca="1">IFERROR(IF(OR('Raw Data'!R74="",LEN(TRIM('Raw Data'!R74))=0),"",IF(AND(ISNUMBER('Raw Data'!R74), IFERROR('Raw Data'!R74 = ROUND('Raw Data'!R74, 2),FALSE)),"",_xlfn.REGEXEXTRACT(CELL("address",R74), "\$([A-Z]+)\$[0-9]+"))),_xlfn.REGEXEXTRACT(CELL("address",R74), "\$([A-Z]+)\$[0-9]+"))</f>
        <v/>
      </c>
      <c r="S74" s="7" t="str" cm="1">
        <f t="array" aca="1" ref="S74" ca="1">IFERROR(IF(OR('Raw Data'!S74="",LEN(TRIM('Raw Data'!S74))=0),"",IF(AND(ISNUMBER('Raw Data'!S74), IFERROR('Raw Data'!S74 = ROUND('Raw Data'!S74, 2),FALSE)),"",_xlfn.REGEXEXTRACT(CELL("address",S74), "\$([A-Z]+)\$[0-9]+"))),_xlfn.REGEXEXTRACT(CELL("address",S74), "\$([A-Z]+)\$[0-9]+"))</f>
        <v/>
      </c>
      <c r="T74" s="7" t="str" cm="1">
        <f t="array" aca="1" ref="T74" ca="1">IFERROR(IF(OR('Raw Data'!T74="",LEN(TRIM('Raw Data'!T74))=0),"",IF(AND(ISNUMBER('Raw Data'!T74), IFERROR('Raw Data'!T74 = ROUND('Raw Data'!T74, 2),FALSE)),"",_xlfn.REGEXEXTRACT(CELL("address",T74), "\$([A-Z]+)\$[0-9]+"))),_xlfn.REGEXEXTRACT(CELL("address",T74), "\$([A-Z]+)\$[0-9]+"))</f>
        <v/>
      </c>
      <c r="U74" s="7" t="str" cm="1">
        <f t="array" aca="1" ref="U74" ca="1">IFERROR(IF(OR('Raw Data'!U74="",LEN(TRIM('Raw Data'!U74))=0),"",IF(AND(LEN('Raw Data'!U74) &lt;= 5,LEN('Raw Data'!U74)&gt; 0),"",_xlfn.REGEXEXTRACT(CELL("address",'Raw Data'!U74),"\$([A-Z]+)\$[0-9]+"))),_xlfn.REGEXEXTRACT(CELL("address",'Raw Data'!U74),"\$([A-Z]+)\$[0-9]+"))</f>
        <v/>
      </c>
      <c r="V74" s="7" t="str" cm="1">
        <f t="array" aca="1" ref="V74" ca="1">IFERROR(IF(OR('Raw Data'!V74="",LEN(TRIM('Raw Data'!V74))=0),"",IF(AND(ISNUMBER('Raw Data'!V74), IFERROR('Raw Data'!V74 = ROUND('Raw Data'!V74, 2),FALSE)),"",_xlfn.REGEXEXTRACT(CELL("address",V74), "\$([A-Z]+)\$[0-9]+"))),_xlfn.REGEXEXTRACT(CELL("address",V74), "\$([A-Z]+)\$[0-9]+"))</f>
        <v/>
      </c>
      <c r="W74" s="7" t="str" cm="1">
        <f t="array" aca="1" ref="W74" ca="1">IFERROR(IF(OR('Raw Data'!W74="",LEN(TRIM('Raw Data'!W74))=0),"",IF(AND(ISNUMBER('Raw Data'!W74), IFERROR('Raw Data'!W74 = ROUND('Raw Data'!W74, 2),FALSE)),"",_xlfn.REGEXEXTRACT(CELL("address",W74), "\$([A-Z]+)\$[0-9]+"))),_xlfn.REGEXEXTRACT(CELL("address",W74), "\$([A-Z]+)\$[0-9]+"))</f>
        <v/>
      </c>
      <c r="X74" s="7" t="str" cm="1">
        <f t="array" aca="1" ref="X74" ca="1">IFERROR(IF(OR('Raw Data'!X74="",LEN(TRIM('Raw Data'!X74))=0),"",IF(AND(ISNUMBER('Raw Data'!X74), IFERROR('Raw Data'!X74 = ROUND('Raw Data'!X74, 2),FALSE)),"",_xlfn.REGEXEXTRACT(CELL("address",X74), "\$([A-Z]+)\$[0-9]+"))),_xlfn.REGEXEXTRACT(CELL("address",X74), "\$([A-Z]+)\$[0-9]+"))</f>
        <v/>
      </c>
    </row>
    <row r="75" spans="2:24" x14ac:dyDescent="0.25">
      <c r="B75" s="7" t="str" cm="1">
        <f t="array" aca="1" ref="B75" ca="1">IFERROR(IF(OR('Raw Data'!B75="",LEN(TRIM('Raw Data'!B75))=0),"",IF(AND(LEN('Raw Data'!B75) &lt;= 50,LEN('Raw Data'!B75)&gt; 0),"",_xlfn.REGEXEXTRACT(CELL("address",'Raw Data'!B75),"\$([A-Z]+)\$[0-9]+"))),_xlfn.REGEXEXTRACT(CELL("address",'Raw Data'!B75),"\$([A-Z]+)\$[0-9]+"))</f>
        <v/>
      </c>
      <c r="C75" s="7" t="str" cm="1">
        <f t="array" aca="1" ref="C75" ca="1">IFERROR(IF(OR('Raw Data'!C75="",LEN(TRIM('Raw Data'!C75))=0),"",IF(AND(LEN('Raw Data'!C75) &lt;= 50,LEN('Raw Data'!C75)&gt; 0),"",_xlfn.REGEXEXTRACT(CELL("address",'Raw Data'!C75),"\$([A-Z]+)\$[0-9]+"))),_xlfn.REGEXEXTRACT(CELL("address",'Raw Data'!C75),"\$([A-Z]+)\$[0-9]+"))</f>
        <v/>
      </c>
      <c r="D75" s="7" t="str" cm="1">
        <f t="array" aca="1" ref="D75" ca="1">IFERROR(IF(OR('Raw Data'!D75="",LEN(TRIM('Raw Data'!D75))=0),"",IF(AND(LEN('Raw Data'!D75) &lt;= 255,LEN('Raw Data'!D75)&gt; 0),"",_xlfn.REGEXEXTRACT(CELL("address",'Raw Data'!D75),"\$([A-Z]+)\$[0-9]+"))),_xlfn.REGEXEXTRACT(CELL("address",'Raw Data'!D75),"\$([A-Z]+)\$[0-9]+"))</f>
        <v/>
      </c>
      <c r="E75" s="7" t="str" cm="1">
        <f t="array" aca="1" ref="E75" ca="1">IFERROR(IF(OR('Raw Data'!E75="",LEN(TRIM('Raw Data'!E75))=0),"",IF(AND(ISNUMBER('Raw Data'!E75),'Raw Data'!E75&gt;=Configuration!$D$2),"",_xlfn.REGEXEXTRACT(CELL("address",'Raw Data'!E75),"\$([A-Z]+)\$[0-9]+"))),_xlfn.REGEXEXTRACT(CELL("address",E75), "\$([A-Z]+)\$[0-9]+"))</f>
        <v/>
      </c>
      <c r="F75" s="7" t="str" cm="1">
        <f t="array" aca="1" ref="F75" ca="1">IFERROR(IF(OR('Raw Data'!F75="",LEN(TRIM('Raw Data'!F75))=0),"",IF(AND(LEN('Raw Data'!F75) &lt;= 20,LEN('Raw Data'!F75)&gt; 0),"",_xlfn.REGEXEXTRACT(CELL("address",'Raw Data'!F75),"\$([A-Z]+)\$[0-9]+"))),_xlfn.REGEXEXTRACT(CELL("address",'Raw Data'!F75),"\$([A-Z]+)\$[0-9]+"))</f>
        <v/>
      </c>
      <c r="G75" s="7" t="str" cm="1">
        <f t="array" aca="1" ref="G75" ca="1">IFERROR(IF(OR('Raw Data'!G75="",LEN(TRIM('Raw Data'!G75))=0),"",IF(AND(ISNUMBER('Raw Data'!G75), IFERROR('Raw Data'!G75 = ROUND('Raw Data'!G75, 2),FALSE)),"",_xlfn.REGEXEXTRACT(CELL("address",G75), "\$([A-Z]+)\$[0-9]+"))),_xlfn.REGEXEXTRACT(CELL("address",G75), "\$([A-Z]+)\$[0-9]+"))</f>
        <v/>
      </c>
      <c r="H75" s="7" t="str" cm="1">
        <f t="array" aca="1" ref="H75" ca="1">IFERROR(IF(OR('Raw Data'!H75="",LEN(TRIM('Raw Data'!H75))=0),"",IF(AND(ISNUMBER('Raw Data'!H75), IFERROR('Raw Data'!H75 = ROUND('Raw Data'!H75, 2),FALSE)),"",_xlfn.REGEXEXTRACT(CELL("address",H75), "\$([A-Z]+)\$[0-9]+"))),_xlfn.REGEXEXTRACT(CELL("address",H75), "\$([A-Z]+)\$[0-9]+"))</f>
        <v/>
      </c>
      <c r="I75" s="7" t="str" cm="1">
        <f t="array" aca="1" ref="I75" ca="1">IFERROR(IF(OR('Raw Data'!I75="",LEN(TRIM('Raw Data'!I75))=0),"",IF(AND(LEN('Raw Data'!I75) &lt;= 50,LEN('Raw Data'!I75)&gt; 0),"",_xlfn.REGEXEXTRACT(CELL("address",'Raw Data'!I75),"\$([A-Z]+)\$[0-9]+"))),_xlfn.REGEXEXTRACT(CELL("address",'Raw Data'!I75),"\$([A-Z]+)\$[0-9]+"))</f>
        <v/>
      </c>
      <c r="J75" s="7" t="str" cm="1">
        <f t="array" aca="1" ref="J75" ca="1">IFERROR(IF(OR('Raw Data'!J75="",LEN(TRIM('Raw Data'!J75))=0),"",IF(AND(ISNUMBER('Raw Data'!J75),'Raw Data'!J75&gt;=Configuration!$D$2),"",_xlfn.REGEXEXTRACT(CELL("address",'Raw Data'!J75),"\$([A-Z]+)\$[0-9]+"))),_xlfn.REGEXEXTRACT(CELL("address",J75), "\$([A-Z]+)\$[0-9]+"))</f>
        <v/>
      </c>
      <c r="K75" s="7" t="str" cm="1">
        <f t="array" aca="1" ref="K75" ca="1">IFERROR(IF(OR('Raw Data'!K75="",LEN(TRIM('Raw Data'!K75))=0),"",IF(AND(ISNUMBER('Raw Data'!K75), IFERROR('Raw Data'!K75 = ROUND('Raw Data'!K75, 2),FALSE)),"",_xlfn.REGEXEXTRACT(CELL("address",K75), "\$([A-Z]+)\$[0-9]+"))),_xlfn.REGEXEXTRACT(CELL("address",K75), "\$([A-Z]+)\$[0-9]+"))</f>
        <v/>
      </c>
      <c r="L75" s="7" t="str" cm="1">
        <f t="array" aca="1" ref="L75" ca="1">IFERROR(IF(OR('Raw Data'!L75="",LEN(TRIM('Raw Data'!L75))=0),"",IF(AND(ISNUMBER('Raw Data'!L75), IFERROR('Raw Data'!L75 = ROUND('Raw Data'!L75, 2),FALSE)),"",_xlfn.REGEXEXTRACT(CELL("address",L75), "\$([A-Z]+)\$[0-9]+"))),_xlfn.REGEXEXTRACT(CELL("address",L75), "\$([A-Z]+)\$[0-9]+"))</f>
        <v/>
      </c>
      <c r="M75" s="7" t="str" cm="1">
        <f t="array" aca="1" ref="M75" ca="1">IFERROR(IF(OR('Raw Data'!M75="",LEN(TRIM('Raw Data'!M75))=0),"",IF(AND(ISNUMBER('Raw Data'!M75), IFERROR('Raw Data'!M75 = ROUND('Raw Data'!M75, 2),FALSE)),"",_xlfn.REGEXEXTRACT(CELL("address",M75), "\$([A-Z]+)\$[0-9]+"))),_xlfn.REGEXEXTRACT(CELL("address",M75), "\$([A-Z]+)\$[0-9]+"))</f>
        <v/>
      </c>
      <c r="N75" s="7" t="str" cm="1">
        <f t="array" aca="1" ref="N75" ca="1">IFERROR(IF(OR('Raw Data'!N75="",LEN(TRIM('Raw Data'!N75))=0),"",IF(AND(ISNUMBER('Raw Data'!N75), IFERROR('Raw Data'!N75 = ROUND('Raw Data'!N75, 2),FALSE)),"",_xlfn.REGEXEXTRACT(CELL("address",N75), "\$([A-Z]+)\$[0-9]+"))),_xlfn.REGEXEXTRACT(CELL("address",N75), "\$([A-Z]+)\$[0-9]+"))</f>
        <v/>
      </c>
      <c r="O75" s="7" t="str" cm="1">
        <f t="array" aca="1" ref="O75" ca="1">IFERROR(IF(OR('Raw Data'!O75="",LEN(TRIM('Raw Data'!O75))=0),"",IF(AND(ISNUMBER('Raw Data'!O75), IFERROR('Raw Data'!O75 = ROUND('Raw Data'!O75, 2),FALSE)),"",_xlfn.REGEXEXTRACT(CELL("address",O75), "\$([A-Z]+)\$[0-9]+"))),_xlfn.REGEXEXTRACT(CELL("address",O75), "\$([A-Z]+)\$[0-9]+"))</f>
        <v/>
      </c>
      <c r="P75" s="7" t="str" cm="1">
        <f t="array" aca="1" ref="P75" ca="1">IFERROR(IF(OR('Raw Data'!P75="",LEN(TRIM('Raw Data'!P75))=0),"",IF(AND(ISNUMBER('Raw Data'!P75),'Raw Data'!P75&gt;=Configuration!$D$2),"",_xlfn.REGEXEXTRACT(CELL("address",'Raw Data'!P75),"\$([A-Z]+)\$[0-9]+"))),_xlfn.REGEXEXTRACT(CELL("address",P75), "\$([A-Z]+)\$[0-9]+"))</f>
        <v/>
      </c>
      <c r="Q75" s="7" t="str" cm="1">
        <f t="array" aca="1" ref="Q75" ca="1">IFERROR(IF(OR('Raw Data'!Q75="",LEN(TRIM('Raw Data'!Q75))=0),"",IF(AND(ISNUMBER('Raw Data'!Q75),'Raw Data'!Q75&gt;=Configuration!$D$2),"",_xlfn.REGEXEXTRACT(CELL("address",'Raw Data'!Q75),"\$([A-Z]+)\$[0-9]+"))),_xlfn.REGEXEXTRACT(CELL("address",Q75), "\$([A-Z]+)\$[0-9]+"))</f>
        <v/>
      </c>
      <c r="R75" s="7" t="str" cm="1">
        <f t="array" aca="1" ref="R75" ca="1">IFERROR(IF(OR('Raw Data'!R75="",LEN(TRIM('Raw Data'!R75))=0),"",IF(AND(ISNUMBER('Raw Data'!R75), IFERROR('Raw Data'!R75 = ROUND('Raw Data'!R75, 2),FALSE)),"",_xlfn.REGEXEXTRACT(CELL("address",R75), "\$([A-Z]+)\$[0-9]+"))),_xlfn.REGEXEXTRACT(CELL("address",R75), "\$([A-Z]+)\$[0-9]+"))</f>
        <v/>
      </c>
      <c r="S75" s="7" t="str" cm="1">
        <f t="array" aca="1" ref="S75" ca="1">IFERROR(IF(OR('Raw Data'!S75="",LEN(TRIM('Raw Data'!S75))=0),"",IF(AND(ISNUMBER('Raw Data'!S75), IFERROR('Raw Data'!S75 = ROUND('Raw Data'!S75, 2),FALSE)),"",_xlfn.REGEXEXTRACT(CELL("address",S75), "\$([A-Z]+)\$[0-9]+"))),_xlfn.REGEXEXTRACT(CELL("address",S75), "\$([A-Z]+)\$[0-9]+"))</f>
        <v/>
      </c>
      <c r="T75" s="7" t="str" cm="1">
        <f t="array" aca="1" ref="T75" ca="1">IFERROR(IF(OR('Raw Data'!T75="",LEN(TRIM('Raw Data'!T75))=0),"",IF(AND(ISNUMBER('Raw Data'!T75), IFERROR('Raw Data'!T75 = ROUND('Raw Data'!T75, 2),FALSE)),"",_xlfn.REGEXEXTRACT(CELL("address",T75), "\$([A-Z]+)\$[0-9]+"))),_xlfn.REGEXEXTRACT(CELL("address",T75), "\$([A-Z]+)\$[0-9]+"))</f>
        <v/>
      </c>
      <c r="U75" s="7" t="str" cm="1">
        <f t="array" aca="1" ref="U75" ca="1">IFERROR(IF(OR('Raw Data'!U75="",LEN(TRIM('Raw Data'!U75))=0),"",IF(AND(LEN('Raw Data'!U75) &lt;= 5,LEN('Raw Data'!U75)&gt; 0),"",_xlfn.REGEXEXTRACT(CELL("address",'Raw Data'!U75),"\$([A-Z]+)\$[0-9]+"))),_xlfn.REGEXEXTRACT(CELL("address",'Raw Data'!U75),"\$([A-Z]+)\$[0-9]+"))</f>
        <v/>
      </c>
      <c r="V75" s="7" t="str" cm="1">
        <f t="array" aca="1" ref="V75" ca="1">IFERROR(IF(OR('Raw Data'!V75="",LEN(TRIM('Raw Data'!V75))=0),"",IF(AND(ISNUMBER('Raw Data'!V75), IFERROR('Raw Data'!V75 = ROUND('Raw Data'!V75, 2),FALSE)),"",_xlfn.REGEXEXTRACT(CELL("address",V75), "\$([A-Z]+)\$[0-9]+"))),_xlfn.REGEXEXTRACT(CELL("address",V75), "\$([A-Z]+)\$[0-9]+"))</f>
        <v/>
      </c>
      <c r="W75" s="7" t="str" cm="1">
        <f t="array" aca="1" ref="W75" ca="1">IFERROR(IF(OR('Raw Data'!W75="",LEN(TRIM('Raw Data'!W75))=0),"",IF(AND(ISNUMBER('Raw Data'!W75), IFERROR('Raw Data'!W75 = ROUND('Raw Data'!W75, 2),FALSE)),"",_xlfn.REGEXEXTRACT(CELL("address",W75), "\$([A-Z]+)\$[0-9]+"))),_xlfn.REGEXEXTRACT(CELL("address",W75), "\$([A-Z]+)\$[0-9]+"))</f>
        <v/>
      </c>
      <c r="X75" s="7" t="str" cm="1">
        <f t="array" aca="1" ref="X75" ca="1">IFERROR(IF(OR('Raw Data'!X75="",LEN(TRIM('Raw Data'!X75))=0),"",IF(AND(ISNUMBER('Raw Data'!X75), IFERROR('Raw Data'!X75 = ROUND('Raw Data'!X75, 2),FALSE)),"",_xlfn.REGEXEXTRACT(CELL("address",X75), "\$([A-Z]+)\$[0-9]+"))),_xlfn.REGEXEXTRACT(CELL("address",X75), "\$([A-Z]+)\$[0-9]+"))</f>
        <v/>
      </c>
    </row>
    <row r="76" spans="2:24" x14ac:dyDescent="0.25">
      <c r="B76" s="7" t="str" cm="1">
        <f t="array" aca="1" ref="B76" ca="1">IFERROR(IF(OR('Raw Data'!B76="",LEN(TRIM('Raw Data'!B76))=0),"",IF(AND(LEN('Raw Data'!B76) &lt;= 50,LEN('Raw Data'!B76)&gt; 0),"",_xlfn.REGEXEXTRACT(CELL("address",'Raw Data'!B76),"\$([A-Z]+)\$[0-9]+"))),_xlfn.REGEXEXTRACT(CELL("address",'Raw Data'!B76),"\$([A-Z]+)\$[0-9]+"))</f>
        <v/>
      </c>
      <c r="C76" s="7" t="str" cm="1">
        <f t="array" aca="1" ref="C76" ca="1">IFERROR(IF(OR('Raw Data'!C76="",LEN(TRIM('Raw Data'!C76))=0),"",IF(AND(LEN('Raw Data'!C76) &lt;= 50,LEN('Raw Data'!C76)&gt; 0),"",_xlfn.REGEXEXTRACT(CELL("address",'Raw Data'!C76),"\$([A-Z]+)\$[0-9]+"))),_xlfn.REGEXEXTRACT(CELL("address",'Raw Data'!C76),"\$([A-Z]+)\$[0-9]+"))</f>
        <v/>
      </c>
      <c r="D76" s="7" t="str" cm="1">
        <f t="array" aca="1" ref="D76" ca="1">IFERROR(IF(OR('Raw Data'!D76="",LEN(TRIM('Raw Data'!D76))=0),"",IF(AND(LEN('Raw Data'!D76) &lt;= 255,LEN('Raw Data'!D76)&gt; 0),"",_xlfn.REGEXEXTRACT(CELL("address",'Raw Data'!D76),"\$([A-Z]+)\$[0-9]+"))),_xlfn.REGEXEXTRACT(CELL("address",'Raw Data'!D76),"\$([A-Z]+)\$[0-9]+"))</f>
        <v/>
      </c>
      <c r="E76" s="7" t="str" cm="1">
        <f t="array" aca="1" ref="E76" ca="1">IFERROR(IF(OR('Raw Data'!E76="",LEN(TRIM('Raw Data'!E76))=0),"",IF(AND(ISNUMBER('Raw Data'!E76),'Raw Data'!E76&gt;=Configuration!$D$2),"",_xlfn.REGEXEXTRACT(CELL("address",'Raw Data'!E76),"\$([A-Z]+)\$[0-9]+"))),_xlfn.REGEXEXTRACT(CELL("address",E76), "\$([A-Z]+)\$[0-9]+"))</f>
        <v/>
      </c>
      <c r="F76" s="7" t="str" cm="1">
        <f t="array" aca="1" ref="F76" ca="1">IFERROR(IF(OR('Raw Data'!F76="",LEN(TRIM('Raw Data'!F76))=0),"",IF(AND(LEN('Raw Data'!F76) &lt;= 20,LEN('Raw Data'!F76)&gt; 0),"",_xlfn.REGEXEXTRACT(CELL("address",'Raw Data'!F76),"\$([A-Z]+)\$[0-9]+"))),_xlfn.REGEXEXTRACT(CELL("address",'Raw Data'!F76),"\$([A-Z]+)\$[0-9]+"))</f>
        <v/>
      </c>
      <c r="G76" s="7" t="str" cm="1">
        <f t="array" aca="1" ref="G76" ca="1">IFERROR(IF(OR('Raw Data'!G76="",LEN(TRIM('Raw Data'!G76))=0),"",IF(AND(ISNUMBER('Raw Data'!G76), IFERROR('Raw Data'!G76 = ROUND('Raw Data'!G76, 2),FALSE)),"",_xlfn.REGEXEXTRACT(CELL("address",G76), "\$([A-Z]+)\$[0-9]+"))),_xlfn.REGEXEXTRACT(CELL("address",G76), "\$([A-Z]+)\$[0-9]+"))</f>
        <v/>
      </c>
      <c r="H76" s="7" t="str" cm="1">
        <f t="array" aca="1" ref="H76" ca="1">IFERROR(IF(OR('Raw Data'!H76="",LEN(TRIM('Raw Data'!H76))=0),"",IF(AND(ISNUMBER('Raw Data'!H76), IFERROR('Raw Data'!H76 = ROUND('Raw Data'!H76, 2),FALSE)),"",_xlfn.REGEXEXTRACT(CELL("address",H76), "\$([A-Z]+)\$[0-9]+"))),_xlfn.REGEXEXTRACT(CELL("address",H76), "\$([A-Z]+)\$[0-9]+"))</f>
        <v/>
      </c>
      <c r="I76" s="7" t="str" cm="1">
        <f t="array" aca="1" ref="I76" ca="1">IFERROR(IF(OR('Raw Data'!I76="",LEN(TRIM('Raw Data'!I76))=0),"",IF(AND(LEN('Raw Data'!I76) &lt;= 50,LEN('Raw Data'!I76)&gt; 0),"",_xlfn.REGEXEXTRACT(CELL("address",'Raw Data'!I76),"\$([A-Z]+)\$[0-9]+"))),_xlfn.REGEXEXTRACT(CELL("address",'Raw Data'!I76),"\$([A-Z]+)\$[0-9]+"))</f>
        <v/>
      </c>
      <c r="J76" s="7" t="str" cm="1">
        <f t="array" aca="1" ref="J76" ca="1">IFERROR(IF(OR('Raw Data'!J76="",LEN(TRIM('Raw Data'!J76))=0),"",IF(AND(ISNUMBER('Raw Data'!J76),'Raw Data'!J76&gt;=Configuration!$D$2),"",_xlfn.REGEXEXTRACT(CELL("address",'Raw Data'!J76),"\$([A-Z]+)\$[0-9]+"))),_xlfn.REGEXEXTRACT(CELL("address",J76), "\$([A-Z]+)\$[0-9]+"))</f>
        <v/>
      </c>
      <c r="K76" s="7" t="str" cm="1">
        <f t="array" aca="1" ref="K76" ca="1">IFERROR(IF(OR('Raw Data'!K76="",LEN(TRIM('Raw Data'!K76))=0),"",IF(AND(ISNUMBER('Raw Data'!K76), IFERROR('Raw Data'!K76 = ROUND('Raw Data'!K76, 2),FALSE)),"",_xlfn.REGEXEXTRACT(CELL("address",K76), "\$([A-Z]+)\$[0-9]+"))),_xlfn.REGEXEXTRACT(CELL("address",K76), "\$([A-Z]+)\$[0-9]+"))</f>
        <v/>
      </c>
      <c r="L76" s="7" t="str" cm="1">
        <f t="array" aca="1" ref="L76" ca="1">IFERROR(IF(OR('Raw Data'!L76="",LEN(TRIM('Raw Data'!L76))=0),"",IF(AND(ISNUMBER('Raw Data'!L76), IFERROR('Raw Data'!L76 = ROUND('Raw Data'!L76, 2),FALSE)),"",_xlfn.REGEXEXTRACT(CELL("address",L76), "\$([A-Z]+)\$[0-9]+"))),_xlfn.REGEXEXTRACT(CELL("address",L76), "\$([A-Z]+)\$[0-9]+"))</f>
        <v/>
      </c>
      <c r="M76" s="7" t="str" cm="1">
        <f t="array" aca="1" ref="M76" ca="1">IFERROR(IF(OR('Raw Data'!M76="",LEN(TRIM('Raw Data'!M76))=0),"",IF(AND(ISNUMBER('Raw Data'!M76), IFERROR('Raw Data'!M76 = ROUND('Raw Data'!M76, 2),FALSE)),"",_xlfn.REGEXEXTRACT(CELL("address",M76), "\$([A-Z]+)\$[0-9]+"))),_xlfn.REGEXEXTRACT(CELL("address",M76), "\$([A-Z]+)\$[0-9]+"))</f>
        <v/>
      </c>
      <c r="N76" s="7" t="str" cm="1">
        <f t="array" aca="1" ref="N76" ca="1">IFERROR(IF(OR('Raw Data'!N76="",LEN(TRIM('Raw Data'!N76))=0),"",IF(AND(ISNUMBER('Raw Data'!N76), IFERROR('Raw Data'!N76 = ROUND('Raw Data'!N76, 2),FALSE)),"",_xlfn.REGEXEXTRACT(CELL("address",N76), "\$([A-Z]+)\$[0-9]+"))),_xlfn.REGEXEXTRACT(CELL("address",N76), "\$([A-Z]+)\$[0-9]+"))</f>
        <v/>
      </c>
      <c r="O76" s="7" t="str" cm="1">
        <f t="array" aca="1" ref="O76" ca="1">IFERROR(IF(OR('Raw Data'!O76="",LEN(TRIM('Raw Data'!O76))=0),"",IF(AND(ISNUMBER('Raw Data'!O76), IFERROR('Raw Data'!O76 = ROUND('Raw Data'!O76, 2),FALSE)),"",_xlfn.REGEXEXTRACT(CELL("address",O76), "\$([A-Z]+)\$[0-9]+"))),_xlfn.REGEXEXTRACT(CELL("address",O76), "\$([A-Z]+)\$[0-9]+"))</f>
        <v/>
      </c>
      <c r="P76" s="7" t="str" cm="1">
        <f t="array" aca="1" ref="P76" ca="1">IFERROR(IF(OR('Raw Data'!P76="",LEN(TRIM('Raw Data'!P76))=0),"",IF(AND(ISNUMBER('Raw Data'!P76),'Raw Data'!P76&gt;=Configuration!$D$2),"",_xlfn.REGEXEXTRACT(CELL("address",'Raw Data'!P76),"\$([A-Z]+)\$[0-9]+"))),_xlfn.REGEXEXTRACT(CELL("address",P76), "\$([A-Z]+)\$[0-9]+"))</f>
        <v/>
      </c>
      <c r="Q76" s="7" t="str" cm="1">
        <f t="array" aca="1" ref="Q76" ca="1">IFERROR(IF(OR('Raw Data'!Q76="",LEN(TRIM('Raw Data'!Q76))=0),"",IF(AND(ISNUMBER('Raw Data'!Q76),'Raw Data'!Q76&gt;=Configuration!$D$2),"",_xlfn.REGEXEXTRACT(CELL("address",'Raw Data'!Q76),"\$([A-Z]+)\$[0-9]+"))),_xlfn.REGEXEXTRACT(CELL("address",Q76), "\$([A-Z]+)\$[0-9]+"))</f>
        <v/>
      </c>
      <c r="R76" s="7" t="str" cm="1">
        <f t="array" aca="1" ref="R76" ca="1">IFERROR(IF(OR('Raw Data'!R76="",LEN(TRIM('Raw Data'!R76))=0),"",IF(AND(ISNUMBER('Raw Data'!R76), IFERROR('Raw Data'!R76 = ROUND('Raw Data'!R76, 2),FALSE)),"",_xlfn.REGEXEXTRACT(CELL("address",R76), "\$([A-Z]+)\$[0-9]+"))),_xlfn.REGEXEXTRACT(CELL("address",R76), "\$([A-Z]+)\$[0-9]+"))</f>
        <v/>
      </c>
      <c r="S76" s="7" t="str" cm="1">
        <f t="array" aca="1" ref="S76" ca="1">IFERROR(IF(OR('Raw Data'!S76="",LEN(TRIM('Raw Data'!S76))=0),"",IF(AND(ISNUMBER('Raw Data'!S76), IFERROR('Raw Data'!S76 = ROUND('Raw Data'!S76, 2),FALSE)),"",_xlfn.REGEXEXTRACT(CELL("address",S76), "\$([A-Z]+)\$[0-9]+"))),_xlfn.REGEXEXTRACT(CELL("address",S76), "\$([A-Z]+)\$[0-9]+"))</f>
        <v/>
      </c>
      <c r="T76" s="7" t="str" cm="1">
        <f t="array" aca="1" ref="T76" ca="1">IFERROR(IF(OR('Raw Data'!T76="",LEN(TRIM('Raw Data'!T76))=0),"",IF(AND(ISNUMBER('Raw Data'!T76), IFERROR('Raw Data'!T76 = ROUND('Raw Data'!T76, 2),FALSE)),"",_xlfn.REGEXEXTRACT(CELL("address",T76), "\$([A-Z]+)\$[0-9]+"))),_xlfn.REGEXEXTRACT(CELL("address",T76), "\$([A-Z]+)\$[0-9]+"))</f>
        <v/>
      </c>
      <c r="U76" s="7" t="str" cm="1">
        <f t="array" aca="1" ref="U76" ca="1">IFERROR(IF(OR('Raw Data'!U76="",LEN(TRIM('Raw Data'!U76))=0),"",IF(AND(LEN('Raw Data'!U76) &lt;= 5,LEN('Raw Data'!U76)&gt; 0),"",_xlfn.REGEXEXTRACT(CELL("address",'Raw Data'!U76),"\$([A-Z]+)\$[0-9]+"))),_xlfn.REGEXEXTRACT(CELL("address",'Raw Data'!U76),"\$([A-Z]+)\$[0-9]+"))</f>
        <v/>
      </c>
      <c r="V76" s="7" t="str" cm="1">
        <f t="array" aca="1" ref="V76" ca="1">IFERROR(IF(OR('Raw Data'!V76="",LEN(TRIM('Raw Data'!V76))=0),"",IF(AND(ISNUMBER('Raw Data'!V76), IFERROR('Raw Data'!V76 = ROUND('Raw Data'!V76, 2),FALSE)),"",_xlfn.REGEXEXTRACT(CELL("address",V76), "\$([A-Z]+)\$[0-9]+"))),_xlfn.REGEXEXTRACT(CELL("address",V76), "\$([A-Z]+)\$[0-9]+"))</f>
        <v/>
      </c>
      <c r="W76" s="7" t="str" cm="1">
        <f t="array" aca="1" ref="W76" ca="1">IFERROR(IF(OR('Raw Data'!W76="",LEN(TRIM('Raw Data'!W76))=0),"",IF(AND(ISNUMBER('Raw Data'!W76), IFERROR('Raw Data'!W76 = ROUND('Raw Data'!W76, 2),FALSE)),"",_xlfn.REGEXEXTRACT(CELL("address",W76), "\$([A-Z]+)\$[0-9]+"))),_xlfn.REGEXEXTRACT(CELL("address",W76), "\$([A-Z]+)\$[0-9]+"))</f>
        <v/>
      </c>
      <c r="X76" s="7" t="str" cm="1">
        <f t="array" aca="1" ref="X76" ca="1">IFERROR(IF(OR('Raw Data'!X76="",LEN(TRIM('Raw Data'!X76))=0),"",IF(AND(ISNUMBER('Raw Data'!X76), IFERROR('Raw Data'!X76 = ROUND('Raw Data'!X76, 2),FALSE)),"",_xlfn.REGEXEXTRACT(CELL("address",X76), "\$([A-Z]+)\$[0-9]+"))),_xlfn.REGEXEXTRACT(CELL("address",X76), "\$([A-Z]+)\$[0-9]+"))</f>
        <v/>
      </c>
    </row>
    <row r="77" spans="2:24" x14ac:dyDescent="0.25">
      <c r="B77" s="7" t="str" cm="1">
        <f t="array" aca="1" ref="B77" ca="1">IFERROR(IF(OR('Raw Data'!B77="",LEN(TRIM('Raw Data'!B77))=0),"",IF(AND(LEN('Raw Data'!B77) &lt;= 50,LEN('Raw Data'!B77)&gt; 0),"",_xlfn.REGEXEXTRACT(CELL("address",'Raw Data'!B77),"\$([A-Z]+)\$[0-9]+"))),_xlfn.REGEXEXTRACT(CELL("address",'Raw Data'!B77),"\$([A-Z]+)\$[0-9]+"))</f>
        <v/>
      </c>
      <c r="C77" s="7" t="str" cm="1">
        <f t="array" aca="1" ref="C77" ca="1">IFERROR(IF(OR('Raw Data'!C77="",LEN(TRIM('Raw Data'!C77))=0),"",IF(AND(LEN('Raw Data'!C77) &lt;= 50,LEN('Raw Data'!C77)&gt; 0),"",_xlfn.REGEXEXTRACT(CELL("address",'Raw Data'!C77),"\$([A-Z]+)\$[0-9]+"))),_xlfn.REGEXEXTRACT(CELL("address",'Raw Data'!C77),"\$([A-Z]+)\$[0-9]+"))</f>
        <v/>
      </c>
      <c r="D77" s="7" t="str" cm="1">
        <f t="array" aca="1" ref="D77" ca="1">IFERROR(IF(OR('Raw Data'!D77="",LEN(TRIM('Raw Data'!D77))=0),"",IF(AND(LEN('Raw Data'!D77) &lt;= 255,LEN('Raw Data'!D77)&gt; 0),"",_xlfn.REGEXEXTRACT(CELL("address",'Raw Data'!D77),"\$([A-Z]+)\$[0-9]+"))),_xlfn.REGEXEXTRACT(CELL("address",'Raw Data'!D77),"\$([A-Z]+)\$[0-9]+"))</f>
        <v/>
      </c>
      <c r="E77" s="7" t="str" cm="1">
        <f t="array" aca="1" ref="E77" ca="1">IFERROR(IF(OR('Raw Data'!E77="",LEN(TRIM('Raw Data'!E77))=0),"",IF(AND(ISNUMBER('Raw Data'!E77),'Raw Data'!E77&gt;=Configuration!$D$2),"",_xlfn.REGEXEXTRACT(CELL("address",'Raw Data'!E77),"\$([A-Z]+)\$[0-9]+"))),_xlfn.REGEXEXTRACT(CELL("address",E77), "\$([A-Z]+)\$[0-9]+"))</f>
        <v/>
      </c>
      <c r="F77" s="7" t="str" cm="1">
        <f t="array" aca="1" ref="F77" ca="1">IFERROR(IF(OR('Raw Data'!F77="",LEN(TRIM('Raw Data'!F77))=0),"",IF(AND(LEN('Raw Data'!F77) &lt;= 20,LEN('Raw Data'!F77)&gt; 0),"",_xlfn.REGEXEXTRACT(CELL("address",'Raw Data'!F77),"\$([A-Z]+)\$[0-9]+"))),_xlfn.REGEXEXTRACT(CELL("address",'Raw Data'!F77),"\$([A-Z]+)\$[0-9]+"))</f>
        <v/>
      </c>
      <c r="G77" s="7" t="str" cm="1">
        <f t="array" aca="1" ref="G77" ca="1">IFERROR(IF(OR('Raw Data'!G77="",LEN(TRIM('Raw Data'!G77))=0),"",IF(AND(ISNUMBER('Raw Data'!G77), IFERROR('Raw Data'!G77 = ROUND('Raw Data'!G77, 2),FALSE)),"",_xlfn.REGEXEXTRACT(CELL("address",G77), "\$([A-Z]+)\$[0-9]+"))),_xlfn.REGEXEXTRACT(CELL("address",G77), "\$([A-Z]+)\$[0-9]+"))</f>
        <v/>
      </c>
      <c r="H77" s="7" t="str" cm="1">
        <f t="array" aca="1" ref="H77" ca="1">IFERROR(IF(OR('Raw Data'!H77="",LEN(TRIM('Raw Data'!H77))=0),"",IF(AND(ISNUMBER('Raw Data'!H77), IFERROR('Raw Data'!H77 = ROUND('Raw Data'!H77, 2),FALSE)),"",_xlfn.REGEXEXTRACT(CELL("address",H77), "\$([A-Z]+)\$[0-9]+"))),_xlfn.REGEXEXTRACT(CELL("address",H77), "\$([A-Z]+)\$[0-9]+"))</f>
        <v/>
      </c>
      <c r="I77" s="7" t="str" cm="1">
        <f t="array" aca="1" ref="I77" ca="1">IFERROR(IF(OR('Raw Data'!I77="",LEN(TRIM('Raw Data'!I77))=0),"",IF(AND(LEN('Raw Data'!I77) &lt;= 50,LEN('Raw Data'!I77)&gt; 0),"",_xlfn.REGEXEXTRACT(CELL("address",'Raw Data'!I77),"\$([A-Z]+)\$[0-9]+"))),_xlfn.REGEXEXTRACT(CELL("address",'Raw Data'!I77),"\$([A-Z]+)\$[0-9]+"))</f>
        <v/>
      </c>
      <c r="J77" s="7" t="str" cm="1">
        <f t="array" aca="1" ref="J77" ca="1">IFERROR(IF(OR('Raw Data'!J77="",LEN(TRIM('Raw Data'!J77))=0),"",IF(AND(ISNUMBER('Raw Data'!J77),'Raw Data'!J77&gt;=Configuration!$D$2),"",_xlfn.REGEXEXTRACT(CELL("address",'Raw Data'!J77),"\$([A-Z]+)\$[0-9]+"))),_xlfn.REGEXEXTRACT(CELL("address",J77), "\$([A-Z]+)\$[0-9]+"))</f>
        <v/>
      </c>
      <c r="K77" s="7" t="str" cm="1">
        <f t="array" aca="1" ref="K77" ca="1">IFERROR(IF(OR('Raw Data'!K77="",LEN(TRIM('Raw Data'!K77))=0),"",IF(AND(ISNUMBER('Raw Data'!K77), IFERROR('Raw Data'!K77 = ROUND('Raw Data'!K77, 2),FALSE)),"",_xlfn.REGEXEXTRACT(CELL("address",K77), "\$([A-Z]+)\$[0-9]+"))),_xlfn.REGEXEXTRACT(CELL("address",K77), "\$([A-Z]+)\$[0-9]+"))</f>
        <v/>
      </c>
      <c r="L77" s="7" t="str" cm="1">
        <f t="array" aca="1" ref="L77" ca="1">IFERROR(IF(OR('Raw Data'!L77="",LEN(TRIM('Raw Data'!L77))=0),"",IF(AND(ISNUMBER('Raw Data'!L77), IFERROR('Raw Data'!L77 = ROUND('Raw Data'!L77, 2),FALSE)),"",_xlfn.REGEXEXTRACT(CELL("address",L77), "\$([A-Z]+)\$[0-9]+"))),_xlfn.REGEXEXTRACT(CELL("address",L77), "\$([A-Z]+)\$[0-9]+"))</f>
        <v/>
      </c>
      <c r="M77" s="7" t="str" cm="1">
        <f t="array" aca="1" ref="M77" ca="1">IFERROR(IF(OR('Raw Data'!M77="",LEN(TRIM('Raw Data'!M77))=0),"",IF(AND(ISNUMBER('Raw Data'!M77), IFERROR('Raw Data'!M77 = ROUND('Raw Data'!M77, 2),FALSE)),"",_xlfn.REGEXEXTRACT(CELL("address",M77), "\$([A-Z]+)\$[0-9]+"))),_xlfn.REGEXEXTRACT(CELL("address",M77), "\$([A-Z]+)\$[0-9]+"))</f>
        <v/>
      </c>
      <c r="N77" s="7" t="str" cm="1">
        <f t="array" aca="1" ref="N77" ca="1">IFERROR(IF(OR('Raw Data'!N77="",LEN(TRIM('Raw Data'!N77))=0),"",IF(AND(ISNUMBER('Raw Data'!N77), IFERROR('Raw Data'!N77 = ROUND('Raw Data'!N77, 2),FALSE)),"",_xlfn.REGEXEXTRACT(CELL("address",N77), "\$([A-Z]+)\$[0-9]+"))),_xlfn.REGEXEXTRACT(CELL("address",N77), "\$([A-Z]+)\$[0-9]+"))</f>
        <v/>
      </c>
      <c r="O77" s="7" t="str" cm="1">
        <f t="array" aca="1" ref="O77" ca="1">IFERROR(IF(OR('Raw Data'!O77="",LEN(TRIM('Raw Data'!O77))=0),"",IF(AND(ISNUMBER('Raw Data'!O77), IFERROR('Raw Data'!O77 = ROUND('Raw Data'!O77, 2),FALSE)),"",_xlfn.REGEXEXTRACT(CELL("address",O77), "\$([A-Z]+)\$[0-9]+"))),_xlfn.REGEXEXTRACT(CELL("address",O77), "\$([A-Z]+)\$[0-9]+"))</f>
        <v/>
      </c>
      <c r="P77" s="7" t="str" cm="1">
        <f t="array" aca="1" ref="P77" ca="1">IFERROR(IF(OR('Raw Data'!P77="",LEN(TRIM('Raw Data'!P77))=0),"",IF(AND(ISNUMBER('Raw Data'!P77),'Raw Data'!P77&gt;=Configuration!$D$2),"",_xlfn.REGEXEXTRACT(CELL("address",'Raw Data'!P77),"\$([A-Z]+)\$[0-9]+"))),_xlfn.REGEXEXTRACT(CELL("address",P77), "\$([A-Z]+)\$[0-9]+"))</f>
        <v/>
      </c>
      <c r="Q77" s="7" t="str" cm="1">
        <f t="array" aca="1" ref="Q77" ca="1">IFERROR(IF(OR('Raw Data'!Q77="",LEN(TRIM('Raw Data'!Q77))=0),"",IF(AND(ISNUMBER('Raw Data'!Q77),'Raw Data'!Q77&gt;=Configuration!$D$2),"",_xlfn.REGEXEXTRACT(CELL("address",'Raw Data'!Q77),"\$([A-Z]+)\$[0-9]+"))),_xlfn.REGEXEXTRACT(CELL("address",Q77), "\$([A-Z]+)\$[0-9]+"))</f>
        <v/>
      </c>
      <c r="R77" s="7" t="str" cm="1">
        <f t="array" aca="1" ref="R77" ca="1">IFERROR(IF(OR('Raw Data'!R77="",LEN(TRIM('Raw Data'!R77))=0),"",IF(AND(ISNUMBER('Raw Data'!R77), IFERROR('Raw Data'!R77 = ROUND('Raw Data'!R77, 2),FALSE)),"",_xlfn.REGEXEXTRACT(CELL("address",R77), "\$([A-Z]+)\$[0-9]+"))),_xlfn.REGEXEXTRACT(CELL("address",R77), "\$([A-Z]+)\$[0-9]+"))</f>
        <v/>
      </c>
      <c r="S77" s="7" t="str" cm="1">
        <f t="array" aca="1" ref="S77" ca="1">IFERROR(IF(OR('Raw Data'!S77="",LEN(TRIM('Raw Data'!S77))=0),"",IF(AND(ISNUMBER('Raw Data'!S77), IFERROR('Raw Data'!S77 = ROUND('Raw Data'!S77, 2),FALSE)),"",_xlfn.REGEXEXTRACT(CELL("address",S77), "\$([A-Z]+)\$[0-9]+"))),_xlfn.REGEXEXTRACT(CELL("address",S77), "\$([A-Z]+)\$[0-9]+"))</f>
        <v/>
      </c>
      <c r="T77" s="7" t="str" cm="1">
        <f t="array" aca="1" ref="T77" ca="1">IFERROR(IF(OR('Raw Data'!T77="",LEN(TRIM('Raw Data'!T77))=0),"",IF(AND(ISNUMBER('Raw Data'!T77), IFERROR('Raw Data'!T77 = ROUND('Raw Data'!T77, 2),FALSE)),"",_xlfn.REGEXEXTRACT(CELL("address",T77), "\$([A-Z]+)\$[0-9]+"))),_xlfn.REGEXEXTRACT(CELL("address",T77), "\$([A-Z]+)\$[0-9]+"))</f>
        <v/>
      </c>
      <c r="U77" s="7" t="str" cm="1">
        <f t="array" aca="1" ref="U77" ca="1">IFERROR(IF(OR('Raw Data'!U77="",LEN(TRIM('Raw Data'!U77))=0),"",IF(AND(LEN('Raw Data'!U77) &lt;= 5,LEN('Raw Data'!U77)&gt; 0),"",_xlfn.REGEXEXTRACT(CELL("address",'Raw Data'!U77),"\$([A-Z]+)\$[0-9]+"))),_xlfn.REGEXEXTRACT(CELL("address",'Raw Data'!U77),"\$([A-Z]+)\$[0-9]+"))</f>
        <v/>
      </c>
      <c r="V77" s="7" t="str" cm="1">
        <f t="array" aca="1" ref="V77" ca="1">IFERROR(IF(OR('Raw Data'!V77="",LEN(TRIM('Raw Data'!V77))=0),"",IF(AND(ISNUMBER('Raw Data'!V77), IFERROR('Raw Data'!V77 = ROUND('Raw Data'!V77, 2),FALSE)),"",_xlfn.REGEXEXTRACT(CELL("address",V77), "\$([A-Z]+)\$[0-9]+"))),_xlfn.REGEXEXTRACT(CELL("address",V77), "\$([A-Z]+)\$[0-9]+"))</f>
        <v/>
      </c>
      <c r="W77" s="7" t="str" cm="1">
        <f t="array" aca="1" ref="W77" ca="1">IFERROR(IF(OR('Raw Data'!W77="",LEN(TRIM('Raw Data'!W77))=0),"",IF(AND(ISNUMBER('Raw Data'!W77), IFERROR('Raw Data'!W77 = ROUND('Raw Data'!W77, 2),FALSE)),"",_xlfn.REGEXEXTRACT(CELL("address",W77), "\$([A-Z]+)\$[0-9]+"))),_xlfn.REGEXEXTRACT(CELL("address",W77), "\$([A-Z]+)\$[0-9]+"))</f>
        <v/>
      </c>
      <c r="X77" s="7" t="str" cm="1">
        <f t="array" aca="1" ref="X77" ca="1">IFERROR(IF(OR('Raw Data'!X77="",LEN(TRIM('Raw Data'!X77))=0),"",IF(AND(ISNUMBER('Raw Data'!X77), IFERROR('Raw Data'!X77 = ROUND('Raw Data'!X77, 2),FALSE)),"",_xlfn.REGEXEXTRACT(CELL("address",X77), "\$([A-Z]+)\$[0-9]+"))),_xlfn.REGEXEXTRACT(CELL("address",X77), "\$([A-Z]+)\$[0-9]+"))</f>
        <v/>
      </c>
    </row>
    <row r="78" spans="2:24" x14ac:dyDescent="0.25">
      <c r="B78" s="7" t="str" cm="1">
        <f t="array" aca="1" ref="B78" ca="1">IFERROR(IF(OR('Raw Data'!B78="",LEN(TRIM('Raw Data'!B78))=0),"",IF(AND(LEN('Raw Data'!B78) &lt;= 50,LEN('Raw Data'!B78)&gt; 0),"",_xlfn.REGEXEXTRACT(CELL("address",'Raw Data'!B78),"\$([A-Z]+)\$[0-9]+"))),_xlfn.REGEXEXTRACT(CELL("address",'Raw Data'!B78),"\$([A-Z]+)\$[0-9]+"))</f>
        <v/>
      </c>
      <c r="C78" s="7" t="str" cm="1">
        <f t="array" aca="1" ref="C78" ca="1">IFERROR(IF(OR('Raw Data'!C78="",LEN(TRIM('Raw Data'!C78))=0),"",IF(AND(LEN('Raw Data'!C78) &lt;= 50,LEN('Raw Data'!C78)&gt; 0),"",_xlfn.REGEXEXTRACT(CELL("address",'Raw Data'!C78),"\$([A-Z]+)\$[0-9]+"))),_xlfn.REGEXEXTRACT(CELL("address",'Raw Data'!C78),"\$([A-Z]+)\$[0-9]+"))</f>
        <v/>
      </c>
      <c r="D78" s="7" t="str" cm="1">
        <f t="array" aca="1" ref="D78" ca="1">IFERROR(IF(OR('Raw Data'!D78="",LEN(TRIM('Raw Data'!D78))=0),"",IF(AND(LEN('Raw Data'!D78) &lt;= 255,LEN('Raw Data'!D78)&gt; 0),"",_xlfn.REGEXEXTRACT(CELL("address",'Raw Data'!D78),"\$([A-Z]+)\$[0-9]+"))),_xlfn.REGEXEXTRACT(CELL("address",'Raw Data'!D78),"\$([A-Z]+)\$[0-9]+"))</f>
        <v/>
      </c>
      <c r="E78" s="7" t="str" cm="1">
        <f t="array" aca="1" ref="E78" ca="1">IFERROR(IF(OR('Raw Data'!E78="",LEN(TRIM('Raw Data'!E78))=0),"",IF(AND(ISNUMBER('Raw Data'!E78),'Raw Data'!E78&gt;=Configuration!$D$2),"",_xlfn.REGEXEXTRACT(CELL("address",'Raw Data'!E78),"\$([A-Z]+)\$[0-9]+"))),_xlfn.REGEXEXTRACT(CELL("address",E78), "\$([A-Z]+)\$[0-9]+"))</f>
        <v/>
      </c>
      <c r="F78" s="7" t="str" cm="1">
        <f t="array" aca="1" ref="F78" ca="1">IFERROR(IF(OR('Raw Data'!F78="",LEN(TRIM('Raw Data'!F78))=0),"",IF(AND(LEN('Raw Data'!F78) &lt;= 20,LEN('Raw Data'!F78)&gt; 0),"",_xlfn.REGEXEXTRACT(CELL("address",'Raw Data'!F78),"\$([A-Z]+)\$[0-9]+"))),_xlfn.REGEXEXTRACT(CELL("address",'Raw Data'!F78),"\$([A-Z]+)\$[0-9]+"))</f>
        <v/>
      </c>
      <c r="G78" s="7" t="str" cm="1">
        <f t="array" aca="1" ref="G78" ca="1">IFERROR(IF(OR('Raw Data'!G78="",LEN(TRIM('Raw Data'!G78))=0),"",IF(AND(ISNUMBER('Raw Data'!G78), IFERROR('Raw Data'!G78 = ROUND('Raw Data'!G78, 2),FALSE)),"",_xlfn.REGEXEXTRACT(CELL("address",G78), "\$([A-Z]+)\$[0-9]+"))),_xlfn.REGEXEXTRACT(CELL("address",G78), "\$([A-Z]+)\$[0-9]+"))</f>
        <v/>
      </c>
      <c r="H78" s="7" t="str" cm="1">
        <f t="array" aca="1" ref="H78" ca="1">IFERROR(IF(OR('Raw Data'!H78="",LEN(TRIM('Raw Data'!H78))=0),"",IF(AND(ISNUMBER('Raw Data'!H78), IFERROR('Raw Data'!H78 = ROUND('Raw Data'!H78, 2),FALSE)),"",_xlfn.REGEXEXTRACT(CELL("address",H78), "\$([A-Z]+)\$[0-9]+"))),_xlfn.REGEXEXTRACT(CELL("address",H78), "\$([A-Z]+)\$[0-9]+"))</f>
        <v/>
      </c>
      <c r="I78" s="7" t="str" cm="1">
        <f t="array" aca="1" ref="I78" ca="1">IFERROR(IF(OR('Raw Data'!I78="",LEN(TRIM('Raw Data'!I78))=0),"",IF(AND(LEN('Raw Data'!I78) &lt;= 50,LEN('Raw Data'!I78)&gt; 0),"",_xlfn.REGEXEXTRACT(CELL("address",'Raw Data'!I78),"\$([A-Z]+)\$[0-9]+"))),_xlfn.REGEXEXTRACT(CELL("address",'Raw Data'!I78),"\$([A-Z]+)\$[0-9]+"))</f>
        <v/>
      </c>
      <c r="J78" s="7" t="str" cm="1">
        <f t="array" aca="1" ref="J78" ca="1">IFERROR(IF(OR('Raw Data'!J78="",LEN(TRIM('Raw Data'!J78))=0),"",IF(AND(ISNUMBER('Raw Data'!J78),'Raw Data'!J78&gt;=Configuration!$D$2),"",_xlfn.REGEXEXTRACT(CELL("address",'Raw Data'!J78),"\$([A-Z]+)\$[0-9]+"))),_xlfn.REGEXEXTRACT(CELL("address",J78), "\$([A-Z]+)\$[0-9]+"))</f>
        <v/>
      </c>
      <c r="K78" s="7" t="str" cm="1">
        <f t="array" aca="1" ref="K78" ca="1">IFERROR(IF(OR('Raw Data'!K78="",LEN(TRIM('Raw Data'!K78))=0),"",IF(AND(ISNUMBER('Raw Data'!K78), IFERROR('Raw Data'!K78 = ROUND('Raw Data'!K78, 2),FALSE)),"",_xlfn.REGEXEXTRACT(CELL("address",K78), "\$([A-Z]+)\$[0-9]+"))),_xlfn.REGEXEXTRACT(CELL("address",K78), "\$([A-Z]+)\$[0-9]+"))</f>
        <v/>
      </c>
      <c r="L78" s="7" t="str" cm="1">
        <f t="array" aca="1" ref="L78" ca="1">IFERROR(IF(OR('Raw Data'!L78="",LEN(TRIM('Raw Data'!L78))=0),"",IF(AND(ISNUMBER('Raw Data'!L78), IFERROR('Raw Data'!L78 = ROUND('Raw Data'!L78, 2),FALSE)),"",_xlfn.REGEXEXTRACT(CELL("address",L78), "\$([A-Z]+)\$[0-9]+"))),_xlfn.REGEXEXTRACT(CELL("address",L78), "\$([A-Z]+)\$[0-9]+"))</f>
        <v/>
      </c>
      <c r="M78" s="7" t="str" cm="1">
        <f t="array" aca="1" ref="M78" ca="1">IFERROR(IF(OR('Raw Data'!M78="",LEN(TRIM('Raw Data'!M78))=0),"",IF(AND(ISNUMBER('Raw Data'!M78), IFERROR('Raw Data'!M78 = ROUND('Raw Data'!M78, 2),FALSE)),"",_xlfn.REGEXEXTRACT(CELL("address",M78), "\$([A-Z]+)\$[0-9]+"))),_xlfn.REGEXEXTRACT(CELL("address",M78), "\$([A-Z]+)\$[0-9]+"))</f>
        <v/>
      </c>
      <c r="N78" s="7" t="str" cm="1">
        <f t="array" aca="1" ref="N78" ca="1">IFERROR(IF(OR('Raw Data'!N78="",LEN(TRIM('Raw Data'!N78))=0),"",IF(AND(ISNUMBER('Raw Data'!N78), IFERROR('Raw Data'!N78 = ROUND('Raw Data'!N78, 2),FALSE)),"",_xlfn.REGEXEXTRACT(CELL("address",N78), "\$([A-Z]+)\$[0-9]+"))),_xlfn.REGEXEXTRACT(CELL("address",N78), "\$([A-Z]+)\$[0-9]+"))</f>
        <v/>
      </c>
      <c r="O78" s="7" t="str" cm="1">
        <f t="array" aca="1" ref="O78" ca="1">IFERROR(IF(OR('Raw Data'!O78="",LEN(TRIM('Raw Data'!O78))=0),"",IF(AND(ISNUMBER('Raw Data'!O78), IFERROR('Raw Data'!O78 = ROUND('Raw Data'!O78, 2),FALSE)),"",_xlfn.REGEXEXTRACT(CELL("address",O78), "\$([A-Z]+)\$[0-9]+"))),_xlfn.REGEXEXTRACT(CELL("address",O78), "\$([A-Z]+)\$[0-9]+"))</f>
        <v/>
      </c>
      <c r="P78" s="7" t="str" cm="1">
        <f t="array" aca="1" ref="P78" ca="1">IFERROR(IF(OR('Raw Data'!P78="",LEN(TRIM('Raw Data'!P78))=0),"",IF(AND(ISNUMBER('Raw Data'!P78),'Raw Data'!P78&gt;=Configuration!$D$2),"",_xlfn.REGEXEXTRACT(CELL("address",'Raw Data'!P78),"\$([A-Z]+)\$[0-9]+"))),_xlfn.REGEXEXTRACT(CELL("address",P78), "\$([A-Z]+)\$[0-9]+"))</f>
        <v/>
      </c>
      <c r="Q78" s="7" t="str" cm="1">
        <f t="array" aca="1" ref="Q78" ca="1">IFERROR(IF(OR('Raw Data'!Q78="",LEN(TRIM('Raw Data'!Q78))=0),"",IF(AND(ISNUMBER('Raw Data'!Q78),'Raw Data'!Q78&gt;=Configuration!$D$2),"",_xlfn.REGEXEXTRACT(CELL("address",'Raw Data'!Q78),"\$([A-Z]+)\$[0-9]+"))),_xlfn.REGEXEXTRACT(CELL("address",Q78), "\$([A-Z]+)\$[0-9]+"))</f>
        <v/>
      </c>
      <c r="R78" s="7" t="str" cm="1">
        <f t="array" aca="1" ref="R78" ca="1">IFERROR(IF(OR('Raw Data'!R78="",LEN(TRIM('Raw Data'!R78))=0),"",IF(AND(ISNUMBER('Raw Data'!R78), IFERROR('Raw Data'!R78 = ROUND('Raw Data'!R78, 2),FALSE)),"",_xlfn.REGEXEXTRACT(CELL("address",R78), "\$([A-Z]+)\$[0-9]+"))),_xlfn.REGEXEXTRACT(CELL("address",R78), "\$([A-Z]+)\$[0-9]+"))</f>
        <v/>
      </c>
      <c r="S78" s="7" t="str" cm="1">
        <f t="array" aca="1" ref="S78" ca="1">IFERROR(IF(OR('Raw Data'!S78="",LEN(TRIM('Raw Data'!S78))=0),"",IF(AND(ISNUMBER('Raw Data'!S78), IFERROR('Raw Data'!S78 = ROUND('Raw Data'!S78, 2),FALSE)),"",_xlfn.REGEXEXTRACT(CELL("address",S78), "\$([A-Z]+)\$[0-9]+"))),_xlfn.REGEXEXTRACT(CELL("address",S78), "\$([A-Z]+)\$[0-9]+"))</f>
        <v/>
      </c>
      <c r="T78" s="7" t="str" cm="1">
        <f t="array" aca="1" ref="T78" ca="1">IFERROR(IF(OR('Raw Data'!T78="",LEN(TRIM('Raw Data'!T78))=0),"",IF(AND(ISNUMBER('Raw Data'!T78), IFERROR('Raw Data'!T78 = ROUND('Raw Data'!T78, 2),FALSE)),"",_xlfn.REGEXEXTRACT(CELL("address",T78), "\$([A-Z]+)\$[0-9]+"))),_xlfn.REGEXEXTRACT(CELL("address",T78), "\$([A-Z]+)\$[0-9]+"))</f>
        <v/>
      </c>
      <c r="U78" s="7" t="str" cm="1">
        <f t="array" aca="1" ref="U78" ca="1">IFERROR(IF(OR('Raw Data'!U78="",LEN(TRIM('Raw Data'!U78))=0),"",IF(AND(LEN('Raw Data'!U78) &lt;= 5,LEN('Raw Data'!U78)&gt; 0),"",_xlfn.REGEXEXTRACT(CELL("address",'Raw Data'!U78),"\$([A-Z]+)\$[0-9]+"))),_xlfn.REGEXEXTRACT(CELL("address",'Raw Data'!U78),"\$([A-Z]+)\$[0-9]+"))</f>
        <v/>
      </c>
      <c r="V78" s="7" t="str" cm="1">
        <f t="array" aca="1" ref="V78" ca="1">IFERROR(IF(OR('Raw Data'!V78="",LEN(TRIM('Raw Data'!V78))=0),"",IF(AND(ISNUMBER('Raw Data'!V78), IFERROR('Raw Data'!V78 = ROUND('Raw Data'!V78, 2),FALSE)),"",_xlfn.REGEXEXTRACT(CELL("address",V78), "\$([A-Z]+)\$[0-9]+"))),_xlfn.REGEXEXTRACT(CELL("address",V78), "\$([A-Z]+)\$[0-9]+"))</f>
        <v/>
      </c>
      <c r="W78" s="7" t="str" cm="1">
        <f t="array" aca="1" ref="W78" ca="1">IFERROR(IF(OR('Raw Data'!W78="",LEN(TRIM('Raw Data'!W78))=0),"",IF(AND(ISNUMBER('Raw Data'!W78), IFERROR('Raw Data'!W78 = ROUND('Raw Data'!W78, 2),FALSE)),"",_xlfn.REGEXEXTRACT(CELL("address",W78), "\$([A-Z]+)\$[0-9]+"))),_xlfn.REGEXEXTRACT(CELL("address",W78), "\$([A-Z]+)\$[0-9]+"))</f>
        <v/>
      </c>
      <c r="X78" s="7" t="str" cm="1">
        <f t="array" aca="1" ref="X78" ca="1">IFERROR(IF(OR('Raw Data'!X78="",LEN(TRIM('Raw Data'!X78))=0),"",IF(AND(ISNUMBER('Raw Data'!X78), IFERROR('Raw Data'!X78 = ROUND('Raw Data'!X78, 2),FALSE)),"",_xlfn.REGEXEXTRACT(CELL("address",X78), "\$([A-Z]+)\$[0-9]+"))),_xlfn.REGEXEXTRACT(CELL("address",X78), "\$([A-Z]+)\$[0-9]+"))</f>
        <v/>
      </c>
    </row>
    <row r="79" spans="2:24" x14ac:dyDescent="0.25">
      <c r="B79" s="7" t="str" cm="1">
        <f t="array" aca="1" ref="B79" ca="1">IFERROR(IF(OR('Raw Data'!B79="",LEN(TRIM('Raw Data'!B79))=0),"",IF(AND(LEN('Raw Data'!B79) &lt;= 50,LEN('Raw Data'!B79)&gt; 0),"",_xlfn.REGEXEXTRACT(CELL("address",'Raw Data'!B79),"\$([A-Z]+)\$[0-9]+"))),_xlfn.REGEXEXTRACT(CELL("address",'Raw Data'!B79),"\$([A-Z]+)\$[0-9]+"))</f>
        <v/>
      </c>
      <c r="C79" s="7" t="str" cm="1">
        <f t="array" aca="1" ref="C79" ca="1">IFERROR(IF(OR('Raw Data'!C79="",LEN(TRIM('Raw Data'!C79))=0),"",IF(AND(LEN('Raw Data'!C79) &lt;= 50,LEN('Raw Data'!C79)&gt; 0),"",_xlfn.REGEXEXTRACT(CELL("address",'Raw Data'!C79),"\$([A-Z]+)\$[0-9]+"))),_xlfn.REGEXEXTRACT(CELL("address",'Raw Data'!C79),"\$([A-Z]+)\$[0-9]+"))</f>
        <v/>
      </c>
      <c r="D79" s="7" t="str" cm="1">
        <f t="array" aca="1" ref="D79" ca="1">IFERROR(IF(OR('Raw Data'!D79="",LEN(TRIM('Raw Data'!D79))=0),"",IF(AND(LEN('Raw Data'!D79) &lt;= 255,LEN('Raw Data'!D79)&gt; 0),"",_xlfn.REGEXEXTRACT(CELL("address",'Raw Data'!D79),"\$([A-Z]+)\$[0-9]+"))),_xlfn.REGEXEXTRACT(CELL("address",'Raw Data'!D79),"\$([A-Z]+)\$[0-9]+"))</f>
        <v/>
      </c>
      <c r="E79" s="7" t="str" cm="1">
        <f t="array" aca="1" ref="E79" ca="1">IFERROR(IF(OR('Raw Data'!E79="",LEN(TRIM('Raw Data'!E79))=0),"",IF(AND(ISNUMBER('Raw Data'!E79),'Raw Data'!E79&gt;=Configuration!$D$2),"",_xlfn.REGEXEXTRACT(CELL("address",'Raw Data'!E79),"\$([A-Z]+)\$[0-9]+"))),_xlfn.REGEXEXTRACT(CELL("address",E79), "\$([A-Z]+)\$[0-9]+"))</f>
        <v/>
      </c>
      <c r="F79" s="7" t="str" cm="1">
        <f t="array" aca="1" ref="F79" ca="1">IFERROR(IF(OR('Raw Data'!F79="",LEN(TRIM('Raw Data'!F79))=0),"",IF(AND(LEN('Raw Data'!F79) &lt;= 20,LEN('Raw Data'!F79)&gt; 0),"",_xlfn.REGEXEXTRACT(CELL("address",'Raw Data'!F79),"\$([A-Z]+)\$[0-9]+"))),_xlfn.REGEXEXTRACT(CELL("address",'Raw Data'!F79),"\$([A-Z]+)\$[0-9]+"))</f>
        <v/>
      </c>
      <c r="G79" s="7" t="str" cm="1">
        <f t="array" aca="1" ref="G79" ca="1">IFERROR(IF(OR('Raw Data'!G79="",LEN(TRIM('Raw Data'!G79))=0),"",IF(AND(ISNUMBER('Raw Data'!G79), IFERROR('Raw Data'!G79 = ROUND('Raw Data'!G79, 2),FALSE)),"",_xlfn.REGEXEXTRACT(CELL("address",G79), "\$([A-Z]+)\$[0-9]+"))),_xlfn.REGEXEXTRACT(CELL("address",G79), "\$([A-Z]+)\$[0-9]+"))</f>
        <v/>
      </c>
      <c r="H79" s="7" t="str" cm="1">
        <f t="array" aca="1" ref="H79" ca="1">IFERROR(IF(OR('Raw Data'!H79="",LEN(TRIM('Raw Data'!H79))=0),"",IF(AND(ISNUMBER('Raw Data'!H79), IFERROR('Raw Data'!H79 = ROUND('Raw Data'!H79, 2),FALSE)),"",_xlfn.REGEXEXTRACT(CELL("address",H79), "\$([A-Z]+)\$[0-9]+"))),_xlfn.REGEXEXTRACT(CELL("address",H79), "\$([A-Z]+)\$[0-9]+"))</f>
        <v/>
      </c>
      <c r="I79" s="7" t="str" cm="1">
        <f t="array" aca="1" ref="I79" ca="1">IFERROR(IF(OR('Raw Data'!I79="",LEN(TRIM('Raw Data'!I79))=0),"",IF(AND(LEN('Raw Data'!I79) &lt;= 50,LEN('Raw Data'!I79)&gt; 0),"",_xlfn.REGEXEXTRACT(CELL("address",'Raw Data'!I79),"\$([A-Z]+)\$[0-9]+"))),_xlfn.REGEXEXTRACT(CELL("address",'Raw Data'!I79),"\$([A-Z]+)\$[0-9]+"))</f>
        <v/>
      </c>
      <c r="J79" s="7" t="str" cm="1">
        <f t="array" aca="1" ref="J79" ca="1">IFERROR(IF(OR('Raw Data'!J79="",LEN(TRIM('Raw Data'!J79))=0),"",IF(AND(ISNUMBER('Raw Data'!J79),'Raw Data'!J79&gt;=Configuration!$D$2),"",_xlfn.REGEXEXTRACT(CELL("address",'Raw Data'!J79),"\$([A-Z]+)\$[0-9]+"))),_xlfn.REGEXEXTRACT(CELL("address",J79), "\$([A-Z]+)\$[0-9]+"))</f>
        <v/>
      </c>
      <c r="K79" s="7" t="str" cm="1">
        <f t="array" aca="1" ref="K79" ca="1">IFERROR(IF(OR('Raw Data'!K79="",LEN(TRIM('Raw Data'!K79))=0),"",IF(AND(ISNUMBER('Raw Data'!K79), IFERROR('Raw Data'!K79 = ROUND('Raw Data'!K79, 2),FALSE)),"",_xlfn.REGEXEXTRACT(CELL("address",K79), "\$([A-Z]+)\$[0-9]+"))),_xlfn.REGEXEXTRACT(CELL("address",K79), "\$([A-Z]+)\$[0-9]+"))</f>
        <v/>
      </c>
      <c r="L79" s="7" t="str" cm="1">
        <f t="array" aca="1" ref="L79" ca="1">IFERROR(IF(OR('Raw Data'!L79="",LEN(TRIM('Raw Data'!L79))=0),"",IF(AND(ISNUMBER('Raw Data'!L79), IFERROR('Raw Data'!L79 = ROUND('Raw Data'!L79, 2),FALSE)),"",_xlfn.REGEXEXTRACT(CELL("address",L79), "\$([A-Z]+)\$[0-9]+"))),_xlfn.REGEXEXTRACT(CELL("address",L79), "\$([A-Z]+)\$[0-9]+"))</f>
        <v/>
      </c>
      <c r="M79" s="7" t="str" cm="1">
        <f t="array" aca="1" ref="M79" ca="1">IFERROR(IF(OR('Raw Data'!M79="",LEN(TRIM('Raw Data'!M79))=0),"",IF(AND(ISNUMBER('Raw Data'!M79), IFERROR('Raw Data'!M79 = ROUND('Raw Data'!M79, 2),FALSE)),"",_xlfn.REGEXEXTRACT(CELL("address",M79), "\$([A-Z]+)\$[0-9]+"))),_xlfn.REGEXEXTRACT(CELL("address",M79), "\$([A-Z]+)\$[0-9]+"))</f>
        <v/>
      </c>
      <c r="N79" s="7" t="str" cm="1">
        <f t="array" aca="1" ref="N79" ca="1">IFERROR(IF(OR('Raw Data'!N79="",LEN(TRIM('Raw Data'!N79))=0),"",IF(AND(ISNUMBER('Raw Data'!N79), IFERROR('Raw Data'!N79 = ROUND('Raw Data'!N79, 2),FALSE)),"",_xlfn.REGEXEXTRACT(CELL("address",N79), "\$([A-Z]+)\$[0-9]+"))),_xlfn.REGEXEXTRACT(CELL("address",N79), "\$([A-Z]+)\$[0-9]+"))</f>
        <v/>
      </c>
      <c r="O79" s="7" t="str" cm="1">
        <f t="array" aca="1" ref="O79" ca="1">IFERROR(IF(OR('Raw Data'!O79="",LEN(TRIM('Raw Data'!O79))=0),"",IF(AND(ISNUMBER('Raw Data'!O79), IFERROR('Raw Data'!O79 = ROUND('Raw Data'!O79, 2),FALSE)),"",_xlfn.REGEXEXTRACT(CELL("address",O79), "\$([A-Z]+)\$[0-9]+"))),_xlfn.REGEXEXTRACT(CELL("address",O79), "\$([A-Z]+)\$[0-9]+"))</f>
        <v/>
      </c>
      <c r="P79" s="7" t="str" cm="1">
        <f t="array" aca="1" ref="P79" ca="1">IFERROR(IF(OR('Raw Data'!P79="",LEN(TRIM('Raw Data'!P79))=0),"",IF(AND(ISNUMBER('Raw Data'!P79),'Raw Data'!P79&gt;=Configuration!$D$2),"",_xlfn.REGEXEXTRACT(CELL("address",'Raw Data'!P79),"\$([A-Z]+)\$[0-9]+"))),_xlfn.REGEXEXTRACT(CELL("address",P79), "\$([A-Z]+)\$[0-9]+"))</f>
        <v/>
      </c>
      <c r="Q79" s="7" t="str" cm="1">
        <f t="array" aca="1" ref="Q79" ca="1">IFERROR(IF(OR('Raw Data'!Q79="",LEN(TRIM('Raw Data'!Q79))=0),"",IF(AND(ISNUMBER('Raw Data'!Q79),'Raw Data'!Q79&gt;=Configuration!$D$2),"",_xlfn.REGEXEXTRACT(CELL("address",'Raw Data'!Q79),"\$([A-Z]+)\$[0-9]+"))),_xlfn.REGEXEXTRACT(CELL("address",Q79), "\$([A-Z]+)\$[0-9]+"))</f>
        <v/>
      </c>
      <c r="R79" s="7" t="str" cm="1">
        <f t="array" aca="1" ref="R79" ca="1">IFERROR(IF(OR('Raw Data'!R79="",LEN(TRIM('Raw Data'!R79))=0),"",IF(AND(ISNUMBER('Raw Data'!R79), IFERROR('Raw Data'!R79 = ROUND('Raw Data'!R79, 2),FALSE)),"",_xlfn.REGEXEXTRACT(CELL("address",R79), "\$([A-Z]+)\$[0-9]+"))),_xlfn.REGEXEXTRACT(CELL("address",R79), "\$([A-Z]+)\$[0-9]+"))</f>
        <v/>
      </c>
      <c r="S79" s="7" t="str" cm="1">
        <f t="array" aca="1" ref="S79" ca="1">IFERROR(IF(OR('Raw Data'!S79="",LEN(TRIM('Raw Data'!S79))=0),"",IF(AND(ISNUMBER('Raw Data'!S79), IFERROR('Raw Data'!S79 = ROUND('Raw Data'!S79, 2),FALSE)),"",_xlfn.REGEXEXTRACT(CELL("address",S79), "\$([A-Z]+)\$[0-9]+"))),_xlfn.REGEXEXTRACT(CELL("address",S79), "\$([A-Z]+)\$[0-9]+"))</f>
        <v/>
      </c>
      <c r="T79" s="7" t="str" cm="1">
        <f t="array" aca="1" ref="T79" ca="1">IFERROR(IF(OR('Raw Data'!T79="",LEN(TRIM('Raw Data'!T79))=0),"",IF(AND(ISNUMBER('Raw Data'!T79), IFERROR('Raw Data'!T79 = ROUND('Raw Data'!T79, 2),FALSE)),"",_xlfn.REGEXEXTRACT(CELL("address",T79), "\$([A-Z]+)\$[0-9]+"))),_xlfn.REGEXEXTRACT(CELL("address",T79), "\$([A-Z]+)\$[0-9]+"))</f>
        <v/>
      </c>
      <c r="U79" s="7" t="str" cm="1">
        <f t="array" aca="1" ref="U79" ca="1">IFERROR(IF(OR('Raw Data'!U79="",LEN(TRIM('Raw Data'!U79))=0),"",IF(AND(LEN('Raw Data'!U79) &lt;= 5,LEN('Raw Data'!U79)&gt; 0),"",_xlfn.REGEXEXTRACT(CELL("address",'Raw Data'!U79),"\$([A-Z]+)\$[0-9]+"))),_xlfn.REGEXEXTRACT(CELL("address",'Raw Data'!U79),"\$([A-Z]+)\$[0-9]+"))</f>
        <v/>
      </c>
      <c r="V79" s="7" t="str" cm="1">
        <f t="array" aca="1" ref="V79" ca="1">IFERROR(IF(OR('Raw Data'!V79="",LEN(TRIM('Raw Data'!V79))=0),"",IF(AND(ISNUMBER('Raw Data'!V79), IFERROR('Raw Data'!V79 = ROUND('Raw Data'!V79, 2),FALSE)),"",_xlfn.REGEXEXTRACT(CELL("address",V79), "\$([A-Z]+)\$[0-9]+"))),_xlfn.REGEXEXTRACT(CELL("address",V79), "\$([A-Z]+)\$[0-9]+"))</f>
        <v/>
      </c>
      <c r="W79" s="7" t="str" cm="1">
        <f t="array" aca="1" ref="W79" ca="1">IFERROR(IF(OR('Raw Data'!W79="",LEN(TRIM('Raw Data'!W79))=0),"",IF(AND(ISNUMBER('Raw Data'!W79), IFERROR('Raw Data'!W79 = ROUND('Raw Data'!W79, 2),FALSE)),"",_xlfn.REGEXEXTRACT(CELL("address",W79), "\$([A-Z]+)\$[0-9]+"))),_xlfn.REGEXEXTRACT(CELL("address",W79), "\$([A-Z]+)\$[0-9]+"))</f>
        <v/>
      </c>
      <c r="X79" s="7" t="str" cm="1">
        <f t="array" aca="1" ref="X79" ca="1">IFERROR(IF(OR('Raw Data'!X79="",LEN(TRIM('Raw Data'!X79))=0),"",IF(AND(ISNUMBER('Raw Data'!X79), IFERROR('Raw Data'!X79 = ROUND('Raw Data'!X79, 2),FALSE)),"",_xlfn.REGEXEXTRACT(CELL("address",X79), "\$([A-Z]+)\$[0-9]+"))),_xlfn.REGEXEXTRACT(CELL("address",X79), "\$([A-Z]+)\$[0-9]+"))</f>
        <v/>
      </c>
    </row>
    <row r="80" spans="2:24" x14ac:dyDescent="0.25">
      <c r="B80" s="7" t="str" cm="1">
        <f t="array" aca="1" ref="B80" ca="1">IFERROR(IF(OR('Raw Data'!B80="",LEN(TRIM('Raw Data'!B80))=0),"",IF(AND(LEN('Raw Data'!B80) &lt;= 50,LEN('Raw Data'!B80)&gt; 0),"",_xlfn.REGEXEXTRACT(CELL("address",'Raw Data'!B80),"\$([A-Z]+)\$[0-9]+"))),_xlfn.REGEXEXTRACT(CELL("address",'Raw Data'!B80),"\$([A-Z]+)\$[0-9]+"))</f>
        <v/>
      </c>
      <c r="C80" s="7" t="str" cm="1">
        <f t="array" aca="1" ref="C80" ca="1">IFERROR(IF(OR('Raw Data'!C80="",LEN(TRIM('Raw Data'!C80))=0),"",IF(AND(LEN('Raw Data'!C80) &lt;= 50,LEN('Raw Data'!C80)&gt; 0),"",_xlfn.REGEXEXTRACT(CELL("address",'Raw Data'!C80),"\$([A-Z]+)\$[0-9]+"))),_xlfn.REGEXEXTRACT(CELL("address",'Raw Data'!C80),"\$([A-Z]+)\$[0-9]+"))</f>
        <v/>
      </c>
      <c r="D80" s="7" t="str" cm="1">
        <f t="array" aca="1" ref="D80" ca="1">IFERROR(IF(OR('Raw Data'!D80="",LEN(TRIM('Raw Data'!D80))=0),"",IF(AND(LEN('Raw Data'!D80) &lt;= 255,LEN('Raw Data'!D80)&gt; 0),"",_xlfn.REGEXEXTRACT(CELL("address",'Raw Data'!D80),"\$([A-Z]+)\$[0-9]+"))),_xlfn.REGEXEXTRACT(CELL("address",'Raw Data'!D80),"\$([A-Z]+)\$[0-9]+"))</f>
        <v/>
      </c>
      <c r="E80" s="7" t="str" cm="1">
        <f t="array" aca="1" ref="E80" ca="1">IFERROR(IF(OR('Raw Data'!E80="",LEN(TRIM('Raw Data'!E80))=0),"",IF(AND(ISNUMBER('Raw Data'!E80),'Raw Data'!E80&gt;=Configuration!$D$2),"",_xlfn.REGEXEXTRACT(CELL("address",'Raw Data'!E80),"\$([A-Z]+)\$[0-9]+"))),_xlfn.REGEXEXTRACT(CELL("address",E80), "\$([A-Z]+)\$[0-9]+"))</f>
        <v/>
      </c>
      <c r="F80" s="7" t="str" cm="1">
        <f t="array" aca="1" ref="F80" ca="1">IFERROR(IF(OR('Raw Data'!F80="",LEN(TRIM('Raw Data'!F80))=0),"",IF(AND(LEN('Raw Data'!F80) &lt;= 20,LEN('Raw Data'!F80)&gt; 0),"",_xlfn.REGEXEXTRACT(CELL("address",'Raw Data'!F80),"\$([A-Z]+)\$[0-9]+"))),_xlfn.REGEXEXTRACT(CELL("address",'Raw Data'!F80),"\$([A-Z]+)\$[0-9]+"))</f>
        <v/>
      </c>
      <c r="G80" s="7" t="str" cm="1">
        <f t="array" aca="1" ref="G80" ca="1">IFERROR(IF(OR('Raw Data'!G80="",LEN(TRIM('Raw Data'!G80))=0),"",IF(AND(ISNUMBER('Raw Data'!G80), IFERROR('Raw Data'!G80 = ROUND('Raw Data'!G80, 2),FALSE)),"",_xlfn.REGEXEXTRACT(CELL("address",G80), "\$([A-Z]+)\$[0-9]+"))),_xlfn.REGEXEXTRACT(CELL("address",G80), "\$([A-Z]+)\$[0-9]+"))</f>
        <v/>
      </c>
      <c r="H80" s="7" t="str" cm="1">
        <f t="array" aca="1" ref="H80" ca="1">IFERROR(IF(OR('Raw Data'!H80="",LEN(TRIM('Raw Data'!H80))=0),"",IF(AND(ISNUMBER('Raw Data'!H80), IFERROR('Raw Data'!H80 = ROUND('Raw Data'!H80, 2),FALSE)),"",_xlfn.REGEXEXTRACT(CELL("address",H80), "\$([A-Z]+)\$[0-9]+"))),_xlfn.REGEXEXTRACT(CELL("address",H80), "\$([A-Z]+)\$[0-9]+"))</f>
        <v/>
      </c>
      <c r="I80" s="7" t="str" cm="1">
        <f t="array" aca="1" ref="I80" ca="1">IFERROR(IF(OR('Raw Data'!I80="",LEN(TRIM('Raw Data'!I80))=0),"",IF(AND(LEN('Raw Data'!I80) &lt;= 50,LEN('Raw Data'!I80)&gt; 0),"",_xlfn.REGEXEXTRACT(CELL("address",'Raw Data'!I80),"\$([A-Z]+)\$[0-9]+"))),_xlfn.REGEXEXTRACT(CELL("address",'Raw Data'!I80),"\$([A-Z]+)\$[0-9]+"))</f>
        <v/>
      </c>
      <c r="J80" s="7" t="str" cm="1">
        <f t="array" aca="1" ref="J80" ca="1">IFERROR(IF(OR('Raw Data'!J80="",LEN(TRIM('Raw Data'!J80))=0),"",IF(AND(ISNUMBER('Raw Data'!J80),'Raw Data'!J80&gt;=Configuration!$D$2),"",_xlfn.REGEXEXTRACT(CELL("address",'Raw Data'!J80),"\$([A-Z]+)\$[0-9]+"))),_xlfn.REGEXEXTRACT(CELL("address",J80), "\$([A-Z]+)\$[0-9]+"))</f>
        <v/>
      </c>
      <c r="K80" s="7" t="str" cm="1">
        <f t="array" aca="1" ref="K80" ca="1">IFERROR(IF(OR('Raw Data'!K80="",LEN(TRIM('Raw Data'!K80))=0),"",IF(AND(ISNUMBER('Raw Data'!K80), IFERROR('Raw Data'!K80 = ROUND('Raw Data'!K80, 2),FALSE)),"",_xlfn.REGEXEXTRACT(CELL("address",K80), "\$([A-Z]+)\$[0-9]+"))),_xlfn.REGEXEXTRACT(CELL("address",K80), "\$([A-Z]+)\$[0-9]+"))</f>
        <v/>
      </c>
      <c r="L80" s="7" t="str" cm="1">
        <f t="array" aca="1" ref="L80" ca="1">IFERROR(IF(OR('Raw Data'!L80="",LEN(TRIM('Raw Data'!L80))=0),"",IF(AND(ISNUMBER('Raw Data'!L80), IFERROR('Raw Data'!L80 = ROUND('Raw Data'!L80, 2),FALSE)),"",_xlfn.REGEXEXTRACT(CELL("address",L80), "\$([A-Z]+)\$[0-9]+"))),_xlfn.REGEXEXTRACT(CELL("address",L80), "\$([A-Z]+)\$[0-9]+"))</f>
        <v/>
      </c>
      <c r="M80" s="7" t="str" cm="1">
        <f t="array" aca="1" ref="M80" ca="1">IFERROR(IF(OR('Raw Data'!M80="",LEN(TRIM('Raw Data'!M80))=0),"",IF(AND(ISNUMBER('Raw Data'!M80), IFERROR('Raw Data'!M80 = ROUND('Raw Data'!M80, 2),FALSE)),"",_xlfn.REGEXEXTRACT(CELL("address",M80), "\$([A-Z]+)\$[0-9]+"))),_xlfn.REGEXEXTRACT(CELL("address",M80), "\$([A-Z]+)\$[0-9]+"))</f>
        <v/>
      </c>
      <c r="N80" s="7" t="str" cm="1">
        <f t="array" aca="1" ref="N80" ca="1">IFERROR(IF(OR('Raw Data'!N80="",LEN(TRIM('Raw Data'!N80))=0),"",IF(AND(ISNUMBER('Raw Data'!N80), IFERROR('Raw Data'!N80 = ROUND('Raw Data'!N80, 2),FALSE)),"",_xlfn.REGEXEXTRACT(CELL("address",N80), "\$([A-Z]+)\$[0-9]+"))),_xlfn.REGEXEXTRACT(CELL("address",N80), "\$([A-Z]+)\$[0-9]+"))</f>
        <v/>
      </c>
      <c r="O80" s="7" t="str" cm="1">
        <f t="array" aca="1" ref="O80" ca="1">IFERROR(IF(OR('Raw Data'!O80="",LEN(TRIM('Raw Data'!O80))=0),"",IF(AND(ISNUMBER('Raw Data'!O80), IFERROR('Raw Data'!O80 = ROUND('Raw Data'!O80, 2),FALSE)),"",_xlfn.REGEXEXTRACT(CELL("address",O80), "\$([A-Z]+)\$[0-9]+"))),_xlfn.REGEXEXTRACT(CELL("address",O80), "\$([A-Z]+)\$[0-9]+"))</f>
        <v/>
      </c>
      <c r="P80" s="7" t="str" cm="1">
        <f t="array" aca="1" ref="P80" ca="1">IFERROR(IF(OR('Raw Data'!P80="",LEN(TRIM('Raw Data'!P80))=0),"",IF(AND(ISNUMBER('Raw Data'!P80),'Raw Data'!P80&gt;=Configuration!$D$2),"",_xlfn.REGEXEXTRACT(CELL("address",'Raw Data'!P80),"\$([A-Z]+)\$[0-9]+"))),_xlfn.REGEXEXTRACT(CELL("address",P80), "\$([A-Z]+)\$[0-9]+"))</f>
        <v/>
      </c>
      <c r="Q80" s="7" t="str" cm="1">
        <f t="array" aca="1" ref="Q80" ca="1">IFERROR(IF(OR('Raw Data'!Q80="",LEN(TRIM('Raw Data'!Q80))=0),"",IF(AND(ISNUMBER('Raw Data'!Q80),'Raw Data'!Q80&gt;=Configuration!$D$2),"",_xlfn.REGEXEXTRACT(CELL("address",'Raw Data'!Q80),"\$([A-Z]+)\$[0-9]+"))),_xlfn.REGEXEXTRACT(CELL("address",Q80), "\$([A-Z]+)\$[0-9]+"))</f>
        <v/>
      </c>
      <c r="R80" s="7" t="str" cm="1">
        <f t="array" aca="1" ref="R80" ca="1">IFERROR(IF(OR('Raw Data'!R80="",LEN(TRIM('Raw Data'!R80))=0),"",IF(AND(ISNUMBER('Raw Data'!R80), IFERROR('Raw Data'!R80 = ROUND('Raw Data'!R80, 2),FALSE)),"",_xlfn.REGEXEXTRACT(CELL("address",R80), "\$([A-Z]+)\$[0-9]+"))),_xlfn.REGEXEXTRACT(CELL("address",R80), "\$([A-Z]+)\$[0-9]+"))</f>
        <v/>
      </c>
      <c r="S80" s="7" t="str" cm="1">
        <f t="array" aca="1" ref="S80" ca="1">IFERROR(IF(OR('Raw Data'!S80="",LEN(TRIM('Raw Data'!S80))=0),"",IF(AND(ISNUMBER('Raw Data'!S80), IFERROR('Raw Data'!S80 = ROUND('Raw Data'!S80, 2),FALSE)),"",_xlfn.REGEXEXTRACT(CELL("address",S80), "\$([A-Z]+)\$[0-9]+"))),_xlfn.REGEXEXTRACT(CELL("address",S80), "\$([A-Z]+)\$[0-9]+"))</f>
        <v/>
      </c>
      <c r="T80" s="7" t="str" cm="1">
        <f t="array" aca="1" ref="T80" ca="1">IFERROR(IF(OR('Raw Data'!T80="",LEN(TRIM('Raw Data'!T80))=0),"",IF(AND(ISNUMBER('Raw Data'!T80), IFERROR('Raw Data'!T80 = ROUND('Raw Data'!T80, 2),FALSE)),"",_xlfn.REGEXEXTRACT(CELL("address",T80), "\$([A-Z]+)\$[0-9]+"))),_xlfn.REGEXEXTRACT(CELL("address",T80), "\$([A-Z]+)\$[0-9]+"))</f>
        <v/>
      </c>
      <c r="U80" s="7" t="str" cm="1">
        <f t="array" aca="1" ref="U80" ca="1">IFERROR(IF(OR('Raw Data'!U80="",LEN(TRIM('Raw Data'!U80))=0),"",IF(AND(LEN('Raw Data'!U80) &lt;= 5,LEN('Raw Data'!U80)&gt; 0),"",_xlfn.REGEXEXTRACT(CELL("address",'Raw Data'!U80),"\$([A-Z]+)\$[0-9]+"))),_xlfn.REGEXEXTRACT(CELL("address",'Raw Data'!U80),"\$([A-Z]+)\$[0-9]+"))</f>
        <v/>
      </c>
      <c r="V80" s="7" t="str" cm="1">
        <f t="array" aca="1" ref="V80" ca="1">IFERROR(IF(OR('Raw Data'!V80="",LEN(TRIM('Raw Data'!V80))=0),"",IF(AND(ISNUMBER('Raw Data'!V80), IFERROR('Raw Data'!V80 = ROUND('Raw Data'!V80, 2),FALSE)),"",_xlfn.REGEXEXTRACT(CELL("address",V80), "\$([A-Z]+)\$[0-9]+"))),_xlfn.REGEXEXTRACT(CELL("address",V80), "\$([A-Z]+)\$[0-9]+"))</f>
        <v/>
      </c>
      <c r="W80" s="7" t="str" cm="1">
        <f t="array" aca="1" ref="W80" ca="1">IFERROR(IF(OR('Raw Data'!W80="",LEN(TRIM('Raw Data'!W80))=0),"",IF(AND(ISNUMBER('Raw Data'!W80), IFERROR('Raw Data'!W80 = ROUND('Raw Data'!W80, 2),FALSE)),"",_xlfn.REGEXEXTRACT(CELL("address",W80), "\$([A-Z]+)\$[0-9]+"))),_xlfn.REGEXEXTRACT(CELL("address",W80), "\$([A-Z]+)\$[0-9]+"))</f>
        <v/>
      </c>
      <c r="X80" s="7" t="str" cm="1">
        <f t="array" aca="1" ref="X80" ca="1">IFERROR(IF(OR('Raw Data'!X80="",LEN(TRIM('Raw Data'!X80))=0),"",IF(AND(ISNUMBER('Raw Data'!X80), IFERROR('Raw Data'!X80 = ROUND('Raw Data'!X80, 2),FALSE)),"",_xlfn.REGEXEXTRACT(CELL("address",X80), "\$([A-Z]+)\$[0-9]+"))),_xlfn.REGEXEXTRACT(CELL("address",X80), "\$([A-Z]+)\$[0-9]+"))</f>
        <v/>
      </c>
    </row>
    <row r="81" spans="2:24" x14ac:dyDescent="0.25">
      <c r="B81" s="7" t="str" cm="1">
        <f t="array" aca="1" ref="B81" ca="1">IFERROR(IF(OR('Raw Data'!B81="",LEN(TRIM('Raw Data'!B81))=0),"",IF(AND(LEN('Raw Data'!B81) &lt;= 50,LEN('Raw Data'!B81)&gt; 0),"",_xlfn.REGEXEXTRACT(CELL("address",'Raw Data'!B81),"\$([A-Z]+)\$[0-9]+"))),_xlfn.REGEXEXTRACT(CELL("address",'Raw Data'!B81),"\$([A-Z]+)\$[0-9]+"))</f>
        <v/>
      </c>
      <c r="C81" s="7" t="str" cm="1">
        <f t="array" aca="1" ref="C81" ca="1">IFERROR(IF(OR('Raw Data'!C81="",LEN(TRIM('Raw Data'!C81))=0),"",IF(AND(LEN('Raw Data'!C81) &lt;= 50,LEN('Raw Data'!C81)&gt; 0),"",_xlfn.REGEXEXTRACT(CELL("address",'Raw Data'!C81),"\$([A-Z]+)\$[0-9]+"))),_xlfn.REGEXEXTRACT(CELL("address",'Raw Data'!C81),"\$([A-Z]+)\$[0-9]+"))</f>
        <v/>
      </c>
      <c r="D81" s="7" t="str" cm="1">
        <f t="array" aca="1" ref="D81" ca="1">IFERROR(IF(OR('Raw Data'!D81="",LEN(TRIM('Raw Data'!D81))=0),"",IF(AND(LEN('Raw Data'!D81) &lt;= 255,LEN('Raw Data'!D81)&gt; 0),"",_xlfn.REGEXEXTRACT(CELL("address",'Raw Data'!D81),"\$([A-Z]+)\$[0-9]+"))),_xlfn.REGEXEXTRACT(CELL("address",'Raw Data'!D81),"\$([A-Z]+)\$[0-9]+"))</f>
        <v/>
      </c>
      <c r="E81" s="7" t="str" cm="1">
        <f t="array" aca="1" ref="E81" ca="1">IFERROR(IF(OR('Raw Data'!E81="",LEN(TRIM('Raw Data'!E81))=0),"",IF(AND(ISNUMBER('Raw Data'!E81),'Raw Data'!E81&gt;=Configuration!$D$2),"",_xlfn.REGEXEXTRACT(CELL("address",'Raw Data'!E81),"\$([A-Z]+)\$[0-9]+"))),_xlfn.REGEXEXTRACT(CELL("address",E81), "\$([A-Z]+)\$[0-9]+"))</f>
        <v/>
      </c>
      <c r="F81" s="7" t="str" cm="1">
        <f t="array" aca="1" ref="F81" ca="1">IFERROR(IF(OR('Raw Data'!F81="",LEN(TRIM('Raw Data'!F81))=0),"",IF(AND(LEN('Raw Data'!F81) &lt;= 20,LEN('Raw Data'!F81)&gt; 0),"",_xlfn.REGEXEXTRACT(CELL("address",'Raw Data'!F81),"\$([A-Z]+)\$[0-9]+"))),_xlfn.REGEXEXTRACT(CELL("address",'Raw Data'!F81),"\$([A-Z]+)\$[0-9]+"))</f>
        <v/>
      </c>
      <c r="G81" s="7" t="str" cm="1">
        <f t="array" aca="1" ref="G81" ca="1">IFERROR(IF(OR('Raw Data'!G81="",LEN(TRIM('Raw Data'!G81))=0),"",IF(AND(ISNUMBER('Raw Data'!G81), IFERROR('Raw Data'!G81 = ROUND('Raw Data'!G81, 2),FALSE)),"",_xlfn.REGEXEXTRACT(CELL("address",G81), "\$([A-Z]+)\$[0-9]+"))),_xlfn.REGEXEXTRACT(CELL("address",G81), "\$([A-Z]+)\$[0-9]+"))</f>
        <v/>
      </c>
      <c r="H81" s="7" t="str" cm="1">
        <f t="array" aca="1" ref="H81" ca="1">IFERROR(IF(OR('Raw Data'!H81="",LEN(TRIM('Raw Data'!H81))=0),"",IF(AND(ISNUMBER('Raw Data'!H81), IFERROR('Raw Data'!H81 = ROUND('Raw Data'!H81, 2),FALSE)),"",_xlfn.REGEXEXTRACT(CELL("address",H81), "\$([A-Z]+)\$[0-9]+"))),_xlfn.REGEXEXTRACT(CELL("address",H81), "\$([A-Z]+)\$[0-9]+"))</f>
        <v/>
      </c>
      <c r="I81" s="7" t="str" cm="1">
        <f t="array" aca="1" ref="I81" ca="1">IFERROR(IF(OR('Raw Data'!I81="",LEN(TRIM('Raw Data'!I81))=0),"",IF(AND(LEN('Raw Data'!I81) &lt;= 50,LEN('Raw Data'!I81)&gt; 0),"",_xlfn.REGEXEXTRACT(CELL("address",'Raw Data'!I81),"\$([A-Z]+)\$[0-9]+"))),_xlfn.REGEXEXTRACT(CELL("address",'Raw Data'!I81),"\$([A-Z]+)\$[0-9]+"))</f>
        <v/>
      </c>
      <c r="J81" s="7" t="str" cm="1">
        <f t="array" aca="1" ref="J81" ca="1">IFERROR(IF(OR('Raw Data'!J81="",LEN(TRIM('Raw Data'!J81))=0),"",IF(AND(ISNUMBER('Raw Data'!J81),'Raw Data'!J81&gt;=Configuration!$D$2),"",_xlfn.REGEXEXTRACT(CELL("address",'Raw Data'!J81),"\$([A-Z]+)\$[0-9]+"))),_xlfn.REGEXEXTRACT(CELL("address",J81), "\$([A-Z]+)\$[0-9]+"))</f>
        <v/>
      </c>
      <c r="K81" s="7" t="str" cm="1">
        <f t="array" aca="1" ref="K81" ca="1">IFERROR(IF(OR('Raw Data'!K81="",LEN(TRIM('Raw Data'!K81))=0),"",IF(AND(ISNUMBER('Raw Data'!K81), IFERROR('Raw Data'!K81 = ROUND('Raw Data'!K81, 2),FALSE)),"",_xlfn.REGEXEXTRACT(CELL("address",K81), "\$([A-Z]+)\$[0-9]+"))),_xlfn.REGEXEXTRACT(CELL("address",K81), "\$([A-Z]+)\$[0-9]+"))</f>
        <v/>
      </c>
      <c r="L81" s="7" t="str" cm="1">
        <f t="array" aca="1" ref="L81" ca="1">IFERROR(IF(OR('Raw Data'!L81="",LEN(TRIM('Raw Data'!L81))=0),"",IF(AND(ISNUMBER('Raw Data'!L81), IFERROR('Raw Data'!L81 = ROUND('Raw Data'!L81, 2),FALSE)),"",_xlfn.REGEXEXTRACT(CELL("address",L81), "\$([A-Z]+)\$[0-9]+"))),_xlfn.REGEXEXTRACT(CELL("address",L81), "\$([A-Z]+)\$[0-9]+"))</f>
        <v/>
      </c>
      <c r="M81" s="7" t="str" cm="1">
        <f t="array" aca="1" ref="M81" ca="1">IFERROR(IF(OR('Raw Data'!M81="",LEN(TRIM('Raw Data'!M81))=0),"",IF(AND(ISNUMBER('Raw Data'!M81), IFERROR('Raw Data'!M81 = ROUND('Raw Data'!M81, 2),FALSE)),"",_xlfn.REGEXEXTRACT(CELL("address",M81), "\$([A-Z]+)\$[0-9]+"))),_xlfn.REGEXEXTRACT(CELL("address",M81), "\$([A-Z]+)\$[0-9]+"))</f>
        <v/>
      </c>
      <c r="N81" s="7" t="str" cm="1">
        <f t="array" aca="1" ref="N81" ca="1">IFERROR(IF(OR('Raw Data'!N81="",LEN(TRIM('Raw Data'!N81))=0),"",IF(AND(ISNUMBER('Raw Data'!N81), IFERROR('Raw Data'!N81 = ROUND('Raw Data'!N81, 2),FALSE)),"",_xlfn.REGEXEXTRACT(CELL("address",N81), "\$([A-Z]+)\$[0-9]+"))),_xlfn.REGEXEXTRACT(CELL("address",N81), "\$([A-Z]+)\$[0-9]+"))</f>
        <v/>
      </c>
      <c r="O81" s="7" t="str" cm="1">
        <f t="array" aca="1" ref="O81" ca="1">IFERROR(IF(OR('Raw Data'!O81="",LEN(TRIM('Raw Data'!O81))=0),"",IF(AND(ISNUMBER('Raw Data'!O81), IFERROR('Raw Data'!O81 = ROUND('Raw Data'!O81, 2),FALSE)),"",_xlfn.REGEXEXTRACT(CELL("address",O81), "\$([A-Z]+)\$[0-9]+"))),_xlfn.REGEXEXTRACT(CELL("address",O81), "\$([A-Z]+)\$[0-9]+"))</f>
        <v/>
      </c>
      <c r="P81" s="7" t="str" cm="1">
        <f t="array" aca="1" ref="P81" ca="1">IFERROR(IF(OR('Raw Data'!P81="",LEN(TRIM('Raw Data'!P81))=0),"",IF(AND(ISNUMBER('Raw Data'!P81),'Raw Data'!P81&gt;=Configuration!$D$2),"",_xlfn.REGEXEXTRACT(CELL("address",'Raw Data'!P81),"\$([A-Z]+)\$[0-9]+"))),_xlfn.REGEXEXTRACT(CELL("address",P81), "\$([A-Z]+)\$[0-9]+"))</f>
        <v/>
      </c>
      <c r="Q81" s="7" t="str" cm="1">
        <f t="array" aca="1" ref="Q81" ca="1">IFERROR(IF(OR('Raw Data'!Q81="",LEN(TRIM('Raw Data'!Q81))=0),"",IF(AND(ISNUMBER('Raw Data'!Q81),'Raw Data'!Q81&gt;=Configuration!$D$2),"",_xlfn.REGEXEXTRACT(CELL("address",'Raw Data'!Q81),"\$([A-Z]+)\$[0-9]+"))),_xlfn.REGEXEXTRACT(CELL("address",Q81), "\$([A-Z]+)\$[0-9]+"))</f>
        <v/>
      </c>
      <c r="R81" s="7" t="str" cm="1">
        <f t="array" aca="1" ref="R81" ca="1">IFERROR(IF(OR('Raw Data'!R81="",LEN(TRIM('Raw Data'!R81))=0),"",IF(AND(ISNUMBER('Raw Data'!R81), IFERROR('Raw Data'!R81 = ROUND('Raw Data'!R81, 2),FALSE)),"",_xlfn.REGEXEXTRACT(CELL("address",R81), "\$([A-Z]+)\$[0-9]+"))),_xlfn.REGEXEXTRACT(CELL("address",R81), "\$([A-Z]+)\$[0-9]+"))</f>
        <v/>
      </c>
      <c r="S81" s="7" t="str" cm="1">
        <f t="array" aca="1" ref="S81" ca="1">IFERROR(IF(OR('Raw Data'!S81="",LEN(TRIM('Raw Data'!S81))=0),"",IF(AND(ISNUMBER('Raw Data'!S81), IFERROR('Raw Data'!S81 = ROUND('Raw Data'!S81, 2),FALSE)),"",_xlfn.REGEXEXTRACT(CELL("address",S81), "\$([A-Z]+)\$[0-9]+"))),_xlfn.REGEXEXTRACT(CELL("address",S81), "\$([A-Z]+)\$[0-9]+"))</f>
        <v/>
      </c>
      <c r="T81" s="7" t="str" cm="1">
        <f t="array" aca="1" ref="T81" ca="1">IFERROR(IF(OR('Raw Data'!T81="",LEN(TRIM('Raw Data'!T81))=0),"",IF(AND(ISNUMBER('Raw Data'!T81), IFERROR('Raw Data'!T81 = ROUND('Raw Data'!T81, 2),FALSE)),"",_xlfn.REGEXEXTRACT(CELL("address",T81), "\$([A-Z]+)\$[0-9]+"))),_xlfn.REGEXEXTRACT(CELL("address",T81), "\$([A-Z]+)\$[0-9]+"))</f>
        <v/>
      </c>
      <c r="U81" s="7" t="str" cm="1">
        <f t="array" aca="1" ref="U81" ca="1">IFERROR(IF(OR('Raw Data'!U81="",LEN(TRIM('Raw Data'!U81))=0),"",IF(AND(LEN('Raw Data'!U81) &lt;= 5,LEN('Raw Data'!U81)&gt; 0),"",_xlfn.REGEXEXTRACT(CELL("address",'Raw Data'!U81),"\$([A-Z]+)\$[0-9]+"))),_xlfn.REGEXEXTRACT(CELL("address",'Raw Data'!U81),"\$([A-Z]+)\$[0-9]+"))</f>
        <v/>
      </c>
      <c r="V81" s="7" t="str" cm="1">
        <f t="array" aca="1" ref="V81" ca="1">IFERROR(IF(OR('Raw Data'!V81="",LEN(TRIM('Raw Data'!V81))=0),"",IF(AND(ISNUMBER('Raw Data'!V81), IFERROR('Raw Data'!V81 = ROUND('Raw Data'!V81, 2),FALSE)),"",_xlfn.REGEXEXTRACT(CELL("address",V81), "\$([A-Z]+)\$[0-9]+"))),_xlfn.REGEXEXTRACT(CELL("address",V81), "\$([A-Z]+)\$[0-9]+"))</f>
        <v/>
      </c>
      <c r="W81" s="7" t="str" cm="1">
        <f t="array" aca="1" ref="W81" ca="1">IFERROR(IF(OR('Raw Data'!W81="",LEN(TRIM('Raw Data'!W81))=0),"",IF(AND(ISNUMBER('Raw Data'!W81), IFERROR('Raw Data'!W81 = ROUND('Raw Data'!W81, 2),FALSE)),"",_xlfn.REGEXEXTRACT(CELL("address",W81), "\$([A-Z]+)\$[0-9]+"))),_xlfn.REGEXEXTRACT(CELL("address",W81), "\$([A-Z]+)\$[0-9]+"))</f>
        <v/>
      </c>
      <c r="X81" s="7" t="str" cm="1">
        <f t="array" aca="1" ref="X81" ca="1">IFERROR(IF(OR('Raw Data'!X81="",LEN(TRIM('Raw Data'!X81))=0),"",IF(AND(ISNUMBER('Raw Data'!X81), IFERROR('Raw Data'!X81 = ROUND('Raw Data'!X81, 2),FALSE)),"",_xlfn.REGEXEXTRACT(CELL("address",X81), "\$([A-Z]+)\$[0-9]+"))),_xlfn.REGEXEXTRACT(CELL("address",X81), "\$([A-Z]+)\$[0-9]+"))</f>
        <v/>
      </c>
    </row>
    <row r="82" spans="2:24" x14ac:dyDescent="0.25">
      <c r="B82" s="7" t="str" cm="1">
        <f t="array" aca="1" ref="B82" ca="1">IFERROR(IF(OR('Raw Data'!B82="",LEN(TRIM('Raw Data'!B82))=0),"",IF(AND(LEN('Raw Data'!B82) &lt;= 50,LEN('Raw Data'!B82)&gt; 0),"",_xlfn.REGEXEXTRACT(CELL("address",'Raw Data'!B82),"\$([A-Z]+)\$[0-9]+"))),_xlfn.REGEXEXTRACT(CELL("address",'Raw Data'!B82),"\$([A-Z]+)\$[0-9]+"))</f>
        <v/>
      </c>
      <c r="C82" s="7" t="str" cm="1">
        <f t="array" aca="1" ref="C82" ca="1">IFERROR(IF(OR('Raw Data'!C82="",LEN(TRIM('Raw Data'!C82))=0),"",IF(AND(LEN('Raw Data'!C82) &lt;= 50,LEN('Raw Data'!C82)&gt; 0),"",_xlfn.REGEXEXTRACT(CELL("address",'Raw Data'!C82),"\$([A-Z]+)\$[0-9]+"))),_xlfn.REGEXEXTRACT(CELL("address",'Raw Data'!C82),"\$([A-Z]+)\$[0-9]+"))</f>
        <v/>
      </c>
      <c r="D82" s="7" t="str" cm="1">
        <f t="array" aca="1" ref="D82" ca="1">IFERROR(IF(OR('Raw Data'!D82="",LEN(TRIM('Raw Data'!D82))=0),"",IF(AND(LEN('Raw Data'!D82) &lt;= 255,LEN('Raw Data'!D82)&gt; 0),"",_xlfn.REGEXEXTRACT(CELL("address",'Raw Data'!D82),"\$([A-Z]+)\$[0-9]+"))),_xlfn.REGEXEXTRACT(CELL("address",'Raw Data'!D82),"\$([A-Z]+)\$[0-9]+"))</f>
        <v/>
      </c>
      <c r="E82" s="7" t="str" cm="1">
        <f t="array" aca="1" ref="E82" ca="1">IFERROR(IF(OR('Raw Data'!E82="",LEN(TRIM('Raw Data'!E82))=0),"",IF(AND(ISNUMBER('Raw Data'!E82),'Raw Data'!E82&gt;=Configuration!$D$2),"",_xlfn.REGEXEXTRACT(CELL("address",'Raw Data'!E82),"\$([A-Z]+)\$[0-9]+"))),_xlfn.REGEXEXTRACT(CELL("address",E82), "\$([A-Z]+)\$[0-9]+"))</f>
        <v/>
      </c>
      <c r="F82" s="7" t="str" cm="1">
        <f t="array" aca="1" ref="F82" ca="1">IFERROR(IF(OR('Raw Data'!F82="",LEN(TRIM('Raw Data'!F82))=0),"",IF(AND(LEN('Raw Data'!F82) &lt;= 20,LEN('Raw Data'!F82)&gt; 0),"",_xlfn.REGEXEXTRACT(CELL("address",'Raw Data'!F82),"\$([A-Z]+)\$[0-9]+"))),_xlfn.REGEXEXTRACT(CELL("address",'Raw Data'!F82),"\$([A-Z]+)\$[0-9]+"))</f>
        <v/>
      </c>
      <c r="G82" s="7" t="str" cm="1">
        <f t="array" aca="1" ref="G82" ca="1">IFERROR(IF(OR('Raw Data'!G82="",LEN(TRIM('Raw Data'!G82))=0),"",IF(AND(ISNUMBER('Raw Data'!G82), IFERROR('Raw Data'!G82 = ROUND('Raw Data'!G82, 2),FALSE)),"",_xlfn.REGEXEXTRACT(CELL("address",G82), "\$([A-Z]+)\$[0-9]+"))),_xlfn.REGEXEXTRACT(CELL("address",G82), "\$([A-Z]+)\$[0-9]+"))</f>
        <v/>
      </c>
      <c r="H82" s="7" t="str" cm="1">
        <f t="array" aca="1" ref="H82" ca="1">IFERROR(IF(OR('Raw Data'!H82="",LEN(TRIM('Raw Data'!H82))=0),"",IF(AND(ISNUMBER('Raw Data'!H82), IFERROR('Raw Data'!H82 = ROUND('Raw Data'!H82, 2),FALSE)),"",_xlfn.REGEXEXTRACT(CELL("address",H82), "\$([A-Z]+)\$[0-9]+"))),_xlfn.REGEXEXTRACT(CELL("address",H82), "\$([A-Z]+)\$[0-9]+"))</f>
        <v/>
      </c>
      <c r="I82" s="7" t="str" cm="1">
        <f t="array" aca="1" ref="I82" ca="1">IFERROR(IF(OR('Raw Data'!I82="",LEN(TRIM('Raw Data'!I82))=0),"",IF(AND(LEN('Raw Data'!I82) &lt;= 50,LEN('Raw Data'!I82)&gt; 0),"",_xlfn.REGEXEXTRACT(CELL("address",'Raw Data'!I82),"\$([A-Z]+)\$[0-9]+"))),_xlfn.REGEXEXTRACT(CELL("address",'Raw Data'!I82),"\$([A-Z]+)\$[0-9]+"))</f>
        <v/>
      </c>
      <c r="J82" s="7" t="str" cm="1">
        <f t="array" aca="1" ref="J82" ca="1">IFERROR(IF(OR('Raw Data'!J82="",LEN(TRIM('Raw Data'!J82))=0),"",IF(AND(ISNUMBER('Raw Data'!J82),'Raw Data'!J82&gt;=Configuration!$D$2),"",_xlfn.REGEXEXTRACT(CELL("address",'Raw Data'!J82),"\$([A-Z]+)\$[0-9]+"))),_xlfn.REGEXEXTRACT(CELL("address",J82), "\$([A-Z]+)\$[0-9]+"))</f>
        <v/>
      </c>
      <c r="K82" s="7" t="str" cm="1">
        <f t="array" aca="1" ref="K82" ca="1">IFERROR(IF(OR('Raw Data'!K82="",LEN(TRIM('Raw Data'!K82))=0),"",IF(AND(ISNUMBER('Raw Data'!K82), IFERROR('Raw Data'!K82 = ROUND('Raw Data'!K82, 2),FALSE)),"",_xlfn.REGEXEXTRACT(CELL("address",K82), "\$([A-Z]+)\$[0-9]+"))),_xlfn.REGEXEXTRACT(CELL("address",K82), "\$([A-Z]+)\$[0-9]+"))</f>
        <v/>
      </c>
      <c r="L82" s="7" t="str" cm="1">
        <f t="array" aca="1" ref="L82" ca="1">IFERROR(IF(OR('Raw Data'!L82="",LEN(TRIM('Raw Data'!L82))=0),"",IF(AND(ISNUMBER('Raw Data'!L82), IFERROR('Raw Data'!L82 = ROUND('Raw Data'!L82, 2),FALSE)),"",_xlfn.REGEXEXTRACT(CELL("address",L82), "\$([A-Z]+)\$[0-9]+"))),_xlfn.REGEXEXTRACT(CELL("address",L82), "\$([A-Z]+)\$[0-9]+"))</f>
        <v/>
      </c>
      <c r="M82" s="7" t="str" cm="1">
        <f t="array" aca="1" ref="M82" ca="1">IFERROR(IF(OR('Raw Data'!M82="",LEN(TRIM('Raw Data'!M82))=0),"",IF(AND(ISNUMBER('Raw Data'!M82), IFERROR('Raw Data'!M82 = ROUND('Raw Data'!M82, 2),FALSE)),"",_xlfn.REGEXEXTRACT(CELL("address",M82), "\$([A-Z]+)\$[0-9]+"))),_xlfn.REGEXEXTRACT(CELL("address",M82), "\$([A-Z]+)\$[0-9]+"))</f>
        <v/>
      </c>
      <c r="N82" s="7" t="str" cm="1">
        <f t="array" aca="1" ref="N82" ca="1">IFERROR(IF(OR('Raw Data'!N82="",LEN(TRIM('Raw Data'!N82))=0),"",IF(AND(ISNUMBER('Raw Data'!N82), IFERROR('Raw Data'!N82 = ROUND('Raw Data'!N82, 2),FALSE)),"",_xlfn.REGEXEXTRACT(CELL("address",N82), "\$([A-Z]+)\$[0-9]+"))),_xlfn.REGEXEXTRACT(CELL("address",N82), "\$([A-Z]+)\$[0-9]+"))</f>
        <v/>
      </c>
      <c r="O82" s="7" t="str" cm="1">
        <f t="array" aca="1" ref="O82" ca="1">IFERROR(IF(OR('Raw Data'!O82="",LEN(TRIM('Raw Data'!O82))=0),"",IF(AND(ISNUMBER('Raw Data'!O82), IFERROR('Raw Data'!O82 = ROUND('Raw Data'!O82, 2),FALSE)),"",_xlfn.REGEXEXTRACT(CELL("address",O82), "\$([A-Z]+)\$[0-9]+"))),_xlfn.REGEXEXTRACT(CELL("address",O82), "\$([A-Z]+)\$[0-9]+"))</f>
        <v/>
      </c>
      <c r="P82" s="7" t="str" cm="1">
        <f t="array" aca="1" ref="P82" ca="1">IFERROR(IF(OR('Raw Data'!P82="",LEN(TRIM('Raw Data'!P82))=0),"",IF(AND(ISNUMBER('Raw Data'!P82),'Raw Data'!P82&gt;=Configuration!$D$2),"",_xlfn.REGEXEXTRACT(CELL("address",'Raw Data'!P82),"\$([A-Z]+)\$[0-9]+"))),_xlfn.REGEXEXTRACT(CELL("address",P82), "\$([A-Z]+)\$[0-9]+"))</f>
        <v/>
      </c>
      <c r="Q82" s="7" t="str" cm="1">
        <f t="array" aca="1" ref="Q82" ca="1">IFERROR(IF(OR('Raw Data'!Q82="",LEN(TRIM('Raw Data'!Q82))=0),"",IF(AND(ISNUMBER('Raw Data'!Q82),'Raw Data'!Q82&gt;=Configuration!$D$2),"",_xlfn.REGEXEXTRACT(CELL("address",'Raw Data'!Q82),"\$([A-Z]+)\$[0-9]+"))),_xlfn.REGEXEXTRACT(CELL("address",Q82), "\$([A-Z]+)\$[0-9]+"))</f>
        <v/>
      </c>
      <c r="R82" s="7" t="str" cm="1">
        <f t="array" aca="1" ref="R82" ca="1">IFERROR(IF(OR('Raw Data'!R82="",LEN(TRIM('Raw Data'!R82))=0),"",IF(AND(ISNUMBER('Raw Data'!R82), IFERROR('Raw Data'!R82 = ROUND('Raw Data'!R82, 2),FALSE)),"",_xlfn.REGEXEXTRACT(CELL("address",R82), "\$([A-Z]+)\$[0-9]+"))),_xlfn.REGEXEXTRACT(CELL("address",R82), "\$([A-Z]+)\$[0-9]+"))</f>
        <v/>
      </c>
      <c r="S82" s="7" t="str" cm="1">
        <f t="array" aca="1" ref="S82" ca="1">IFERROR(IF(OR('Raw Data'!S82="",LEN(TRIM('Raw Data'!S82))=0),"",IF(AND(ISNUMBER('Raw Data'!S82), IFERROR('Raw Data'!S82 = ROUND('Raw Data'!S82, 2),FALSE)),"",_xlfn.REGEXEXTRACT(CELL("address",S82), "\$([A-Z]+)\$[0-9]+"))),_xlfn.REGEXEXTRACT(CELL("address",S82), "\$([A-Z]+)\$[0-9]+"))</f>
        <v/>
      </c>
      <c r="T82" s="7" t="str" cm="1">
        <f t="array" aca="1" ref="T82" ca="1">IFERROR(IF(OR('Raw Data'!T82="",LEN(TRIM('Raw Data'!T82))=0),"",IF(AND(ISNUMBER('Raw Data'!T82), IFERROR('Raw Data'!T82 = ROUND('Raw Data'!T82, 2),FALSE)),"",_xlfn.REGEXEXTRACT(CELL("address",T82), "\$([A-Z]+)\$[0-9]+"))),_xlfn.REGEXEXTRACT(CELL("address",T82), "\$([A-Z]+)\$[0-9]+"))</f>
        <v/>
      </c>
      <c r="U82" s="7" t="str" cm="1">
        <f t="array" aca="1" ref="U82" ca="1">IFERROR(IF(OR('Raw Data'!U82="",LEN(TRIM('Raw Data'!U82))=0),"",IF(AND(LEN('Raw Data'!U82) &lt;= 5,LEN('Raw Data'!U82)&gt; 0),"",_xlfn.REGEXEXTRACT(CELL("address",'Raw Data'!U82),"\$([A-Z]+)\$[0-9]+"))),_xlfn.REGEXEXTRACT(CELL("address",'Raw Data'!U82),"\$([A-Z]+)\$[0-9]+"))</f>
        <v/>
      </c>
      <c r="V82" s="7" t="str" cm="1">
        <f t="array" aca="1" ref="V82" ca="1">IFERROR(IF(OR('Raw Data'!V82="",LEN(TRIM('Raw Data'!V82))=0),"",IF(AND(ISNUMBER('Raw Data'!V82), IFERROR('Raw Data'!V82 = ROUND('Raw Data'!V82, 2),FALSE)),"",_xlfn.REGEXEXTRACT(CELL("address",V82), "\$([A-Z]+)\$[0-9]+"))),_xlfn.REGEXEXTRACT(CELL("address",V82), "\$([A-Z]+)\$[0-9]+"))</f>
        <v/>
      </c>
      <c r="W82" s="7" t="str" cm="1">
        <f t="array" aca="1" ref="W82" ca="1">IFERROR(IF(OR('Raw Data'!W82="",LEN(TRIM('Raw Data'!W82))=0),"",IF(AND(ISNUMBER('Raw Data'!W82), IFERROR('Raw Data'!W82 = ROUND('Raw Data'!W82, 2),FALSE)),"",_xlfn.REGEXEXTRACT(CELL("address",W82), "\$([A-Z]+)\$[0-9]+"))),_xlfn.REGEXEXTRACT(CELL("address",W82), "\$([A-Z]+)\$[0-9]+"))</f>
        <v/>
      </c>
      <c r="X82" s="7" t="str" cm="1">
        <f t="array" aca="1" ref="X82" ca="1">IFERROR(IF(OR('Raw Data'!X82="",LEN(TRIM('Raw Data'!X82))=0),"",IF(AND(ISNUMBER('Raw Data'!X82), IFERROR('Raw Data'!X82 = ROUND('Raw Data'!X82, 2),FALSE)),"",_xlfn.REGEXEXTRACT(CELL("address",X82), "\$([A-Z]+)\$[0-9]+"))),_xlfn.REGEXEXTRACT(CELL("address",X82), "\$([A-Z]+)\$[0-9]+"))</f>
        <v/>
      </c>
    </row>
    <row r="83" spans="2:24" x14ac:dyDescent="0.25">
      <c r="B83" s="7" t="str" cm="1">
        <f t="array" aca="1" ref="B83" ca="1">IFERROR(IF(OR('Raw Data'!B83="",LEN(TRIM('Raw Data'!B83))=0),"",IF(AND(LEN('Raw Data'!B83) &lt;= 50,LEN('Raw Data'!B83)&gt; 0),"",_xlfn.REGEXEXTRACT(CELL("address",'Raw Data'!B83),"\$([A-Z]+)\$[0-9]+"))),_xlfn.REGEXEXTRACT(CELL("address",'Raw Data'!B83),"\$([A-Z]+)\$[0-9]+"))</f>
        <v/>
      </c>
      <c r="C83" s="7" t="str" cm="1">
        <f t="array" aca="1" ref="C83" ca="1">IFERROR(IF(OR('Raw Data'!C83="",LEN(TRIM('Raw Data'!C83))=0),"",IF(AND(LEN('Raw Data'!C83) &lt;= 50,LEN('Raw Data'!C83)&gt; 0),"",_xlfn.REGEXEXTRACT(CELL("address",'Raw Data'!C83),"\$([A-Z]+)\$[0-9]+"))),_xlfn.REGEXEXTRACT(CELL("address",'Raw Data'!C83),"\$([A-Z]+)\$[0-9]+"))</f>
        <v/>
      </c>
      <c r="D83" s="7" t="str" cm="1">
        <f t="array" aca="1" ref="D83" ca="1">IFERROR(IF(OR('Raw Data'!D83="",LEN(TRIM('Raw Data'!D83))=0),"",IF(AND(LEN('Raw Data'!D83) &lt;= 255,LEN('Raw Data'!D83)&gt; 0),"",_xlfn.REGEXEXTRACT(CELL("address",'Raw Data'!D83),"\$([A-Z]+)\$[0-9]+"))),_xlfn.REGEXEXTRACT(CELL("address",'Raw Data'!D83),"\$([A-Z]+)\$[0-9]+"))</f>
        <v/>
      </c>
      <c r="E83" s="7" t="str" cm="1">
        <f t="array" aca="1" ref="E83" ca="1">IFERROR(IF(OR('Raw Data'!E83="",LEN(TRIM('Raw Data'!E83))=0),"",IF(AND(ISNUMBER('Raw Data'!E83),'Raw Data'!E83&gt;=Configuration!$D$2),"",_xlfn.REGEXEXTRACT(CELL("address",'Raw Data'!E83),"\$([A-Z]+)\$[0-9]+"))),_xlfn.REGEXEXTRACT(CELL("address",E83), "\$([A-Z]+)\$[0-9]+"))</f>
        <v/>
      </c>
      <c r="F83" s="7" t="str" cm="1">
        <f t="array" aca="1" ref="F83" ca="1">IFERROR(IF(OR('Raw Data'!F83="",LEN(TRIM('Raw Data'!F83))=0),"",IF(AND(LEN('Raw Data'!F83) &lt;= 20,LEN('Raw Data'!F83)&gt; 0),"",_xlfn.REGEXEXTRACT(CELL("address",'Raw Data'!F83),"\$([A-Z]+)\$[0-9]+"))),_xlfn.REGEXEXTRACT(CELL("address",'Raw Data'!F83),"\$([A-Z]+)\$[0-9]+"))</f>
        <v/>
      </c>
      <c r="G83" s="7" t="str" cm="1">
        <f t="array" aca="1" ref="G83" ca="1">IFERROR(IF(OR('Raw Data'!G83="",LEN(TRIM('Raw Data'!G83))=0),"",IF(AND(ISNUMBER('Raw Data'!G83), IFERROR('Raw Data'!G83 = ROUND('Raw Data'!G83, 2),FALSE)),"",_xlfn.REGEXEXTRACT(CELL("address",G83), "\$([A-Z]+)\$[0-9]+"))),_xlfn.REGEXEXTRACT(CELL("address",G83), "\$([A-Z]+)\$[0-9]+"))</f>
        <v/>
      </c>
      <c r="H83" s="7" t="str" cm="1">
        <f t="array" aca="1" ref="H83" ca="1">IFERROR(IF(OR('Raw Data'!H83="",LEN(TRIM('Raw Data'!H83))=0),"",IF(AND(ISNUMBER('Raw Data'!H83), IFERROR('Raw Data'!H83 = ROUND('Raw Data'!H83, 2),FALSE)),"",_xlfn.REGEXEXTRACT(CELL("address",H83), "\$([A-Z]+)\$[0-9]+"))),_xlfn.REGEXEXTRACT(CELL("address",H83), "\$([A-Z]+)\$[0-9]+"))</f>
        <v/>
      </c>
      <c r="I83" s="7" t="str" cm="1">
        <f t="array" aca="1" ref="I83" ca="1">IFERROR(IF(OR('Raw Data'!I83="",LEN(TRIM('Raw Data'!I83))=0),"",IF(AND(LEN('Raw Data'!I83) &lt;= 50,LEN('Raw Data'!I83)&gt; 0),"",_xlfn.REGEXEXTRACT(CELL("address",'Raw Data'!I83),"\$([A-Z]+)\$[0-9]+"))),_xlfn.REGEXEXTRACT(CELL("address",'Raw Data'!I83),"\$([A-Z]+)\$[0-9]+"))</f>
        <v/>
      </c>
      <c r="J83" s="7" t="str" cm="1">
        <f t="array" aca="1" ref="J83" ca="1">IFERROR(IF(OR('Raw Data'!J83="",LEN(TRIM('Raw Data'!J83))=0),"",IF(AND(ISNUMBER('Raw Data'!J83),'Raw Data'!J83&gt;=Configuration!$D$2),"",_xlfn.REGEXEXTRACT(CELL("address",'Raw Data'!J83),"\$([A-Z]+)\$[0-9]+"))),_xlfn.REGEXEXTRACT(CELL("address",J83), "\$([A-Z]+)\$[0-9]+"))</f>
        <v/>
      </c>
      <c r="K83" s="7" t="str" cm="1">
        <f t="array" aca="1" ref="K83" ca="1">IFERROR(IF(OR('Raw Data'!K83="",LEN(TRIM('Raw Data'!K83))=0),"",IF(AND(ISNUMBER('Raw Data'!K83), IFERROR('Raw Data'!K83 = ROUND('Raw Data'!K83, 2),FALSE)),"",_xlfn.REGEXEXTRACT(CELL("address",K83), "\$([A-Z]+)\$[0-9]+"))),_xlfn.REGEXEXTRACT(CELL("address",K83), "\$([A-Z]+)\$[0-9]+"))</f>
        <v/>
      </c>
      <c r="L83" s="7" t="str" cm="1">
        <f t="array" aca="1" ref="L83" ca="1">IFERROR(IF(OR('Raw Data'!L83="",LEN(TRIM('Raw Data'!L83))=0),"",IF(AND(ISNUMBER('Raw Data'!L83), IFERROR('Raw Data'!L83 = ROUND('Raw Data'!L83, 2),FALSE)),"",_xlfn.REGEXEXTRACT(CELL("address",L83), "\$([A-Z]+)\$[0-9]+"))),_xlfn.REGEXEXTRACT(CELL("address",L83), "\$([A-Z]+)\$[0-9]+"))</f>
        <v/>
      </c>
      <c r="M83" s="7" t="str" cm="1">
        <f t="array" aca="1" ref="M83" ca="1">IFERROR(IF(OR('Raw Data'!M83="",LEN(TRIM('Raw Data'!M83))=0),"",IF(AND(ISNUMBER('Raw Data'!M83), IFERROR('Raw Data'!M83 = ROUND('Raw Data'!M83, 2),FALSE)),"",_xlfn.REGEXEXTRACT(CELL("address",M83), "\$([A-Z]+)\$[0-9]+"))),_xlfn.REGEXEXTRACT(CELL("address",M83), "\$([A-Z]+)\$[0-9]+"))</f>
        <v/>
      </c>
      <c r="N83" s="7" t="str" cm="1">
        <f t="array" aca="1" ref="N83" ca="1">IFERROR(IF(OR('Raw Data'!N83="",LEN(TRIM('Raw Data'!N83))=0),"",IF(AND(ISNUMBER('Raw Data'!N83), IFERROR('Raw Data'!N83 = ROUND('Raw Data'!N83, 2),FALSE)),"",_xlfn.REGEXEXTRACT(CELL("address",N83), "\$([A-Z]+)\$[0-9]+"))),_xlfn.REGEXEXTRACT(CELL("address",N83), "\$([A-Z]+)\$[0-9]+"))</f>
        <v/>
      </c>
      <c r="O83" s="7" t="str" cm="1">
        <f t="array" aca="1" ref="O83" ca="1">IFERROR(IF(OR('Raw Data'!O83="",LEN(TRIM('Raw Data'!O83))=0),"",IF(AND(ISNUMBER('Raw Data'!O83), IFERROR('Raw Data'!O83 = ROUND('Raw Data'!O83, 2),FALSE)),"",_xlfn.REGEXEXTRACT(CELL("address",O83), "\$([A-Z]+)\$[0-9]+"))),_xlfn.REGEXEXTRACT(CELL("address",O83), "\$([A-Z]+)\$[0-9]+"))</f>
        <v/>
      </c>
      <c r="P83" s="7" t="str" cm="1">
        <f t="array" aca="1" ref="P83" ca="1">IFERROR(IF(OR('Raw Data'!P83="",LEN(TRIM('Raw Data'!P83))=0),"",IF(AND(ISNUMBER('Raw Data'!P83),'Raw Data'!P83&gt;=Configuration!$D$2),"",_xlfn.REGEXEXTRACT(CELL("address",'Raw Data'!P83),"\$([A-Z]+)\$[0-9]+"))),_xlfn.REGEXEXTRACT(CELL("address",P83), "\$([A-Z]+)\$[0-9]+"))</f>
        <v/>
      </c>
      <c r="Q83" s="7" t="str" cm="1">
        <f t="array" aca="1" ref="Q83" ca="1">IFERROR(IF(OR('Raw Data'!Q83="",LEN(TRIM('Raw Data'!Q83))=0),"",IF(AND(ISNUMBER('Raw Data'!Q83),'Raw Data'!Q83&gt;=Configuration!$D$2),"",_xlfn.REGEXEXTRACT(CELL("address",'Raw Data'!Q83),"\$([A-Z]+)\$[0-9]+"))),_xlfn.REGEXEXTRACT(CELL("address",Q83), "\$([A-Z]+)\$[0-9]+"))</f>
        <v/>
      </c>
      <c r="R83" s="7" t="str" cm="1">
        <f t="array" aca="1" ref="R83" ca="1">IFERROR(IF(OR('Raw Data'!R83="",LEN(TRIM('Raw Data'!R83))=0),"",IF(AND(ISNUMBER('Raw Data'!R83), IFERROR('Raw Data'!R83 = ROUND('Raw Data'!R83, 2),FALSE)),"",_xlfn.REGEXEXTRACT(CELL("address",R83), "\$([A-Z]+)\$[0-9]+"))),_xlfn.REGEXEXTRACT(CELL("address",R83), "\$([A-Z]+)\$[0-9]+"))</f>
        <v/>
      </c>
      <c r="S83" s="7" t="str" cm="1">
        <f t="array" aca="1" ref="S83" ca="1">IFERROR(IF(OR('Raw Data'!S83="",LEN(TRIM('Raw Data'!S83))=0),"",IF(AND(ISNUMBER('Raw Data'!S83), IFERROR('Raw Data'!S83 = ROUND('Raw Data'!S83, 2),FALSE)),"",_xlfn.REGEXEXTRACT(CELL("address",S83), "\$([A-Z]+)\$[0-9]+"))),_xlfn.REGEXEXTRACT(CELL("address",S83), "\$([A-Z]+)\$[0-9]+"))</f>
        <v/>
      </c>
      <c r="T83" s="7" t="str" cm="1">
        <f t="array" aca="1" ref="T83" ca="1">IFERROR(IF(OR('Raw Data'!T83="",LEN(TRIM('Raw Data'!T83))=0),"",IF(AND(ISNUMBER('Raw Data'!T83), IFERROR('Raw Data'!T83 = ROUND('Raw Data'!T83, 2),FALSE)),"",_xlfn.REGEXEXTRACT(CELL("address",T83), "\$([A-Z]+)\$[0-9]+"))),_xlfn.REGEXEXTRACT(CELL("address",T83), "\$([A-Z]+)\$[0-9]+"))</f>
        <v/>
      </c>
      <c r="U83" s="7" t="str" cm="1">
        <f t="array" aca="1" ref="U83" ca="1">IFERROR(IF(OR('Raw Data'!U83="",LEN(TRIM('Raw Data'!U83))=0),"",IF(AND(LEN('Raw Data'!U83) &lt;= 5,LEN('Raw Data'!U83)&gt; 0),"",_xlfn.REGEXEXTRACT(CELL("address",'Raw Data'!U83),"\$([A-Z]+)\$[0-9]+"))),_xlfn.REGEXEXTRACT(CELL("address",'Raw Data'!U83),"\$([A-Z]+)\$[0-9]+"))</f>
        <v/>
      </c>
      <c r="V83" s="7" t="str" cm="1">
        <f t="array" aca="1" ref="V83" ca="1">IFERROR(IF(OR('Raw Data'!V83="",LEN(TRIM('Raw Data'!V83))=0),"",IF(AND(ISNUMBER('Raw Data'!V83), IFERROR('Raw Data'!V83 = ROUND('Raw Data'!V83, 2),FALSE)),"",_xlfn.REGEXEXTRACT(CELL("address",V83), "\$([A-Z]+)\$[0-9]+"))),_xlfn.REGEXEXTRACT(CELL("address",V83), "\$([A-Z]+)\$[0-9]+"))</f>
        <v/>
      </c>
      <c r="W83" s="7" t="str" cm="1">
        <f t="array" aca="1" ref="W83" ca="1">IFERROR(IF(OR('Raw Data'!W83="",LEN(TRIM('Raw Data'!W83))=0),"",IF(AND(ISNUMBER('Raw Data'!W83), IFERROR('Raw Data'!W83 = ROUND('Raw Data'!W83, 2),FALSE)),"",_xlfn.REGEXEXTRACT(CELL("address",W83), "\$([A-Z]+)\$[0-9]+"))),_xlfn.REGEXEXTRACT(CELL("address",W83), "\$([A-Z]+)\$[0-9]+"))</f>
        <v/>
      </c>
      <c r="X83" s="7" t="str" cm="1">
        <f t="array" aca="1" ref="X83" ca="1">IFERROR(IF(OR('Raw Data'!X83="",LEN(TRIM('Raw Data'!X83))=0),"",IF(AND(ISNUMBER('Raw Data'!X83), IFERROR('Raw Data'!X83 = ROUND('Raw Data'!X83, 2),FALSE)),"",_xlfn.REGEXEXTRACT(CELL("address",X83), "\$([A-Z]+)\$[0-9]+"))),_xlfn.REGEXEXTRACT(CELL("address",X83), "\$([A-Z]+)\$[0-9]+"))</f>
        <v/>
      </c>
    </row>
    <row r="84" spans="2:24" x14ac:dyDescent="0.25">
      <c r="B84" s="7" t="str" cm="1">
        <f t="array" aca="1" ref="B84" ca="1">IFERROR(IF(OR('Raw Data'!B84="",LEN(TRIM('Raw Data'!B84))=0),"",IF(AND(LEN('Raw Data'!B84) &lt;= 50,LEN('Raw Data'!B84)&gt; 0),"",_xlfn.REGEXEXTRACT(CELL("address",'Raw Data'!B84),"\$([A-Z]+)\$[0-9]+"))),_xlfn.REGEXEXTRACT(CELL("address",'Raw Data'!B84),"\$([A-Z]+)\$[0-9]+"))</f>
        <v/>
      </c>
      <c r="C84" s="7" t="str" cm="1">
        <f t="array" aca="1" ref="C84" ca="1">IFERROR(IF(OR('Raw Data'!C84="",LEN(TRIM('Raw Data'!C84))=0),"",IF(AND(LEN('Raw Data'!C84) &lt;= 50,LEN('Raw Data'!C84)&gt; 0),"",_xlfn.REGEXEXTRACT(CELL("address",'Raw Data'!C84),"\$([A-Z]+)\$[0-9]+"))),_xlfn.REGEXEXTRACT(CELL("address",'Raw Data'!C84),"\$([A-Z]+)\$[0-9]+"))</f>
        <v/>
      </c>
      <c r="D84" s="7" t="str" cm="1">
        <f t="array" aca="1" ref="D84" ca="1">IFERROR(IF(OR('Raw Data'!D84="",LEN(TRIM('Raw Data'!D84))=0),"",IF(AND(LEN('Raw Data'!D84) &lt;= 255,LEN('Raw Data'!D84)&gt; 0),"",_xlfn.REGEXEXTRACT(CELL("address",'Raw Data'!D84),"\$([A-Z]+)\$[0-9]+"))),_xlfn.REGEXEXTRACT(CELL("address",'Raw Data'!D84),"\$([A-Z]+)\$[0-9]+"))</f>
        <v/>
      </c>
      <c r="E84" s="7" t="str" cm="1">
        <f t="array" aca="1" ref="E84" ca="1">IFERROR(IF(OR('Raw Data'!E84="",LEN(TRIM('Raw Data'!E84))=0),"",IF(AND(ISNUMBER('Raw Data'!E84),'Raw Data'!E84&gt;=Configuration!$D$2),"",_xlfn.REGEXEXTRACT(CELL("address",'Raw Data'!E84),"\$([A-Z]+)\$[0-9]+"))),_xlfn.REGEXEXTRACT(CELL("address",E84), "\$([A-Z]+)\$[0-9]+"))</f>
        <v/>
      </c>
      <c r="F84" s="7" t="str" cm="1">
        <f t="array" aca="1" ref="F84" ca="1">IFERROR(IF(OR('Raw Data'!F84="",LEN(TRIM('Raw Data'!F84))=0),"",IF(AND(LEN('Raw Data'!F84) &lt;= 20,LEN('Raw Data'!F84)&gt; 0),"",_xlfn.REGEXEXTRACT(CELL("address",'Raw Data'!F84),"\$([A-Z]+)\$[0-9]+"))),_xlfn.REGEXEXTRACT(CELL("address",'Raw Data'!F84),"\$([A-Z]+)\$[0-9]+"))</f>
        <v/>
      </c>
      <c r="G84" s="7" t="str" cm="1">
        <f t="array" aca="1" ref="G84" ca="1">IFERROR(IF(OR('Raw Data'!G84="",LEN(TRIM('Raw Data'!G84))=0),"",IF(AND(ISNUMBER('Raw Data'!G84), IFERROR('Raw Data'!G84 = ROUND('Raw Data'!G84, 2),FALSE)),"",_xlfn.REGEXEXTRACT(CELL("address",G84), "\$([A-Z]+)\$[0-9]+"))),_xlfn.REGEXEXTRACT(CELL("address",G84), "\$([A-Z]+)\$[0-9]+"))</f>
        <v/>
      </c>
      <c r="H84" s="7" t="str" cm="1">
        <f t="array" aca="1" ref="H84" ca="1">IFERROR(IF(OR('Raw Data'!H84="",LEN(TRIM('Raw Data'!H84))=0),"",IF(AND(ISNUMBER('Raw Data'!H84), IFERROR('Raw Data'!H84 = ROUND('Raw Data'!H84, 2),FALSE)),"",_xlfn.REGEXEXTRACT(CELL("address",H84), "\$([A-Z]+)\$[0-9]+"))),_xlfn.REGEXEXTRACT(CELL("address",H84), "\$([A-Z]+)\$[0-9]+"))</f>
        <v/>
      </c>
      <c r="I84" s="7" t="str" cm="1">
        <f t="array" aca="1" ref="I84" ca="1">IFERROR(IF(OR('Raw Data'!I84="",LEN(TRIM('Raw Data'!I84))=0),"",IF(AND(LEN('Raw Data'!I84) &lt;= 50,LEN('Raw Data'!I84)&gt; 0),"",_xlfn.REGEXEXTRACT(CELL("address",'Raw Data'!I84),"\$([A-Z]+)\$[0-9]+"))),_xlfn.REGEXEXTRACT(CELL("address",'Raw Data'!I84),"\$([A-Z]+)\$[0-9]+"))</f>
        <v/>
      </c>
      <c r="J84" s="7" t="str" cm="1">
        <f t="array" aca="1" ref="J84" ca="1">IFERROR(IF(OR('Raw Data'!J84="",LEN(TRIM('Raw Data'!J84))=0),"",IF(AND(ISNUMBER('Raw Data'!J84),'Raw Data'!J84&gt;=Configuration!$D$2),"",_xlfn.REGEXEXTRACT(CELL("address",'Raw Data'!J84),"\$([A-Z]+)\$[0-9]+"))),_xlfn.REGEXEXTRACT(CELL("address",J84), "\$([A-Z]+)\$[0-9]+"))</f>
        <v/>
      </c>
      <c r="K84" s="7" t="str" cm="1">
        <f t="array" aca="1" ref="K84" ca="1">IFERROR(IF(OR('Raw Data'!K84="",LEN(TRIM('Raw Data'!K84))=0),"",IF(AND(ISNUMBER('Raw Data'!K84), IFERROR('Raw Data'!K84 = ROUND('Raw Data'!K84, 2),FALSE)),"",_xlfn.REGEXEXTRACT(CELL("address",K84), "\$([A-Z]+)\$[0-9]+"))),_xlfn.REGEXEXTRACT(CELL("address",K84), "\$([A-Z]+)\$[0-9]+"))</f>
        <v/>
      </c>
      <c r="L84" s="7" t="str" cm="1">
        <f t="array" aca="1" ref="L84" ca="1">IFERROR(IF(OR('Raw Data'!L84="",LEN(TRIM('Raw Data'!L84))=0),"",IF(AND(ISNUMBER('Raw Data'!L84), IFERROR('Raw Data'!L84 = ROUND('Raw Data'!L84, 2),FALSE)),"",_xlfn.REGEXEXTRACT(CELL("address",L84), "\$([A-Z]+)\$[0-9]+"))),_xlfn.REGEXEXTRACT(CELL("address",L84), "\$([A-Z]+)\$[0-9]+"))</f>
        <v/>
      </c>
      <c r="M84" s="7" t="str" cm="1">
        <f t="array" aca="1" ref="M84" ca="1">IFERROR(IF(OR('Raw Data'!M84="",LEN(TRIM('Raw Data'!M84))=0),"",IF(AND(ISNUMBER('Raw Data'!M84), IFERROR('Raw Data'!M84 = ROUND('Raw Data'!M84, 2),FALSE)),"",_xlfn.REGEXEXTRACT(CELL("address",M84), "\$([A-Z]+)\$[0-9]+"))),_xlfn.REGEXEXTRACT(CELL("address",M84), "\$([A-Z]+)\$[0-9]+"))</f>
        <v/>
      </c>
      <c r="N84" s="7" t="str" cm="1">
        <f t="array" aca="1" ref="N84" ca="1">IFERROR(IF(OR('Raw Data'!N84="",LEN(TRIM('Raw Data'!N84))=0),"",IF(AND(ISNUMBER('Raw Data'!N84), IFERROR('Raw Data'!N84 = ROUND('Raw Data'!N84, 2),FALSE)),"",_xlfn.REGEXEXTRACT(CELL("address",N84), "\$([A-Z]+)\$[0-9]+"))),_xlfn.REGEXEXTRACT(CELL("address",N84), "\$([A-Z]+)\$[0-9]+"))</f>
        <v/>
      </c>
      <c r="O84" s="7" t="str" cm="1">
        <f t="array" aca="1" ref="O84" ca="1">IFERROR(IF(OR('Raw Data'!O84="",LEN(TRIM('Raw Data'!O84))=0),"",IF(AND(ISNUMBER('Raw Data'!O84), IFERROR('Raw Data'!O84 = ROUND('Raw Data'!O84, 2),FALSE)),"",_xlfn.REGEXEXTRACT(CELL("address",O84), "\$([A-Z]+)\$[0-9]+"))),_xlfn.REGEXEXTRACT(CELL("address",O84), "\$([A-Z]+)\$[0-9]+"))</f>
        <v/>
      </c>
      <c r="P84" s="7" t="str" cm="1">
        <f t="array" aca="1" ref="P84" ca="1">IFERROR(IF(OR('Raw Data'!P84="",LEN(TRIM('Raw Data'!P84))=0),"",IF(AND(ISNUMBER('Raw Data'!P84),'Raw Data'!P84&gt;=Configuration!$D$2),"",_xlfn.REGEXEXTRACT(CELL("address",'Raw Data'!P84),"\$([A-Z]+)\$[0-9]+"))),_xlfn.REGEXEXTRACT(CELL("address",P84), "\$([A-Z]+)\$[0-9]+"))</f>
        <v/>
      </c>
      <c r="Q84" s="7" t="str" cm="1">
        <f t="array" aca="1" ref="Q84" ca="1">IFERROR(IF(OR('Raw Data'!Q84="",LEN(TRIM('Raw Data'!Q84))=0),"",IF(AND(ISNUMBER('Raw Data'!Q84),'Raw Data'!Q84&gt;=Configuration!$D$2),"",_xlfn.REGEXEXTRACT(CELL("address",'Raw Data'!Q84),"\$([A-Z]+)\$[0-9]+"))),_xlfn.REGEXEXTRACT(CELL("address",Q84), "\$([A-Z]+)\$[0-9]+"))</f>
        <v/>
      </c>
      <c r="R84" s="7" t="str" cm="1">
        <f t="array" aca="1" ref="R84" ca="1">IFERROR(IF(OR('Raw Data'!R84="",LEN(TRIM('Raw Data'!R84))=0),"",IF(AND(ISNUMBER('Raw Data'!R84), IFERROR('Raw Data'!R84 = ROUND('Raw Data'!R84, 2),FALSE)),"",_xlfn.REGEXEXTRACT(CELL("address",R84), "\$([A-Z]+)\$[0-9]+"))),_xlfn.REGEXEXTRACT(CELL("address",R84), "\$([A-Z]+)\$[0-9]+"))</f>
        <v/>
      </c>
      <c r="S84" s="7" t="str" cm="1">
        <f t="array" aca="1" ref="S84" ca="1">IFERROR(IF(OR('Raw Data'!S84="",LEN(TRIM('Raw Data'!S84))=0),"",IF(AND(ISNUMBER('Raw Data'!S84), IFERROR('Raw Data'!S84 = ROUND('Raw Data'!S84, 2),FALSE)),"",_xlfn.REGEXEXTRACT(CELL("address",S84), "\$([A-Z]+)\$[0-9]+"))),_xlfn.REGEXEXTRACT(CELL("address",S84), "\$([A-Z]+)\$[0-9]+"))</f>
        <v/>
      </c>
      <c r="T84" s="7" t="str" cm="1">
        <f t="array" aca="1" ref="T84" ca="1">IFERROR(IF(OR('Raw Data'!T84="",LEN(TRIM('Raw Data'!T84))=0),"",IF(AND(ISNUMBER('Raw Data'!T84), IFERROR('Raw Data'!T84 = ROUND('Raw Data'!T84, 2),FALSE)),"",_xlfn.REGEXEXTRACT(CELL("address",T84), "\$([A-Z]+)\$[0-9]+"))),_xlfn.REGEXEXTRACT(CELL("address",T84), "\$([A-Z]+)\$[0-9]+"))</f>
        <v/>
      </c>
      <c r="U84" s="7" t="str" cm="1">
        <f t="array" aca="1" ref="U84" ca="1">IFERROR(IF(OR('Raw Data'!U84="",LEN(TRIM('Raw Data'!U84))=0),"",IF(AND(LEN('Raw Data'!U84) &lt;= 5,LEN('Raw Data'!U84)&gt; 0),"",_xlfn.REGEXEXTRACT(CELL("address",'Raw Data'!U84),"\$([A-Z]+)\$[0-9]+"))),_xlfn.REGEXEXTRACT(CELL("address",'Raw Data'!U84),"\$([A-Z]+)\$[0-9]+"))</f>
        <v/>
      </c>
      <c r="V84" s="7" t="str" cm="1">
        <f t="array" aca="1" ref="V84" ca="1">IFERROR(IF(OR('Raw Data'!V84="",LEN(TRIM('Raw Data'!V84))=0),"",IF(AND(ISNUMBER('Raw Data'!V84), IFERROR('Raw Data'!V84 = ROUND('Raw Data'!V84, 2),FALSE)),"",_xlfn.REGEXEXTRACT(CELL("address",V84), "\$([A-Z]+)\$[0-9]+"))),_xlfn.REGEXEXTRACT(CELL("address",V84), "\$([A-Z]+)\$[0-9]+"))</f>
        <v/>
      </c>
      <c r="W84" s="7" t="str" cm="1">
        <f t="array" aca="1" ref="W84" ca="1">IFERROR(IF(OR('Raw Data'!W84="",LEN(TRIM('Raw Data'!W84))=0),"",IF(AND(ISNUMBER('Raw Data'!W84), IFERROR('Raw Data'!W84 = ROUND('Raw Data'!W84, 2),FALSE)),"",_xlfn.REGEXEXTRACT(CELL("address",W84), "\$([A-Z]+)\$[0-9]+"))),_xlfn.REGEXEXTRACT(CELL("address",W84), "\$([A-Z]+)\$[0-9]+"))</f>
        <v/>
      </c>
      <c r="X84" s="7" t="str" cm="1">
        <f t="array" aca="1" ref="X84" ca="1">IFERROR(IF(OR('Raw Data'!X84="",LEN(TRIM('Raw Data'!X84))=0),"",IF(AND(ISNUMBER('Raw Data'!X84), IFERROR('Raw Data'!X84 = ROUND('Raw Data'!X84, 2),FALSE)),"",_xlfn.REGEXEXTRACT(CELL("address",X84), "\$([A-Z]+)\$[0-9]+"))),_xlfn.REGEXEXTRACT(CELL("address",X84), "\$([A-Z]+)\$[0-9]+"))</f>
        <v/>
      </c>
    </row>
    <row r="85" spans="2:24" x14ac:dyDescent="0.25">
      <c r="B85" s="7" t="str" cm="1">
        <f t="array" aca="1" ref="B85" ca="1">IFERROR(IF(OR('Raw Data'!B85="",LEN(TRIM('Raw Data'!B85))=0),"",IF(AND(LEN('Raw Data'!B85) &lt;= 50,LEN('Raw Data'!B85)&gt; 0),"",_xlfn.REGEXEXTRACT(CELL("address",'Raw Data'!B85),"\$([A-Z]+)\$[0-9]+"))),_xlfn.REGEXEXTRACT(CELL("address",'Raw Data'!B85),"\$([A-Z]+)\$[0-9]+"))</f>
        <v/>
      </c>
      <c r="C85" s="7" t="str" cm="1">
        <f t="array" aca="1" ref="C85" ca="1">IFERROR(IF(OR('Raw Data'!C85="",LEN(TRIM('Raw Data'!C85))=0),"",IF(AND(LEN('Raw Data'!C85) &lt;= 50,LEN('Raw Data'!C85)&gt; 0),"",_xlfn.REGEXEXTRACT(CELL("address",'Raw Data'!C85),"\$([A-Z]+)\$[0-9]+"))),_xlfn.REGEXEXTRACT(CELL("address",'Raw Data'!C85),"\$([A-Z]+)\$[0-9]+"))</f>
        <v/>
      </c>
      <c r="D85" s="7" t="str" cm="1">
        <f t="array" aca="1" ref="D85" ca="1">IFERROR(IF(OR('Raw Data'!D85="",LEN(TRIM('Raw Data'!D85))=0),"",IF(AND(LEN('Raw Data'!D85) &lt;= 255,LEN('Raw Data'!D85)&gt; 0),"",_xlfn.REGEXEXTRACT(CELL("address",'Raw Data'!D85),"\$([A-Z]+)\$[0-9]+"))),_xlfn.REGEXEXTRACT(CELL("address",'Raw Data'!D85),"\$([A-Z]+)\$[0-9]+"))</f>
        <v/>
      </c>
      <c r="E85" s="7" t="str" cm="1">
        <f t="array" aca="1" ref="E85" ca="1">IFERROR(IF(OR('Raw Data'!E85="",LEN(TRIM('Raw Data'!E85))=0),"",IF(AND(ISNUMBER('Raw Data'!E85),'Raw Data'!E85&gt;=Configuration!$D$2),"",_xlfn.REGEXEXTRACT(CELL("address",'Raw Data'!E85),"\$([A-Z]+)\$[0-9]+"))),_xlfn.REGEXEXTRACT(CELL("address",E85), "\$([A-Z]+)\$[0-9]+"))</f>
        <v/>
      </c>
      <c r="F85" s="7" t="str" cm="1">
        <f t="array" aca="1" ref="F85" ca="1">IFERROR(IF(OR('Raw Data'!F85="",LEN(TRIM('Raw Data'!F85))=0),"",IF(AND(LEN('Raw Data'!F85) &lt;= 20,LEN('Raw Data'!F85)&gt; 0),"",_xlfn.REGEXEXTRACT(CELL("address",'Raw Data'!F85),"\$([A-Z]+)\$[0-9]+"))),_xlfn.REGEXEXTRACT(CELL("address",'Raw Data'!F85),"\$([A-Z]+)\$[0-9]+"))</f>
        <v/>
      </c>
      <c r="G85" s="7" t="str" cm="1">
        <f t="array" aca="1" ref="G85" ca="1">IFERROR(IF(OR('Raw Data'!G85="",LEN(TRIM('Raw Data'!G85))=0),"",IF(AND(ISNUMBER('Raw Data'!G85), IFERROR('Raw Data'!G85 = ROUND('Raw Data'!G85, 2),FALSE)),"",_xlfn.REGEXEXTRACT(CELL("address",G85), "\$([A-Z]+)\$[0-9]+"))),_xlfn.REGEXEXTRACT(CELL("address",G85), "\$([A-Z]+)\$[0-9]+"))</f>
        <v/>
      </c>
      <c r="H85" s="7" t="str" cm="1">
        <f t="array" aca="1" ref="H85" ca="1">IFERROR(IF(OR('Raw Data'!H85="",LEN(TRIM('Raw Data'!H85))=0),"",IF(AND(ISNUMBER('Raw Data'!H85), IFERROR('Raw Data'!H85 = ROUND('Raw Data'!H85, 2),FALSE)),"",_xlfn.REGEXEXTRACT(CELL("address",H85), "\$([A-Z]+)\$[0-9]+"))),_xlfn.REGEXEXTRACT(CELL("address",H85), "\$([A-Z]+)\$[0-9]+"))</f>
        <v/>
      </c>
      <c r="I85" s="7" t="str" cm="1">
        <f t="array" aca="1" ref="I85" ca="1">IFERROR(IF(OR('Raw Data'!I85="",LEN(TRIM('Raw Data'!I85))=0),"",IF(AND(LEN('Raw Data'!I85) &lt;= 50,LEN('Raw Data'!I85)&gt; 0),"",_xlfn.REGEXEXTRACT(CELL("address",'Raw Data'!I85),"\$([A-Z]+)\$[0-9]+"))),_xlfn.REGEXEXTRACT(CELL("address",'Raw Data'!I85),"\$([A-Z]+)\$[0-9]+"))</f>
        <v/>
      </c>
      <c r="J85" s="7" t="str" cm="1">
        <f t="array" aca="1" ref="J85" ca="1">IFERROR(IF(OR('Raw Data'!J85="",LEN(TRIM('Raw Data'!J85))=0),"",IF(AND(ISNUMBER('Raw Data'!J85),'Raw Data'!J85&gt;=Configuration!$D$2),"",_xlfn.REGEXEXTRACT(CELL("address",'Raw Data'!J85),"\$([A-Z]+)\$[0-9]+"))),_xlfn.REGEXEXTRACT(CELL("address",J85), "\$([A-Z]+)\$[0-9]+"))</f>
        <v/>
      </c>
      <c r="K85" s="7" t="str" cm="1">
        <f t="array" aca="1" ref="K85" ca="1">IFERROR(IF(OR('Raw Data'!K85="",LEN(TRIM('Raw Data'!K85))=0),"",IF(AND(ISNUMBER('Raw Data'!K85), IFERROR('Raw Data'!K85 = ROUND('Raw Data'!K85, 2),FALSE)),"",_xlfn.REGEXEXTRACT(CELL("address",K85), "\$([A-Z]+)\$[0-9]+"))),_xlfn.REGEXEXTRACT(CELL("address",K85), "\$([A-Z]+)\$[0-9]+"))</f>
        <v/>
      </c>
      <c r="L85" s="7" t="str" cm="1">
        <f t="array" aca="1" ref="L85" ca="1">IFERROR(IF(OR('Raw Data'!L85="",LEN(TRIM('Raw Data'!L85))=0),"",IF(AND(ISNUMBER('Raw Data'!L85), IFERROR('Raw Data'!L85 = ROUND('Raw Data'!L85, 2),FALSE)),"",_xlfn.REGEXEXTRACT(CELL("address",L85), "\$([A-Z]+)\$[0-9]+"))),_xlfn.REGEXEXTRACT(CELL("address",L85), "\$([A-Z]+)\$[0-9]+"))</f>
        <v/>
      </c>
      <c r="M85" s="7" t="str" cm="1">
        <f t="array" aca="1" ref="M85" ca="1">IFERROR(IF(OR('Raw Data'!M85="",LEN(TRIM('Raw Data'!M85))=0),"",IF(AND(ISNUMBER('Raw Data'!M85), IFERROR('Raw Data'!M85 = ROUND('Raw Data'!M85, 2),FALSE)),"",_xlfn.REGEXEXTRACT(CELL("address",M85), "\$([A-Z]+)\$[0-9]+"))),_xlfn.REGEXEXTRACT(CELL("address",M85), "\$([A-Z]+)\$[0-9]+"))</f>
        <v/>
      </c>
      <c r="N85" s="7" t="str" cm="1">
        <f t="array" aca="1" ref="N85" ca="1">IFERROR(IF(OR('Raw Data'!N85="",LEN(TRIM('Raw Data'!N85))=0),"",IF(AND(ISNUMBER('Raw Data'!N85), IFERROR('Raw Data'!N85 = ROUND('Raw Data'!N85, 2),FALSE)),"",_xlfn.REGEXEXTRACT(CELL("address",N85), "\$([A-Z]+)\$[0-9]+"))),_xlfn.REGEXEXTRACT(CELL("address",N85), "\$([A-Z]+)\$[0-9]+"))</f>
        <v/>
      </c>
      <c r="O85" s="7" t="str" cm="1">
        <f t="array" aca="1" ref="O85" ca="1">IFERROR(IF(OR('Raw Data'!O85="",LEN(TRIM('Raw Data'!O85))=0),"",IF(AND(ISNUMBER('Raw Data'!O85), IFERROR('Raw Data'!O85 = ROUND('Raw Data'!O85, 2),FALSE)),"",_xlfn.REGEXEXTRACT(CELL("address",O85), "\$([A-Z]+)\$[0-9]+"))),_xlfn.REGEXEXTRACT(CELL("address",O85), "\$([A-Z]+)\$[0-9]+"))</f>
        <v/>
      </c>
      <c r="P85" s="7" t="str" cm="1">
        <f t="array" aca="1" ref="P85" ca="1">IFERROR(IF(OR('Raw Data'!P85="",LEN(TRIM('Raw Data'!P85))=0),"",IF(AND(ISNUMBER('Raw Data'!P85),'Raw Data'!P85&gt;=Configuration!$D$2),"",_xlfn.REGEXEXTRACT(CELL("address",'Raw Data'!P85),"\$([A-Z]+)\$[0-9]+"))),_xlfn.REGEXEXTRACT(CELL("address",P85), "\$([A-Z]+)\$[0-9]+"))</f>
        <v/>
      </c>
      <c r="Q85" s="7" t="str" cm="1">
        <f t="array" aca="1" ref="Q85" ca="1">IFERROR(IF(OR('Raw Data'!Q85="",LEN(TRIM('Raw Data'!Q85))=0),"",IF(AND(ISNUMBER('Raw Data'!Q85),'Raw Data'!Q85&gt;=Configuration!$D$2),"",_xlfn.REGEXEXTRACT(CELL("address",'Raw Data'!Q85),"\$([A-Z]+)\$[0-9]+"))),_xlfn.REGEXEXTRACT(CELL("address",Q85), "\$([A-Z]+)\$[0-9]+"))</f>
        <v/>
      </c>
      <c r="R85" s="7" t="str" cm="1">
        <f t="array" aca="1" ref="R85" ca="1">IFERROR(IF(OR('Raw Data'!R85="",LEN(TRIM('Raw Data'!R85))=0),"",IF(AND(ISNUMBER('Raw Data'!R85), IFERROR('Raw Data'!R85 = ROUND('Raw Data'!R85, 2),FALSE)),"",_xlfn.REGEXEXTRACT(CELL("address",R85), "\$([A-Z]+)\$[0-9]+"))),_xlfn.REGEXEXTRACT(CELL("address",R85), "\$([A-Z]+)\$[0-9]+"))</f>
        <v/>
      </c>
      <c r="S85" s="7" t="str" cm="1">
        <f t="array" aca="1" ref="S85" ca="1">IFERROR(IF(OR('Raw Data'!S85="",LEN(TRIM('Raw Data'!S85))=0),"",IF(AND(ISNUMBER('Raw Data'!S85), IFERROR('Raw Data'!S85 = ROUND('Raw Data'!S85, 2),FALSE)),"",_xlfn.REGEXEXTRACT(CELL("address",S85), "\$([A-Z]+)\$[0-9]+"))),_xlfn.REGEXEXTRACT(CELL("address",S85), "\$([A-Z]+)\$[0-9]+"))</f>
        <v/>
      </c>
      <c r="T85" s="7" t="str" cm="1">
        <f t="array" aca="1" ref="T85" ca="1">IFERROR(IF(OR('Raw Data'!T85="",LEN(TRIM('Raw Data'!T85))=0),"",IF(AND(ISNUMBER('Raw Data'!T85), IFERROR('Raw Data'!T85 = ROUND('Raw Data'!T85, 2),FALSE)),"",_xlfn.REGEXEXTRACT(CELL("address",T85), "\$([A-Z]+)\$[0-9]+"))),_xlfn.REGEXEXTRACT(CELL("address",T85), "\$([A-Z]+)\$[0-9]+"))</f>
        <v/>
      </c>
      <c r="U85" s="7" t="str" cm="1">
        <f t="array" aca="1" ref="U85" ca="1">IFERROR(IF(OR('Raw Data'!U85="",LEN(TRIM('Raw Data'!U85))=0),"",IF(AND(LEN('Raw Data'!U85) &lt;= 5,LEN('Raw Data'!U85)&gt; 0),"",_xlfn.REGEXEXTRACT(CELL("address",'Raw Data'!U85),"\$([A-Z]+)\$[0-9]+"))),_xlfn.REGEXEXTRACT(CELL("address",'Raw Data'!U85),"\$([A-Z]+)\$[0-9]+"))</f>
        <v/>
      </c>
      <c r="V85" s="7" t="str" cm="1">
        <f t="array" aca="1" ref="V85" ca="1">IFERROR(IF(OR('Raw Data'!V85="",LEN(TRIM('Raw Data'!V85))=0),"",IF(AND(ISNUMBER('Raw Data'!V85), IFERROR('Raw Data'!V85 = ROUND('Raw Data'!V85, 2),FALSE)),"",_xlfn.REGEXEXTRACT(CELL("address",V85), "\$([A-Z]+)\$[0-9]+"))),_xlfn.REGEXEXTRACT(CELL("address",V85), "\$([A-Z]+)\$[0-9]+"))</f>
        <v/>
      </c>
      <c r="W85" s="7" t="str" cm="1">
        <f t="array" aca="1" ref="W85" ca="1">IFERROR(IF(OR('Raw Data'!W85="",LEN(TRIM('Raw Data'!W85))=0),"",IF(AND(ISNUMBER('Raw Data'!W85), IFERROR('Raw Data'!W85 = ROUND('Raw Data'!W85, 2),FALSE)),"",_xlfn.REGEXEXTRACT(CELL("address",W85), "\$([A-Z]+)\$[0-9]+"))),_xlfn.REGEXEXTRACT(CELL("address",W85), "\$([A-Z]+)\$[0-9]+"))</f>
        <v/>
      </c>
      <c r="X85" s="7" t="str" cm="1">
        <f t="array" aca="1" ref="X85" ca="1">IFERROR(IF(OR('Raw Data'!X85="",LEN(TRIM('Raw Data'!X85))=0),"",IF(AND(ISNUMBER('Raw Data'!X85), IFERROR('Raw Data'!X85 = ROUND('Raw Data'!X85, 2),FALSE)),"",_xlfn.REGEXEXTRACT(CELL("address",X85), "\$([A-Z]+)\$[0-9]+"))),_xlfn.REGEXEXTRACT(CELL("address",X85), "\$([A-Z]+)\$[0-9]+"))</f>
        <v/>
      </c>
    </row>
    <row r="86" spans="2:24" x14ac:dyDescent="0.25">
      <c r="B86" s="7" t="str" cm="1">
        <f t="array" aca="1" ref="B86" ca="1">IFERROR(IF(OR('Raw Data'!B86="",LEN(TRIM('Raw Data'!B86))=0),"",IF(AND(LEN('Raw Data'!B86) &lt;= 50,LEN('Raw Data'!B86)&gt; 0),"",_xlfn.REGEXEXTRACT(CELL("address",'Raw Data'!B86),"\$([A-Z]+)\$[0-9]+"))),_xlfn.REGEXEXTRACT(CELL("address",'Raw Data'!B86),"\$([A-Z]+)\$[0-9]+"))</f>
        <v/>
      </c>
      <c r="C86" s="7" t="str" cm="1">
        <f t="array" aca="1" ref="C86" ca="1">IFERROR(IF(OR('Raw Data'!C86="",LEN(TRIM('Raw Data'!C86))=0),"",IF(AND(LEN('Raw Data'!C86) &lt;= 50,LEN('Raw Data'!C86)&gt; 0),"",_xlfn.REGEXEXTRACT(CELL("address",'Raw Data'!C86),"\$([A-Z]+)\$[0-9]+"))),_xlfn.REGEXEXTRACT(CELL("address",'Raw Data'!C86),"\$([A-Z]+)\$[0-9]+"))</f>
        <v/>
      </c>
      <c r="D86" s="7" t="str" cm="1">
        <f t="array" aca="1" ref="D86" ca="1">IFERROR(IF(OR('Raw Data'!D86="",LEN(TRIM('Raw Data'!D86))=0),"",IF(AND(LEN('Raw Data'!D86) &lt;= 255,LEN('Raw Data'!D86)&gt; 0),"",_xlfn.REGEXEXTRACT(CELL("address",'Raw Data'!D86),"\$([A-Z]+)\$[0-9]+"))),_xlfn.REGEXEXTRACT(CELL("address",'Raw Data'!D86),"\$([A-Z]+)\$[0-9]+"))</f>
        <v/>
      </c>
      <c r="E86" s="7" t="str" cm="1">
        <f t="array" aca="1" ref="E86" ca="1">IFERROR(IF(OR('Raw Data'!E86="",LEN(TRIM('Raw Data'!E86))=0),"",IF(AND(ISNUMBER('Raw Data'!E86),'Raw Data'!E86&gt;=Configuration!$D$2),"",_xlfn.REGEXEXTRACT(CELL("address",'Raw Data'!E86),"\$([A-Z]+)\$[0-9]+"))),_xlfn.REGEXEXTRACT(CELL("address",E86), "\$([A-Z]+)\$[0-9]+"))</f>
        <v/>
      </c>
      <c r="F86" s="7" t="str" cm="1">
        <f t="array" aca="1" ref="F86" ca="1">IFERROR(IF(OR('Raw Data'!F86="",LEN(TRIM('Raw Data'!F86))=0),"",IF(AND(LEN('Raw Data'!F86) &lt;= 20,LEN('Raw Data'!F86)&gt; 0),"",_xlfn.REGEXEXTRACT(CELL("address",'Raw Data'!F86),"\$([A-Z]+)\$[0-9]+"))),_xlfn.REGEXEXTRACT(CELL("address",'Raw Data'!F86),"\$([A-Z]+)\$[0-9]+"))</f>
        <v/>
      </c>
      <c r="G86" s="7" t="str" cm="1">
        <f t="array" aca="1" ref="G86" ca="1">IFERROR(IF(OR('Raw Data'!G86="",LEN(TRIM('Raw Data'!G86))=0),"",IF(AND(ISNUMBER('Raw Data'!G86), IFERROR('Raw Data'!G86 = ROUND('Raw Data'!G86, 2),FALSE)),"",_xlfn.REGEXEXTRACT(CELL("address",G86), "\$([A-Z]+)\$[0-9]+"))),_xlfn.REGEXEXTRACT(CELL("address",G86), "\$([A-Z]+)\$[0-9]+"))</f>
        <v/>
      </c>
      <c r="H86" s="7" t="str" cm="1">
        <f t="array" aca="1" ref="H86" ca="1">IFERROR(IF(OR('Raw Data'!H86="",LEN(TRIM('Raw Data'!H86))=0),"",IF(AND(ISNUMBER('Raw Data'!H86), IFERROR('Raw Data'!H86 = ROUND('Raw Data'!H86, 2),FALSE)),"",_xlfn.REGEXEXTRACT(CELL("address",H86), "\$([A-Z]+)\$[0-9]+"))),_xlfn.REGEXEXTRACT(CELL("address",H86), "\$([A-Z]+)\$[0-9]+"))</f>
        <v/>
      </c>
      <c r="I86" s="7" t="str" cm="1">
        <f t="array" aca="1" ref="I86" ca="1">IFERROR(IF(OR('Raw Data'!I86="",LEN(TRIM('Raw Data'!I86))=0),"",IF(AND(LEN('Raw Data'!I86) &lt;= 50,LEN('Raw Data'!I86)&gt; 0),"",_xlfn.REGEXEXTRACT(CELL("address",'Raw Data'!I86),"\$([A-Z]+)\$[0-9]+"))),_xlfn.REGEXEXTRACT(CELL("address",'Raw Data'!I86),"\$([A-Z]+)\$[0-9]+"))</f>
        <v/>
      </c>
      <c r="J86" s="7" t="str" cm="1">
        <f t="array" aca="1" ref="J86" ca="1">IFERROR(IF(OR('Raw Data'!J86="",LEN(TRIM('Raw Data'!J86))=0),"",IF(AND(ISNUMBER('Raw Data'!J86),'Raw Data'!J86&gt;=Configuration!$D$2),"",_xlfn.REGEXEXTRACT(CELL("address",'Raw Data'!J86),"\$([A-Z]+)\$[0-9]+"))),_xlfn.REGEXEXTRACT(CELL("address",J86), "\$([A-Z]+)\$[0-9]+"))</f>
        <v/>
      </c>
      <c r="K86" s="7" t="str" cm="1">
        <f t="array" aca="1" ref="K86" ca="1">IFERROR(IF(OR('Raw Data'!K86="",LEN(TRIM('Raw Data'!K86))=0),"",IF(AND(ISNUMBER('Raw Data'!K86), IFERROR('Raw Data'!K86 = ROUND('Raw Data'!K86, 2),FALSE)),"",_xlfn.REGEXEXTRACT(CELL("address",K86), "\$([A-Z]+)\$[0-9]+"))),_xlfn.REGEXEXTRACT(CELL("address",K86), "\$([A-Z]+)\$[0-9]+"))</f>
        <v/>
      </c>
      <c r="L86" s="7" t="str" cm="1">
        <f t="array" aca="1" ref="L86" ca="1">IFERROR(IF(OR('Raw Data'!L86="",LEN(TRIM('Raw Data'!L86))=0),"",IF(AND(ISNUMBER('Raw Data'!L86), IFERROR('Raw Data'!L86 = ROUND('Raw Data'!L86, 2),FALSE)),"",_xlfn.REGEXEXTRACT(CELL("address",L86), "\$([A-Z]+)\$[0-9]+"))),_xlfn.REGEXEXTRACT(CELL("address",L86), "\$([A-Z]+)\$[0-9]+"))</f>
        <v/>
      </c>
      <c r="M86" s="7" t="str" cm="1">
        <f t="array" aca="1" ref="M86" ca="1">IFERROR(IF(OR('Raw Data'!M86="",LEN(TRIM('Raw Data'!M86))=0),"",IF(AND(ISNUMBER('Raw Data'!M86), IFERROR('Raw Data'!M86 = ROUND('Raw Data'!M86, 2),FALSE)),"",_xlfn.REGEXEXTRACT(CELL("address",M86), "\$([A-Z]+)\$[0-9]+"))),_xlfn.REGEXEXTRACT(CELL("address",M86), "\$([A-Z]+)\$[0-9]+"))</f>
        <v/>
      </c>
      <c r="N86" s="7" t="str" cm="1">
        <f t="array" aca="1" ref="N86" ca="1">IFERROR(IF(OR('Raw Data'!N86="",LEN(TRIM('Raw Data'!N86))=0),"",IF(AND(ISNUMBER('Raw Data'!N86), IFERROR('Raw Data'!N86 = ROUND('Raw Data'!N86, 2),FALSE)),"",_xlfn.REGEXEXTRACT(CELL("address",N86), "\$([A-Z]+)\$[0-9]+"))),_xlfn.REGEXEXTRACT(CELL("address",N86), "\$([A-Z]+)\$[0-9]+"))</f>
        <v/>
      </c>
      <c r="O86" s="7" t="str" cm="1">
        <f t="array" aca="1" ref="O86" ca="1">IFERROR(IF(OR('Raw Data'!O86="",LEN(TRIM('Raw Data'!O86))=0),"",IF(AND(ISNUMBER('Raw Data'!O86), IFERROR('Raw Data'!O86 = ROUND('Raw Data'!O86, 2),FALSE)),"",_xlfn.REGEXEXTRACT(CELL("address",O86), "\$([A-Z]+)\$[0-9]+"))),_xlfn.REGEXEXTRACT(CELL("address",O86), "\$([A-Z]+)\$[0-9]+"))</f>
        <v/>
      </c>
      <c r="P86" s="7" t="str" cm="1">
        <f t="array" aca="1" ref="P86" ca="1">IFERROR(IF(OR('Raw Data'!P86="",LEN(TRIM('Raw Data'!P86))=0),"",IF(AND(ISNUMBER('Raw Data'!P86),'Raw Data'!P86&gt;=Configuration!$D$2),"",_xlfn.REGEXEXTRACT(CELL("address",'Raw Data'!P86),"\$([A-Z]+)\$[0-9]+"))),_xlfn.REGEXEXTRACT(CELL("address",P86), "\$([A-Z]+)\$[0-9]+"))</f>
        <v/>
      </c>
      <c r="Q86" s="7" t="str" cm="1">
        <f t="array" aca="1" ref="Q86" ca="1">IFERROR(IF(OR('Raw Data'!Q86="",LEN(TRIM('Raw Data'!Q86))=0),"",IF(AND(ISNUMBER('Raw Data'!Q86),'Raw Data'!Q86&gt;=Configuration!$D$2),"",_xlfn.REGEXEXTRACT(CELL("address",'Raw Data'!Q86),"\$([A-Z]+)\$[0-9]+"))),_xlfn.REGEXEXTRACT(CELL("address",Q86), "\$([A-Z]+)\$[0-9]+"))</f>
        <v/>
      </c>
      <c r="R86" s="7" t="str" cm="1">
        <f t="array" aca="1" ref="R86" ca="1">IFERROR(IF(OR('Raw Data'!R86="",LEN(TRIM('Raw Data'!R86))=0),"",IF(AND(ISNUMBER('Raw Data'!R86), IFERROR('Raw Data'!R86 = ROUND('Raw Data'!R86, 2),FALSE)),"",_xlfn.REGEXEXTRACT(CELL("address",R86), "\$([A-Z]+)\$[0-9]+"))),_xlfn.REGEXEXTRACT(CELL("address",R86), "\$([A-Z]+)\$[0-9]+"))</f>
        <v/>
      </c>
      <c r="S86" s="7" t="str" cm="1">
        <f t="array" aca="1" ref="S86" ca="1">IFERROR(IF(OR('Raw Data'!S86="",LEN(TRIM('Raw Data'!S86))=0),"",IF(AND(ISNUMBER('Raw Data'!S86), IFERROR('Raw Data'!S86 = ROUND('Raw Data'!S86, 2),FALSE)),"",_xlfn.REGEXEXTRACT(CELL("address",S86), "\$([A-Z]+)\$[0-9]+"))),_xlfn.REGEXEXTRACT(CELL("address",S86), "\$([A-Z]+)\$[0-9]+"))</f>
        <v/>
      </c>
      <c r="T86" s="7" t="str" cm="1">
        <f t="array" aca="1" ref="T86" ca="1">IFERROR(IF(OR('Raw Data'!T86="",LEN(TRIM('Raw Data'!T86))=0),"",IF(AND(ISNUMBER('Raw Data'!T86), IFERROR('Raw Data'!T86 = ROUND('Raw Data'!T86, 2),FALSE)),"",_xlfn.REGEXEXTRACT(CELL("address",T86), "\$([A-Z]+)\$[0-9]+"))),_xlfn.REGEXEXTRACT(CELL("address",T86), "\$([A-Z]+)\$[0-9]+"))</f>
        <v/>
      </c>
      <c r="U86" s="7" t="str" cm="1">
        <f t="array" aca="1" ref="U86" ca="1">IFERROR(IF(OR('Raw Data'!U86="",LEN(TRIM('Raw Data'!U86))=0),"",IF(AND(LEN('Raw Data'!U86) &lt;= 5,LEN('Raw Data'!U86)&gt; 0),"",_xlfn.REGEXEXTRACT(CELL("address",'Raw Data'!U86),"\$([A-Z]+)\$[0-9]+"))),_xlfn.REGEXEXTRACT(CELL("address",'Raw Data'!U86),"\$([A-Z]+)\$[0-9]+"))</f>
        <v/>
      </c>
      <c r="V86" s="7" t="str" cm="1">
        <f t="array" aca="1" ref="V86" ca="1">IFERROR(IF(OR('Raw Data'!V86="",LEN(TRIM('Raw Data'!V86))=0),"",IF(AND(ISNUMBER('Raw Data'!V86), IFERROR('Raw Data'!V86 = ROUND('Raw Data'!V86, 2),FALSE)),"",_xlfn.REGEXEXTRACT(CELL("address",V86), "\$([A-Z]+)\$[0-9]+"))),_xlfn.REGEXEXTRACT(CELL("address",V86), "\$([A-Z]+)\$[0-9]+"))</f>
        <v/>
      </c>
      <c r="W86" s="7" t="str" cm="1">
        <f t="array" aca="1" ref="W86" ca="1">IFERROR(IF(OR('Raw Data'!W86="",LEN(TRIM('Raw Data'!W86))=0),"",IF(AND(ISNUMBER('Raw Data'!W86), IFERROR('Raw Data'!W86 = ROUND('Raw Data'!W86, 2),FALSE)),"",_xlfn.REGEXEXTRACT(CELL("address",W86), "\$([A-Z]+)\$[0-9]+"))),_xlfn.REGEXEXTRACT(CELL("address",W86), "\$([A-Z]+)\$[0-9]+"))</f>
        <v/>
      </c>
      <c r="X86" s="7" t="str" cm="1">
        <f t="array" aca="1" ref="X86" ca="1">IFERROR(IF(OR('Raw Data'!X86="",LEN(TRIM('Raw Data'!X86))=0),"",IF(AND(ISNUMBER('Raw Data'!X86), IFERROR('Raw Data'!X86 = ROUND('Raw Data'!X86, 2),FALSE)),"",_xlfn.REGEXEXTRACT(CELL("address",X86), "\$([A-Z]+)\$[0-9]+"))),_xlfn.REGEXEXTRACT(CELL("address",X86), "\$([A-Z]+)\$[0-9]+"))</f>
        <v/>
      </c>
    </row>
    <row r="87" spans="2:24" x14ac:dyDescent="0.25">
      <c r="B87" s="7" t="str" cm="1">
        <f t="array" aca="1" ref="B87" ca="1">IFERROR(IF(OR('Raw Data'!B87="",LEN(TRIM('Raw Data'!B87))=0),"",IF(AND(LEN('Raw Data'!B87) &lt;= 50,LEN('Raw Data'!B87)&gt; 0),"",_xlfn.REGEXEXTRACT(CELL("address",'Raw Data'!B87),"\$([A-Z]+)\$[0-9]+"))),_xlfn.REGEXEXTRACT(CELL("address",'Raw Data'!B87),"\$([A-Z]+)\$[0-9]+"))</f>
        <v/>
      </c>
      <c r="C87" s="7" t="str" cm="1">
        <f t="array" aca="1" ref="C87" ca="1">IFERROR(IF(OR('Raw Data'!C87="",LEN(TRIM('Raw Data'!C87))=0),"",IF(AND(LEN('Raw Data'!C87) &lt;= 50,LEN('Raw Data'!C87)&gt; 0),"",_xlfn.REGEXEXTRACT(CELL("address",'Raw Data'!C87),"\$([A-Z]+)\$[0-9]+"))),_xlfn.REGEXEXTRACT(CELL("address",'Raw Data'!C87),"\$([A-Z]+)\$[0-9]+"))</f>
        <v/>
      </c>
      <c r="D87" s="7" t="str" cm="1">
        <f t="array" aca="1" ref="D87" ca="1">IFERROR(IF(OR('Raw Data'!D87="",LEN(TRIM('Raw Data'!D87))=0),"",IF(AND(LEN('Raw Data'!D87) &lt;= 255,LEN('Raw Data'!D87)&gt; 0),"",_xlfn.REGEXEXTRACT(CELL("address",'Raw Data'!D87),"\$([A-Z]+)\$[0-9]+"))),_xlfn.REGEXEXTRACT(CELL("address",'Raw Data'!D87),"\$([A-Z]+)\$[0-9]+"))</f>
        <v/>
      </c>
      <c r="E87" s="7" t="str" cm="1">
        <f t="array" aca="1" ref="E87" ca="1">IFERROR(IF(OR('Raw Data'!E87="",LEN(TRIM('Raw Data'!E87))=0),"",IF(AND(ISNUMBER('Raw Data'!E87),'Raw Data'!E87&gt;=Configuration!$D$2),"",_xlfn.REGEXEXTRACT(CELL("address",'Raw Data'!E87),"\$([A-Z]+)\$[0-9]+"))),_xlfn.REGEXEXTRACT(CELL("address",E87), "\$([A-Z]+)\$[0-9]+"))</f>
        <v/>
      </c>
      <c r="F87" s="7" t="str" cm="1">
        <f t="array" aca="1" ref="F87" ca="1">IFERROR(IF(OR('Raw Data'!F87="",LEN(TRIM('Raw Data'!F87))=0),"",IF(AND(LEN('Raw Data'!F87) &lt;= 20,LEN('Raw Data'!F87)&gt; 0),"",_xlfn.REGEXEXTRACT(CELL("address",'Raw Data'!F87),"\$([A-Z]+)\$[0-9]+"))),_xlfn.REGEXEXTRACT(CELL("address",'Raw Data'!F87),"\$([A-Z]+)\$[0-9]+"))</f>
        <v/>
      </c>
      <c r="G87" s="7" t="str" cm="1">
        <f t="array" aca="1" ref="G87" ca="1">IFERROR(IF(OR('Raw Data'!G87="",LEN(TRIM('Raw Data'!G87))=0),"",IF(AND(ISNUMBER('Raw Data'!G87), IFERROR('Raw Data'!G87 = ROUND('Raw Data'!G87, 2),FALSE)),"",_xlfn.REGEXEXTRACT(CELL("address",G87), "\$([A-Z]+)\$[0-9]+"))),_xlfn.REGEXEXTRACT(CELL("address",G87), "\$([A-Z]+)\$[0-9]+"))</f>
        <v/>
      </c>
      <c r="H87" s="7" t="str" cm="1">
        <f t="array" aca="1" ref="H87" ca="1">IFERROR(IF(OR('Raw Data'!H87="",LEN(TRIM('Raw Data'!H87))=0),"",IF(AND(ISNUMBER('Raw Data'!H87), IFERROR('Raw Data'!H87 = ROUND('Raw Data'!H87, 2),FALSE)),"",_xlfn.REGEXEXTRACT(CELL("address",H87), "\$([A-Z]+)\$[0-9]+"))),_xlfn.REGEXEXTRACT(CELL("address",H87), "\$([A-Z]+)\$[0-9]+"))</f>
        <v/>
      </c>
      <c r="I87" s="7" t="str" cm="1">
        <f t="array" aca="1" ref="I87" ca="1">IFERROR(IF(OR('Raw Data'!I87="",LEN(TRIM('Raw Data'!I87))=0),"",IF(AND(LEN('Raw Data'!I87) &lt;= 50,LEN('Raw Data'!I87)&gt; 0),"",_xlfn.REGEXEXTRACT(CELL("address",'Raw Data'!I87),"\$([A-Z]+)\$[0-9]+"))),_xlfn.REGEXEXTRACT(CELL("address",'Raw Data'!I87),"\$([A-Z]+)\$[0-9]+"))</f>
        <v/>
      </c>
      <c r="J87" s="7" t="str" cm="1">
        <f t="array" aca="1" ref="J87" ca="1">IFERROR(IF(OR('Raw Data'!J87="",LEN(TRIM('Raw Data'!J87))=0),"",IF(AND(ISNUMBER('Raw Data'!J87),'Raw Data'!J87&gt;=Configuration!$D$2),"",_xlfn.REGEXEXTRACT(CELL("address",'Raw Data'!J87),"\$([A-Z]+)\$[0-9]+"))),_xlfn.REGEXEXTRACT(CELL("address",J87), "\$([A-Z]+)\$[0-9]+"))</f>
        <v/>
      </c>
      <c r="K87" s="7" t="str" cm="1">
        <f t="array" aca="1" ref="K87" ca="1">IFERROR(IF(OR('Raw Data'!K87="",LEN(TRIM('Raw Data'!K87))=0),"",IF(AND(ISNUMBER('Raw Data'!K87), IFERROR('Raw Data'!K87 = ROUND('Raw Data'!K87, 2),FALSE)),"",_xlfn.REGEXEXTRACT(CELL("address",K87), "\$([A-Z]+)\$[0-9]+"))),_xlfn.REGEXEXTRACT(CELL("address",K87), "\$([A-Z]+)\$[0-9]+"))</f>
        <v/>
      </c>
      <c r="L87" s="7" t="str" cm="1">
        <f t="array" aca="1" ref="L87" ca="1">IFERROR(IF(OR('Raw Data'!L87="",LEN(TRIM('Raw Data'!L87))=0),"",IF(AND(ISNUMBER('Raw Data'!L87), IFERROR('Raw Data'!L87 = ROUND('Raw Data'!L87, 2),FALSE)),"",_xlfn.REGEXEXTRACT(CELL("address",L87), "\$([A-Z]+)\$[0-9]+"))),_xlfn.REGEXEXTRACT(CELL("address",L87), "\$([A-Z]+)\$[0-9]+"))</f>
        <v/>
      </c>
      <c r="M87" s="7" t="str" cm="1">
        <f t="array" aca="1" ref="M87" ca="1">IFERROR(IF(OR('Raw Data'!M87="",LEN(TRIM('Raw Data'!M87))=0),"",IF(AND(ISNUMBER('Raw Data'!M87), IFERROR('Raw Data'!M87 = ROUND('Raw Data'!M87, 2),FALSE)),"",_xlfn.REGEXEXTRACT(CELL("address",M87), "\$([A-Z]+)\$[0-9]+"))),_xlfn.REGEXEXTRACT(CELL("address",M87), "\$([A-Z]+)\$[0-9]+"))</f>
        <v/>
      </c>
      <c r="N87" s="7" t="str" cm="1">
        <f t="array" aca="1" ref="N87" ca="1">IFERROR(IF(OR('Raw Data'!N87="",LEN(TRIM('Raw Data'!N87))=0),"",IF(AND(ISNUMBER('Raw Data'!N87), IFERROR('Raw Data'!N87 = ROUND('Raw Data'!N87, 2),FALSE)),"",_xlfn.REGEXEXTRACT(CELL("address",N87), "\$([A-Z]+)\$[0-9]+"))),_xlfn.REGEXEXTRACT(CELL("address",N87), "\$([A-Z]+)\$[0-9]+"))</f>
        <v/>
      </c>
      <c r="O87" s="7" t="str" cm="1">
        <f t="array" aca="1" ref="O87" ca="1">IFERROR(IF(OR('Raw Data'!O87="",LEN(TRIM('Raw Data'!O87))=0),"",IF(AND(ISNUMBER('Raw Data'!O87), IFERROR('Raw Data'!O87 = ROUND('Raw Data'!O87, 2),FALSE)),"",_xlfn.REGEXEXTRACT(CELL("address",O87), "\$([A-Z]+)\$[0-9]+"))),_xlfn.REGEXEXTRACT(CELL("address",O87), "\$([A-Z]+)\$[0-9]+"))</f>
        <v/>
      </c>
      <c r="P87" s="7" t="str" cm="1">
        <f t="array" aca="1" ref="P87" ca="1">IFERROR(IF(OR('Raw Data'!P87="",LEN(TRIM('Raw Data'!P87))=0),"",IF(AND(ISNUMBER('Raw Data'!P87),'Raw Data'!P87&gt;=Configuration!$D$2),"",_xlfn.REGEXEXTRACT(CELL("address",'Raw Data'!P87),"\$([A-Z]+)\$[0-9]+"))),_xlfn.REGEXEXTRACT(CELL("address",P87), "\$([A-Z]+)\$[0-9]+"))</f>
        <v/>
      </c>
      <c r="Q87" s="7" t="str" cm="1">
        <f t="array" aca="1" ref="Q87" ca="1">IFERROR(IF(OR('Raw Data'!Q87="",LEN(TRIM('Raw Data'!Q87))=0),"",IF(AND(ISNUMBER('Raw Data'!Q87),'Raw Data'!Q87&gt;=Configuration!$D$2),"",_xlfn.REGEXEXTRACT(CELL("address",'Raw Data'!Q87),"\$([A-Z]+)\$[0-9]+"))),_xlfn.REGEXEXTRACT(CELL("address",Q87), "\$([A-Z]+)\$[0-9]+"))</f>
        <v/>
      </c>
      <c r="R87" s="7" t="str" cm="1">
        <f t="array" aca="1" ref="R87" ca="1">IFERROR(IF(OR('Raw Data'!R87="",LEN(TRIM('Raw Data'!R87))=0),"",IF(AND(ISNUMBER('Raw Data'!R87), IFERROR('Raw Data'!R87 = ROUND('Raw Data'!R87, 2),FALSE)),"",_xlfn.REGEXEXTRACT(CELL("address",R87), "\$([A-Z]+)\$[0-9]+"))),_xlfn.REGEXEXTRACT(CELL("address",R87), "\$([A-Z]+)\$[0-9]+"))</f>
        <v/>
      </c>
      <c r="S87" s="7" t="str" cm="1">
        <f t="array" aca="1" ref="S87" ca="1">IFERROR(IF(OR('Raw Data'!S87="",LEN(TRIM('Raw Data'!S87))=0),"",IF(AND(ISNUMBER('Raw Data'!S87), IFERROR('Raw Data'!S87 = ROUND('Raw Data'!S87, 2),FALSE)),"",_xlfn.REGEXEXTRACT(CELL("address",S87), "\$([A-Z]+)\$[0-9]+"))),_xlfn.REGEXEXTRACT(CELL("address",S87), "\$([A-Z]+)\$[0-9]+"))</f>
        <v/>
      </c>
      <c r="T87" s="7" t="str" cm="1">
        <f t="array" aca="1" ref="T87" ca="1">IFERROR(IF(OR('Raw Data'!T87="",LEN(TRIM('Raw Data'!T87))=0),"",IF(AND(ISNUMBER('Raw Data'!T87), IFERROR('Raw Data'!T87 = ROUND('Raw Data'!T87, 2),FALSE)),"",_xlfn.REGEXEXTRACT(CELL("address",T87), "\$([A-Z]+)\$[0-9]+"))),_xlfn.REGEXEXTRACT(CELL("address",T87), "\$([A-Z]+)\$[0-9]+"))</f>
        <v/>
      </c>
      <c r="U87" s="7" t="str" cm="1">
        <f t="array" aca="1" ref="U87" ca="1">IFERROR(IF(OR('Raw Data'!U87="",LEN(TRIM('Raw Data'!U87))=0),"",IF(AND(LEN('Raw Data'!U87) &lt;= 5,LEN('Raw Data'!U87)&gt; 0),"",_xlfn.REGEXEXTRACT(CELL("address",'Raw Data'!U87),"\$([A-Z]+)\$[0-9]+"))),_xlfn.REGEXEXTRACT(CELL("address",'Raw Data'!U87),"\$([A-Z]+)\$[0-9]+"))</f>
        <v/>
      </c>
      <c r="V87" s="7" t="str" cm="1">
        <f t="array" aca="1" ref="V87" ca="1">IFERROR(IF(OR('Raw Data'!V87="",LEN(TRIM('Raw Data'!V87))=0),"",IF(AND(ISNUMBER('Raw Data'!V87), IFERROR('Raw Data'!V87 = ROUND('Raw Data'!V87, 2),FALSE)),"",_xlfn.REGEXEXTRACT(CELL("address",V87), "\$([A-Z]+)\$[0-9]+"))),_xlfn.REGEXEXTRACT(CELL("address",V87), "\$([A-Z]+)\$[0-9]+"))</f>
        <v/>
      </c>
      <c r="W87" s="7" t="str" cm="1">
        <f t="array" aca="1" ref="W87" ca="1">IFERROR(IF(OR('Raw Data'!W87="",LEN(TRIM('Raw Data'!W87))=0),"",IF(AND(ISNUMBER('Raw Data'!W87), IFERROR('Raw Data'!W87 = ROUND('Raw Data'!W87, 2),FALSE)),"",_xlfn.REGEXEXTRACT(CELL("address",W87), "\$([A-Z]+)\$[0-9]+"))),_xlfn.REGEXEXTRACT(CELL("address",W87), "\$([A-Z]+)\$[0-9]+"))</f>
        <v/>
      </c>
      <c r="X87" s="7" t="str" cm="1">
        <f t="array" aca="1" ref="X87" ca="1">IFERROR(IF(OR('Raw Data'!X87="",LEN(TRIM('Raw Data'!X87))=0),"",IF(AND(ISNUMBER('Raw Data'!X87), IFERROR('Raw Data'!X87 = ROUND('Raw Data'!X87, 2),FALSE)),"",_xlfn.REGEXEXTRACT(CELL("address",X87), "\$([A-Z]+)\$[0-9]+"))),_xlfn.REGEXEXTRACT(CELL("address",X87), "\$([A-Z]+)\$[0-9]+"))</f>
        <v/>
      </c>
    </row>
    <row r="88" spans="2:24" x14ac:dyDescent="0.25">
      <c r="B88" s="7" t="str" cm="1">
        <f t="array" aca="1" ref="B88" ca="1">IFERROR(IF(OR('Raw Data'!B88="",LEN(TRIM('Raw Data'!B88))=0),"",IF(AND(LEN('Raw Data'!B88) &lt;= 50,LEN('Raw Data'!B88)&gt; 0),"",_xlfn.REGEXEXTRACT(CELL("address",'Raw Data'!B88),"\$([A-Z]+)\$[0-9]+"))),_xlfn.REGEXEXTRACT(CELL("address",'Raw Data'!B88),"\$([A-Z]+)\$[0-9]+"))</f>
        <v/>
      </c>
      <c r="C88" s="7" t="str" cm="1">
        <f t="array" aca="1" ref="C88" ca="1">IFERROR(IF(OR('Raw Data'!C88="",LEN(TRIM('Raw Data'!C88))=0),"",IF(AND(LEN('Raw Data'!C88) &lt;= 50,LEN('Raw Data'!C88)&gt; 0),"",_xlfn.REGEXEXTRACT(CELL("address",'Raw Data'!C88),"\$([A-Z]+)\$[0-9]+"))),_xlfn.REGEXEXTRACT(CELL("address",'Raw Data'!C88),"\$([A-Z]+)\$[0-9]+"))</f>
        <v/>
      </c>
      <c r="D88" s="7" t="str" cm="1">
        <f t="array" aca="1" ref="D88" ca="1">IFERROR(IF(OR('Raw Data'!D88="",LEN(TRIM('Raw Data'!D88))=0),"",IF(AND(LEN('Raw Data'!D88) &lt;= 255,LEN('Raw Data'!D88)&gt; 0),"",_xlfn.REGEXEXTRACT(CELL("address",'Raw Data'!D88),"\$([A-Z]+)\$[0-9]+"))),_xlfn.REGEXEXTRACT(CELL("address",'Raw Data'!D88),"\$([A-Z]+)\$[0-9]+"))</f>
        <v/>
      </c>
      <c r="E88" s="7" t="str" cm="1">
        <f t="array" aca="1" ref="E88" ca="1">IFERROR(IF(OR('Raw Data'!E88="",LEN(TRIM('Raw Data'!E88))=0),"",IF(AND(ISNUMBER('Raw Data'!E88),'Raw Data'!E88&gt;=Configuration!$D$2),"",_xlfn.REGEXEXTRACT(CELL("address",'Raw Data'!E88),"\$([A-Z]+)\$[0-9]+"))),_xlfn.REGEXEXTRACT(CELL("address",E88), "\$([A-Z]+)\$[0-9]+"))</f>
        <v/>
      </c>
      <c r="F88" s="7" t="str" cm="1">
        <f t="array" aca="1" ref="F88" ca="1">IFERROR(IF(OR('Raw Data'!F88="",LEN(TRIM('Raw Data'!F88))=0),"",IF(AND(LEN('Raw Data'!F88) &lt;= 20,LEN('Raw Data'!F88)&gt; 0),"",_xlfn.REGEXEXTRACT(CELL("address",'Raw Data'!F88),"\$([A-Z]+)\$[0-9]+"))),_xlfn.REGEXEXTRACT(CELL("address",'Raw Data'!F88),"\$([A-Z]+)\$[0-9]+"))</f>
        <v/>
      </c>
      <c r="G88" s="7" t="str" cm="1">
        <f t="array" aca="1" ref="G88" ca="1">IFERROR(IF(OR('Raw Data'!G88="",LEN(TRIM('Raw Data'!G88))=0),"",IF(AND(ISNUMBER('Raw Data'!G88), IFERROR('Raw Data'!G88 = ROUND('Raw Data'!G88, 2),FALSE)),"",_xlfn.REGEXEXTRACT(CELL("address",G88), "\$([A-Z]+)\$[0-9]+"))),_xlfn.REGEXEXTRACT(CELL("address",G88), "\$([A-Z]+)\$[0-9]+"))</f>
        <v/>
      </c>
      <c r="H88" s="7" t="str" cm="1">
        <f t="array" aca="1" ref="H88" ca="1">IFERROR(IF(OR('Raw Data'!H88="",LEN(TRIM('Raw Data'!H88))=0),"",IF(AND(ISNUMBER('Raw Data'!H88), IFERROR('Raw Data'!H88 = ROUND('Raw Data'!H88, 2),FALSE)),"",_xlfn.REGEXEXTRACT(CELL("address",H88), "\$([A-Z]+)\$[0-9]+"))),_xlfn.REGEXEXTRACT(CELL("address",H88), "\$([A-Z]+)\$[0-9]+"))</f>
        <v/>
      </c>
      <c r="I88" s="7" t="str" cm="1">
        <f t="array" aca="1" ref="I88" ca="1">IFERROR(IF(OR('Raw Data'!I88="",LEN(TRIM('Raw Data'!I88))=0),"",IF(AND(LEN('Raw Data'!I88) &lt;= 50,LEN('Raw Data'!I88)&gt; 0),"",_xlfn.REGEXEXTRACT(CELL("address",'Raw Data'!I88),"\$([A-Z]+)\$[0-9]+"))),_xlfn.REGEXEXTRACT(CELL("address",'Raw Data'!I88),"\$([A-Z]+)\$[0-9]+"))</f>
        <v/>
      </c>
      <c r="J88" s="7" t="str" cm="1">
        <f t="array" aca="1" ref="J88" ca="1">IFERROR(IF(OR('Raw Data'!J88="",LEN(TRIM('Raw Data'!J88))=0),"",IF(AND(ISNUMBER('Raw Data'!J88),'Raw Data'!J88&gt;=Configuration!$D$2),"",_xlfn.REGEXEXTRACT(CELL("address",'Raw Data'!J88),"\$([A-Z]+)\$[0-9]+"))),_xlfn.REGEXEXTRACT(CELL("address",J88), "\$([A-Z]+)\$[0-9]+"))</f>
        <v/>
      </c>
      <c r="K88" s="7" t="str" cm="1">
        <f t="array" aca="1" ref="K88" ca="1">IFERROR(IF(OR('Raw Data'!K88="",LEN(TRIM('Raw Data'!K88))=0),"",IF(AND(ISNUMBER('Raw Data'!K88), IFERROR('Raw Data'!K88 = ROUND('Raw Data'!K88, 2),FALSE)),"",_xlfn.REGEXEXTRACT(CELL("address",K88), "\$([A-Z]+)\$[0-9]+"))),_xlfn.REGEXEXTRACT(CELL("address",K88), "\$([A-Z]+)\$[0-9]+"))</f>
        <v/>
      </c>
      <c r="L88" s="7" t="str" cm="1">
        <f t="array" aca="1" ref="L88" ca="1">IFERROR(IF(OR('Raw Data'!L88="",LEN(TRIM('Raw Data'!L88))=0),"",IF(AND(ISNUMBER('Raw Data'!L88), IFERROR('Raw Data'!L88 = ROUND('Raw Data'!L88, 2),FALSE)),"",_xlfn.REGEXEXTRACT(CELL("address",L88), "\$([A-Z]+)\$[0-9]+"))),_xlfn.REGEXEXTRACT(CELL("address",L88), "\$([A-Z]+)\$[0-9]+"))</f>
        <v/>
      </c>
      <c r="M88" s="7" t="str" cm="1">
        <f t="array" aca="1" ref="M88" ca="1">IFERROR(IF(OR('Raw Data'!M88="",LEN(TRIM('Raw Data'!M88))=0),"",IF(AND(ISNUMBER('Raw Data'!M88), IFERROR('Raw Data'!M88 = ROUND('Raw Data'!M88, 2),FALSE)),"",_xlfn.REGEXEXTRACT(CELL("address",M88), "\$([A-Z]+)\$[0-9]+"))),_xlfn.REGEXEXTRACT(CELL("address",M88), "\$([A-Z]+)\$[0-9]+"))</f>
        <v/>
      </c>
      <c r="N88" s="7" t="str" cm="1">
        <f t="array" aca="1" ref="N88" ca="1">IFERROR(IF(OR('Raw Data'!N88="",LEN(TRIM('Raw Data'!N88))=0),"",IF(AND(ISNUMBER('Raw Data'!N88), IFERROR('Raw Data'!N88 = ROUND('Raw Data'!N88, 2),FALSE)),"",_xlfn.REGEXEXTRACT(CELL("address",N88), "\$([A-Z]+)\$[0-9]+"))),_xlfn.REGEXEXTRACT(CELL("address",N88), "\$([A-Z]+)\$[0-9]+"))</f>
        <v/>
      </c>
      <c r="O88" s="7" t="str" cm="1">
        <f t="array" aca="1" ref="O88" ca="1">IFERROR(IF(OR('Raw Data'!O88="",LEN(TRIM('Raw Data'!O88))=0),"",IF(AND(ISNUMBER('Raw Data'!O88), IFERROR('Raw Data'!O88 = ROUND('Raw Data'!O88, 2),FALSE)),"",_xlfn.REGEXEXTRACT(CELL("address",O88), "\$([A-Z]+)\$[0-9]+"))),_xlfn.REGEXEXTRACT(CELL("address",O88), "\$([A-Z]+)\$[0-9]+"))</f>
        <v/>
      </c>
      <c r="P88" s="7" t="str" cm="1">
        <f t="array" aca="1" ref="P88" ca="1">IFERROR(IF(OR('Raw Data'!P88="",LEN(TRIM('Raw Data'!P88))=0),"",IF(AND(ISNUMBER('Raw Data'!P88),'Raw Data'!P88&gt;=Configuration!$D$2),"",_xlfn.REGEXEXTRACT(CELL("address",'Raw Data'!P88),"\$([A-Z]+)\$[0-9]+"))),_xlfn.REGEXEXTRACT(CELL("address",P88), "\$([A-Z]+)\$[0-9]+"))</f>
        <v/>
      </c>
      <c r="Q88" s="7" t="str" cm="1">
        <f t="array" aca="1" ref="Q88" ca="1">IFERROR(IF(OR('Raw Data'!Q88="",LEN(TRIM('Raw Data'!Q88))=0),"",IF(AND(ISNUMBER('Raw Data'!Q88),'Raw Data'!Q88&gt;=Configuration!$D$2),"",_xlfn.REGEXEXTRACT(CELL("address",'Raw Data'!Q88),"\$([A-Z]+)\$[0-9]+"))),_xlfn.REGEXEXTRACT(CELL("address",Q88), "\$([A-Z]+)\$[0-9]+"))</f>
        <v/>
      </c>
      <c r="R88" s="7" t="str" cm="1">
        <f t="array" aca="1" ref="R88" ca="1">IFERROR(IF(OR('Raw Data'!R88="",LEN(TRIM('Raw Data'!R88))=0),"",IF(AND(ISNUMBER('Raw Data'!R88), IFERROR('Raw Data'!R88 = ROUND('Raw Data'!R88, 2),FALSE)),"",_xlfn.REGEXEXTRACT(CELL("address",R88), "\$([A-Z]+)\$[0-9]+"))),_xlfn.REGEXEXTRACT(CELL("address",R88), "\$([A-Z]+)\$[0-9]+"))</f>
        <v/>
      </c>
      <c r="S88" s="7" t="str" cm="1">
        <f t="array" aca="1" ref="S88" ca="1">IFERROR(IF(OR('Raw Data'!S88="",LEN(TRIM('Raw Data'!S88))=0),"",IF(AND(ISNUMBER('Raw Data'!S88), IFERROR('Raw Data'!S88 = ROUND('Raw Data'!S88, 2),FALSE)),"",_xlfn.REGEXEXTRACT(CELL("address",S88), "\$([A-Z]+)\$[0-9]+"))),_xlfn.REGEXEXTRACT(CELL("address",S88), "\$([A-Z]+)\$[0-9]+"))</f>
        <v/>
      </c>
      <c r="T88" s="7" t="str" cm="1">
        <f t="array" aca="1" ref="T88" ca="1">IFERROR(IF(OR('Raw Data'!T88="",LEN(TRIM('Raw Data'!T88))=0),"",IF(AND(ISNUMBER('Raw Data'!T88), IFERROR('Raw Data'!T88 = ROUND('Raw Data'!T88, 2),FALSE)),"",_xlfn.REGEXEXTRACT(CELL("address",T88), "\$([A-Z]+)\$[0-9]+"))),_xlfn.REGEXEXTRACT(CELL("address",T88), "\$([A-Z]+)\$[0-9]+"))</f>
        <v/>
      </c>
      <c r="U88" s="7" t="str" cm="1">
        <f t="array" aca="1" ref="U88" ca="1">IFERROR(IF(OR('Raw Data'!U88="",LEN(TRIM('Raw Data'!U88))=0),"",IF(AND(LEN('Raw Data'!U88) &lt;= 5,LEN('Raw Data'!U88)&gt; 0),"",_xlfn.REGEXEXTRACT(CELL("address",'Raw Data'!U88),"\$([A-Z]+)\$[0-9]+"))),_xlfn.REGEXEXTRACT(CELL("address",'Raw Data'!U88),"\$([A-Z]+)\$[0-9]+"))</f>
        <v/>
      </c>
      <c r="V88" s="7" t="str" cm="1">
        <f t="array" aca="1" ref="V88" ca="1">IFERROR(IF(OR('Raw Data'!V88="",LEN(TRIM('Raw Data'!V88))=0),"",IF(AND(ISNUMBER('Raw Data'!V88), IFERROR('Raw Data'!V88 = ROUND('Raw Data'!V88, 2),FALSE)),"",_xlfn.REGEXEXTRACT(CELL("address",V88), "\$([A-Z]+)\$[0-9]+"))),_xlfn.REGEXEXTRACT(CELL("address",V88), "\$([A-Z]+)\$[0-9]+"))</f>
        <v/>
      </c>
      <c r="W88" s="7" t="str" cm="1">
        <f t="array" aca="1" ref="W88" ca="1">IFERROR(IF(OR('Raw Data'!W88="",LEN(TRIM('Raw Data'!W88))=0),"",IF(AND(ISNUMBER('Raw Data'!W88), IFERROR('Raw Data'!W88 = ROUND('Raw Data'!W88, 2),FALSE)),"",_xlfn.REGEXEXTRACT(CELL("address",W88), "\$([A-Z]+)\$[0-9]+"))),_xlfn.REGEXEXTRACT(CELL("address",W88), "\$([A-Z]+)\$[0-9]+"))</f>
        <v/>
      </c>
      <c r="X88" s="7" t="str" cm="1">
        <f t="array" aca="1" ref="X88" ca="1">IFERROR(IF(OR('Raw Data'!X88="",LEN(TRIM('Raw Data'!X88))=0),"",IF(AND(ISNUMBER('Raw Data'!X88), IFERROR('Raw Data'!X88 = ROUND('Raw Data'!X88, 2),FALSE)),"",_xlfn.REGEXEXTRACT(CELL("address",X88), "\$([A-Z]+)\$[0-9]+"))),_xlfn.REGEXEXTRACT(CELL("address",X88), "\$([A-Z]+)\$[0-9]+"))</f>
        <v/>
      </c>
    </row>
    <row r="89" spans="2:24" x14ac:dyDescent="0.25">
      <c r="B89" s="7" t="str" cm="1">
        <f t="array" aca="1" ref="B89" ca="1">IFERROR(IF(OR('Raw Data'!B89="",LEN(TRIM('Raw Data'!B89))=0),"",IF(AND(LEN('Raw Data'!B89) &lt;= 50,LEN('Raw Data'!B89)&gt; 0),"",_xlfn.REGEXEXTRACT(CELL("address",'Raw Data'!B89),"\$([A-Z]+)\$[0-9]+"))),_xlfn.REGEXEXTRACT(CELL("address",'Raw Data'!B89),"\$([A-Z]+)\$[0-9]+"))</f>
        <v/>
      </c>
      <c r="C89" s="7" t="str" cm="1">
        <f t="array" aca="1" ref="C89" ca="1">IFERROR(IF(OR('Raw Data'!C89="",LEN(TRIM('Raw Data'!C89))=0),"",IF(AND(LEN('Raw Data'!C89) &lt;= 50,LEN('Raw Data'!C89)&gt; 0),"",_xlfn.REGEXEXTRACT(CELL("address",'Raw Data'!C89),"\$([A-Z]+)\$[0-9]+"))),_xlfn.REGEXEXTRACT(CELL("address",'Raw Data'!C89),"\$([A-Z]+)\$[0-9]+"))</f>
        <v/>
      </c>
      <c r="D89" s="7" t="str" cm="1">
        <f t="array" aca="1" ref="D89" ca="1">IFERROR(IF(OR('Raw Data'!D89="",LEN(TRIM('Raw Data'!D89))=0),"",IF(AND(LEN('Raw Data'!D89) &lt;= 255,LEN('Raw Data'!D89)&gt; 0),"",_xlfn.REGEXEXTRACT(CELL("address",'Raw Data'!D89),"\$([A-Z]+)\$[0-9]+"))),_xlfn.REGEXEXTRACT(CELL("address",'Raw Data'!D89),"\$([A-Z]+)\$[0-9]+"))</f>
        <v/>
      </c>
      <c r="E89" s="7" t="str" cm="1">
        <f t="array" aca="1" ref="E89" ca="1">IFERROR(IF(OR('Raw Data'!E89="",LEN(TRIM('Raw Data'!E89))=0),"",IF(AND(ISNUMBER('Raw Data'!E89),'Raw Data'!E89&gt;=Configuration!$D$2),"",_xlfn.REGEXEXTRACT(CELL("address",'Raw Data'!E89),"\$([A-Z]+)\$[0-9]+"))),_xlfn.REGEXEXTRACT(CELL("address",E89), "\$([A-Z]+)\$[0-9]+"))</f>
        <v/>
      </c>
      <c r="F89" s="7" t="str" cm="1">
        <f t="array" aca="1" ref="F89" ca="1">IFERROR(IF(OR('Raw Data'!F89="",LEN(TRIM('Raw Data'!F89))=0),"",IF(AND(LEN('Raw Data'!F89) &lt;= 20,LEN('Raw Data'!F89)&gt; 0),"",_xlfn.REGEXEXTRACT(CELL("address",'Raw Data'!F89),"\$([A-Z]+)\$[0-9]+"))),_xlfn.REGEXEXTRACT(CELL("address",'Raw Data'!F89),"\$([A-Z]+)\$[0-9]+"))</f>
        <v/>
      </c>
      <c r="G89" s="7" t="str" cm="1">
        <f t="array" aca="1" ref="G89" ca="1">IFERROR(IF(OR('Raw Data'!G89="",LEN(TRIM('Raw Data'!G89))=0),"",IF(AND(ISNUMBER('Raw Data'!G89), IFERROR('Raw Data'!G89 = ROUND('Raw Data'!G89, 2),FALSE)),"",_xlfn.REGEXEXTRACT(CELL("address",G89), "\$([A-Z]+)\$[0-9]+"))),_xlfn.REGEXEXTRACT(CELL("address",G89), "\$([A-Z]+)\$[0-9]+"))</f>
        <v/>
      </c>
      <c r="H89" s="7" t="str" cm="1">
        <f t="array" aca="1" ref="H89" ca="1">IFERROR(IF(OR('Raw Data'!H89="",LEN(TRIM('Raw Data'!H89))=0),"",IF(AND(ISNUMBER('Raw Data'!H89), IFERROR('Raw Data'!H89 = ROUND('Raw Data'!H89, 2),FALSE)),"",_xlfn.REGEXEXTRACT(CELL("address",H89), "\$([A-Z]+)\$[0-9]+"))),_xlfn.REGEXEXTRACT(CELL("address",H89), "\$([A-Z]+)\$[0-9]+"))</f>
        <v/>
      </c>
      <c r="I89" s="7" t="str" cm="1">
        <f t="array" aca="1" ref="I89" ca="1">IFERROR(IF(OR('Raw Data'!I89="",LEN(TRIM('Raw Data'!I89))=0),"",IF(AND(LEN('Raw Data'!I89) &lt;= 50,LEN('Raw Data'!I89)&gt; 0),"",_xlfn.REGEXEXTRACT(CELL("address",'Raw Data'!I89),"\$([A-Z]+)\$[0-9]+"))),_xlfn.REGEXEXTRACT(CELL("address",'Raw Data'!I89),"\$([A-Z]+)\$[0-9]+"))</f>
        <v/>
      </c>
      <c r="J89" s="7" t="str" cm="1">
        <f t="array" aca="1" ref="J89" ca="1">IFERROR(IF(OR('Raw Data'!J89="",LEN(TRIM('Raw Data'!J89))=0),"",IF(AND(ISNUMBER('Raw Data'!J89),'Raw Data'!J89&gt;=Configuration!$D$2),"",_xlfn.REGEXEXTRACT(CELL("address",'Raw Data'!J89),"\$([A-Z]+)\$[0-9]+"))),_xlfn.REGEXEXTRACT(CELL("address",J89), "\$([A-Z]+)\$[0-9]+"))</f>
        <v/>
      </c>
      <c r="K89" s="7" t="str" cm="1">
        <f t="array" aca="1" ref="K89" ca="1">IFERROR(IF(OR('Raw Data'!K89="",LEN(TRIM('Raw Data'!K89))=0),"",IF(AND(ISNUMBER('Raw Data'!K89), IFERROR('Raw Data'!K89 = ROUND('Raw Data'!K89, 2),FALSE)),"",_xlfn.REGEXEXTRACT(CELL("address",K89), "\$([A-Z]+)\$[0-9]+"))),_xlfn.REGEXEXTRACT(CELL("address",K89), "\$([A-Z]+)\$[0-9]+"))</f>
        <v/>
      </c>
      <c r="L89" s="7" t="str" cm="1">
        <f t="array" aca="1" ref="L89" ca="1">IFERROR(IF(OR('Raw Data'!L89="",LEN(TRIM('Raw Data'!L89))=0),"",IF(AND(ISNUMBER('Raw Data'!L89), IFERROR('Raw Data'!L89 = ROUND('Raw Data'!L89, 2),FALSE)),"",_xlfn.REGEXEXTRACT(CELL("address",L89), "\$([A-Z]+)\$[0-9]+"))),_xlfn.REGEXEXTRACT(CELL("address",L89), "\$([A-Z]+)\$[0-9]+"))</f>
        <v/>
      </c>
      <c r="M89" s="7" t="str" cm="1">
        <f t="array" aca="1" ref="M89" ca="1">IFERROR(IF(OR('Raw Data'!M89="",LEN(TRIM('Raw Data'!M89))=0),"",IF(AND(ISNUMBER('Raw Data'!M89), IFERROR('Raw Data'!M89 = ROUND('Raw Data'!M89, 2),FALSE)),"",_xlfn.REGEXEXTRACT(CELL("address",M89), "\$([A-Z]+)\$[0-9]+"))),_xlfn.REGEXEXTRACT(CELL("address",M89), "\$([A-Z]+)\$[0-9]+"))</f>
        <v/>
      </c>
      <c r="N89" s="7" t="str" cm="1">
        <f t="array" aca="1" ref="N89" ca="1">IFERROR(IF(OR('Raw Data'!N89="",LEN(TRIM('Raw Data'!N89))=0),"",IF(AND(ISNUMBER('Raw Data'!N89), IFERROR('Raw Data'!N89 = ROUND('Raw Data'!N89, 2),FALSE)),"",_xlfn.REGEXEXTRACT(CELL("address",N89), "\$([A-Z]+)\$[0-9]+"))),_xlfn.REGEXEXTRACT(CELL("address",N89), "\$([A-Z]+)\$[0-9]+"))</f>
        <v/>
      </c>
      <c r="O89" s="7" t="str" cm="1">
        <f t="array" aca="1" ref="O89" ca="1">IFERROR(IF(OR('Raw Data'!O89="",LEN(TRIM('Raw Data'!O89))=0),"",IF(AND(ISNUMBER('Raw Data'!O89), IFERROR('Raw Data'!O89 = ROUND('Raw Data'!O89, 2),FALSE)),"",_xlfn.REGEXEXTRACT(CELL("address",O89), "\$([A-Z]+)\$[0-9]+"))),_xlfn.REGEXEXTRACT(CELL("address",O89), "\$([A-Z]+)\$[0-9]+"))</f>
        <v/>
      </c>
      <c r="P89" s="7" t="str" cm="1">
        <f t="array" aca="1" ref="P89" ca="1">IFERROR(IF(OR('Raw Data'!P89="",LEN(TRIM('Raw Data'!P89))=0),"",IF(AND(ISNUMBER('Raw Data'!P89),'Raw Data'!P89&gt;=Configuration!$D$2),"",_xlfn.REGEXEXTRACT(CELL("address",'Raw Data'!P89),"\$([A-Z]+)\$[0-9]+"))),_xlfn.REGEXEXTRACT(CELL("address",P89), "\$([A-Z]+)\$[0-9]+"))</f>
        <v/>
      </c>
      <c r="Q89" s="7" t="str" cm="1">
        <f t="array" aca="1" ref="Q89" ca="1">IFERROR(IF(OR('Raw Data'!Q89="",LEN(TRIM('Raw Data'!Q89))=0),"",IF(AND(ISNUMBER('Raw Data'!Q89),'Raw Data'!Q89&gt;=Configuration!$D$2),"",_xlfn.REGEXEXTRACT(CELL("address",'Raw Data'!Q89),"\$([A-Z]+)\$[0-9]+"))),_xlfn.REGEXEXTRACT(CELL("address",Q89), "\$([A-Z]+)\$[0-9]+"))</f>
        <v/>
      </c>
      <c r="R89" s="7" t="str" cm="1">
        <f t="array" aca="1" ref="R89" ca="1">IFERROR(IF(OR('Raw Data'!R89="",LEN(TRIM('Raw Data'!R89))=0),"",IF(AND(ISNUMBER('Raw Data'!R89), IFERROR('Raw Data'!R89 = ROUND('Raw Data'!R89, 2),FALSE)),"",_xlfn.REGEXEXTRACT(CELL("address",R89), "\$([A-Z]+)\$[0-9]+"))),_xlfn.REGEXEXTRACT(CELL("address",R89), "\$([A-Z]+)\$[0-9]+"))</f>
        <v/>
      </c>
      <c r="S89" s="7" t="str" cm="1">
        <f t="array" aca="1" ref="S89" ca="1">IFERROR(IF(OR('Raw Data'!S89="",LEN(TRIM('Raw Data'!S89))=0),"",IF(AND(ISNUMBER('Raw Data'!S89), IFERROR('Raw Data'!S89 = ROUND('Raw Data'!S89, 2),FALSE)),"",_xlfn.REGEXEXTRACT(CELL("address",S89), "\$([A-Z]+)\$[0-9]+"))),_xlfn.REGEXEXTRACT(CELL("address",S89), "\$([A-Z]+)\$[0-9]+"))</f>
        <v/>
      </c>
      <c r="T89" s="7" t="str" cm="1">
        <f t="array" aca="1" ref="T89" ca="1">IFERROR(IF(OR('Raw Data'!T89="",LEN(TRIM('Raw Data'!T89))=0),"",IF(AND(ISNUMBER('Raw Data'!T89), IFERROR('Raw Data'!T89 = ROUND('Raw Data'!T89, 2),FALSE)),"",_xlfn.REGEXEXTRACT(CELL("address",T89), "\$([A-Z]+)\$[0-9]+"))),_xlfn.REGEXEXTRACT(CELL("address",T89), "\$([A-Z]+)\$[0-9]+"))</f>
        <v/>
      </c>
      <c r="U89" s="7" t="str" cm="1">
        <f t="array" aca="1" ref="U89" ca="1">IFERROR(IF(OR('Raw Data'!U89="",LEN(TRIM('Raw Data'!U89))=0),"",IF(AND(LEN('Raw Data'!U89) &lt;= 5,LEN('Raw Data'!U89)&gt; 0),"",_xlfn.REGEXEXTRACT(CELL("address",'Raw Data'!U89),"\$([A-Z]+)\$[0-9]+"))),_xlfn.REGEXEXTRACT(CELL("address",'Raw Data'!U89),"\$([A-Z]+)\$[0-9]+"))</f>
        <v/>
      </c>
      <c r="V89" s="7" t="str" cm="1">
        <f t="array" aca="1" ref="V89" ca="1">IFERROR(IF(OR('Raw Data'!V89="",LEN(TRIM('Raw Data'!V89))=0),"",IF(AND(ISNUMBER('Raw Data'!V89), IFERROR('Raw Data'!V89 = ROUND('Raw Data'!V89, 2),FALSE)),"",_xlfn.REGEXEXTRACT(CELL("address",V89), "\$([A-Z]+)\$[0-9]+"))),_xlfn.REGEXEXTRACT(CELL("address",V89), "\$([A-Z]+)\$[0-9]+"))</f>
        <v/>
      </c>
      <c r="W89" s="7" t="str" cm="1">
        <f t="array" aca="1" ref="W89" ca="1">IFERROR(IF(OR('Raw Data'!W89="",LEN(TRIM('Raw Data'!W89))=0),"",IF(AND(ISNUMBER('Raw Data'!W89), IFERROR('Raw Data'!W89 = ROUND('Raw Data'!W89, 2),FALSE)),"",_xlfn.REGEXEXTRACT(CELL("address",W89), "\$([A-Z]+)\$[0-9]+"))),_xlfn.REGEXEXTRACT(CELL("address",W89), "\$([A-Z]+)\$[0-9]+"))</f>
        <v/>
      </c>
      <c r="X89" s="7" t="str" cm="1">
        <f t="array" aca="1" ref="X89" ca="1">IFERROR(IF(OR('Raw Data'!X89="",LEN(TRIM('Raw Data'!X89))=0),"",IF(AND(ISNUMBER('Raw Data'!X89), IFERROR('Raw Data'!X89 = ROUND('Raw Data'!X89, 2),FALSE)),"",_xlfn.REGEXEXTRACT(CELL("address",X89), "\$([A-Z]+)\$[0-9]+"))),_xlfn.REGEXEXTRACT(CELL("address",X89), "\$([A-Z]+)\$[0-9]+"))</f>
        <v/>
      </c>
    </row>
    <row r="90" spans="2:24" x14ac:dyDescent="0.25">
      <c r="B90" s="7" t="str" cm="1">
        <f t="array" aca="1" ref="B90" ca="1">IFERROR(IF(OR('Raw Data'!B90="",LEN(TRIM('Raw Data'!B90))=0),"",IF(AND(LEN('Raw Data'!B90) &lt;= 50,LEN('Raw Data'!B90)&gt; 0),"",_xlfn.REGEXEXTRACT(CELL("address",'Raw Data'!B90),"\$([A-Z]+)\$[0-9]+"))),_xlfn.REGEXEXTRACT(CELL("address",'Raw Data'!B90),"\$([A-Z]+)\$[0-9]+"))</f>
        <v/>
      </c>
      <c r="C90" s="7" t="str" cm="1">
        <f t="array" aca="1" ref="C90" ca="1">IFERROR(IF(OR('Raw Data'!C90="",LEN(TRIM('Raw Data'!C90))=0),"",IF(AND(LEN('Raw Data'!C90) &lt;= 50,LEN('Raw Data'!C90)&gt; 0),"",_xlfn.REGEXEXTRACT(CELL("address",'Raw Data'!C90),"\$([A-Z]+)\$[0-9]+"))),_xlfn.REGEXEXTRACT(CELL("address",'Raw Data'!C90),"\$([A-Z]+)\$[0-9]+"))</f>
        <v/>
      </c>
      <c r="D90" s="7" t="str" cm="1">
        <f t="array" aca="1" ref="D90" ca="1">IFERROR(IF(OR('Raw Data'!D90="",LEN(TRIM('Raw Data'!D90))=0),"",IF(AND(LEN('Raw Data'!D90) &lt;= 255,LEN('Raw Data'!D90)&gt; 0),"",_xlfn.REGEXEXTRACT(CELL("address",'Raw Data'!D90),"\$([A-Z]+)\$[0-9]+"))),_xlfn.REGEXEXTRACT(CELL("address",'Raw Data'!D90),"\$([A-Z]+)\$[0-9]+"))</f>
        <v/>
      </c>
      <c r="E90" s="7" t="str" cm="1">
        <f t="array" aca="1" ref="E90" ca="1">IFERROR(IF(OR('Raw Data'!E90="",LEN(TRIM('Raw Data'!E90))=0),"",IF(AND(ISNUMBER('Raw Data'!E90),'Raw Data'!E90&gt;=Configuration!$D$2),"",_xlfn.REGEXEXTRACT(CELL("address",'Raw Data'!E90),"\$([A-Z]+)\$[0-9]+"))),_xlfn.REGEXEXTRACT(CELL("address",E90), "\$([A-Z]+)\$[0-9]+"))</f>
        <v/>
      </c>
      <c r="F90" s="7" t="str" cm="1">
        <f t="array" aca="1" ref="F90" ca="1">IFERROR(IF(OR('Raw Data'!F90="",LEN(TRIM('Raw Data'!F90))=0),"",IF(AND(LEN('Raw Data'!F90) &lt;= 20,LEN('Raw Data'!F90)&gt; 0),"",_xlfn.REGEXEXTRACT(CELL("address",'Raw Data'!F90),"\$([A-Z]+)\$[0-9]+"))),_xlfn.REGEXEXTRACT(CELL("address",'Raw Data'!F90),"\$([A-Z]+)\$[0-9]+"))</f>
        <v/>
      </c>
      <c r="G90" s="7" t="str" cm="1">
        <f t="array" aca="1" ref="G90" ca="1">IFERROR(IF(OR('Raw Data'!G90="",LEN(TRIM('Raw Data'!G90))=0),"",IF(AND(ISNUMBER('Raw Data'!G90), IFERROR('Raw Data'!G90 = ROUND('Raw Data'!G90, 2),FALSE)),"",_xlfn.REGEXEXTRACT(CELL("address",G90), "\$([A-Z]+)\$[0-9]+"))),_xlfn.REGEXEXTRACT(CELL("address",G90), "\$([A-Z]+)\$[0-9]+"))</f>
        <v/>
      </c>
      <c r="H90" s="7" t="str" cm="1">
        <f t="array" aca="1" ref="H90" ca="1">IFERROR(IF(OR('Raw Data'!H90="",LEN(TRIM('Raw Data'!H90))=0),"",IF(AND(ISNUMBER('Raw Data'!H90), IFERROR('Raw Data'!H90 = ROUND('Raw Data'!H90, 2),FALSE)),"",_xlfn.REGEXEXTRACT(CELL("address",H90), "\$([A-Z]+)\$[0-9]+"))),_xlfn.REGEXEXTRACT(CELL("address",H90), "\$([A-Z]+)\$[0-9]+"))</f>
        <v/>
      </c>
      <c r="I90" s="7" t="str" cm="1">
        <f t="array" aca="1" ref="I90" ca="1">IFERROR(IF(OR('Raw Data'!I90="",LEN(TRIM('Raw Data'!I90))=0),"",IF(AND(LEN('Raw Data'!I90) &lt;= 50,LEN('Raw Data'!I90)&gt; 0),"",_xlfn.REGEXEXTRACT(CELL("address",'Raw Data'!I90),"\$([A-Z]+)\$[0-9]+"))),_xlfn.REGEXEXTRACT(CELL("address",'Raw Data'!I90),"\$([A-Z]+)\$[0-9]+"))</f>
        <v/>
      </c>
      <c r="J90" s="7" t="str" cm="1">
        <f t="array" aca="1" ref="J90" ca="1">IFERROR(IF(OR('Raw Data'!J90="",LEN(TRIM('Raw Data'!J90))=0),"",IF(AND(ISNUMBER('Raw Data'!J90),'Raw Data'!J90&gt;=Configuration!$D$2),"",_xlfn.REGEXEXTRACT(CELL("address",'Raw Data'!J90),"\$([A-Z]+)\$[0-9]+"))),_xlfn.REGEXEXTRACT(CELL("address",J90), "\$([A-Z]+)\$[0-9]+"))</f>
        <v/>
      </c>
      <c r="K90" s="7" t="str" cm="1">
        <f t="array" aca="1" ref="K90" ca="1">IFERROR(IF(OR('Raw Data'!K90="",LEN(TRIM('Raw Data'!K90))=0),"",IF(AND(ISNUMBER('Raw Data'!K90), IFERROR('Raw Data'!K90 = ROUND('Raw Data'!K90, 2),FALSE)),"",_xlfn.REGEXEXTRACT(CELL("address",K90), "\$([A-Z]+)\$[0-9]+"))),_xlfn.REGEXEXTRACT(CELL("address",K90), "\$([A-Z]+)\$[0-9]+"))</f>
        <v/>
      </c>
      <c r="L90" s="7" t="str" cm="1">
        <f t="array" aca="1" ref="L90" ca="1">IFERROR(IF(OR('Raw Data'!L90="",LEN(TRIM('Raw Data'!L90))=0),"",IF(AND(ISNUMBER('Raw Data'!L90), IFERROR('Raw Data'!L90 = ROUND('Raw Data'!L90, 2),FALSE)),"",_xlfn.REGEXEXTRACT(CELL("address",L90), "\$([A-Z]+)\$[0-9]+"))),_xlfn.REGEXEXTRACT(CELL("address",L90), "\$([A-Z]+)\$[0-9]+"))</f>
        <v/>
      </c>
      <c r="M90" s="7" t="str" cm="1">
        <f t="array" aca="1" ref="M90" ca="1">IFERROR(IF(OR('Raw Data'!M90="",LEN(TRIM('Raw Data'!M90))=0),"",IF(AND(ISNUMBER('Raw Data'!M90), IFERROR('Raw Data'!M90 = ROUND('Raw Data'!M90, 2),FALSE)),"",_xlfn.REGEXEXTRACT(CELL("address",M90), "\$([A-Z]+)\$[0-9]+"))),_xlfn.REGEXEXTRACT(CELL("address",M90), "\$([A-Z]+)\$[0-9]+"))</f>
        <v/>
      </c>
      <c r="N90" s="7" t="str" cm="1">
        <f t="array" aca="1" ref="N90" ca="1">IFERROR(IF(OR('Raw Data'!N90="",LEN(TRIM('Raw Data'!N90))=0),"",IF(AND(ISNUMBER('Raw Data'!N90), IFERROR('Raw Data'!N90 = ROUND('Raw Data'!N90, 2),FALSE)),"",_xlfn.REGEXEXTRACT(CELL("address",N90), "\$([A-Z]+)\$[0-9]+"))),_xlfn.REGEXEXTRACT(CELL("address",N90), "\$([A-Z]+)\$[0-9]+"))</f>
        <v/>
      </c>
      <c r="O90" s="7" t="str" cm="1">
        <f t="array" aca="1" ref="O90" ca="1">IFERROR(IF(OR('Raw Data'!O90="",LEN(TRIM('Raw Data'!O90))=0),"",IF(AND(ISNUMBER('Raw Data'!O90), IFERROR('Raw Data'!O90 = ROUND('Raw Data'!O90, 2),FALSE)),"",_xlfn.REGEXEXTRACT(CELL("address",O90), "\$([A-Z]+)\$[0-9]+"))),_xlfn.REGEXEXTRACT(CELL("address",O90), "\$([A-Z]+)\$[0-9]+"))</f>
        <v/>
      </c>
      <c r="P90" s="7" t="str" cm="1">
        <f t="array" aca="1" ref="P90" ca="1">IFERROR(IF(OR('Raw Data'!P90="",LEN(TRIM('Raw Data'!P90))=0),"",IF(AND(ISNUMBER('Raw Data'!P90),'Raw Data'!P90&gt;=Configuration!$D$2),"",_xlfn.REGEXEXTRACT(CELL("address",'Raw Data'!P90),"\$([A-Z]+)\$[0-9]+"))),_xlfn.REGEXEXTRACT(CELL("address",P90), "\$([A-Z]+)\$[0-9]+"))</f>
        <v/>
      </c>
      <c r="Q90" s="7" t="str" cm="1">
        <f t="array" aca="1" ref="Q90" ca="1">IFERROR(IF(OR('Raw Data'!Q90="",LEN(TRIM('Raw Data'!Q90))=0),"",IF(AND(ISNUMBER('Raw Data'!Q90),'Raw Data'!Q90&gt;=Configuration!$D$2),"",_xlfn.REGEXEXTRACT(CELL("address",'Raw Data'!Q90),"\$([A-Z]+)\$[0-9]+"))),_xlfn.REGEXEXTRACT(CELL("address",Q90), "\$([A-Z]+)\$[0-9]+"))</f>
        <v/>
      </c>
      <c r="R90" s="7" t="str" cm="1">
        <f t="array" aca="1" ref="R90" ca="1">IFERROR(IF(OR('Raw Data'!R90="",LEN(TRIM('Raw Data'!R90))=0),"",IF(AND(ISNUMBER('Raw Data'!R90), IFERROR('Raw Data'!R90 = ROUND('Raw Data'!R90, 2),FALSE)),"",_xlfn.REGEXEXTRACT(CELL("address",R90), "\$([A-Z]+)\$[0-9]+"))),_xlfn.REGEXEXTRACT(CELL("address",R90), "\$([A-Z]+)\$[0-9]+"))</f>
        <v/>
      </c>
      <c r="S90" s="7" t="str" cm="1">
        <f t="array" aca="1" ref="S90" ca="1">IFERROR(IF(OR('Raw Data'!S90="",LEN(TRIM('Raw Data'!S90))=0),"",IF(AND(ISNUMBER('Raw Data'!S90), IFERROR('Raw Data'!S90 = ROUND('Raw Data'!S90, 2),FALSE)),"",_xlfn.REGEXEXTRACT(CELL("address",S90), "\$([A-Z]+)\$[0-9]+"))),_xlfn.REGEXEXTRACT(CELL("address",S90), "\$([A-Z]+)\$[0-9]+"))</f>
        <v/>
      </c>
      <c r="T90" s="7" t="str" cm="1">
        <f t="array" aca="1" ref="T90" ca="1">IFERROR(IF(OR('Raw Data'!T90="",LEN(TRIM('Raw Data'!T90))=0),"",IF(AND(ISNUMBER('Raw Data'!T90), IFERROR('Raw Data'!T90 = ROUND('Raw Data'!T90, 2),FALSE)),"",_xlfn.REGEXEXTRACT(CELL("address",T90), "\$([A-Z]+)\$[0-9]+"))),_xlfn.REGEXEXTRACT(CELL("address",T90), "\$([A-Z]+)\$[0-9]+"))</f>
        <v/>
      </c>
      <c r="U90" s="7" t="str" cm="1">
        <f t="array" aca="1" ref="U90" ca="1">IFERROR(IF(OR('Raw Data'!U90="",LEN(TRIM('Raw Data'!U90))=0),"",IF(AND(LEN('Raw Data'!U90) &lt;= 5,LEN('Raw Data'!U90)&gt; 0),"",_xlfn.REGEXEXTRACT(CELL("address",'Raw Data'!U90),"\$([A-Z]+)\$[0-9]+"))),_xlfn.REGEXEXTRACT(CELL("address",'Raw Data'!U90),"\$([A-Z]+)\$[0-9]+"))</f>
        <v/>
      </c>
      <c r="V90" s="7" t="str" cm="1">
        <f t="array" aca="1" ref="V90" ca="1">IFERROR(IF(OR('Raw Data'!V90="",LEN(TRIM('Raw Data'!V90))=0),"",IF(AND(ISNUMBER('Raw Data'!V90), IFERROR('Raw Data'!V90 = ROUND('Raw Data'!V90, 2),FALSE)),"",_xlfn.REGEXEXTRACT(CELL("address",V90), "\$([A-Z]+)\$[0-9]+"))),_xlfn.REGEXEXTRACT(CELL("address",V90), "\$([A-Z]+)\$[0-9]+"))</f>
        <v/>
      </c>
      <c r="W90" s="7" t="str" cm="1">
        <f t="array" aca="1" ref="W90" ca="1">IFERROR(IF(OR('Raw Data'!W90="",LEN(TRIM('Raw Data'!W90))=0),"",IF(AND(ISNUMBER('Raw Data'!W90), IFERROR('Raw Data'!W90 = ROUND('Raw Data'!W90, 2),FALSE)),"",_xlfn.REGEXEXTRACT(CELL("address",W90), "\$([A-Z]+)\$[0-9]+"))),_xlfn.REGEXEXTRACT(CELL("address",W90), "\$([A-Z]+)\$[0-9]+"))</f>
        <v/>
      </c>
      <c r="X90" s="7" t="str" cm="1">
        <f t="array" aca="1" ref="X90" ca="1">IFERROR(IF(OR('Raw Data'!X90="",LEN(TRIM('Raw Data'!X90))=0),"",IF(AND(ISNUMBER('Raw Data'!X90), IFERROR('Raw Data'!X90 = ROUND('Raw Data'!X90, 2),FALSE)),"",_xlfn.REGEXEXTRACT(CELL("address",X90), "\$([A-Z]+)\$[0-9]+"))),_xlfn.REGEXEXTRACT(CELL("address",X90), "\$([A-Z]+)\$[0-9]+"))</f>
        <v/>
      </c>
    </row>
    <row r="91" spans="2:24" x14ac:dyDescent="0.25">
      <c r="B91" s="7" t="str" cm="1">
        <f t="array" aca="1" ref="B91" ca="1">IFERROR(IF(OR('Raw Data'!B91="",LEN(TRIM('Raw Data'!B91))=0),"",IF(AND(LEN('Raw Data'!B91) &lt;= 50,LEN('Raw Data'!B91)&gt; 0),"",_xlfn.REGEXEXTRACT(CELL("address",'Raw Data'!B91),"\$([A-Z]+)\$[0-9]+"))),_xlfn.REGEXEXTRACT(CELL("address",'Raw Data'!B91),"\$([A-Z]+)\$[0-9]+"))</f>
        <v/>
      </c>
      <c r="C91" s="7" t="str" cm="1">
        <f t="array" aca="1" ref="C91" ca="1">IFERROR(IF(OR('Raw Data'!C91="",LEN(TRIM('Raw Data'!C91))=0),"",IF(AND(LEN('Raw Data'!C91) &lt;= 50,LEN('Raw Data'!C91)&gt; 0),"",_xlfn.REGEXEXTRACT(CELL("address",'Raw Data'!C91),"\$([A-Z]+)\$[0-9]+"))),_xlfn.REGEXEXTRACT(CELL("address",'Raw Data'!C91),"\$([A-Z]+)\$[0-9]+"))</f>
        <v/>
      </c>
      <c r="D91" s="7" t="str" cm="1">
        <f t="array" aca="1" ref="D91" ca="1">IFERROR(IF(OR('Raw Data'!D91="",LEN(TRIM('Raw Data'!D91))=0),"",IF(AND(LEN('Raw Data'!D91) &lt;= 255,LEN('Raw Data'!D91)&gt; 0),"",_xlfn.REGEXEXTRACT(CELL("address",'Raw Data'!D91),"\$([A-Z]+)\$[0-9]+"))),_xlfn.REGEXEXTRACT(CELL("address",'Raw Data'!D91),"\$([A-Z]+)\$[0-9]+"))</f>
        <v/>
      </c>
      <c r="E91" s="7" t="str" cm="1">
        <f t="array" aca="1" ref="E91" ca="1">IFERROR(IF(OR('Raw Data'!E91="",LEN(TRIM('Raw Data'!E91))=0),"",IF(AND(ISNUMBER('Raw Data'!E91),'Raw Data'!E91&gt;=Configuration!$D$2),"",_xlfn.REGEXEXTRACT(CELL("address",'Raw Data'!E91),"\$([A-Z]+)\$[0-9]+"))),_xlfn.REGEXEXTRACT(CELL("address",E91), "\$([A-Z]+)\$[0-9]+"))</f>
        <v/>
      </c>
      <c r="F91" s="7" t="str" cm="1">
        <f t="array" aca="1" ref="F91" ca="1">IFERROR(IF(OR('Raw Data'!F91="",LEN(TRIM('Raw Data'!F91))=0),"",IF(AND(LEN('Raw Data'!F91) &lt;= 20,LEN('Raw Data'!F91)&gt; 0),"",_xlfn.REGEXEXTRACT(CELL("address",'Raw Data'!F91),"\$([A-Z]+)\$[0-9]+"))),_xlfn.REGEXEXTRACT(CELL("address",'Raw Data'!F91),"\$([A-Z]+)\$[0-9]+"))</f>
        <v/>
      </c>
      <c r="G91" s="7" t="str" cm="1">
        <f t="array" aca="1" ref="G91" ca="1">IFERROR(IF(OR('Raw Data'!G91="",LEN(TRIM('Raw Data'!G91))=0),"",IF(AND(ISNUMBER('Raw Data'!G91), IFERROR('Raw Data'!G91 = ROUND('Raw Data'!G91, 2),FALSE)),"",_xlfn.REGEXEXTRACT(CELL("address",G91), "\$([A-Z]+)\$[0-9]+"))),_xlfn.REGEXEXTRACT(CELL("address",G91), "\$([A-Z]+)\$[0-9]+"))</f>
        <v/>
      </c>
      <c r="H91" s="7" t="str" cm="1">
        <f t="array" aca="1" ref="H91" ca="1">IFERROR(IF(OR('Raw Data'!H91="",LEN(TRIM('Raw Data'!H91))=0),"",IF(AND(ISNUMBER('Raw Data'!H91), IFERROR('Raw Data'!H91 = ROUND('Raw Data'!H91, 2),FALSE)),"",_xlfn.REGEXEXTRACT(CELL("address",H91), "\$([A-Z]+)\$[0-9]+"))),_xlfn.REGEXEXTRACT(CELL("address",H91), "\$([A-Z]+)\$[0-9]+"))</f>
        <v/>
      </c>
      <c r="I91" s="7" t="str" cm="1">
        <f t="array" aca="1" ref="I91" ca="1">IFERROR(IF(OR('Raw Data'!I91="",LEN(TRIM('Raw Data'!I91))=0),"",IF(AND(LEN('Raw Data'!I91) &lt;= 50,LEN('Raw Data'!I91)&gt; 0),"",_xlfn.REGEXEXTRACT(CELL("address",'Raw Data'!I91),"\$([A-Z]+)\$[0-9]+"))),_xlfn.REGEXEXTRACT(CELL("address",'Raw Data'!I91),"\$([A-Z]+)\$[0-9]+"))</f>
        <v/>
      </c>
      <c r="J91" s="7" t="str" cm="1">
        <f t="array" aca="1" ref="J91" ca="1">IFERROR(IF(OR('Raw Data'!J91="",LEN(TRIM('Raw Data'!J91))=0),"",IF(AND(ISNUMBER('Raw Data'!J91),'Raw Data'!J91&gt;=Configuration!$D$2),"",_xlfn.REGEXEXTRACT(CELL("address",'Raw Data'!J91),"\$([A-Z]+)\$[0-9]+"))),_xlfn.REGEXEXTRACT(CELL("address",J91), "\$([A-Z]+)\$[0-9]+"))</f>
        <v/>
      </c>
      <c r="K91" s="7" t="str" cm="1">
        <f t="array" aca="1" ref="K91" ca="1">IFERROR(IF(OR('Raw Data'!K91="",LEN(TRIM('Raw Data'!K91))=0),"",IF(AND(ISNUMBER('Raw Data'!K91), IFERROR('Raw Data'!K91 = ROUND('Raw Data'!K91, 2),FALSE)),"",_xlfn.REGEXEXTRACT(CELL("address",K91), "\$([A-Z]+)\$[0-9]+"))),_xlfn.REGEXEXTRACT(CELL("address",K91), "\$([A-Z]+)\$[0-9]+"))</f>
        <v/>
      </c>
      <c r="L91" s="7" t="str" cm="1">
        <f t="array" aca="1" ref="L91" ca="1">IFERROR(IF(OR('Raw Data'!L91="",LEN(TRIM('Raw Data'!L91))=0),"",IF(AND(ISNUMBER('Raw Data'!L91), IFERROR('Raw Data'!L91 = ROUND('Raw Data'!L91, 2),FALSE)),"",_xlfn.REGEXEXTRACT(CELL("address",L91), "\$([A-Z]+)\$[0-9]+"))),_xlfn.REGEXEXTRACT(CELL("address",L91), "\$([A-Z]+)\$[0-9]+"))</f>
        <v/>
      </c>
      <c r="M91" s="7" t="str" cm="1">
        <f t="array" aca="1" ref="M91" ca="1">IFERROR(IF(OR('Raw Data'!M91="",LEN(TRIM('Raw Data'!M91))=0),"",IF(AND(ISNUMBER('Raw Data'!M91), IFERROR('Raw Data'!M91 = ROUND('Raw Data'!M91, 2),FALSE)),"",_xlfn.REGEXEXTRACT(CELL("address",M91), "\$([A-Z]+)\$[0-9]+"))),_xlfn.REGEXEXTRACT(CELL("address",M91), "\$([A-Z]+)\$[0-9]+"))</f>
        <v/>
      </c>
      <c r="N91" s="7" t="str" cm="1">
        <f t="array" aca="1" ref="N91" ca="1">IFERROR(IF(OR('Raw Data'!N91="",LEN(TRIM('Raw Data'!N91))=0),"",IF(AND(ISNUMBER('Raw Data'!N91), IFERROR('Raw Data'!N91 = ROUND('Raw Data'!N91, 2),FALSE)),"",_xlfn.REGEXEXTRACT(CELL("address",N91), "\$([A-Z]+)\$[0-9]+"))),_xlfn.REGEXEXTRACT(CELL("address",N91), "\$([A-Z]+)\$[0-9]+"))</f>
        <v/>
      </c>
      <c r="O91" s="7" t="str" cm="1">
        <f t="array" aca="1" ref="O91" ca="1">IFERROR(IF(OR('Raw Data'!O91="",LEN(TRIM('Raw Data'!O91))=0),"",IF(AND(ISNUMBER('Raw Data'!O91), IFERROR('Raw Data'!O91 = ROUND('Raw Data'!O91, 2),FALSE)),"",_xlfn.REGEXEXTRACT(CELL("address",O91), "\$([A-Z]+)\$[0-9]+"))),_xlfn.REGEXEXTRACT(CELL("address",O91), "\$([A-Z]+)\$[0-9]+"))</f>
        <v/>
      </c>
      <c r="P91" s="7" t="str" cm="1">
        <f t="array" aca="1" ref="P91" ca="1">IFERROR(IF(OR('Raw Data'!P91="",LEN(TRIM('Raw Data'!P91))=0),"",IF(AND(ISNUMBER('Raw Data'!P91),'Raw Data'!P91&gt;=Configuration!$D$2),"",_xlfn.REGEXEXTRACT(CELL("address",'Raw Data'!P91),"\$([A-Z]+)\$[0-9]+"))),_xlfn.REGEXEXTRACT(CELL("address",P91), "\$([A-Z]+)\$[0-9]+"))</f>
        <v/>
      </c>
      <c r="Q91" s="7" t="str" cm="1">
        <f t="array" aca="1" ref="Q91" ca="1">IFERROR(IF(OR('Raw Data'!Q91="",LEN(TRIM('Raw Data'!Q91))=0),"",IF(AND(ISNUMBER('Raw Data'!Q91),'Raw Data'!Q91&gt;=Configuration!$D$2),"",_xlfn.REGEXEXTRACT(CELL("address",'Raw Data'!Q91),"\$([A-Z]+)\$[0-9]+"))),_xlfn.REGEXEXTRACT(CELL("address",Q91), "\$([A-Z]+)\$[0-9]+"))</f>
        <v/>
      </c>
      <c r="R91" s="7" t="str" cm="1">
        <f t="array" aca="1" ref="R91" ca="1">IFERROR(IF(OR('Raw Data'!R91="",LEN(TRIM('Raw Data'!R91))=0),"",IF(AND(ISNUMBER('Raw Data'!R91), IFERROR('Raw Data'!R91 = ROUND('Raw Data'!R91, 2),FALSE)),"",_xlfn.REGEXEXTRACT(CELL("address",R91), "\$([A-Z]+)\$[0-9]+"))),_xlfn.REGEXEXTRACT(CELL("address",R91), "\$([A-Z]+)\$[0-9]+"))</f>
        <v/>
      </c>
      <c r="S91" s="7" t="str" cm="1">
        <f t="array" aca="1" ref="S91" ca="1">IFERROR(IF(OR('Raw Data'!S91="",LEN(TRIM('Raw Data'!S91))=0),"",IF(AND(ISNUMBER('Raw Data'!S91), IFERROR('Raw Data'!S91 = ROUND('Raw Data'!S91, 2),FALSE)),"",_xlfn.REGEXEXTRACT(CELL("address",S91), "\$([A-Z]+)\$[0-9]+"))),_xlfn.REGEXEXTRACT(CELL("address",S91), "\$([A-Z]+)\$[0-9]+"))</f>
        <v/>
      </c>
      <c r="T91" s="7" t="str" cm="1">
        <f t="array" aca="1" ref="T91" ca="1">IFERROR(IF(OR('Raw Data'!T91="",LEN(TRIM('Raw Data'!T91))=0),"",IF(AND(ISNUMBER('Raw Data'!T91), IFERROR('Raw Data'!T91 = ROUND('Raw Data'!T91, 2),FALSE)),"",_xlfn.REGEXEXTRACT(CELL("address",T91), "\$([A-Z]+)\$[0-9]+"))),_xlfn.REGEXEXTRACT(CELL("address",T91), "\$([A-Z]+)\$[0-9]+"))</f>
        <v/>
      </c>
      <c r="U91" s="7" t="str" cm="1">
        <f t="array" aca="1" ref="U91" ca="1">IFERROR(IF(OR('Raw Data'!U91="",LEN(TRIM('Raw Data'!U91))=0),"",IF(AND(LEN('Raw Data'!U91) &lt;= 5,LEN('Raw Data'!U91)&gt; 0),"",_xlfn.REGEXEXTRACT(CELL("address",'Raw Data'!U91),"\$([A-Z]+)\$[0-9]+"))),_xlfn.REGEXEXTRACT(CELL("address",'Raw Data'!U91),"\$([A-Z]+)\$[0-9]+"))</f>
        <v/>
      </c>
      <c r="V91" s="7" t="str" cm="1">
        <f t="array" aca="1" ref="V91" ca="1">IFERROR(IF(OR('Raw Data'!V91="",LEN(TRIM('Raw Data'!V91))=0),"",IF(AND(ISNUMBER('Raw Data'!V91), IFERROR('Raw Data'!V91 = ROUND('Raw Data'!V91, 2),FALSE)),"",_xlfn.REGEXEXTRACT(CELL("address",V91), "\$([A-Z]+)\$[0-9]+"))),_xlfn.REGEXEXTRACT(CELL("address",V91), "\$([A-Z]+)\$[0-9]+"))</f>
        <v/>
      </c>
      <c r="W91" s="7" t="str" cm="1">
        <f t="array" aca="1" ref="W91" ca="1">IFERROR(IF(OR('Raw Data'!W91="",LEN(TRIM('Raw Data'!W91))=0),"",IF(AND(ISNUMBER('Raw Data'!W91), IFERROR('Raw Data'!W91 = ROUND('Raw Data'!W91, 2),FALSE)),"",_xlfn.REGEXEXTRACT(CELL("address",W91), "\$([A-Z]+)\$[0-9]+"))),_xlfn.REGEXEXTRACT(CELL("address",W91), "\$([A-Z]+)\$[0-9]+"))</f>
        <v/>
      </c>
      <c r="X91" s="7" t="str" cm="1">
        <f t="array" aca="1" ref="X91" ca="1">IFERROR(IF(OR('Raw Data'!X91="",LEN(TRIM('Raw Data'!X91))=0),"",IF(AND(ISNUMBER('Raw Data'!X91), IFERROR('Raw Data'!X91 = ROUND('Raw Data'!X91, 2),FALSE)),"",_xlfn.REGEXEXTRACT(CELL("address",X91), "\$([A-Z]+)\$[0-9]+"))),_xlfn.REGEXEXTRACT(CELL("address",X91), "\$([A-Z]+)\$[0-9]+"))</f>
        <v/>
      </c>
    </row>
    <row r="92" spans="2:24" x14ac:dyDescent="0.25">
      <c r="B92" s="7" t="str" cm="1">
        <f t="array" aca="1" ref="B92" ca="1">IFERROR(IF(OR('Raw Data'!B92="",LEN(TRIM('Raw Data'!B92))=0),"",IF(AND(LEN('Raw Data'!B92) &lt;= 50,LEN('Raw Data'!B92)&gt; 0),"",_xlfn.REGEXEXTRACT(CELL("address",'Raw Data'!B92),"\$([A-Z]+)\$[0-9]+"))),_xlfn.REGEXEXTRACT(CELL("address",'Raw Data'!B92),"\$([A-Z]+)\$[0-9]+"))</f>
        <v/>
      </c>
      <c r="C92" s="7" t="str" cm="1">
        <f t="array" aca="1" ref="C92" ca="1">IFERROR(IF(OR('Raw Data'!C92="",LEN(TRIM('Raw Data'!C92))=0),"",IF(AND(LEN('Raw Data'!C92) &lt;= 50,LEN('Raw Data'!C92)&gt; 0),"",_xlfn.REGEXEXTRACT(CELL("address",'Raw Data'!C92),"\$([A-Z]+)\$[0-9]+"))),_xlfn.REGEXEXTRACT(CELL("address",'Raw Data'!C92),"\$([A-Z]+)\$[0-9]+"))</f>
        <v/>
      </c>
      <c r="D92" s="7" t="str" cm="1">
        <f t="array" aca="1" ref="D92" ca="1">IFERROR(IF(OR('Raw Data'!D92="",LEN(TRIM('Raw Data'!D92))=0),"",IF(AND(LEN('Raw Data'!D92) &lt;= 255,LEN('Raw Data'!D92)&gt; 0),"",_xlfn.REGEXEXTRACT(CELL("address",'Raw Data'!D92),"\$([A-Z]+)\$[0-9]+"))),_xlfn.REGEXEXTRACT(CELL("address",'Raw Data'!D92),"\$([A-Z]+)\$[0-9]+"))</f>
        <v/>
      </c>
      <c r="E92" s="7" t="str" cm="1">
        <f t="array" aca="1" ref="E92" ca="1">IFERROR(IF(OR('Raw Data'!E92="",LEN(TRIM('Raw Data'!E92))=0),"",IF(AND(ISNUMBER('Raw Data'!E92),'Raw Data'!E92&gt;=Configuration!$D$2),"",_xlfn.REGEXEXTRACT(CELL("address",'Raw Data'!E92),"\$([A-Z]+)\$[0-9]+"))),_xlfn.REGEXEXTRACT(CELL("address",E92), "\$([A-Z]+)\$[0-9]+"))</f>
        <v/>
      </c>
      <c r="F92" s="7" t="str" cm="1">
        <f t="array" aca="1" ref="F92" ca="1">IFERROR(IF(OR('Raw Data'!F92="",LEN(TRIM('Raw Data'!F92))=0),"",IF(AND(LEN('Raw Data'!F92) &lt;= 20,LEN('Raw Data'!F92)&gt; 0),"",_xlfn.REGEXEXTRACT(CELL("address",'Raw Data'!F92),"\$([A-Z]+)\$[0-9]+"))),_xlfn.REGEXEXTRACT(CELL("address",'Raw Data'!F92),"\$([A-Z]+)\$[0-9]+"))</f>
        <v/>
      </c>
      <c r="G92" s="7" t="str" cm="1">
        <f t="array" aca="1" ref="G92" ca="1">IFERROR(IF(OR('Raw Data'!G92="",LEN(TRIM('Raw Data'!G92))=0),"",IF(AND(ISNUMBER('Raw Data'!G92), IFERROR('Raw Data'!G92 = ROUND('Raw Data'!G92, 2),FALSE)),"",_xlfn.REGEXEXTRACT(CELL("address",G92), "\$([A-Z]+)\$[0-9]+"))),_xlfn.REGEXEXTRACT(CELL("address",G92), "\$([A-Z]+)\$[0-9]+"))</f>
        <v/>
      </c>
      <c r="H92" s="7" t="str" cm="1">
        <f t="array" aca="1" ref="H92" ca="1">IFERROR(IF(OR('Raw Data'!H92="",LEN(TRIM('Raw Data'!H92))=0),"",IF(AND(ISNUMBER('Raw Data'!H92), IFERROR('Raw Data'!H92 = ROUND('Raw Data'!H92, 2),FALSE)),"",_xlfn.REGEXEXTRACT(CELL("address",H92), "\$([A-Z]+)\$[0-9]+"))),_xlfn.REGEXEXTRACT(CELL("address",H92), "\$([A-Z]+)\$[0-9]+"))</f>
        <v/>
      </c>
      <c r="I92" s="7" t="str" cm="1">
        <f t="array" aca="1" ref="I92" ca="1">IFERROR(IF(OR('Raw Data'!I92="",LEN(TRIM('Raw Data'!I92))=0),"",IF(AND(LEN('Raw Data'!I92) &lt;= 50,LEN('Raw Data'!I92)&gt; 0),"",_xlfn.REGEXEXTRACT(CELL("address",'Raw Data'!I92),"\$([A-Z]+)\$[0-9]+"))),_xlfn.REGEXEXTRACT(CELL("address",'Raw Data'!I92),"\$([A-Z]+)\$[0-9]+"))</f>
        <v/>
      </c>
      <c r="J92" s="7" t="str" cm="1">
        <f t="array" aca="1" ref="J92" ca="1">IFERROR(IF(OR('Raw Data'!J92="",LEN(TRIM('Raw Data'!J92))=0),"",IF(AND(ISNUMBER('Raw Data'!J92),'Raw Data'!J92&gt;=Configuration!$D$2),"",_xlfn.REGEXEXTRACT(CELL("address",'Raw Data'!J92),"\$([A-Z]+)\$[0-9]+"))),_xlfn.REGEXEXTRACT(CELL("address",J92), "\$([A-Z]+)\$[0-9]+"))</f>
        <v/>
      </c>
      <c r="K92" s="7" t="str" cm="1">
        <f t="array" aca="1" ref="K92" ca="1">IFERROR(IF(OR('Raw Data'!K92="",LEN(TRIM('Raw Data'!K92))=0),"",IF(AND(ISNUMBER('Raw Data'!K92), IFERROR('Raw Data'!K92 = ROUND('Raw Data'!K92, 2),FALSE)),"",_xlfn.REGEXEXTRACT(CELL("address",K92), "\$([A-Z]+)\$[0-9]+"))),_xlfn.REGEXEXTRACT(CELL("address",K92), "\$([A-Z]+)\$[0-9]+"))</f>
        <v/>
      </c>
      <c r="L92" s="7" t="str" cm="1">
        <f t="array" aca="1" ref="L92" ca="1">IFERROR(IF(OR('Raw Data'!L92="",LEN(TRIM('Raw Data'!L92))=0),"",IF(AND(ISNUMBER('Raw Data'!L92), IFERROR('Raw Data'!L92 = ROUND('Raw Data'!L92, 2),FALSE)),"",_xlfn.REGEXEXTRACT(CELL("address",L92), "\$([A-Z]+)\$[0-9]+"))),_xlfn.REGEXEXTRACT(CELL("address",L92), "\$([A-Z]+)\$[0-9]+"))</f>
        <v/>
      </c>
      <c r="M92" s="7" t="str" cm="1">
        <f t="array" aca="1" ref="M92" ca="1">IFERROR(IF(OR('Raw Data'!M92="",LEN(TRIM('Raw Data'!M92))=0),"",IF(AND(ISNUMBER('Raw Data'!M92), IFERROR('Raw Data'!M92 = ROUND('Raw Data'!M92, 2),FALSE)),"",_xlfn.REGEXEXTRACT(CELL("address",M92), "\$([A-Z]+)\$[0-9]+"))),_xlfn.REGEXEXTRACT(CELL("address",M92), "\$([A-Z]+)\$[0-9]+"))</f>
        <v/>
      </c>
      <c r="N92" s="7" t="str" cm="1">
        <f t="array" aca="1" ref="N92" ca="1">IFERROR(IF(OR('Raw Data'!N92="",LEN(TRIM('Raw Data'!N92))=0),"",IF(AND(ISNUMBER('Raw Data'!N92), IFERROR('Raw Data'!N92 = ROUND('Raw Data'!N92, 2),FALSE)),"",_xlfn.REGEXEXTRACT(CELL("address",N92), "\$([A-Z]+)\$[0-9]+"))),_xlfn.REGEXEXTRACT(CELL("address",N92), "\$([A-Z]+)\$[0-9]+"))</f>
        <v/>
      </c>
      <c r="O92" s="7" t="str" cm="1">
        <f t="array" aca="1" ref="O92" ca="1">IFERROR(IF(OR('Raw Data'!O92="",LEN(TRIM('Raw Data'!O92))=0),"",IF(AND(ISNUMBER('Raw Data'!O92), IFERROR('Raw Data'!O92 = ROUND('Raw Data'!O92, 2),FALSE)),"",_xlfn.REGEXEXTRACT(CELL("address",O92), "\$([A-Z]+)\$[0-9]+"))),_xlfn.REGEXEXTRACT(CELL("address",O92), "\$([A-Z]+)\$[0-9]+"))</f>
        <v/>
      </c>
      <c r="P92" s="7" t="str" cm="1">
        <f t="array" aca="1" ref="P92" ca="1">IFERROR(IF(OR('Raw Data'!P92="",LEN(TRIM('Raw Data'!P92))=0),"",IF(AND(ISNUMBER('Raw Data'!P92),'Raw Data'!P92&gt;=Configuration!$D$2),"",_xlfn.REGEXEXTRACT(CELL("address",'Raw Data'!P92),"\$([A-Z]+)\$[0-9]+"))),_xlfn.REGEXEXTRACT(CELL("address",P92), "\$([A-Z]+)\$[0-9]+"))</f>
        <v/>
      </c>
      <c r="Q92" s="7" t="str" cm="1">
        <f t="array" aca="1" ref="Q92" ca="1">IFERROR(IF(OR('Raw Data'!Q92="",LEN(TRIM('Raw Data'!Q92))=0),"",IF(AND(ISNUMBER('Raw Data'!Q92),'Raw Data'!Q92&gt;=Configuration!$D$2),"",_xlfn.REGEXEXTRACT(CELL("address",'Raw Data'!Q92),"\$([A-Z]+)\$[0-9]+"))),_xlfn.REGEXEXTRACT(CELL("address",Q92), "\$([A-Z]+)\$[0-9]+"))</f>
        <v/>
      </c>
      <c r="R92" s="7" t="str" cm="1">
        <f t="array" aca="1" ref="R92" ca="1">IFERROR(IF(OR('Raw Data'!R92="",LEN(TRIM('Raw Data'!R92))=0),"",IF(AND(ISNUMBER('Raw Data'!R92), IFERROR('Raw Data'!R92 = ROUND('Raw Data'!R92, 2),FALSE)),"",_xlfn.REGEXEXTRACT(CELL("address",R92), "\$([A-Z]+)\$[0-9]+"))),_xlfn.REGEXEXTRACT(CELL("address",R92), "\$([A-Z]+)\$[0-9]+"))</f>
        <v/>
      </c>
      <c r="S92" s="7" t="str" cm="1">
        <f t="array" aca="1" ref="S92" ca="1">IFERROR(IF(OR('Raw Data'!S92="",LEN(TRIM('Raw Data'!S92))=0),"",IF(AND(ISNUMBER('Raw Data'!S92), IFERROR('Raw Data'!S92 = ROUND('Raw Data'!S92, 2),FALSE)),"",_xlfn.REGEXEXTRACT(CELL("address",S92), "\$([A-Z]+)\$[0-9]+"))),_xlfn.REGEXEXTRACT(CELL("address",S92), "\$([A-Z]+)\$[0-9]+"))</f>
        <v/>
      </c>
      <c r="T92" s="7" t="str" cm="1">
        <f t="array" aca="1" ref="T92" ca="1">IFERROR(IF(OR('Raw Data'!T92="",LEN(TRIM('Raw Data'!T92))=0),"",IF(AND(ISNUMBER('Raw Data'!T92), IFERROR('Raw Data'!T92 = ROUND('Raw Data'!T92, 2),FALSE)),"",_xlfn.REGEXEXTRACT(CELL("address",T92), "\$([A-Z]+)\$[0-9]+"))),_xlfn.REGEXEXTRACT(CELL("address",T92), "\$([A-Z]+)\$[0-9]+"))</f>
        <v/>
      </c>
      <c r="U92" s="7" t="str" cm="1">
        <f t="array" aca="1" ref="U92" ca="1">IFERROR(IF(OR('Raw Data'!U92="",LEN(TRIM('Raw Data'!U92))=0),"",IF(AND(LEN('Raw Data'!U92) &lt;= 5,LEN('Raw Data'!U92)&gt; 0),"",_xlfn.REGEXEXTRACT(CELL("address",'Raw Data'!U92),"\$([A-Z]+)\$[0-9]+"))),_xlfn.REGEXEXTRACT(CELL("address",'Raw Data'!U92),"\$([A-Z]+)\$[0-9]+"))</f>
        <v/>
      </c>
      <c r="V92" s="7" t="str" cm="1">
        <f t="array" aca="1" ref="V92" ca="1">IFERROR(IF(OR('Raw Data'!V92="",LEN(TRIM('Raw Data'!V92))=0),"",IF(AND(ISNUMBER('Raw Data'!V92), IFERROR('Raw Data'!V92 = ROUND('Raw Data'!V92, 2),FALSE)),"",_xlfn.REGEXEXTRACT(CELL("address",V92), "\$([A-Z]+)\$[0-9]+"))),_xlfn.REGEXEXTRACT(CELL("address",V92), "\$([A-Z]+)\$[0-9]+"))</f>
        <v/>
      </c>
      <c r="W92" s="7" t="str" cm="1">
        <f t="array" aca="1" ref="W92" ca="1">IFERROR(IF(OR('Raw Data'!W92="",LEN(TRIM('Raw Data'!W92))=0),"",IF(AND(ISNUMBER('Raw Data'!W92), IFERROR('Raw Data'!W92 = ROUND('Raw Data'!W92, 2),FALSE)),"",_xlfn.REGEXEXTRACT(CELL("address",W92), "\$([A-Z]+)\$[0-9]+"))),_xlfn.REGEXEXTRACT(CELL("address",W92), "\$([A-Z]+)\$[0-9]+"))</f>
        <v/>
      </c>
      <c r="X92" s="7" t="str" cm="1">
        <f t="array" aca="1" ref="X92" ca="1">IFERROR(IF(OR('Raw Data'!X92="",LEN(TRIM('Raw Data'!X92))=0),"",IF(AND(ISNUMBER('Raw Data'!X92), IFERROR('Raw Data'!X92 = ROUND('Raw Data'!X92, 2),FALSE)),"",_xlfn.REGEXEXTRACT(CELL("address",X92), "\$([A-Z]+)\$[0-9]+"))),_xlfn.REGEXEXTRACT(CELL("address",X92), "\$([A-Z]+)\$[0-9]+"))</f>
        <v/>
      </c>
    </row>
    <row r="93" spans="2:24" x14ac:dyDescent="0.25">
      <c r="B93" s="7" t="str" cm="1">
        <f t="array" aca="1" ref="B93" ca="1">IFERROR(IF(OR('Raw Data'!B93="",LEN(TRIM('Raw Data'!B93))=0),"",IF(AND(LEN('Raw Data'!B93) &lt;= 50,LEN('Raw Data'!B93)&gt; 0),"",_xlfn.REGEXEXTRACT(CELL("address",'Raw Data'!B93),"\$([A-Z]+)\$[0-9]+"))),_xlfn.REGEXEXTRACT(CELL("address",'Raw Data'!B93),"\$([A-Z]+)\$[0-9]+"))</f>
        <v/>
      </c>
      <c r="C93" s="7" t="str" cm="1">
        <f t="array" aca="1" ref="C93" ca="1">IFERROR(IF(OR('Raw Data'!C93="",LEN(TRIM('Raw Data'!C93))=0),"",IF(AND(LEN('Raw Data'!C93) &lt;= 50,LEN('Raw Data'!C93)&gt; 0),"",_xlfn.REGEXEXTRACT(CELL("address",'Raw Data'!C93),"\$([A-Z]+)\$[0-9]+"))),_xlfn.REGEXEXTRACT(CELL("address",'Raw Data'!C93),"\$([A-Z]+)\$[0-9]+"))</f>
        <v/>
      </c>
      <c r="D93" s="7" t="str" cm="1">
        <f t="array" aca="1" ref="D93" ca="1">IFERROR(IF(OR('Raw Data'!D93="",LEN(TRIM('Raw Data'!D93))=0),"",IF(AND(LEN('Raw Data'!D93) &lt;= 255,LEN('Raw Data'!D93)&gt; 0),"",_xlfn.REGEXEXTRACT(CELL("address",'Raw Data'!D93),"\$([A-Z]+)\$[0-9]+"))),_xlfn.REGEXEXTRACT(CELL("address",'Raw Data'!D93),"\$([A-Z]+)\$[0-9]+"))</f>
        <v/>
      </c>
      <c r="E93" s="7" t="str" cm="1">
        <f t="array" aca="1" ref="E93" ca="1">IFERROR(IF(OR('Raw Data'!E93="",LEN(TRIM('Raw Data'!E93))=0),"",IF(AND(ISNUMBER('Raw Data'!E93),'Raw Data'!E93&gt;=Configuration!$D$2),"",_xlfn.REGEXEXTRACT(CELL("address",'Raw Data'!E93),"\$([A-Z]+)\$[0-9]+"))),_xlfn.REGEXEXTRACT(CELL("address",E93), "\$([A-Z]+)\$[0-9]+"))</f>
        <v/>
      </c>
      <c r="F93" s="7" t="str" cm="1">
        <f t="array" aca="1" ref="F93" ca="1">IFERROR(IF(OR('Raw Data'!F93="",LEN(TRIM('Raw Data'!F93))=0),"",IF(AND(LEN('Raw Data'!F93) &lt;= 20,LEN('Raw Data'!F93)&gt; 0),"",_xlfn.REGEXEXTRACT(CELL("address",'Raw Data'!F93),"\$([A-Z]+)\$[0-9]+"))),_xlfn.REGEXEXTRACT(CELL("address",'Raw Data'!F93),"\$([A-Z]+)\$[0-9]+"))</f>
        <v/>
      </c>
      <c r="G93" s="7" t="str" cm="1">
        <f t="array" aca="1" ref="G93" ca="1">IFERROR(IF(OR('Raw Data'!G93="",LEN(TRIM('Raw Data'!G93))=0),"",IF(AND(ISNUMBER('Raw Data'!G93), IFERROR('Raw Data'!G93 = ROUND('Raw Data'!G93, 2),FALSE)),"",_xlfn.REGEXEXTRACT(CELL("address",G93), "\$([A-Z]+)\$[0-9]+"))),_xlfn.REGEXEXTRACT(CELL("address",G93), "\$([A-Z]+)\$[0-9]+"))</f>
        <v/>
      </c>
      <c r="H93" s="7" t="str" cm="1">
        <f t="array" aca="1" ref="H93" ca="1">IFERROR(IF(OR('Raw Data'!H93="",LEN(TRIM('Raw Data'!H93))=0),"",IF(AND(ISNUMBER('Raw Data'!H93), IFERROR('Raw Data'!H93 = ROUND('Raw Data'!H93, 2),FALSE)),"",_xlfn.REGEXEXTRACT(CELL("address",H93), "\$([A-Z]+)\$[0-9]+"))),_xlfn.REGEXEXTRACT(CELL("address",H93), "\$([A-Z]+)\$[0-9]+"))</f>
        <v/>
      </c>
      <c r="I93" s="7" t="str" cm="1">
        <f t="array" aca="1" ref="I93" ca="1">IFERROR(IF(OR('Raw Data'!I93="",LEN(TRIM('Raw Data'!I93))=0),"",IF(AND(LEN('Raw Data'!I93) &lt;= 50,LEN('Raw Data'!I93)&gt; 0),"",_xlfn.REGEXEXTRACT(CELL("address",'Raw Data'!I93),"\$([A-Z]+)\$[0-9]+"))),_xlfn.REGEXEXTRACT(CELL("address",'Raw Data'!I93),"\$([A-Z]+)\$[0-9]+"))</f>
        <v/>
      </c>
      <c r="J93" s="7" t="str" cm="1">
        <f t="array" aca="1" ref="J93" ca="1">IFERROR(IF(OR('Raw Data'!J93="",LEN(TRIM('Raw Data'!J93))=0),"",IF(AND(ISNUMBER('Raw Data'!J93),'Raw Data'!J93&gt;=Configuration!$D$2),"",_xlfn.REGEXEXTRACT(CELL("address",'Raw Data'!J93),"\$([A-Z]+)\$[0-9]+"))),_xlfn.REGEXEXTRACT(CELL("address",J93), "\$([A-Z]+)\$[0-9]+"))</f>
        <v/>
      </c>
      <c r="K93" s="7" t="str" cm="1">
        <f t="array" aca="1" ref="K93" ca="1">IFERROR(IF(OR('Raw Data'!K93="",LEN(TRIM('Raw Data'!K93))=0),"",IF(AND(ISNUMBER('Raw Data'!K93), IFERROR('Raw Data'!K93 = ROUND('Raw Data'!K93, 2),FALSE)),"",_xlfn.REGEXEXTRACT(CELL("address",K93), "\$([A-Z]+)\$[0-9]+"))),_xlfn.REGEXEXTRACT(CELL("address",K93), "\$([A-Z]+)\$[0-9]+"))</f>
        <v/>
      </c>
      <c r="L93" s="7" t="str" cm="1">
        <f t="array" aca="1" ref="L93" ca="1">IFERROR(IF(OR('Raw Data'!L93="",LEN(TRIM('Raw Data'!L93))=0),"",IF(AND(ISNUMBER('Raw Data'!L93), IFERROR('Raw Data'!L93 = ROUND('Raw Data'!L93, 2),FALSE)),"",_xlfn.REGEXEXTRACT(CELL("address",L93), "\$([A-Z]+)\$[0-9]+"))),_xlfn.REGEXEXTRACT(CELL("address",L93), "\$([A-Z]+)\$[0-9]+"))</f>
        <v/>
      </c>
      <c r="M93" s="7" t="str" cm="1">
        <f t="array" aca="1" ref="M93" ca="1">IFERROR(IF(OR('Raw Data'!M93="",LEN(TRIM('Raw Data'!M93))=0),"",IF(AND(ISNUMBER('Raw Data'!M93), IFERROR('Raw Data'!M93 = ROUND('Raw Data'!M93, 2),FALSE)),"",_xlfn.REGEXEXTRACT(CELL("address",M93), "\$([A-Z]+)\$[0-9]+"))),_xlfn.REGEXEXTRACT(CELL("address",M93), "\$([A-Z]+)\$[0-9]+"))</f>
        <v/>
      </c>
      <c r="N93" s="7" t="str" cm="1">
        <f t="array" aca="1" ref="N93" ca="1">IFERROR(IF(OR('Raw Data'!N93="",LEN(TRIM('Raw Data'!N93))=0),"",IF(AND(ISNUMBER('Raw Data'!N93), IFERROR('Raw Data'!N93 = ROUND('Raw Data'!N93, 2),FALSE)),"",_xlfn.REGEXEXTRACT(CELL("address",N93), "\$([A-Z]+)\$[0-9]+"))),_xlfn.REGEXEXTRACT(CELL("address",N93), "\$([A-Z]+)\$[0-9]+"))</f>
        <v/>
      </c>
      <c r="O93" s="7" t="str" cm="1">
        <f t="array" aca="1" ref="O93" ca="1">IFERROR(IF(OR('Raw Data'!O93="",LEN(TRIM('Raw Data'!O93))=0),"",IF(AND(ISNUMBER('Raw Data'!O93), IFERROR('Raw Data'!O93 = ROUND('Raw Data'!O93, 2),FALSE)),"",_xlfn.REGEXEXTRACT(CELL("address",O93), "\$([A-Z]+)\$[0-9]+"))),_xlfn.REGEXEXTRACT(CELL("address",O93), "\$([A-Z]+)\$[0-9]+"))</f>
        <v/>
      </c>
      <c r="P93" s="7" t="str" cm="1">
        <f t="array" aca="1" ref="P93" ca="1">IFERROR(IF(OR('Raw Data'!P93="",LEN(TRIM('Raw Data'!P93))=0),"",IF(AND(ISNUMBER('Raw Data'!P93),'Raw Data'!P93&gt;=Configuration!$D$2),"",_xlfn.REGEXEXTRACT(CELL("address",'Raw Data'!P93),"\$([A-Z]+)\$[0-9]+"))),_xlfn.REGEXEXTRACT(CELL("address",P93), "\$([A-Z]+)\$[0-9]+"))</f>
        <v/>
      </c>
      <c r="Q93" s="7" t="str" cm="1">
        <f t="array" aca="1" ref="Q93" ca="1">IFERROR(IF(OR('Raw Data'!Q93="",LEN(TRIM('Raw Data'!Q93))=0),"",IF(AND(ISNUMBER('Raw Data'!Q93),'Raw Data'!Q93&gt;=Configuration!$D$2),"",_xlfn.REGEXEXTRACT(CELL("address",'Raw Data'!Q93),"\$([A-Z]+)\$[0-9]+"))),_xlfn.REGEXEXTRACT(CELL("address",Q93), "\$([A-Z]+)\$[0-9]+"))</f>
        <v/>
      </c>
      <c r="R93" s="7" t="str" cm="1">
        <f t="array" aca="1" ref="R93" ca="1">IFERROR(IF(OR('Raw Data'!R93="",LEN(TRIM('Raw Data'!R93))=0),"",IF(AND(ISNUMBER('Raw Data'!R93), IFERROR('Raw Data'!R93 = ROUND('Raw Data'!R93, 2),FALSE)),"",_xlfn.REGEXEXTRACT(CELL("address",R93), "\$([A-Z]+)\$[0-9]+"))),_xlfn.REGEXEXTRACT(CELL("address",R93), "\$([A-Z]+)\$[0-9]+"))</f>
        <v/>
      </c>
      <c r="S93" s="7" t="str" cm="1">
        <f t="array" aca="1" ref="S93" ca="1">IFERROR(IF(OR('Raw Data'!S93="",LEN(TRIM('Raw Data'!S93))=0),"",IF(AND(ISNUMBER('Raw Data'!S93), IFERROR('Raw Data'!S93 = ROUND('Raw Data'!S93, 2),FALSE)),"",_xlfn.REGEXEXTRACT(CELL("address",S93), "\$([A-Z]+)\$[0-9]+"))),_xlfn.REGEXEXTRACT(CELL("address",S93), "\$([A-Z]+)\$[0-9]+"))</f>
        <v/>
      </c>
      <c r="T93" s="7" t="str" cm="1">
        <f t="array" aca="1" ref="T93" ca="1">IFERROR(IF(OR('Raw Data'!T93="",LEN(TRIM('Raw Data'!T93))=0),"",IF(AND(ISNUMBER('Raw Data'!T93), IFERROR('Raw Data'!T93 = ROUND('Raw Data'!T93, 2),FALSE)),"",_xlfn.REGEXEXTRACT(CELL("address",T93), "\$([A-Z]+)\$[0-9]+"))),_xlfn.REGEXEXTRACT(CELL("address",T93), "\$([A-Z]+)\$[0-9]+"))</f>
        <v/>
      </c>
      <c r="U93" s="7" t="str" cm="1">
        <f t="array" aca="1" ref="U93" ca="1">IFERROR(IF(OR('Raw Data'!U93="",LEN(TRIM('Raw Data'!U93))=0),"",IF(AND(LEN('Raw Data'!U93) &lt;= 5,LEN('Raw Data'!U93)&gt; 0),"",_xlfn.REGEXEXTRACT(CELL("address",'Raw Data'!U93),"\$([A-Z]+)\$[0-9]+"))),_xlfn.REGEXEXTRACT(CELL("address",'Raw Data'!U93),"\$([A-Z]+)\$[0-9]+"))</f>
        <v/>
      </c>
      <c r="V93" s="7" t="str" cm="1">
        <f t="array" aca="1" ref="V93" ca="1">IFERROR(IF(OR('Raw Data'!V93="",LEN(TRIM('Raw Data'!V93))=0),"",IF(AND(ISNUMBER('Raw Data'!V93), IFERROR('Raw Data'!V93 = ROUND('Raw Data'!V93, 2),FALSE)),"",_xlfn.REGEXEXTRACT(CELL("address",V93), "\$([A-Z]+)\$[0-9]+"))),_xlfn.REGEXEXTRACT(CELL("address",V93), "\$([A-Z]+)\$[0-9]+"))</f>
        <v/>
      </c>
      <c r="W93" s="7" t="str" cm="1">
        <f t="array" aca="1" ref="W93" ca="1">IFERROR(IF(OR('Raw Data'!W93="",LEN(TRIM('Raw Data'!W93))=0),"",IF(AND(ISNUMBER('Raw Data'!W93), IFERROR('Raw Data'!W93 = ROUND('Raw Data'!W93, 2),FALSE)),"",_xlfn.REGEXEXTRACT(CELL("address",W93), "\$([A-Z]+)\$[0-9]+"))),_xlfn.REGEXEXTRACT(CELL("address",W93), "\$([A-Z]+)\$[0-9]+"))</f>
        <v/>
      </c>
      <c r="X93" s="7" t="str" cm="1">
        <f t="array" aca="1" ref="X93" ca="1">IFERROR(IF(OR('Raw Data'!X93="",LEN(TRIM('Raw Data'!X93))=0),"",IF(AND(ISNUMBER('Raw Data'!X93), IFERROR('Raw Data'!X93 = ROUND('Raw Data'!X93, 2),FALSE)),"",_xlfn.REGEXEXTRACT(CELL("address",X93), "\$([A-Z]+)\$[0-9]+"))),_xlfn.REGEXEXTRACT(CELL("address",X93), "\$([A-Z]+)\$[0-9]+"))</f>
        <v/>
      </c>
    </row>
    <row r="94" spans="2:24" x14ac:dyDescent="0.25">
      <c r="B94" s="7" t="str" cm="1">
        <f t="array" aca="1" ref="B94" ca="1">IFERROR(IF(OR('Raw Data'!B94="",LEN(TRIM('Raw Data'!B94))=0),"",IF(AND(LEN('Raw Data'!B94) &lt;= 50,LEN('Raw Data'!B94)&gt; 0),"",_xlfn.REGEXEXTRACT(CELL("address",'Raw Data'!B94),"\$([A-Z]+)\$[0-9]+"))),_xlfn.REGEXEXTRACT(CELL("address",'Raw Data'!B94),"\$([A-Z]+)\$[0-9]+"))</f>
        <v/>
      </c>
      <c r="C94" s="7" t="str" cm="1">
        <f t="array" aca="1" ref="C94" ca="1">IFERROR(IF(OR('Raw Data'!C94="",LEN(TRIM('Raw Data'!C94))=0),"",IF(AND(LEN('Raw Data'!C94) &lt;= 50,LEN('Raw Data'!C94)&gt; 0),"",_xlfn.REGEXEXTRACT(CELL("address",'Raw Data'!C94),"\$([A-Z]+)\$[0-9]+"))),_xlfn.REGEXEXTRACT(CELL("address",'Raw Data'!C94),"\$([A-Z]+)\$[0-9]+"))</f>
        <v/>
      </c>
      <c r="D94" s="7" t="str" cm="1">
        <f t="array" aca="1" ref="D94" ca="1">IFERROR(IF(OR('Raw Data'!D94="",LEN(TRIM('Raw Data'!D94))=0),"",IF(AND(LEN('Raw Data'!D94) &lt;= 255,LEN('Raw Data'!D94)&gt; 0),"",_xlfn.REGEXEXTRACT(CELL("address",'Raw Data'!D94),"\$([A-Z]+)\$[0-9]+"))),_xlfn.REGEXEXTRACT(CELL("address",'Raw Data'!D94),"\$([A-Z]+)\$[0-9]+"))</f>
        <v/>
      </c>
      <c r="E94" s="7" t="str" cm="1">
        <f t="array" aca="1" ref="E94" ca="1">IFERROR(IF(OR('Raw Data'!E94="",LEN(TRIM('Raw Data'!E94))=0),"",IF(AND(ISNUMBER('Raw Data'!E94),'Raw Data'!E94&gt;=Configuration!$D$2),"",_xlfn.REGEXEXTRACT(CELL("address",'Raw Data'!E94),"\$([A-Z]+)\$[0-9]+"))),_xlfn.REGEXEXTRACT(CELL("address",E94), "\$([A-Z]+)\$[0-9]+"))</f>
        <v/>
      </c>
      <c r="F94" s="7" t="str" cm="1">
        <f t="array" aca="1" ref="F94" ca="1">IFERROR(IF(OR('Raw Data'!F94="",LEN(TRIM('Raw Data'!F94))=0),"",IF(AND(LEN('Raw Data'!F94) &lt;= 20,LEN('Raw Data'!F94)&gt; 0),"",_xlfn.REGEXEXTRACT(CELL("address",'Raw Data'!F94),"\$([A-Z]+)\$[0-9]+"))),_xlfn.REGEXEXTRACT(CELL("address",'Raw Data'!F94),"\$([A-Z]+)\$[0-9]+"))</f>
        <v/>
      </c>
      <c r="G94" s="7" t="str" cm="1">
        <f t="array" aca="1" ref="G94" ca="1">IFERROR(IF(OR('Raw Data'!G94="",LEN(TRIM('Raw Data'!G94))=0),"",IF(AND(ISNUMBER('Raw Data'!G94), IFERROR('Raw Data'!G94 = ROUND('Raw Data'!G94, 2),FALSE)),"",_xlfn.REGEXEXTRACT(CELL("address",G94), "\$([A-Z]+)\$[0-9]+"))),_xlfn.REGEXEXTRACT(CELL("address",G94), "\$([A-Z]+)\$[0-9]+"))</f>
        <v/>
      </c>
      <c r="H94" s="7" t="str" cm="1">
        <f t="array" aca="1" ref="H94" ca="1">IFERROR(IF(OR('Raw Data'!H94="",LEN(TRIM('Raw Data'!H94))=0),"",IF(AND(ISNUMBER('Raw Data'!H94), IFERROR('Raw Data'!H94 = ROUND('Raw Data'!H94, 2),FALSE)),"",_xlfn.REGEXEXTRACT(CELL("address",H94), "\$([A-Z]+)\$[0-9]+"))),_xlfn.REGEXEXTRACT(CELL("address",H94), "\$([A-Z]+)\$[0-9]+"))</f>
        <v/>
      </c>
      <c r="I94" s="7" t="str" cm="1">
        <f t="array" aca="1" ref="I94" ca="1">IFERROR(IF(OR('Raw Data'!I94="",LEN(TRIM('Raw Data'!I94))=0),"",IF(AND(LEN('Raw Data'!I94) &lt;= 50,LEN('Raw Data'!I94)&gt; 0),"",_xlfn.REGEXEXTRACT(CELL("address",'Raw Data'!I94),"\$([A-Z]+)\$[0-9]+"))),_xlfn.REGEXEXTRACT(CELL("address",'Raw Data'!I94),"\$([A-Z]+)\$[0-9]+"))</f>
        <v/>
      </c>
      <c r="J94" s="7" t="str" cm="1">
        <f t="array" aca="1" ref="J94" ca="1">IFERROR(IF(OR('Raw Data'!J94="",LEN(TRIM('Raw Data'!J94))=0),"",IF(AND(ISNUMBER('Raw Data'!J94),'Raw Data'!J94&gt;=Configuration!$D$2),"",_xlfn.REGEXEXTRACT(CELL("address",'Raw Data'!J94),"\$([A-Z]+)\$[0-9]+"))),_xlfn.REGEXEXTRACT(CELL("address",J94), "\$([A-Z]+)\$[0-9]+"))</f>
        <v/>
      </c>
      <c r="K94" s="7" t="str" cm="1">
        <f t="array" aca="1" ref="K94" ca="1">IFERROR(IF(OR('Raw Data'!K94="",LEN(TRIM('Raw Data'!K94))=0),"",IF(AND(ISNUMBER('Raw Data'!K94), IFERROR('Raw Data'!K94 = ROUND('Raw Data'!K94, 2),FALSE)),"",_xlfn.REGEXEXTRACT(CELL("address",K94), "\$([A-Z]+)\$[0-9]+"))),_xlfn.REGEXEXTRACT(CELL("address",K94), "\$([A-Z]+)\$[0-9]+"))</f>
        <v/>
      </c>
      <c r="L94" s="7" t="str" cm="1">
        <f t="array" aca="1" ref="L94" ca="1">IFERROR(IF(OR('Raw Data'!L94="",LEN(TRIM('Raw Data'!L94))=0),"",IF(AND(ISNUMBER('Raw Data'!L94), IFERROR('Raw Data'!L94 = ROUND('Raw Data'!L94, 2),FALSE)),"",_xlfn.REGEXEXTRACT(CELL("address",L94), "\$([A-Z]+)\$[0-9]+"))),_xlfn.REGEXEXTRACT(CELL("address",L94), "\$([A-Z]+)\$[0-9]+"))</f>
        <v/>
      </c>
      <c r="M94" s="7" t="str" cm="1">
        <f t="array" aca="1" ref="M94" ca="1">IFERROR(IF(OR('Raw Data'!M94="",LEN(TRIM('Raw Data'!M94))=0),"",IF(AND(ISNUMBER('Raw Data'!M94), IFERROR('Raw Data'!M94 = ROUND('Raw Data'!M94, 2),FALSE)),"",_xlfn.REGEXEXTRACT(CELL("address",M94), "\$([A-Z]+)\$[0-9]+"))),_xlfn.REGEXEXTRACT(CELL("address",M94), "\$([A-Z]+)\$[0-9]+"))</f>
        <v/>
      </c>
      <c r="N94" s="7" t="str" cm="1">
        <f t="array" aca="1" ref="N94" ca="1">IFERROR(IF(OR('Raw Data'!N94="",LEN(TRIM('Raw Data'!N94))=0),"",IF(AND(ISNUMBER('Raw Data'!N94), IFERROR('Raw Data'!N94 = ROUND('Raw Data'!N94, 2),FALSE)),"",_xlfn.REGEXEXTRACT(CELL("address",N94), "\$([A-Z]+)\$[0-9]+"))),_xlfn.REGEXEXTRACT(CELL("address",N94), "\$([A-Z]+)\$[0-9]+"))</f>
        <v/>
      </c>
      <c r="O94" s="7" t="str" cm="1">
        <f t="array" aca="1" ref="O94" ca="1">IFERROR(IF(OR('Raw Data'!O94="",LEN(TRIM('Raw Data'!O94))=0),"",IF(AND(ISNUMBER('Raw Data'!O94), IFERROR('Raw Data'!O94 = ROUND('Raw Data'!O94, 2),FALSE)),"",_xlfn.REGEXEXTRACT(CELL("address",O94), "\$([A-Z]+)\$[0-9]+"))),_xlfn.REGEXEXTRACT(CELL("address",O94), "\$([A-Z]+)\$[0-9]+"))</f>
        <v/>
      </c>
      <c r="P94" s="7" t="str" cm="1">
        <f t="array" aca="1" ref="P94" ca="1">IFERROR(IF(OR('Raw Data'!P94="",LEN(TRIM('Raw Data'!P94))=0),"",IF(AND(ISNUMBER('Raw Data'!P94),'Raw Data'!P94&gt;=Configuration!$D$2),"",_xlfn.REGEXEXTRACT(CELL("address",'Raw Data'!P94),"\$([A-Z]+)\$[0-9]+"))),_xlfn.REGEXEXTRACT(CELL("address",P94), "\$([A-Z]+)\$[0-9]+"))</f>
        <v/>
      </c>
      <c r="Q94" s="7" t="str" cm="1">
        <f t="array" aca="1" ref="Q94" ca="1">IFERROR(IF(OR('Raw Data'!Q94="",LEN(TRIM('Raw Data'!Q94))=0),"",IF(AND(ISNUMBER('Raw Data'!Q94),'Raw Data'!Q94&gt;=Configuration!$D$2),"",_xlfn.REGEXEXTRACT(CELL("address",'Raw Data'!Q94),"\$([A-Z]+)\$[0-9]+"))),_xlfn.REGEXEXTRACT(CELL("address",Q94), "\$([A-Z]+)\$[0-9]+"))</f>
        <v/>
      </c>
      <c r="R94" s="7" t="str" cm="1">
        <f t="array" aca="1" ref="R94" ca="1">IFERROR(IF(OR('Raw Data'!R94="",LEN(TRIM('Raw Data'!R94))=0),"",IF(AND(ISNUMBER('Raw Data'!R94), IFERROR('Raw Data'!R94 = ROUND('Raw Data'!R94, 2),FALSE)),"",_xlfn.REGEXEXTRACT(CELL("address",R94), "\$([A-Z]+)\$[0-9]+"))),_xlfn.REGEXEXTRACT(CELL("address",R94), "\$([A-Z]+)\$[0-9]+"))</f>
        <v/>
      </c>
      <c r="S94" s="7" t="str" cm="1">
        <f t="array" aca="1" ref="S94" ca="1">IFERROR(IF(OR('Raw Data'!S94="",LEN(TRIM('Raw Data'!S94))=0),"",IF(AND(ISNUMBER('Raw Data'!S94), IFERROR('Raw Data'!S94 = ROUND('Raw Data'!S94, 2),FALSE)),"",_xlfn.REGEXEXTRACT(CELL("address",S94), "\$([A-Z]+)\$[0-9]+"))),_xlfn.REGEXEXTRACT(CELL("address",S94), "\$([A-Z]+)\$[0-9]+"))</f>
        <v/>
      </c>
      <c r="T94" s="7" t="str" cm="1">
        <f t="array" aca="1" ref="T94" ca="1">IFERROR(IF(OR('Raw Data'!T94="",LEN(TRIM('Raw Data'!T94))=0),"",IF(AND(ISNUMBER('Raw Data'!T94), IFERROR('Raw Data'!T94 = ROUND('Raw Data'!T94, 2),FALSE)),"",_xlfn.REGEXEXTRACT(CELL("address",T94), "\$([A-Z]+)\$[0-9]+"))),_xlfn.REGEXEXTRACT(CELL("address",T94), "\$([A-Z]+)\$[0-9]+"))</f>
        <v/>
      </c>
      <c r="U94" s="7" t="str" cm="1">
        <f t="array" aca="1" ref="U94" ca="1">IFERROR(IF(OR('Raw Data'!U94="",LEN(TRIM('Raw Data'!U94))=0),"",IF(AND(LEN('Raw Data'!U94) &lt;= 5,LEN('Raw Data'!U94)&gt; 0),"",_xlfn.REGEXEXTRACT(CELL("address",'Raw Data'!U94),"\$([A-Z]+)\$[0-9]+"))),_xlfn.REGEXEXTRACT(CELL("address",'Raw Data'!U94),"\$([A-Z]+)\$[0-9]+"))</f>
        <v/>
      </c>
      <c r="V94" s="7" t="str" cm="1">
        <f t="array" aca="1" ref="V94" ca="1">IFERROR(IF(OR('Raw Data'!V94="",LEN(TRIM('Raw Data'!V94))=0),"",IF(AND(ISNUMBER('Raw Data'!V94), IFERROR('Raw Data'!V94 = ROUND('Raw Data'!V94, 2),FALSE)),"",_xlfn.REGEXEXTRACT(CELL("address",V94), "\$([A-Z]+)\$[0-9]+"))),_xlfn.REGEXEXTRACT(CELL("address",V94), "\$([A-Z]+)\$[0-9]+"))</f>
        <v/>
      </c>
      <c r="W94" s="7" t="str" cm="1">
        <f t="array" aca="1" ref="W94" ca="1">IFERROR(IF(OR('Raw Data'!W94="",LEN(TRIM('Raw Data'!W94))=0),"",IF(AND(ISNUMBER('Raw Data'!W94), IFERROR('Raw Data'!W94 = ROUND('Raw Data'!W94, 2),FALSE)),"",_xlfn.REGEXEXTRACT(CELL("address",W94), "\$([A-Z]+)\$[0-9]+"))),_xlfn.REGEXEXTRACT(CELL("address",W94), "\$([A-Z]+)\$[0-9]+"))</f>
        <v/>
      </c>
      <c r="X94" s="7" t="str" cm="1">
        <f t="array" aca="1" ref="X94" ca="1">IFERROR(IF(OR('Raw Data'!X94="",LEN(TRIM('Raw Data'!X94))=0),"",IF(AND(ISNUMBER('Raw Data'!X94), IFERROR('Raw Data'!X94 = ROUND('Raw Data'!X94, 2),FALSE)),"",_xlfn.REGEXEXTRACT(CELL("address",X94), "\$([A-Z]+)\$[0-9]+"))),_xlfn.REGEXEXTRACT(CELL("address",X94), "\$([A-Z]+)\$[0-9]+"))</f>
        <v/>
      </c>
    </row>
    <row r="95" spans="2:24" x14ac:dyDescent="0.25">
      <c r="B95" s="7" t="str" cm="1">
        <f t="array" aca="1" ref="B95" ca="1">IFERROR(IF(OR('Raw Data'!B95="",LEN(TRIM('Raw Data'!B95))=0),"",IF(AND(LEN('Raw Data'!B95) &lt;= 50,LEN('Raw Data'!B95)&gt; 0),"",_xlfn.REGEXEXTRACT(CELL("address",'Raw Data'!B95),"\$([A-Z]+)\$[0-9]+"))),_xlfn.REGEXEXTRACT(CELL("address",'Raw Data'!B95),"\$([A-Z]+)\$[0-9]+"))</f>
        <v/>
      </c>
      <c r="C95" s="7" t="str" cm="1">
        <f t="array" aca="1" ref="C95" ca="1">IFERROR(IF(OR('Raw Data'!C95="",LEN(TRIM('Raw Data'!C95))=0),"",IF(AND(LEN('Raw Data'!C95) &lt;= 50,LEN('Raw Data'!C95)&gt; 0),"",_xlfn.REGEXEXTRACT(CELL("address",'Raw Data'!C95),"\$([A-Z]+)\$[0-9]+"))),_xlfn.REGEXEXTRACT(CELL("address",'Raw Data'!C95),"\$([A-Z]+)\$[0-9]+"))</f>
        <v/>
      </c>
      <c r="D95" s="7" t="str" cm="1">
        <f t="array" aca="1" ref="D95" ca="1">IFERROR(IF(OR('Raw Data'!D95="",LEN(TRIM('Raw Data'!D95))=0),"",IF(AND(LEN('Raw Data'!D95) &lt;= 255,LEN('Raw Data'!D95)&gt; 0),"",_xlfn.REGEXEXTRACT(CELL("address",'Raw Data'!D95),"\$([A-Z]+)\$[0-9]+"))),_xlfn.REGEXEXTRACT(CELL("address",'Raw Data'!D95),"\$([A-Z]+)\$[0-9]+"))</f>
        <v/>
      </c>
      <c r="E95" s="7" t="str" cm="1">
        <f t="array" aca="1" ref="E95" ca="1">IFERROR(IF(OR('Raw Data'!E95="",LEN(TRIM('Raw Data'!E95))=0),"",IF(AND(ISNUMBER('Raw Data'!E95),'Raw Data'!E95&gt;=Configuration!$D$2),"",_xlfn.REGEXEXTRACT(CELL("address",'Raw Data'!E95),"\$([A-Z]+)\$[0-9]+"))),_xlfn.REGEXEXTRACT(CELL("address",E95), "\$([A-Z]+)\$[0-9]+"))</f>
        <v/>
      </c>
      <c r="F95" s="7" t="str" cm="1">
        <f t="array" aca="1" ref="F95" ca="1">IFERROR(IF(OR('Raw Data'!F95="",LEN(TRIM('Raw Data'!F95))=0),"",IF(AND(LEN('Raw Data'!F95) &lt;= 20,LEN('Raw Data'!F95)&gt; 0),"",_xlfn.REGEXEXTRACT(CELL("address",'Raw Data'!F95),"\$([A-Z]+)\$[0-9]+"))),_xlfn.REGEXEXTRACT(CELL("address",'Raw Data'!F95),"\$([A-Z]+)\$[0-9]+"))</f>
        <v/>
      </c>
      <c r="G95" s="7" t="str" cm="1">
        <f t="array" aca="1" ref="G95" ca="1">IFERROR(IF(OR('Raw Data'!G95="",LEN(TRIM('Raw Data'!G95))=0),"",IF(AND(ISNUMBER('Raw Data'!G95), IFERROR('Raw Data'!G95 = ROUND('Raw Data'!G95, 2),FALSE)),"",_xlfn.REGEXEXTRACT(CELL("address",G95), "\$([A-Z]+)\$[0-9]+"))),_xlfn.REGEXEXTRACT(CELL("address",G95), "\$([A-Z]+)\$[0-9]+"))</f>
        <v/>
      </c>
      <c r="H95" s="7" t="str" cm="1">
        <f t="array" aca="1" ref="H95" ca="1">IFERROR(IF(OR('Raw Data'!H95="",LEN(TRIM('Raw Data'!H95))=0),"",IF(AND(ISNUMBER('Raw Data'!H95), IFERROR('Raw Data'!H95 = ROUND('Raw Data'!H95, 2),FALSE)),"",_xlfn.REGEXEXTRACT(CELL("address",H95), "\$([A-Z]+)\$[0-9]+"))),_xlfn.REGEXEXTRACT(CELL("address",H95), "\$([A-Z]+)\$[0-9]+"))</f>
        <v/>
      </c>
      <c r="I95" s="7" t="str" cm="1">
        <f t="array" aca="1" ref="I95" ca="1">IFERROR(IF(OR('Raw Data'!I95="",LEN(TRIM('Raw Data'!I95))=0),"",IF(AND(LEN('Raw Data'!I95) &lt;= 50,LEN('Raw Data'!I95)&gt; 0),"",_xlfn.REGEXEXTRACT(CELL("address",'Raw Data'!I95),"\$([A-Z]+)\$[0-9]+"))),_xlfn.REGEXEXTRACT(CELL("address",'Raw Data'!I95),"\$([A-Z]+)\$[0-9]+"))</f>
        <v/>
      </c>
      <c r="J95" s="7" t="str" cm="1">
        <f t="array" aca="1" ref="J95" ca="1">IFERROR(IF(OR('Raw Data'!J95="",LEN(TRIM('Raw Data'!J95))=0),"",IF(AND(ISNUMBER('Raw Data'!J95),'Raw Data'!J95&gt;=Configuration!$D$2),"",_xlfn.REGEXEXTRACT(CELL("address",'Raw Data'!J95),"\$([A-Z]+)\$[0-9]+"))),_xlfn.REGEXEXTRACT(CELL("address",J95), "\$([A-Z]+)\$[0-9]+"))</f>
        <v/>
      </c>
      <c r="K95" s="7" t="str" cm="1">
        <f t="array" aca="1" ref="K95" ca="1">IFERROR(IF(OR('Raw Data'!K95="",LEN(TRIM('Raw Data'!K95))=0),"",IF(AND(ISNUMBER('Raw Data'!K95), IFERROR('Raw Data'!K95 = ROUND('Raw Data'!K95, 2),FALSE)),"",_xlfn.REGEXEXTRACT(CELL("address",K95), "\$([A-Z]+)\$[0-9]+"))),_xlfn.REGEXEXTRACT(CELL("address",K95), "\$([A-Z]+)\$[0-9]+"))</f>
        <v/>
      </c>
      <c r="L95" s="7" t="str" cm="1">
        <f t="array" aca="1" ref="L95" ca="1">IFERROR(IF(OR('Raw Data'!L95="",LEN(TRIM('Raw Data'!L95))=0),"",IF(AND(ISNUMBER('Raw Data'!L95), IFERROR('Raw Data'!L95 = ROUND('Raw Data'!L95, 2),FALSE)),"",_xlfn.REGEXEXTRACT(CELL("address",L95), "\$([A-Z]+)\$[0-9]+"))),_xlfn.REGEXEXTRACT(CELL("address",L95), "\$([A-Z]+)\$[0-9]+"))</f>
        <v/>
      </c>
      <c r="M95" s="7" t="str" cm="1">
        <f t="array" aca="1" ref="M95" ca="1">IFERROR(IF(OR('Raw Data'!M95="",LEN(TRIM('Raw Data'!M95))=0),"",IF(AND(ISNUMBER('Raw Data'!M95), IFERROR('Raw Data'!M95 = ROUND('Raw Data'!M95, 2),FALSE)),"",_xlfn.REGEXEXTRACT(CELL("address",M95), "\$([A-Z]+)\$[0-9]+"))),_xlfn.REGEXEXTRACT(CELL("address",M95), "\$([A-Z]+)\$[0-9]+"))</f>
        <v/>
      </c>
      <c r="N95" s="7" t="str" cm="1">
        <f t="array" aca="1" ref="N95" ca="1">IFERROR(IF(OR('Raw Data'!N95="",LEN(TRIM('Raw Data'!N95))=0),"",IF(AND(ISNUMBER('Raw Data'!N95), IFERROR('Raw Data'!N95 = ROUND('Raw Data'!N95, 2),FALSE)),"",_xlfn.REGEXEXTRACT(CELL("address",N95), "\$([A-Z]+)\$[0-9]+"))),_xlfn.REGEXEXTRACT(CELL("address",N95), "\$([A-Z]+)\$[0-9]+"))</f>
        <v/>
      </c>
      <c r="O95" s="7" t="str" cm="1">
        <f t="array" aca="1" ref="O95" ca="1">IFERROR(IF(OR('Raw Data'!O95="",LEN(TRIM('Raw Data'!O95))=0),"",IF(AND(ISNUMBER('Raw Data'!O95), IFERROR('Raw Data'!O95 = ROUND('Raw Data'!O95, 2),FALSE)),"",_xlfn.REGEXEXTRACT(CELL("address",O95), "\$([A-Z]+)\$[0-9]+"))),_xlfn.REGEXEXTRACT(CELL("address",O95), "\$([A-Z]+)\$[0-9]+"))</f>
        <v/>
      </c>
      <c r="P95" s="7" t="str" cm="1">
        <f t="array" aca="1" ref="P95" ca="1">IFERROR(IF(OR('Raw Data'!P95="",LEN(TRIM('Raw Data'!P95))=0),"",IF(AND(ISNUMBER('Raw Data'!P95),'Raw Data'!P95&gt;=Configuration!$D$2),"",_xlfn.REGEXEXTRACT(CELL("address",'Raw Data'!P95),"\$([A-Z]+)\$[0-9]+"))),_xlfn.REGEXEXTRACT(CELL("address",P95), "\$([A-Z]+)\$[0-9]+"))</f>
        <v/>
      </c>
      <c r="Q95" s="7" t="str" cm="1">
        <f t="array" aca="1" ref="Q95" ca="1">IFERROR(IF(OR('Raw Data'!Q95="",LEN(TRIM('Raw Data'!Q95))=0),"",IF(AND(ISNUMBER('Raw Data'!Q95),'Raw Data'!Q95&gt;=Configuration!$D$2),"",_xlfn.REGEXEXTRACT(CELL("address",'Raw Data'!Q95),"\$([A-Z]+)\$[0-9]+"))),_xlfn.REGEXEXTRACT(CELL("address",Q95), "\$([A-Z]+)\$[0-9]+"))</f>
        <v/>
      </c>
      <c r="R95" s="7" t="str" cm="1">
        <f t="array" aca="1" ref="R95" ca="1">IFERROR(IF(OR('Raw Data'!R95="",LEN(TRIM('Raw Data'!R95))=0),"",IF(AND(ISNUMBER('Raw Data'!R95), IFERROR('Raw Data'!R95 = ROUND('Raw Data'!R95, 2),FALSE)),"",_xlfn.REGEXEXTRACT(CELL("address",R95), "\$([A-Z]+)\$[0-9]+"))),_xlfn.REGEXEXTRACT(CELL("address",R95), "\$([A-Z]+)\$[0-9]+"))</f>
        <v/>
      </c>
      <c r="S95" s="7" t="str" cm="1">
        <f t="array" aca="1" ref="S95" ca="1">IFERROR(IF(OR('Raw Data'!S95="",LEN(TRIM('Raw Data'!S95))=0),"",IF(AND(ISNUMBER('Raw Data'!S95), IFERROR('Raw Data'!S95 = ROUND('Raw Data'!S95, 2),FALSE)),"",_xlfn.REGEXEXTRACT(CELL("address",S95), "\$([A-Z]+)\$[0-9]+"))),_xlfn.REGEXEXTRACT(CELL("address",S95), "\$([A-Z]+)\$[0-9]+"))</f>
        <v/>
      </c>
      <c r="T95" s="7" t="str" cm="1">
        <f t="array" aca="1" ref="T95" ca="1">IFERROR(IF(OR('Raw Data'!T95="",LEN(TRIM('Raw Data'!T95))=0),"",IF(AND(ISNUMBER('Raw Data'!T95), IFERROR('Raw Data'!T95 = ROUND('Raw Data'!T95, 2),FALSE)),"",_xlfn.REGEXEXTRACT(CELL("address",T95), "\$([A-Z]+)\$[0-9]+"))),_xlfn.REGEXEXTRACT(CELL("address",T95), "\$([A-Z]+)\$[0-9]+"))</f>
        <v/>
      </c>
      <c r="U95" s="7" t="str" cm="1">
        <f t="array" aca="1" ref="U95" ca="1">IFERROR(IF(OR('Raw Data'!U95="",LEN(TRIM('Raw Data'!U95))=0),"",IF(AND(LEN('Raw Data'!U95) &lt;= 5,LEN('Raw Data'!U95)&gt; 0),"",_xlfn.REGEXEXTRACT(CELL("address",'Raw Data'!U95),"\$([A-Z]+)\$[0-9]+"))),_xlfn.REGEXEXTRACT(CELL("address",'Raw Data'!U95),"\$([A-Z]+)\$[0-9]+"))</f>
        <v/>
      </c>
      <c r="V95" s="7" t="str" cm="1">
        <f t="array" aca="1" ref="V95" ca="1">IFERROR(IF(OR('Raw Data'!V95="",LEN(TRIM('Raw Data'!V95))=0),"",IF(AND(ISNUMBER('Raw Data'!V95), IFERROR('Raw Data'!V95 = ROUND('Raw Data'!V95, 2),FALSE)),"",_xlfn.REGEXEXTRACT(CELL("address",V95), "\$([A-Z]+)\$[0-9]+"))),_xlfn.REGEXEXTRACT(CELL("address",V95), "\$([A-Z]+)\$[0-9]+"))</f>
        <v/>
      </c>
      <c r="W95" s="7" t="str" cm="1">
        <f t="array" aca="1" ref="W95" ca="1">IFERROR(IF(OR('Raw Data'!W95="",LEN(TRIM('Raw Data'!W95))=0),"",IF(AND(ISNUMBER('Raw Data'!W95), IFERROR('Raw Data'!W95 = ROUND('Raw Data'!W95, 2),FALSE)),"",_xlfn.REGEXEXTRACT(CELL("address",W95), "\$([A-Z]+)\$[0-9]+"))),_xlfn.REGEXEXTRACT(CELL("address",W95), "\$([A-Z]+)\$[0-9]+"))</f>
        <v/>
      </c>
      <c r="X95" s="7" t="str" cm="1">
        <f t="array" aca="1" ref="X95" ca="1">IFERROR(IF(OR('Raw Data'!X95="",LEN(TRIM('Raw Data'!X95))=0),"",IF(AND(ISNUMBER('Raw Data'!X95), IFERROR('Raw Data'!X95 = ROUND('Raw Data'!X95, 2),FALSE)),"",_xlfn.REGEXEXTRACT(CELL("address",X95), "\$([A-Z]+)\$[0-9]+"))),_xlfn.REGEXEXTRACT(CELL("address",X95), "\$([A-Z]+)\$[0-9]+"))</f>
        <v/>
      </c>
    </row>
    <row r="96" spans="2:24" x14ac:dyDescent="0.25">
      <c r="B96" s="7" t="str" cm="1">
        <f t="array" aca="1" ref="B96" ca="1">IFERROR(IF(OR('Raw Data'!B96="",LEN(TRIM('Raw Data'!B96))=0),"",IF(AND(LEN('Raw Data'!B96) &lt;= 50,LEN('Raw Data'!B96)&gt; 0),"",_xlfn.REGEXEXTRACT(CELL("address",'Raw Data'!B96),"\$([A-Z]+)\$[0-9]+"))),_xlfn.REGEXEXTRACT(CELL("address",'Raw Data'!B96),"\$([A-Z]+)\$[0-9]+"))</f>
        <v/>
      </c>
      <c r="C96" s="7" t="str" cm="1">
        <f t="array" aca="1" ref="C96" ca="1">IFERROR(IF(OR('Raw Data'!C96="",LEN(TRIM('Raw Data'!C96))=0),"",IF(AND(LEN('Raw Data'!C96) &lt;= 50,LEN('Raw Data'!C96)&gt; 0),"",_xlfn.REGEXEXTRACT(CELL("address",'Raw Data'!C96),"\$([A-Z]+)\$[0-9]+"))),_xlfn.REGEXEXTRACT(CELL("address",'Raw Data'!C96),"\$([A-Z]+)\$[0-9]+"))</f>
        <v/>
      </c>
      <c r="D96" s="7" t="str" cm="1">
        <f t="array" aca="1" ref="D96" ca="1">IFERROR(IF(OR('Raw Data'!D96="",LEN(TRIM('Raw Data'!D96))=0),"",IF(AND(LEN('Raw Data'!D96) &lt;= 255,LEN('Raw Data'!D96)&gt; 0),"",_xlfn.REGEXEXTRACT(CELL("address",'Raw Data'!D96),"\$([A-Z]+)\$[0-9]+"))),_xlfn.REGEXEXTRACT(CELL("address",'Raw Data'!D96),"\$([A-Z]+)\$[0-9]+"))</f>
        <v/>
      </c>
      <c r="E96" s="7" t="str" cm="1">
        <f t="array" aca="1" ref="E96" ca="1">IFERROR(IF(OR('Raw Data'!E96="",LEN(TRIM('Raw Data'!E96))=0),"",IF(AND(ISNUMBER('Raw Data'!E96),'Raw Data'!E96&gt;=Configuration!$D$2),"",_xlfn.REGEXEXTRACT(CELL("address",'Raw Data'!E96),"\$([A-Z]+)\$[0-9]+"))),_xlfn.REGEXEXTRACT(CELL("address",E96), "\$([A-Z]+)\$[0-9]+"))</f>
        <v/>
      </c>
      <c r="F96" s="7" t="str" cm="1">
        <f t="array" aca="1" ref="F96" ca="1">IFERROR(IF(OR('Raw Data'!F96="",LEN(TRIM('Raw Data'!F96))=0),"",IF(AND(LEN('Raw Data'!F96) &lt;= 20,LEN('Raw Data'!F96)&gt; 0),"",_xlfn.REGEXEXTRACT(CELL("address",'Raw Data'!F96),"\$([A-Z]+)\$[0-9]+"))),_xlfn.REGEXEXTRACT(CELL("address",'Raw Data'!F96),"\$([A-Z]+)\$[0-9]+"))</f>
        <v/>
      </c>
      <c r="G96" s="7" t="str" cm="1">
        <f t="array" aca="1" ref="G96" ca="1">IFERROR(IF(OR('Raw Data'!G96="",LEN(TRIM('Raw Data'!G96))=0),"",IF(AND(ISNUMBER('Raw Data'!G96), IFERROR('Raw Data'!G96 = ROUND('Raw Data'!G96, 2),FALSE)),"",_xlfn.REGEXEXTRACT(CELL("address",G96), "\$([A-Z]+)\$[0-9]+"))),_xlfn.REGEXEXTRACT(CELL("address",G96), "\$([A-Z]+)\$[0-9]+"))</f>
        <v/>
      </c>
      <c r="H96" s="7" t="str" cm="1">
        <f t="array" aca="1" ref="H96" ca="1">IFERROR(IF(OR('Raw Data'!H96="",LEN(TRIM('Raw Data'!H96))=0),"",IF(AND(ISNUMBER('Raw Data'!H96), IFERROR('Raw Data'!H96 = ROUND('Raw Data'!H96, 2),FALSE)),"",_xlfn.REGEXEXTRACT(CELL("address",H96), "\$([A-Z]+)\$[0-9]+"))),_xlfn.REGEXEXTRACT(CELL("address",H96), "\$([A-Z]+)\$[0-9]+"))</f>
        <v/>
      </c>
      <c r="I96" s="7" t="str" cm="1">
        <f t="array" aca="1" ref="I96" ca="1">IFERROR(IF(OR('Raw Data'!I96="",LEN(TRIM('Raw Data'!I96))=0),"",IF(AND(LEN('Raw Data'!I96) &lt;= 50,LEN('Raw Data'!I96)&gt; 0),"",_xlfn.REGEXEXTRACT(CELL("address",'Raw Data'!I96),"\$([A-Z]+)\$[0-9]+"))),_xlfn.REGEXEXTRACT(CELL("address",'Raw Data'!I96),"\$([A-Z]+)\$[0-9]+"))</f>
        <v/>
      </c>
      <c r="J96" s="7" t="str" cm="1">
        <f t="array" aca="1" ref="J96" ca="1">IFERROR(IF(OR('Raw Data'!J96="",LEN(TRIM('Raw Data'!J96))=0),"",IF(AND(ISNUMBER('Raw Data'!J96),'Raw Data'!J96&gt;=Configuration!$D$2),"",_xlfn.REGEXEXTRACT(CELL("address",'Raw Data'!J96),"\$([A-Z]+)\$[0-9]+"))),_xlfn.REGEXEXTRACT(CELL("address",J96), "\$([A-Z]+)\$[0-9]+"))</f>
        <v/>
      </c>
      <c r="K96" s="7" t="str" cm="1">
        <f t="array" aca="1" ref="K96" ca="1">IFERROR(IF(OR('Raw Data'!K96="",LEN(TRIM('Raw Data'!K96))=0),"",IF(AND(ISNUMBER('Raw Data'!K96), IFERROR('Raw Data'!K96 = ROUND('Raw Data'!K96, 2),FALSE)),"",_xlfn.REGEXEXTRACT(CELL("address",K96), "\$([A-Z]+)\$[0-9]+"))),_xlfn.REGEXEXTRACT(CELL("address",K96), "\$([A-Z]+)\$[0-9]+"))</f>
        <v/>
      </c>
      <c r="L96" s="7" t="str" cm="1">
        <f t="array" aca="1" ref="L96" ca="1">IFERROR(IF(OR('Raw Data'!L96="",LEN(TRIM('Raw Data'!L96))=0),"",IF(AND(ISNUMBER('Raw Data'!L96), IFERROR('Raw Data'!L96 = ROUND('Raw Data'!L96, 2),FALSE)),"",_xlfn.REGEXEXTRACT(CELL("address",L96), "\$([A-Z]+)\$[0-9]+"))),_xlfn.REGEXEXTRACT(CELL("address",L96), "\$([A-Z]+)\$[0-9]+"))</f>
        <v/>
      </c>
      <c r="M96" s="7" t="str" cm="1">
        <f t="array" aca="1" ref="M96" ca="1">IFERROR(IF(OR('Raw Data'!M96="",LEN(TRIM('Raw Data'!M96))=0),"",IF(AND(ISNUMBER('Raw Data'!M96), IFERROR('Raw Data'!M96 = ROUND('Raw Data'!M96, 2),FALSE)),"",_xlfn.REGEXEXTRACT(CELL("address",M96), "\$([A-Z]+)\$[0-9]+"))),_xlfn.REGEXEXTRACT(CELL("address",M96), "\$([A-Z]+)\$[0-9]+"))</f>
        <v/>
      </c>
      <c r="N96" s="7" t="str" cm="1">
        <f t="array" aca="1" ref="N96" ca="1">IFERROR(IF(OR('Raw Data'!N96="",LEN(TRIM('Raw Data'!N96))=0),"",IF(AND(ISNUMBER('Raw Data'!N96), IFERROR('Raw Data'!N96 = ROUND('Raw Data'!N96, 2),FALSE)),"",_xlfn.REGEXEXTRACT(CELL("address",N96), "\$([A-Z]+)\$[0-9]+"))),_xlfn.REGEXEXTRACT(CELL("address",N96), "\$([A-Z]+)\$[0-9]+"))</f>
        <v/>
      </c>
      <c r="O96" s="7" t="str" cm="1">
        <f t="array" aca="1" ref="O96" ca="1">IFERROR(IF(OR('Raw Data'!O96="",LEN(TRIM('Raw Data'!O96))=0),"",IF(AND(ISNUMBER('Raw Data'!O96), IFERROR('Raw Data'!O96 = ROUND('Raw Data'!O96, 2),FALSE)),"",_xlfn.REGEXEXTRACT(CELL("address",O96), "\$([A-Z]+)\$[0-9]+"))),_xlfn.REGEXEXTRACT(CELL("address",O96), "\$([A-Z]+)\$[0-9]+"))</f>
        <v/>
      </c>
      <c r="P96" s="7" t="str" cm="1">
        <f t="array" aca="1" ref="P96" ca="1">IFERROR(IF(OR('Raw Data'!P96="",LEN(TRIM('Raw Data'!P96))=0),"",IF(AND(ISNUMBER('Raw Data'!P96),'Raw Data'!P96&gt;=Configuration!$D$2),"",_xlfn.REGEXEXTRACT(CELL("address",'Raw Data'!P96),"\$([A-Z]+)\$[0-9]+"))),_xlfn.REGEXEXTRACT(CELL("address",P96), "\$([A-Z]+)\$[0-9]+"))</f>
        <v/>
      </c>
      <c r="Q96" s="7" t="str" cm="1">
        <f t="array" aca="1" ref="Q96" ca="1">IFERROR(IF(OR('Raw Data'!Q96="",LEN(TRIM('Raw Data'!Q96))=0),"",IF(AND(ISNUMBER('Raw Data'!Q96),'Raw Data'!Q96&gt;=Configuration!$D$2),"",_xlfn.REGEXEXTRACT(CELL("address",'Raw Data'!Q96),"\$([A-Z]+)\$[0-9]+"))),_xlfn.REGEXEXTRACT(CELL("address",Q96), "\$([A-Z]+)\$[0-9]+"))</f>
        <v/>
      </c>
      <c r="R96" s="7" t="str" cm="1">
        <f t="array" aca="1" ref="R96" ca="1">IFERROR(IF(OR('Raw Data'!R96="",LEN(TRIM('Raw Data'!R96))=0),"",IF(AND(ISNUMBER('Raw Data'!R96), IFERROR('Raw Data'!R96 = ROUND('Raw Data'!R96, 2),FALSE)),"",_xlfn.REGEXEXTRACT(CELL("address",R96), "\$([A-Z]+)\$[0-9]+"))),_xlfn.REGEXEXTRACT(CELL("address",R96), "\$([A-Z]+)\$[0-9]+"))</f>
        <v/>
      </c>
      <c r="S96" s="7" t="str" cm="1">
        <f t="array" aca="1" ref="S96" ca="1">IFERROR(IF(OR('Raw Data'!S96="",LEN(TRIM('Raw Data'!S96))=0),"",IF(AND(ISNUMBER('Raw Data'!S96), IFERROR('Raw Data'!S96 = ROUND('Raw Data'!S96, 2),FALSE)),"",_xlfn.REGEXEXTRACT(CELL("address",S96), "\$([A-Z]+)\$[0-9]+"))),_xlfn.REGEXEXTRACT(CELL("address",S96), "\$([A-Z]+)\$[0-9]+"))</f>
        <v/>
      </c>
      <c r="T96" s="7" t="str" cm="1">
        <f t="array" aca="1" ref="T96" ca="1">IFERROR(IF(OR('Raw Data'!T96="",LEN(TRIM('Raw Data'!T96))=0),"",IF(AND(ISNUMBER('Raw Data'!T96), IFERROR('Raw Data'!T96 = ROUND('Raw Data'!T96, 2),FALSE)),"",_xlfn.REGEXEXTRACT(CELL("address",T96), "\$([A-Z]+)\$[0-9]+"))),_xlfn.REGEXEXTRACT(CELL("address",T96), "\$([A-Z]+)\$[0-9]+"))</f>
        <v/>
      </c>
      <c r="U96" s="7" t="str" cm="1">
        <f t="array" aca="1" ref="U96" ca="1">IFERROR(IF(OR('Raw Data'!U96="",LEN(TRIM('Raw Data'!U96))=0),"",IF(AND(LEN('Raw Data'!U96) &lt;= 5,LEN('Raw Data'!U96)&gt; 0),"",_xlfn.REGEXEXTRACT(CELL("address",'Raw Data'!U96),"\$([A-Z]+)\$[0-9]+"))),_xlfn.REGEXEXTRACT(CELL("address",'Raw Data'!U96),"\$([A-Z]+)\$[0-9]+"))</f>
        <v/>
      </c>
      <c r="V96" s="7" t="str" cm="1">
        <f t="array" aca="1" ref="V96" ca="1">IFERROR(IF(OR('Raw Data'!V96="",LEN(TRIM('Raw Data'!V96))=0),"",IF(AND(ISNUMBER('Raw Data'!V96), IFERROR('Raw Data'!V96 = ROUND('Raw Data'!V96, 2),FALSE)),"",_xlfn.REGEXEXTRACT(CELL("address",V96), "\$([A-Z]+)\$[0-9]+"))),_xlfn.REGEXEXTRACT(CELL("address",V96), "\$([A-Z]+)\$[0-9]+"))</f>
        <v/>
      </c>
      <c r="W96" s="7" t="str" cm="1">
        <f t="array" aca="1" ref="W96" ca="1">IFERROR(IF(OR('Raw Data'!W96="",LEN(TRIM('Raw Data'!W96))=0),"",IF(AND(ISNUMBER('Raw Data'!W96), IFERROR('Raw Data'!W96 = ROUND('Raw Data'!W96, 2),FALSE)),"",_xlfn.REGEXEXTRACT(CELL("address",W96), "\$([A-Z]+)\$[0-9]+"))),_xlfn.REGEXEXTRACT(CELL("address",W96), "\$([A-Z]+)\$[0-9]+"))</f>
        <v/>
      </c>
      <c r="X96" s="7" t="str" cm="1">
        <f t="array" aca="1" ref="X96" ca="1">IFERROR(IF(OR('Raw Data'!X96="",LEN(TRIM('Raw Data'!X96))=0),"",IF(AND(ISNUMBER('Raw Data'!X96), IFERROR('Raw Data'!X96 = ROUND('Raw Data'!X96, 2),FALSE)),"",_xlfn.REGEXEXTRACT(CELL("address",X96), "\$([A-Z]+)\$[0-9]+"))),_xlfn.REGEXEXTRACT(CELL("address",X96), "\$([A-Z]+)\$[0-9]+"))</f>
        <v/>
      </c>
    </row>
    <row r="97" spans="2:24" x14ac:dyDescent="0.25">
      <c r="B97" s="7" t="str" cm="1">
        <f t="array" aca="1" ref="B97" ca="1">IFERROR(IF(OR('Raw Data'!B97="",LEN(TRIM('Raw Data'!B97))=0),"",IF(AND(LEN('Raw Data'!B97) &lt;= 50,LEN('Raw Data'!B97)&gt; 0),"",_xlfn.REGEXEXTRACT(CELL("address",'Raw Data'!B97),"\$([A-Z]+)\$[0-9]+"))),_xlfn.REGEXEXTRACT(CELL("address",'Raw Data'!B97),"\$([A-Z]+)\$[0-9]+"))</f>
        <v/>
      </c>
      <c r="C97" s="7" t="str" cm="1">
        <f t="array" aca="1" ref="C97" ca="1">IFERROR(IF(OR('Raw Data'!C97="",LEN(TRIM('Raw Data'!C97))=0),"",IF(AND(LEN('Raw Data'!C97) &lt;= 50,LEN('Raw Data'!C97)&gt; 0),"",_xlfn.REGEXEXTRACT(CELL("address",'Raw Data'!C97),"\$([A-Z]+)\$[0-9]+"))),_xlfn.REGEXEXTRACT(CELL("address",'Raw Data'!C97),"\$([A-Z]+)\$[0-9]+"))</f>
        <v/>
      </c>
      <c r="D97" s="7" t="str" cm="1">
        <f t="array" aca="1" ref="D97" ca="1">IFERROR(IF(OR('Raw Data'!D97="",LEN(TRIM('Raw Data'!D97))=0),"",IF(AND(LEN('Raw Data'!D97) &lt;= 255,LEN('Raw Data'!D97)&gt; 0),"",_xlfn.REGEXEXTRACT(CELL("address",'Raw Data'!D97),"\$([A-Z]+)\$[0-9]+"))),_xlfn.REGEXEXTRACT(CELL("address",'Raw Data'!D97),"\$([A-Z]+)\$[0-9]+"))</f>
        <v/>
      </c>
      <c r="E97" s="7" t="str" cm="1">
        <f t="array" aca="1" ref="E97" ca="1">IFERROR(IF(OR('Raw Data'!E97="",LEN(TRIM('Raw Data'!E97))=0),"",IF(AND(ISNUMBER('Raw Data'!E97),'Raw Data'!E97&gt;=Configuration!$D$2),"",_xlfn.REGEXEXTRACT(CELL("address",'Raw Data'!E97),"\$([A-Z]+)\$[0-9]+"))),_xlfn.REGEXEXTRACT(CELL("address",E97), "\$([A-Z]+)\$[0-9]+"))</f>
        <v/>
      </c>
      <c r="F97" s="7" t="str" cm="1">
        <f t="array" aca="1" ref="F97" ca="1">IFERROR(IF(OR('Raw Data'!F97="",LEN(TRIM('Raw Data'!F97))=0),"",IF(AND(LEN('Raw Data'!F97) &lt;= 20,LEN('Raw Data'!F97)&gt; 0),"",_xlfn.REGEXEXTRACT(CELL("address",'Raw Data'!F97),"\$([A-Z]+)\$[0-9]+"))),_xlfn.REGEXEXTRACT(CELL("address",'Raw Data'!F97),"\$([A-Z]+)\$[0-9]+"))</f>
        <v/>
      </c>
      <c r="G97" s="7" t="str" cm="1">
        <f t="array" aca="1" ref="G97" ca="1">IFERROR(IF(OR('Raw Data'!G97="",LEN(TRIM('Raw Data'!G97))=0),"",IF(AND(ISNUMBER('Raw Data'!G97), IFERROR('Raw Data'!G97 = ROUND('Raw Data'!G97, 2),FALSE)),"",_xlfn.REGEXEXTRACT(CELL("address",G97), "\$([A-Z]+)\$[0-9]+"))),_xlfn.REGEXEXTRACT(CELL("address",G97), "\$([A-Z]+)\$[0-9]+"))</f>
        <v/>
      </c>
      <c r="H97" s="7" t="str" cm="1">
        <f t="array" aca="1" ref="H97" ca="1">IFERROR(IF(OR('Raw Data'!H97="",LEN(TRIM('Raw Data'!H97))=0),"",IF(AND(ISNUMBER('Raw Data'!H97), IFERROR('Raw Data'!H97 = ROUND('Raw Data'!H97, 2),FALSE)),"",_xlfn.REGEXEXTRACT(CELL("address",H97), "\$([A-Z]+)\$[0-9]+"))),_xlfn.REGEXEXTRACT(CELL("address",H97), "\$([A-Z]+)\$[0-9]+"))</f>
        <v/>
      </c>
      <c r="I97" s="7" t="str" cm="1">
        <f t="array" aca="1" ref="I97" ca="1">IFERROR(IF(OR('Raw Data'!I97="",LEN(TRIM('Raw Data'!I97))=0),"",IF(AND(LEN('Raw Data'!I97) &lt;= 50,LEN('Raw Data'!I97)&gt; 0),"",_xlfn.REGEXEXTRACT(CELL("address",'Raw Data'!I97),"\$([A-Z]+)\$[0-9]+"))),_xlfn.REGEXEXTRACT(CELL("address",'Raw Data'!I97),"\$([A-Z]+)\$[0-9]+"))</f>
        <v/>
      </c>
      <c r="J97" s="7" t="str" cm="1">
        <f t="array" aca="1" ref="J97" ca="1">IFERROR(IF(OR('Raw Data'!J97="",LEN(TRIM('Raw Data'!J97))=0),"",IF(AND(ISNUMBER('Raw Data'!J97),'Raw Data'!J97&gt;=Configuration!$D$2),"",_xlfn.REGEXEXTRACT(CELL("address",'Raw Data'!J97),"\$([A-Z]+)\$[0-9]+"))),_xlfn.REGEXEXTRACT(CELL("address",J97), "\$([A-Z]+)\$[0-9]+"))</f>
        <v/>
      </c>
      <c r="K97" s="7" t="str" cm="1">
        <f t="array" aca="1" ref="K97" ca="1">IFERROR(IF(OR('Raw Data'!K97="",LEN(TRIM('Raw Data'!K97))=0),"",IF(AND(ISNUMBER('Raw Data'!K97), IFERROR('Raw Data'!K97 = ROUND('Raw Data'!K97, 2),FALSE)),"",_xlfn.REGEXEXTRACT(CELL("address",K97), "\$([A-Z]+)\$[0-9]+"))),_xlfn.REGEXEXTRACT(CELL("address",K97), "\$([A-Z]+)\$[0-9]+"))</f>
        <v/>
      </c>
      <c r="L97" s="7" t="str" cm="1">
        <f t="array" aca="1" ref="L97" ca="1">IFERROR(IF(OR('Raw Data'!L97="",LEN(TRIM('Raw Data'!L97))=0),"",IF(AND(ISNUMBER('Raw Data'!L97), IFERROR('Raw Data'!L97 = ROUND('Raw Data'!L97, 2),FALSE)),"",_xlfn.REGEXEXTRACT(CELL("address",L97), "\$([A-Z]+)\$[0-9]+"))),_xlfn.REGEXEXTRACT(CELL("address",L97), "\$([A-Z]+)\$[0-9]+"))</f>
        <v/>
      </c>
      <c r="M97" s="7" t="str" cm="1">
        <f t="array" aca="1" ref="M97" ca="1">IFERROR(IF(OR('Raw Data'!M97="",LEN(TRIM('Raw Data'!M97))=0),"",IF(AND(ISNUMBER('Raw Data'!M97), IFERROR('Raw Data'!M97 = ROUND('Raw Data'!M97, 2),FALSE)),"",_xlfn.REGEXEXTRACT(CELL("address",M97), "\$([A-Z]+)\$[0-9]+"))),_xlfn.REGEXEXTRACT(CELL("address",M97), "\$([A-Z]+)\$[0-9]+"))</f>
        <v/>
      </c>
      <c r="N97" s="7" t="str" cm="1">
        <f t="array" aca="1" ref="N97" ca="1">IFERROR(IF(OR('Raw Data'!N97="",LEN(TRIM('Raw Data'!N97))=0),"",IF(AND(ISNUMBER('Raw Data'!N97), IFERROR('Raw Data'!N97 = ROUND('Raw Data'!N97, 2),FALSE)),"",_xlfn.REGEXEXTRACT(CELL("address",N97), "\$([A-Z]+)\$[0-9]+"))),_xlfn.REGEXEXTRACT(CELL("address",N97), "\$([A-Z]+)\$[0-9]+"))</f>
        <v/>
      </c>
      <c r="O97" s="7" t="str" cm="1">
        <f t="array" aca="1" ref="O97" ca="1">IFERROR(IF(OR('Raw Data'!O97="",LEN(TRIM('Raw Data'!O97))=0),"",IF(AND(ISNUMBER('Raw Data'!O97), IFERROR('Raw Data'!O97 = ROUND('Raw Data'!O97, 2),FALSE)),"",_xlfn.REGEXEXTRACT(CELL("address",O97), "\$([A-Z]+)\$[0-9]+"))),_xlfn.REGEXEXTRACT(CELL("address",O97), "\$([A-Z]+)\$[0-9]+"))</f>
        <v/>
      </c>
      <c r="P97" s="7" t="str" cm="1">
        <f t="array" aca="1" ref="P97" ca="1">IFERROR(IF(OR('Raw Data'!P97="",LEN(TRIM('Raw Data'!P97))=0),"",IF(AND(ISNUMBER('Raw Data'!P97),'Raw Data'!P97&gt;=Configuration!$D$2),"",_xlfn.REGEXEXTRACT(CELL("address",'Raw Data'!P97),"\$([A-Z]+)\$[0-9]+"))),_xlfn.REGEXEXTRACT(CELL("address",P97), "\$([A-Z]+)\$[0-9]+"))</f>
        <v/>
      </c>
      <c r="Q97" s="7" t="str" cm="1">
        <f t="array" aca="1" ref="Q97" ca="1">IFERROR(IF(OR('Raw Data'!Q97="",LEN(TRIM('Raw Data'!Q97))=0),"",IF(AND(ISNUMBER('Raw Data'!Q97),'Raw Data'!Q97&gt;=Configuration!$D$2),"",_xlfn.REGEXEXTRACT(CELL("address",'Raw Data'!Q97),"\$([A-Z]+)\$[0-9]+"))),_xlfn.REGEXEXTRACT(CELL("address",Q97), "\$([A-Z]+)\$[0-9]+"))</f>
        <v/>
      </c>
      <c r="R97" s="7" t="str" cm="1">
        <f t="array" aca="1" ref="R97" ca="1">IFERROR(IF(OR('Raw Data'!R97="",LEN(TRIM('Raw Data'!R97))=0),"",IF(AND(ISNUMBER('Raw Data'!R97), IFERROR('Raw Data'!R97 = ROUND('Raw Data'!R97, 2),FALSE)),"",_xlfn.REGEXEXTRACT(CELL("address",R97), "\$([A-Z]+)\$[0-9]+"))),_xlfn.REGEXEXTRACT(CELL("address",R97), "\$([A-Z]+)\$[0-9]+"))</f>
        <v/>
      </c>
      <c r="S97" s="7" t="str" cm="1">
        <f t="array" aca="1" ref="S97" ca="1">IFERROR(IF(OR('Raw Data'!S97="",LEN(TRIM('Raw Data'!S97))=0),"",IF(AND(ISNUMBER('Raw Data'!S97), IFERROR('Raw Data'!S97 = ROUND('Raw Data'!S97, 2),FALSE)),"",_xlfn.REGEXEXTRACT(CELL("address",S97), "\$([A-Z]+)\$[0-9]+"))),_xlfn.REGEXEXTRACT(CELL("address",S97), "\$([A-Z]+)\$[0-9]+"))</f>
        <v/>
      </c>
      <c r="T97" s="7" t="str" cm="1">
        <f t="array" aca="1" ref="T97" ca="1">IFERROR(IF(OR('Raw Data'!T97="",LEN(TRIM('Raw Data'!T97))=0),"",IF(AND(ISNUMBER('Raw Data'!T97), IFERROR('Raw Data'!T97 = ROUND('Raw Data'!T97, 2),FALSE)),"",_xlfn.REGEXEXTRACT(CELL("address",T97), "\$([A-Z]+)\$[0-9]+"))),_xlfn.REGEXEXTRACT(CELL("address",T97), "\$([A-Z]+)\$[0-9]+"))</f>
        <v/>
      </c>
      <c r="U97" s="7" t="str" cm="1">
        <f t="array" aca="1" ref="U97" ca="1">IFERROR(IF(OR('Raw Data'!U97="",LEN(TRIM('Raw Data'!U97))=0),"",IF(AND(LEN('Raw Data'!U97) &lt;= 5,LEN('Raw Data'!U97)&gt; 0),"",_xlfn.REGEXEXTRACT(CELL("address",'Raw Data'!U97),"\$([A-Z]+)\$[0-9]+"))),_xlfn.REGEXEXTRACT(CELL("address",'Raw Data'!U97),"\$([A-Z]+)\$[0-9]+"))</f>
        <v/>
      </c>
      <c r="V97" s="7" t="str" cm="1">
        <f t="array" aca="1" ref="V97" ca="1">IFERROR(IF(OR('Raw Data'!V97="",LEN(TRIM('Raw Data'!V97))=0),"",IF(AND(ISNUMBER('Raw Data'!V97), IFERROR('Raw Data'!V97 = ROUND('Raw Data'!V97, 2),FALSE)),"",_xlfn.REGEXEXTRACT(CELL("address",V97), "\$([A-Z]+)\$[0-9]+"))),_xlfn.REGEXEXTRACT(CELL("address",V97), "\$([A-Z]+)\$[0-9]+"))</f>
        <v/>
      </c>
      <c r="W97" s="7" t="str" cm="1">
        <f t="array" aca="1" ref="W97" ca="1">IFERROR(IF(OR('Raw Data'!W97="",LEN(TRIM('Raw Data'!W97))=0),"",IF(AND(ISNUMBER('Raw Data'!W97), IFERROR('Raw Data'!W97 = ROUND('Raw Data'!W97, 2),FALSE)),"",_xlfn.REGEXEXTRACT(CELL("address",W97), "\$([A-Z]+)\$[0-9]+"))),_xlfn.REGEXEXTRACT(CELL("address",W97), "\$([A-Z]+)\$[0-9]+"))</f>
        <v/>
      </c>
      <c r="X97" s="7" t="str" cm="1">
        <f t="array" aca="1" ref="X97" ca="1">IFERROR(IF(OR('Raw Data'!X97="",LEN(TRIM('Raw Data'!X97))=0),"",IF(AND(ISNUMBER('Raw Data'!X97), IFERROR('Raw Data'!X97 = ROUND('Raw Data'!X97, 2),FALSE)),"",_xlfn.REGEXEXTRACT(CELL("address",X97), "\$([A-Z]+)\$[0-9]+"))),_xlfn.REGEXEXTRACT(CELL("address",X97), "\$([A-Z]+)\$[0-9]+"))</f>
        <v/>
      </c>
    </row>
    <row r="98" spans="2:24" x14ac:dyDescent="0.25">
      <c r="B98" s="7" t="str" cm="1">
        <f t="array" aca="1" ref="B98" ca="1">IFERROR(IF(OR('Raw Data'!B98="",LEN(TRIM('Raw Data'!B98))=0),"",IF(AND(LEN('Raw Data'!B98) &lt;= 50,LEN('Raw Data'!B98)&gt; 0),"",_xlfn.REGEXEXTRACT(CELL("address",'Raw Data'!B98),"\$([A-Z]+)\$[0-9]+"))),_xlfn.REGEXEXTRACT(CELL("address",'Raw Data'!B98),"\$([A-Z]+)\$[0-9]+"))</f>
        <v/>
      </c>
      <c r="C98" s="7" t="str" cm="1">
        <f t="array" aca="1" ref="C98" ca="1">IFERROR(IF(OR('Raw Data'!C98="",LEN(TRIM('Raw Data'!C98))=0),"",IF(AND(LEN('Raw Data'!C98) &lt;= 50,LEN('Raw Data'!C98)&gt; 0),"",_xlfn.REGEXEXTRACT(CELL("address",'Raw Data'!C98),"\$([A-Z]+)\$[0-9]+"))),_xlfn.REGEXEXTRACT(CELL("address",'Raw Data'!C98),"\$([A-Z]+)\$[0-9]+"))</f>
        <v/>
      </c>
      <c r="D98" s="7" t="str" cm="1">
        <f t="array" aca="1" ref="D98" ca="1">IFERROR(IF(OR('Raw Data'!D98="",LEN(TRIM('Raw Data'!D98))=0),"",IF(AND(LEN('Raw Data'!D98) &lt;= 255,LEN('Raw Data'!D98)&gt; 0),"",_xlfn.REGEXEXTRACT(CELL("address",'Raw Data'!D98),"\$([A-Z]+)\$[0-9]+"))),_xlfn.REGEXEXTRACT(CELL("address",'Raw Data'!D98),"\$([A-Z]+)\$[0-9]+"))</f>
        <v/>
      </c>
      <c r="E98" s="7" t="str" cm="1">
        <f t="array" aca="1" ref="E98" ca="1">IFERROR(IF(OR('Raw Data'!E98="",LEN(TRIM('Raw Data'!E98))=0),"",IF(AND(ISNUMBER('Raw Data'!E98),'Raw Data'!E98&gt;=Configuration!$D$2),"",_xlfn.REGEXEXTRACT(CELL("address",'Raw Data'!E98),"\$([A-Z]+)\$[0-9]+"))),_xlfn.REGEXEXTRACT(CELL("address",E98), "\$([A-Z]+)\$[0-9]+"))</f>
        <v/>
      </c>
      <c r="F98" s="7" t="str" cm="1">
        <f t="array" aca="1" ref="F98" ca="1">IFERROR(IF(OR('Raw Data'!F98="",LEN(TRIM('Raw Data'!F98))=0),"",IF(AND(LEN('Raw Data'!F98) &lt;= 20,LEN('Raw Data'!F98)&gt; 0),"",_xlfn.REGEXEXTRACT(CELL("address",'Raw Data'!F98),"\$([A-Z]+)\$[0-9]+"))),_xlfn.REGEXEXTRACT(CELL("address",'Raw Data'!F98),"\$([A-Z]+)\$[0-9]+"))</f>
        <v/>
      </c>
      <c r="G98" s="7" t="str" cm="1">
        <f t="array" aca="1" ref="G98" ca="1">IFERROR(IF(OR('Raw Data'!G98="",LEN(TRIM('Raw Data'!G98))=0),"",IF(AND(ISNUMBER('Raw Data'!G98), IFERROR('Raw Data'!G98 = ROUND('Raw Data'!G98, 2),FALSE)),"",_xlfn.REGEXEXTRACT(CELL("address",G98), "\$([A-Z]+)\$[0-9]+"))),_xlfn.REGEXEXTRACT(CELL("address",G98), "\$([A-Z]+)\$[0-9]+"))</f>
        <v/>
      </c>
      <c r="H98" s="7" t="str" cm="1">
        <f t="array" aca="1" ref="H98" ca="1">IFERROR(IF(OR('Raw Data'!H98="",LEN(TRIM('Raw Data'!H98))=0),"",IF(AND(ISNUMBER('Raw Data'!H98), IFERROR('Raw Data'!H98 = ROUND('Raw Data'!H98, 2),FALSE)),"",_xlfn.REGEXEXTRACT(CELL("address",H98), "\$([A-Z]+)\$[0-9]+"))),_xlfn.REGEXEXTRACT(CELL("address",H98), "\$([A-Z]+)\$[0-9]+"))</f>
        <v/>
      </c>
      <c r="I98" s="7" t="str" cm="1">
        <f t="array" aca="1" ref="I98" ca="1">IFERROR(IF(OR('Raw Data'!I98="",LEN(TRIM('Raw Data'!I98))=0),"",IF(AND(LEN('Raw Data'!I98) &lt;= 50,LEN('Raw Data'!I98)&gt; 0),"",_xlfn.REGEXEXTRACT(CELL("address",'Raw Data'!I98),"\$([A-Z]+)\$[0-9]+"))),_xlfn.REGEXEXTRACT(CELL("address",'Raw Data'!I98),"\$([A-Z]+)\$[0-9]+"))</f>
        <v/>
      </c>
      <c r="J98" s="7" t="str" cm="1">
        <f t="array" aca="1" ref="J98" ca="1">IFERROR(IF(OR('Raw Data'!J98="",LEN(TRIM('Raw Data'!J98))=0),"",IF(AND(ISNUMBER('Raw Data'!J98),'Raw Data'!J98&gt;=Configuration!$D$2),"",_xlfn.REGEXEXTRACT(CELL("address",'Raw Data'!J98),"\$([A-Z]+)\$[0-9]+"))),_xlfn.REGEXEXTRACT(CELL("address",J98), "\$([A-Z]+)\$[0-9]+"))</f>
        <v/>
      </c>
      <c r="K98" s="7" t="str" cm="1">
        <f t="array" aca="1" ref="K98" ca="1">IFERROR(IF(OR('Raw Data'!K98="",LEN(TRIM('Raw Data'!K98))=0),"",IF(AND(ISNUMBER('Raw Data'!K98), IFERROR('Raw Data'!K98 = ROUND('Raw Data'!K98, 2),FALSE)),"",_xlfn.REGEXEXTRACT(CELL("address",K98), "\$([A-Z]+)\$[0-9]+"))),_xlfn.REGEXEXTRACT(CELL("address",K98), "\$([A-Z]+)\$[0-9]+"))</f>
        <v/>
      </c>
      <c r="L98" s="7" t="str" cm="1">
        <f t="array" aca="1" ref="L98" ca="1">IFERROR(IF(OR('Raw Data'!L98="",LEN(TRIM('Raw Data'!L98))=0),"",IF(AND(ISNUMBER('Raw Data'!L98), IFERROR('Raw Data'!L98 = ROUND('Raw Data'!L98, 2),FALSE)),"",_xlfn.REGEXEXTRACT(CELL("address",L98), "\$([A-Z]+)\$[0-9]+"))),_xlfn.REGEXEXTRACT(CELL("address",L98), "\$([A-Z]+)\$[0-9]+"))</f>
        <v/>
      </c>
      <c r="M98" s="7" t="str" cm="1">
        <f t="array" aca="1" ref="M98" ca="1">IFERROR(IF(OR('Raw Data'!M98="",LEN(TRIM('Raw Data'!M98))=0),"",IF(AND(ISNUMBER('Raw Data'!M98), IFERROR('Raw Data'!M98 = ROUND('Raw Data'!M98, 2),FALSE)),"",_xlfn.REGEXEXTRACT(CELL("address",M98), "\$([A-Z]+)\$[0-9]+"))),_xlfn.REGEXEXTRACT(CELL("address",M98), "\$([A-Z]+)\$[0-9]+"))</f>
        <v/>
      </c>
      <c r="N98" s="7" t="str" cm="1">
        <f t="array" aca="1" ref="N98" ca="1">IFERROR(IF(OR('Raw Data'!N98="",LEN(TRIM('Raw Data'!N98))=0),"",IF(AND(ISNUMBER('Raw Data'!N98), IFERROR('Raw Data'!N98 = ROUND('Raw Data'!N98, 2),FALSE)),"",_xlfn.REGEXEXTRACT(CELL("address",N98), "\$([A-Z]+)\$[0-9]+"))),_xlfn.REGEXEXTRACT(CELL("address",N98), "\$([A-Z]+)\$[0-9]+"))</f>
        <v/>
      </c>
      <c r="O98" s="7" t="str" cm="1">
        <f t="array" aca="1" ref="O98" ca="1">IFERROR(IF(OR('Raw Data'!O98="",LEN(TRIM('Raw Data'!O98))=0),"",IF(AND(ISNUMBER('Raw Data'!O98), IFERROR('Raw Data'!O98 = ROUND('Raw Data'!O98, 2),FALSE)),"",_xlfn.REGEXEXTRACT(CELL("address",O98), "\$([A-Z]+)\$[0-9]+"))),_xlfn.REGEXEXTRACT(CELL("address",O98), "\$([A-Z]+)\$[0-9]+"))</f>
        <v/>
      </c>
      <c r="P98" s="7" t="str" cm="1">
        <f t="array" aca="1" ref="P98" ca="1">IFERROR(IF(OR('Raw Data'!P98="",LEN(TRIM('Raw Data'!P98))=0),"",IF(AND(ISNUMBER('Raw Data'!P98),'Raw Data'!P98&gt;=Configuration!$D$2),"",_xlfn.REGEXEXTRACT(CELL("address",'Raw Data'!P98),"\$([A-Z]+)\$[0-9]+"))),_xlfn.REGEXEXTRACT(CELL("address",P98), "\$([A-Z]+)\$[0-9]+"))</f>
        <v/>
      </c>
      <c r="Q98" s="7" t="str" cm="1">
        <f t="array" aca="1" ref="Q98" ca="1">IFERROR(IF(OR('Raw Data'!Q98="",LEN(TRIM('Raw Data'!Q98))=0),"",IF(AND(ISNUMBER('Raw Data'!Q98),'Raw Data'!Q98&gt;=Configuration!$D$2),"",_xlfn.REGEXEXTRACT(CELL("address",'Raw Data'!Q98),"\$([A-Z]+)\$[0-9]+"))),_xlfn.REGEXEXTRACT(CELL("address",Q98), "\$([A-Z]+)\$[0-9]+"))</f>
        <v/>
      </c>
      <c r="R98" s="7" t="str" cm="1">
        <f t="array" aca="1" ref="R98" ca="1">IFERROR(IF(OR('Raw Data'!R98="",LEN(TRIM('Raw Data'!R98))=0),"",IF(AND(ISNUMBER('Raw Data'!R98), IFERROR('Raw Data'!R98 = ROUND('Raw Data'!R98, 2),FALSE)),"",_xlfn.REGEXEXTRACT(CELL("address",R98), "\$([A-Z]+)\$[0-9]+"))),_xlfn.REGEXEXTRACT(CELL("address",R98), "\$([A-Z]+)\$[0-9]+"))</f>
        <v/>
      </c>
      <c r="S98" s="7" t="str" cm="1">
        <f t="array" aca="1" ref="S98" ca="1">IFERROR(IF(OR('Raw Data'!S98="",LEN(TRIM('Raw Data'!S98))=0),"",IF(AND(ISNUMBER('Raw Data'!S98), IFERROR('Raw Data'!S98 = ROUND('Raw Data'!S98, 2),FALSE)),"",_xlfn.REGEXEXTRACT(CELL("address",S98), "\$([A-Z]+)\$[0-9]+"))),_xlfn.REGEXEXTRACT(CELL("address",S98), "\$([A-Z]+)\$[0-9]+"))</f>
        <v/>
      </c>
      <c r="T98" s="7" t="str" cm="1">
        <f t="array" aca="1" ref="T98" ca="1">IFERROR(IF(OR('Raw Data'!T98="",LEN(TRIM('Raw Data'!T98))=0),"",IF(AND(ISNUMBER('Raw Data'!T98), IFERROR('Raw Data'!T98 = ROUND('Raw Data'!T98, 2),FALSE)),"",_xlfn.REGEXEXTRACT(CELL("address",T98), "\$([A-Z]+)\$[0-9]+"))),_xlfn.REGEXEXTRACT(CELL("address",T98), "\$([A-Z]+)\$[0-9]+"))</f>
        <v/>
      </c>
      <c r="U98" s="7" t="str" cm="1">
        <f t="array" aca="1" ref="U98" ca="1">IFERROR(IF(OR('Raw Data'!U98="",LEN(TRIM('Raw Data'!U98))=0),"",IF(AND(LEN('Raw Data'!U98) &lt;= 5,LEN('Raw Data'!U98)&gt; 0),"",_xlfn.REGEXEXTRACT(CELL("address",'Raw Data'!U98),"\$([A-Z]+)\$[0-9]+"))),_xlfn.REGEXEXTRACT(CELL("address",'Raw Data'!U98),"\$([A-Z]+)\$[0-9]+"))</f>
        <v/>
      </c>
      <c r="V98" s="7" t="str" cm="1">
        <f t="array" aca="1" ref="V98" ca="1">IFERROR(IF(OR('Raw Data'!V98="",LEN(TRIM('Raw Data'!V98))=0),"",IF(AND(ISNUMBER('Raw Data'!V98), IFERROR('Raw Data'!V98 = ROUND('Raw Data'!V98, 2),FALSE)),"",_xlfn.REGEXEXTRACT(CELL("address",V98), "\$([A-Z]+)\$[0-9]+"))),_xlfn.REGEXEXTRACT(CELL("address",V98), "\$([A-Z]+)\$[0-9]+"))</f>
        <v/>
      </c>
      <c r="W98" s="7" t="str" cm="1">
        <f t="array" aca="1" ref="W98" ca="1">IFERROR(IF(OR('Raw Data'!W98="",LEN(TRIM('Raw Data'!W98))=0),"",IF(AND(ISNUMBER('Raw Data'!W98), IFERROR('Raw Data'!W98 = ROUND('Raw Data'!W98, 2),FALSE)),"",_xlfn.REGEXEXTRACT(CELL("address",W98), "\$([A-Z]+)\$[0-9]+"))),_xlfn.REGEXEXTRACT(CELL("address",W98), "\$([A-Z]+)\$[0-9]+"))</f>
        <v/>
      </c>
      <c r="X98" s="7" t="str" cm="1">
        <f t="array" aca="1" ref="X98" ca="1">IFERROR(IF(OR('Raw Data'!X98="",LEN(TRIM('Raw Data'!X98))=0),"",IF(AND(ISNUMBER('Raw Data'!X98), IFERROR('Raw Data'!X98 = ROUND('Raw Data'!X98, 2),FALSE)),"",_xlfn.REGEXEXTRACT(CELL("address",X98), "\$([A-Z]+)\$[0-9]+"))),_xlfn.REGEXEXTRACT(CELL("address",X98), "\$([A-Z]+)\$[0-9]+"))</f>
        <v/>
      </c>
    </row>
    <row r="99" spans="2:24" x14ac:dyDescent="0.25">
      <c r="B99" s="7" t="str" cm="1">
        <f t="array" aca="1" ref="B99" ca="1">IFERROR(IF(OR('Raw Data'!B99="",LEN(TRIM('Raw Data'!B99))=0),"",IF(AND(LEN('Raw Data'!B99) &lt;= 50,LEN('Raw Data'!B99)&gt; 0),"",_xlfn.REGEXEXTRACT(CELL("address",'Raw Data'!B99),"\$([A-Z]+)\$[0-9]+"))),_xlfn.REGEXEXTRACT(CELL("address",'Raw Data'!B99),"\$([A-Z]+)\$[0-9]+"))</f>
        <v/>
      </c>
      <c r="C99" s="7" t="str" cm="1">
        <f t="array" aca="1" ref="C99" ca="1">IFERROR(IF(OR('Raw Data'!C99="",LEN(TRIM('Raw Data'!C99))=0),"",IF(AND(LEN('Raw Data'!C99) &lt;= 50,LEN('Raw Data'!C99)&gt; 0),"",_xlfn.REGEXEXTRACT(CELL("address",'Raw Data'!C99),"\$([A-Z]+)\$[0-9]+"))),_xlfn.REGEXEXTRACT(CELL("address",'Raw Data'!C99),"\$([A-Z]+)\$[0-9]+"))</f>
        <v/>
      </c>
      <c r="D99" s="7" t="str" cm="1">
        <f t="array" aca="1" ref="D99" ca="1">IFERROR(IF(OR('Raw Data'!D99="",LEN(TRIM('Raw Data'!D99))=0),"",IF(AND(LEN('Raw Data'!D99) &lt;= 255,LEN('Raw Data'!D99)&gt; 0),"",_xlfn.REGEXEXTRACT(CELL("address",'Raw Data'!D99),"\$([A-Z]+)\$[0-9]+"))),_xlfn.REGEXEXTRACT(CELL("address",'Raw Data'!D99),"\$([A-Z]+)\$[0-9]+"))</f>
        <v/>
      </c>
      <c r="E99" s="7" t="str" cm="1">
        <f t="array" aca="1" ref="E99" ca="1">IFERROR(IF(OR('Raw Data'!E99="",LEN(TRIM('Raw Data'!E99))=0),"",IF(AND(ISNUMBER('Raw Data'!E99),'Raw Data'!E99&gt;=Configuration!$D$2),"",_xlfn.REGEXEXTRACT(CELL("address",'Raw Data'!E99),"\$([A-Z]+)\$[0-9]+"))),_xlfn.REGEXEXTRACT(CELL("address",E99), "\$([A-Z]+)\$[0-9]+"))</f>
        <v/>
      </c>
      <c r="F99" s="7" t="str" cm="1">
        <f t="array" aca="1" ref="F99" ca="1">IFERROR(IF(OR('Raw Data'!F99="",LEN(TRIM('Raw Data'!F99))=0),"",IF(AND(LEN('Raw Data'!F99) &lt;= 20,LEN('Raw Data'!F99)&gt; 0),"",_xlfn.REGEXEXTRACT(CELL("address",'Raw Data'!F99),"\$([A-Z]+)\$[0-9]+"))),_xlfn.REGEXEXTRACT(CELL("address",'Raw Data'!F99),"\$([A-Z]+)\$[0-9]+"))</f>
        <v/>
      </c>
      <c r="G99" s="7" t="str" cm="1">
        <f t="array" aca="1" ref="G99" ca="1">IFERROR(IF(OR('Raw Data'!G99="",LEN(TRIM('Raw Data'!G99))=0),"",IF(AND(ISNUMBER('Raw Data'!G99), IFERROR('Raw Data'!G99 = ROUND('Raw Data'!G99, 2),FALSE)),"",_xlfn.REGEXEXTRACT(CELL("address",G99), "\$([A-Z]+)\$[0-9]+"))),_xlfn.REGEXEXTRACT(CELL("address",G99), "\$([A-Z]+)\$[0-9]+"))</f>
        <v/>
      </c>
      <c r="H99" s="7" t="str" cm="1">
        <f t="array" aca="1" ref="H99" ca="1">IFERROR(IF(OR('Raw Data'!H99="",LEN(TRIM('Raw Data'!H99))=0),"",IF(AND(ISNUMBER('Raw Data'!H99), IFERROR('Raw Data'!H99 = ROUND('Raw Data'!H99, 2),FALSE)),"",_xlfn.REGEXEXTRACT(CELL("address",H99), "\$([A-Z]+)\$[0-9]+"))),_xlfn.REGEXEXTRACT(CELL("address",H99), "\$([A-Z]+)\$[0-9]+"))</f>
        <v/>
      </c>
      <c r="I99" s="7" t="str" cm="1">
        <f t="array" aca="1" ref="I99" ca="1">IFERROR(IF(OR('Raw Data'!I99="",LEN(TRIM('Raw Data'!I99))=0),"",IF(AND(LEN('Raw Data'!I99) &lt;= 50,LEN('Raw Data'!I99)&gt; 0),"",_xlfn.REGEXEXTRACT(CELL("address",'Raw Data'!I99),"\$([A-Z]+)\$[0-9]+"))),_xlfn.REGEXEXTRACT(CELL("address",'Raw Data'!I99),"\$([A-Z]+)\$[0-9]+"))</f>
        <v/>
      </c>
      <c r="J99" s="7" t="str" cm="1">
        <f t="array" aca="1" ref="J99" ca="1">IFERROR(IF(OR('Raw Data'!J99="",LEN(TRIM('Raw Data'!J99))=0),"",IF(AND(ISNUMBER('Raw Data'!J99),'Raw Data'!J99&gt;=Configuration!$D$2),"",_xlfn.REGEXEXTRACT(CELL("address",'Raw Data'!J99),"\$([A-Z]+)\$[0-9]+"))),_xlfn.REGEXEXTRACT(CELL("address",J99), "\$([A-Z]+)\$[0-9]+"))</f>
        <v/>
      </c>
      <c r="K99" s="7" t="str" cm="1">
        <f t="array" aca="1" ref="K99" ca="1">IFERROR(IF(OR('Raw Data'!K99="",LEN(TRIM('Raw Data'!K99))=0),"",IF(AND(ISNUMBER('Raw Data'!K99), IFERROR('Raw Data'!K99 = ROUND('Raw Data'!K99, 2),FALSE)),"",_xlfn.REGEXEXTRACT(CELL("address",K99), "\$([A-Z]+)\$[0-9]+"))),_xlfn.REGEXEXTRACT(CELL("address",K99), "\$([A-Z]+)\$[0-9]+"))</f>
        <v/>
      </c>
      <c r="L99" s="7" t="str" cm="1">
        <f t="array" aca="1" ref="L99" ca="1">IFERROR(IF(OR('Raw Data'!L99="",LEN(TRIM('Raw Data'!L99))=0),"",IF(AND(ISNUMBER('Raw Data'!L99), IFERROR('Raw Data'!L99 = ROUND('Raw Data'!L99, 2),FALSE)),"",_xlfn.REGEXEXTRACT(CELL("address",L99), "\$([A-Z]+)\$[0-9]+"))),_xlfn.REGEXEXTRACT(CELL("address",L99), "\$([A-Z]+)\$[0-9]+"))</f>
        <v/>
      </c>
      <c r="M99" s="7" t="str" cm="1">
        <f t="array" aca="1" ref="M99" ca="1">IFERROR(IF(OR('Raw Data'!M99="",LEN(TRIM('Raw Data'!M99))=0),"",IF(AND(ISNUMBER('Raw Data'!M99), IFERROR('Raw Data'!M99 = ROUND('Raw Data'!M99, 2),FALSE)),"",_xlfn.REGEXEXTRACT(CELL("address",M99), "\$([A-Z]+)\$[0-9]+"))),_xlfn.REGEXEXTRACT(CELL("address",M99), "\$([A-Z]+)\$[0-9]+"))</f>
        <v/>
      </c>
      <c r="N99" s="7" t="str" cm="1">
        <f t="array" aca="1" ref="N99" ca="1">IFERROR(IF(OR('Raw Data'!N99="",LEN(TRIM('Raw Data'!N99))=0),"",IF(AND(ISNUMBER('Raw Data'!N99), IFERROR('Raw Data'!N99 = ROUND('Raw Data'!N99, 2),FALSE)),"",_xlfn.REGEXEXTRACT(CELL("address",N99), "\$([A-Z]+)\$[0-9]+"))),_xlfn.REGEXEXTRACT(CELL("address",N99), "\$([A-Z]+)\$[0-9]+"))</f>
        <v/>
      </c>
      <c r="O99" s="7" t="str" cm="1">
        <f t="array" aca="1" ref="O99" ca="1">IFERROR(IF(OR('Raw Data'!O99="",LEN(TRIM('Raw Data'!O99))=0),"",IF(AND(ISNUMBER('Raw Data'!O99), IFERROR('Raw Data'!O99 = ROUND('Raw Data'!O99, 2),FALSE)),"",_xlfn.REGEXEXTRACT(CELL("address",O99), "\$([A-Z]+)\$[0-9]+"))),_xlfn.REGEXEXTRACT(CELL("address",O99), "\$([A-Z]+)\$[0-9]+"))</f>
        <v/>
      </c>
      <c r="P99" s="7" t="str" cm="1">
        <f t="array" aca="1" ref="P99" ca="1">IFERROR(IF(OR('Raw Data'!P99="",LEN(TRIM('Raw Data'!P99))=0),"",IF(AND(ISNUMBER('Raw Data'!P99),'Raw Data'!P99&gt;=Configuration!$D$2),"",_xlfn.REGEXEXTRACT(CELL("address",'Raw Data'!P99),"\$([A-Z]+)\$[0-9]+"))),_xlfn.REGEXEXTRACT(CELL("address",P99), "\$([A-Z]+)\$[0-9]+"))</f>
        <v/>
      </c>
      <c r="Q99" s="7" t="str" cm="1">
        <f t="array" aca="1" ref="Q99" ca="1">IFERROR(IF(OR('Raw Data'!Q99="",LEN(TRIM('Raw Data'!Q99))=0),"",IF(AND(ISNUMBER('Raw Data'!Q99),'Raw Data'!Q99&gt;=Configuration!$D$2),"",_xlfn.REGEXEXTRACT(CELL("address",'Raw Data'!Q99),"\$([A-Z]+)\$[0-9]+"))),_xlfn.REGEXEXTRACT(CELL("address",Q99), "\$([A-Z]+)\$[0-9]+"))</f>
        <v/>
      </c>
      <c r="R99" s="7" t="str" cm="1">
        <f t="array" aca="1" ref="R99" ca="1">IFERROR(IF(OR('Raw Data'!R99="",LEN(TRIM('Raw Data'!R99))=0),"",IF(AND(ISNUMBER('Raw Data'!R99), IFERROR('Raw Data'!R99 = ROUND('Raw Data'!R99, 2),FALSE)),"",_xlfn.REGEXEXTRACT(CELL("address",R99), "\$([A-Z]+)\$[0-9]+"))),_xlfn.REGEXEXTRACT(CELL("address",R99), "\$([A-Z]+)\$[0-9]+"))</f>
        <v/>
      </c>
      <c r="S99" s="7" t="str" cm="1">
        <f t="array" aca="1" ref="S99" ca="1">IFERROR(IF(OR('Raw Data'!S99="",LEN(TRIM('Raw Data'!S99))=0),"",IF(AND(ISNUMBER('Raw Data'!S99), IFERROR('Raw Data'!S99 = ROUND('Raw Data'!S99, 2),FALSE)),"",_xlfn.REGEXEXTRACT(CELL("address",S99), "\$([A-Z]+)\$[0-9]+"))),_xlfn.REGEXEXTRACT(CELL("address",S99), "\$([A-Z]+)\$[0-9]+"))</f>
        <v/>
      </c>
      <c r="T99" s="7" t="str" cm="1">
        <f t="array" aca="1" ref="T99" ca="1">IFERROR(IF(OR('Raw Data'!T99="",LEN(TRIM('Raw Data'!T99))=0),"",IF(AND(ISNUMBER('Raw Data'!T99), IFERROR('Raw Data'!T99 = ROUND('Raw Data'!T99, 2),FALSE)),"",_xlfn.REGEXEXTRACT(CELL("address",T99), "\$([A-Z]+)\$[0-9]+"))),_xlfn.REGEXEXTRACT(CELL("address",T99), "\$([A-Z]+)\$[0-9]+"))</f>
        <v/>
      </c>
      <c r="U99" s="7" t="str" cm="1">
        <f t="array" aca="1" ref="U99" ca="1">IFERROR(IF(OR('Raw Data'!U99="",LEN(TRIM('Raw Data'!U99))=0),"",IF(AND(LEN('Raw Data'!U99) &lt;= 5,LEN('Raw Data'!U99)&gt; 0),"",_xlfn.REGEXEXTRACT(CELL("address",'Raw Data'!U99),"\$([A-Z]+)\$[0-9]+"))),_xlfn.REGEXEXTRACT(CELL("address",'Raw Data'!U99),"\$([A-Z]+)\$[0-9]+"))</f>
        <v/>
      </c>
      <c r="V99" s="7" t="str" cm="1">
        <f t="array" aca="1" ref="V99" ca="1">IFERROR(IF(OR('Raw Data'!V99="",LEN(TRIM('Raw Data'!V99))=0),"",IF(AND(ISNUMBER('Raw Data'!V99), IFERROR('Raw Data'!V99 = ROUND('Raw Data'!V99, 2),FALSE)),"",_xlfn.REGEXEXTRACT(CELL("address",V99), "\$([A-Z]+)\$[0-9]+"))),_xlfn.REGEXEXTRACT(CELL("address",V99), "\$([A-Z]+)\$[0-9]+"))</f>
        <v/>
      </c>
      <c r="W99" s="7" t="str" cm="1">
        <f t="array" aca="1" ref="W99" ca="1">IFERROR(IF(OR('Raw Data'!W99="",LEN(TRIM('Raw Data'!W99))=0),"",IF(AND(ISNUMBER('Raw Data'!W99), IFERROR('Raw Data'!W99 = ROUND('Raw Data'!W99, 2),FALSE)),"",_xlfn.REGEXEXTRACT(CELL("address",W99), "\$([A-Z]+)\$[0-9]+"))),_xlfn.REGEXEXTRACT(CELL("address",W99), "\$([A-Z]+)\$[0-9]+"))</f>
        <v/>
      </c>
      <c r="X99" s="7" t="str" cm="1">
        <f t="array" aca="1" ref="X99" ca="1">IFERROR(IF(OR('Raw Data'!X99="",LEN(TRIM('Raw Data'!X99))=0),"",IF(AND(ISNUMBER('Raw Data'!X99), IFERROR('Raw Data'!X99 = ROUND('Raw Data'!X99, 2),FALSE)),"",_xlfn.REGEXEXTRACT(CELL("address",X99), "\$([A-Z]+)\$[0-9]+"))),_xlfn.REGEXEXTRACT(CELL("address",X99), "\$([A-Z]+)\$[0-9]+"))</f>
        <v/>
      </c>
    </row>
    <row r="100" spans="2:24" x14ac:dyDescent="0.25">
      <c r="B100" s="7" t="str" cm="1">
        <f t="array" aca="1" ref="B100" ca="1">IFERROR(IF(OR('Raw Data'!B100="",LEN(TRIM('Raw Data'!B100))=0),"",IF(AND(LEN('Raw Data'!B100) &lt;= 50,LEN('Raw Data'!B100)&gt; 0),"",_xlfn.REGEXEXTRACT(CELL("address",'Raw Data'!B100),"\$([A-Z]+)\$[0-9]+"))),_xlfn.REGEXEXTRACT(CELL("address",'Raw Data'!B100),"\$([A-Z]+)\$[0-9]+"))</f>
        <v/>
      </c>
      <c r="C100" s="7" t="str" cm="1">
        <f t="array" aca="1" ref="C100" ca="1">IFERROR(IF(OR('Raw Data'!C100="",LEN(TRIM('Raw Data'!C100))=0),"",IF(AND(LEN('Raw Data'!C100) &lt;= 50,LEN('Raw Data'!C100)&gt; 0),"",_xlfn.REGEXEXTRACT(CELL("address",'Raw Data'!C100),"\$([A-Z]+)\$[0-9]+"))),_xlfn.REGEXEXTRACT(CELL("address",'Raw Data'!C100),"\$([A-Z]+)\$[0-9]+"))</f>
        <v/>
      </c>
      <c r="D100" s="7" t="str" cm="1">
        <f t="array" aca="1" ref="D100" ca="1">IFERROR(IF(OR('Raw Data'!D100="",LEN(TRIM('Raw Data'!D100))=0),"",IF(AND(LEN('Raw Data'!D100) &lt;= 255,LEN('Raw Data'!D100)&gt; 0),"",_xlfn.REGEXEXTRACT(CELL("address",'Raw Data'!D100),"\$([A-Z]+)\$[0-9]+"))),_xlfn.REGEXEXTRACT(CELL("address",'Raw Data'!D100),"\$([A-Z]+)\$[0-9]+"))</f>
        <v/>
      </c>
      <c r="E100" s="7" t="str" cm="1">
        <f t="array" aca="1" ref="E100" ca="1">IFERROR(IF(OR('Raw Data'!E100="",LEN(TRIM('Raw Data'!E100))=0),"",IF(AND(ISNUMBER('Raw Data'!E100),'Raw Data'!E100&gt;=Configuration!$D$2),"",_xlfn.REGEXEXTRACT(CELL("address",'Raw Data'!E100),"\$([A-Z]+)\$[0-9]+"))),_xlfn.REGEXEXTRACT(CELL("address",E100), "\$([A-Z]+)\$[0-9]+"))</f>
        <v/>
      </c>
      <c r="F100" s="7" t="str" cm="1">
        <f t="array" aca="1" ref="F100" ca="1">IFERROR(IF(OR('Raw Data'!F100="",LEN(TRIM('Raw Data'!F100))=0),"",IF(AND(LEN('Raw Data'!F100) &lt;= 20,LEN('Raw Data'!F100)&gt; 0),"",_xlfn.REGEXEXTRACT(CELL("address",'Raw Data'!F100),"\$([A-Z]+)\$[0-9]+"))),_xlfn.REGEXEXTRACT(CELL("address",'Raw Data'!F100),"\$([A-Z]+)\$[0-9]+"))</f>
        <v/>
      </c>
      <c r="G100" s="7" t="str" cm="1">
        <f t="array" aca="1" ref="G100" ca="1">IFERROR(IF(OR('Raw Data'!G100="",LEN(TRIM('Raw Data'!G100))=0),"",IF(AND(ISNUMBER('Raw Data'!G100), IFERROR('Raw Data'!G100 = ROUND('Raw Data'!G100, 2),FALSE)),"",_xlfn.REGEXEXTRACT(CELL("address",G100), "\$([A-Z]+)\$[0-9]+"))),_xlfn.REGEXEXTRACT(CELL("address",G100), "\$([A-Z]+)\$[0-9]+"))</f>
        <v/>
      </c>
      <c r="H100" s="7" t="str" cm="1">
        <f t="array" aca="1" ref="H100" ca="1">IFERROR(IF(OR('Raw Data'!H100="",LEN(TRIM('Raw Data'!H100))=0),"",IF(AND(ISNUMBER('Raw Data'!H100), IFERROR('Raw Data'!H100 = ROUND('Raw Data'!H100, 2),FALSE)),"",_xlfn.REGEXEXTRACT(CELL("address",H100), "\$([A-Z]+)\$[0-9]+"))),_xlfn.REGEXEXTRACT(CELL("address",H100), "\$([A-Z]+)\$[0-9]+"))</f>
        <v/>
      </c>
      <c r="I100" s="7" t="str" cm="1">
        <f t="array" aca="1" ref="I100" ca="1">IFERROR(IF(OR('Raw Data'!I100="",LEN(TRIM('Raw Data'!I100))=0),"",IF(AND(LEN('Raw Data'!I100) &lt;= 50,LEN('Raw Data'!I100)&gt; 0),"",_xlfn.REGEXEXTRACT(CELL("address",'Raw Data'!I100),"\$([A-Z]+)\$[0-9]+"))),_xlfn.REGEXEXTRACT(CELL("address",'Raw Data'!I100),"\$([A-Z]+)\$[0-9]+"))</f>
        <v/>
      </c>
      <c r="J100" s="7" t="str" cm="1">
        <f t="array" aca="1" ref="J100" ca="1">IFERROR(IF(OR('Raw Data'!J100="",LEN(TRIM('Raw Data'!J100))=0),"",IF(AND(ISNUMBER('Raw Data'!J100),'Raw Data'!J100&gt;=Configuration!$D$2),"",_xlfn.REGEXEXTRACT(CELL("address",'Raw Data'!J100),"\$([A-Z]+)\$[0-9]+"))),_xlfn.REGEXEXTRACT(CELL("address",J100), "\$([A-Z]+)\$[0-9]+"))</f>
        <v/>
      </c>
      <c r="K100" s="7" t="str" cm="1">
        <f t="array" aca="1" ref="K100" ca="1">IFERROR(IF(OR('Raw Data'!K100="",LEN(TRIM('Raw Data'!K100))=0),"",IF(AND(ISNUMBER('Raw Data'!K100), IFERROR('Raw Data'!K100 = ROUND('Raw Data'!K100, 2),FALSE)),"",_xlfn.REGEXEXTRACT(CELL("address",K100), "\$([A-Z]+)\$[0-9]+"))),_xlfn.REGEXEXTRACT(CELL("address",K100), "\$([A-Z]+)\$[0-9]+"))</f>
        <v/>
      </c>
      <c r="L100" s="7" t="str" cm="1">
        <f t="array" aca="1" ref="L100" ca="1">IFERROR(IF(OR('Raw Data'!L100="",LEN(TRIM('Raw Data'!L100))=0),"",IF(AND(ISNUMBER('Raw Data'!L100), IFERROR('Raw Data'!L100 = ROUND('Raw Data'!L100, 2),FALSE)),"",_xlfn.REGEXEXTRACT(CELL("address",L100), "\$([A-Z]+)\$[0-9]+"))),_xlfn.REGEXEXTRACT(CELL("address",L100), "\$([A-Z]+)\$[0-9]+"))</f>
        <v/>
      </c>
      <c r="M100" s="7" t="str" cm="1">
        <f t="array" aca="1" ref="M100" ca="1">IFERROR(IF(OR('Raw Data'!M100="",LEN(TRIM('Raw Data'!M100))=0),"",IF(AND(ISNUMBER('Raw Data'!M100), IFERROR('Raw Data'!M100 = ROUND('Raw Data'!M100, 2),FALSE)),"",_xlfn.REGEXEXTRACT(CELL("address",M100), "\$([A-Z]+)\$[0-9]+"))),_xlfn.REGEXEXTRACT(CELL("address",M100), "\$([A-Z]+)\$[0-9]+"))</f>
        <v/>
      </c>
      <c r="N100" s="7" t="str" cm="1">
        <f t="array" aca="1" ref="N100" ca="1">IFERROR(IF(OR('Raw Data'!N100="",LEN(TRIM('Raw Data'!N100))=0),"",IF(AND(ISNUMBER('Raw Data'!N100), IFERROR('Raw Data'!N100 = ROUND('Raw Data'!N100, 2),FALSE)),"",_xlfn.REGEXEXTRACT(CELL("address",N100), "\$([A-Z]+)\$[0-9]+"))),_xlfn.REGEXEXTRACT(CELL("address",N100), "\$([A-Z]+)\$[0-9]+"))</f>
        <v/>
      </c>
      <c r="O100" s="7" t="str" cm="1">
        <f t="array" aca="1" ref="O100" ca="1">IFERROR(IF(OR('Raw Data'!O100="",LEN(TRIM('Raw Data'!O100))=0),"",IF(AND(ISNUMBER('Raw Data'!O100), IFERROR('Raw Data'!O100 = ROUND('Raw Data'!O100, 2),FALSE)),"",_xlfn.REGEXEXTRACT(CELL("address",O100), "\$([A-Z]+)\$[0-9]+"))),_xlfn.REGEXEXTRACT(CELL("address",O100), "\$([A-Z]+)\$[0-9]+"))</f>
        <v/>
      </c>
      <c r="P100" s="7" t="str" cm="1">
        <f t="array" aca="1" ref="P100" ca="1">IFERROR(IF(OR('Raw Data'!P100="",LEN(TRIM('Raw Data'!P100))=0),"",IF(AND(ISNUMBER('Raw Data'!P100),'Raw Data'!P100&gt;=Configuration!$D$2),"",_xlfn.REGEXEXTRACT(CELL("address",'Raw Data'!P100),"\$([A-Z]+)\$[0-9]+"))),_xlfn.REGEXEXTRACT(CELL("address",P100), "\$([A-Z]+)\$[0-9]+"))</f>
        <v/>
      </c>
      <c r="Q100" s="7" t="str" cm="1">
        <f t="array" aca="1" ref="Q100" ca="1">IFERROR(IF(OR('Raw Data'!Q100="",LEN(TRIM('Raw Data'!Q100))=0),"",IF(AND(ISNUMBER('Raw Data'!Q100),'Raw Data'!Q100&gt;=Configuration!$D$2),"",_xlfn.REGEXEXTRACT(CELL("address",'Raw Data'!Q100),"\$([A-Z]+)\$[0-9]+"))),_xlfn.REGEXEXTRACT(CELL("address",Q100), "\$([A-Z]+)\$[0-9]+"))</f>
        <v/>
      </c>
      <c r="R100" s="7" t="str" cm="1">
        <f t="array" aca="1" ref="R100" ca="1">IFERROR(IF(OR('Raw Data'!R100="",LEN(TRIM('Raw Data'!R100))=0),"",IF(AND(ISNUMBER('Raw Data'!R100), IFERROR('Raw Data'!R100 = ROUND('Raw Data'!R100, 2),FALSE)),"",_xlfn.REGEXEXTRACT(CELL("address",R100), "\$([A-Z]+)\$[0-9]+"))),_xlfn.REGEXEXTRACT(CELL("address",R100), "\$([A-Z]+)\$[0-9]+"))</f>
        <v/>
      </c>
      <c r="S100" s="7" t="str" cm="1">
        <f t="array" aca="1" ref="S100" ca="1">IFERROR(IF(OR('Raw Data'!S100="",LEN(TRIM('Raw Data'!S100))=0),"",IF(AND(ISNUMBER('Raw Data'!S100), IFERROR('Raw Data'!S100 = ROUND('Raw Data'!S100, 2),FALSE)),"",_xlfn.REGEXEXTRACT(CELL("address",S100), "\$([A-Z]+)\$[0-9]+"))),_xlfn.REGEXEXTRACT(CELL("address",S100), "\$([A-Z]+)\$[0-9]+"))</f>
        <v/>
      </c>
      <c r="T100" s="7" t="str" cm="1">
        <f t="array" aca="1" ref="T100" ca="1">IFERROR(IF(OR('Raw Data'!T100="",LEN(TRIM('Raw Data'!T100))=0),"",IF(AND(ISNUMBER('Raw Data'!T100), IFERROR('Raw Data'!T100 = ROUND('Raw Data'!T100, 2),FALSE)),"",_xlfn.REGEXEXTRACT(CELL("address",T100), "\$([A-Z]+)\$[0-9]+"))),_xlfn.REGEXEXTRACT(CELL("address",T100), "\$([A-Z]+)\$[0-9]+"))</f>
        <v/>
      </c>
      <c r="U100" s="7" t="str" cm="1">
        <f t="array" aca="1" ref="U100" ca="1">IFERROR(IF(OR('Raw Data'!U100="",LEN(TRIM('Raw Data'!U100))=0),"",IF(AND(LEN('Raw Data'!U100) &lt;= 5,LEN('Raw Data'!U100)&gt; 0),"",_xlfn.REGEXEXTRACT(CELL("address",'Raw Data'!U100),"\$([A-Z]+)\$[0-9]+"))),_xlfn.REGEXEXTRACT(CELL("address",'Raw Data'!U100),"\$([A-Z]+)\$[0-9]+"))</f>
        <v/>
      </c>
      <c r="V100" s="7" t="str" cm="1">
        <f t="array" aca="1" ref="V100" ca="1">IFERROR(IF(OR('Raw Data'!V100="",LEN(TRIM('Raw Data'!V100))=0),"",IF(AND(ISNUMBER('Raw Data'!V100), IFERROR('Raw Data'!V100 = ROUND('Raw Data'!V100, 2),FALSE)),"",_xlfn.REGEXEXTRACT(CELL("address",V100), "\$([A-Z]+)\$[0-9]+"))),_xlfn.REGEXEXTRACT(CELL("address",V100), "\$([A-Z]+)\$[0-9]+"))</f>
        <v/>
      </c>
      <c r="W100" s="7" t="str" cm="1">
        <f t="array" aca="1" ref="W100" ca="1">IFERROR(IF(OR('Raw Data'!W100="",LEN(TRIM('Raw Data'!W100))=0),"",IF(AND(ISNUMBER('Raw Data'!W100), IFERROR('Raw Data'!W100 = ROUND('Raw Data'!W100, 2),FALSE)),"",_xlfn.REGEXEXTRACT(CELL("address",W100), "\$([A-Z]+)\$[0-9]+"))),_xlfn.REGEXEXTRACT(CELL("address",W100), "\$([A-Z]+)\$[0-9]+"))</f>
        <v/>
      </c>
      <c r="X100" s="7" t="str" cm="1">
        <f t="array" aca="1" ref="X100" ca="1">IFERROR(IF(OR('Raw Data'!X100="",LEN(TRIM('Raw Data'!X100))=0),"",IF(AND(ISNUMBER('Raw Data'!X100), IFERROR('Raw Data'!X100 = ROUND('Raw Data'!X100, 2),FALSE)),"",_xlfn.REGEXEXTRACT(CELL("address",X100), "\$([A-Z]+)\$[0-9]+"))),_xlfn.REGEXEXTRACT(CELL("address",X100), "\$([A-Z]+)\$[0-9]+"))</f>
        <v/>
      </c>
    </row>
    <row r="101" spans="2:24" x14ac:dyDescent="0.25">
      <c r="B101" s="7" t="str" cm="1">
        <f t="array" aca="1" ref="B101" ca="1">IFERROR(IF(OR('Raw Data'!B101="",LEN(TRIM('Raw Data'!B101))=0),"",IF(AND(LEN('Raw Data'!B101) &lt;= 50,LEN('Raw Data'!B101)&gt; 0),"",_xlfn.REGEXEXTRACT(CELL("address",'Raw Data'!B101),"\$([A-Z]+)\$[0-9]+"))),_xlfn.REGEXEXTRACT(CELL("address",'Raw Data'!B101),"\$([A-Z]+)\$[0-9]+"))</f>
        <v/>
      </c>
      <c r="C101" s="7" t="str" cm="1">
        <f t="array" aca="1" ref="C101" ca="1">IFERROR(IF(OR('Raw Data'!C101="",LEN(TRIM('Raw Data'!C101))=0),"",IF(AND(LEN('Raw Data'!C101) &lt;= 50,LEN('Raw Data'!C101)&gt; 0),"",_xlfn.REGEXEXTRACT(CELL("address",'Raw Data'!C101),"\$([A-Z]+)\$[0-9]+"))),_xlfn.REGEXEXTRACT(CELL("address",'Raw Data'!C101),"\$([A-Z]+)\$[0-9]+"))</f>
        <v/>
      </c>
      <c r="D101" s="7" t="str" cm="1">
        <f t="array" aca="1" ref="D101" ca="1">IFERROR(IF(OR('Raw Data'!D101="",LEN(TRIM('Raw Data'!D101))=0),"",IF(AND(LEN('Raw Data'!D101) &lt;= 255,LEN('Raw Data'!D101)&gt; 0),"",_xlfn.REGEXEXTRACT(CELL("address",'Raw Data'!D101),"\$([A-Z]+)\$[0-9]+"))),_xlfn.REGEXEXTRACT(CELL("address",'Raw Data'!D101),"\$([A-Z]+)\$[0-9]+"))</f>
        <v/>
      </c>
      <c r="E101" s="7" t="str" cm="1">
        <f t="array" aca="1" ref="E101" ca="1">IFERROR(IF(OR('Raw Data'!E101="",LEN(TRIM('Raw Data'!E101))=0),"",IF(AND(ISNUMBER('Raw Data'!E101),'Raw Data'!E101&gt;=Configuration!$D$2),"",_xlfn.REGEXEXTRACT(CELL("address",'Raw Data'!E101),"\$([A-Z]+)\$[0-9]+"))),_xlfn.REGEXEXTRACT(CELL("address",E101), "\$([A-Z]+)\$[0-9]+"))</f>
        <v/>
      </c>
      <c r="F101" s="7" t="str" cm="1">
        <f t="array" aca="1" ref="F101" ca="1">IFERROR(IF(OR('Raw Data'!F101="",LEN(TRIM('Raw Data'!F101))=0),"",IF(AND(LEN('Raw Data'!F101) &lt;= 20,LEN('Raw Data'!F101)&gt; 0),"",_xlfn.REGEXEXTRACT(CELL("address",'Raw Data'!F101),"\$([A-Z]+)\$[0-9]+"))),_xlfn.REGEXEXTRACT(CELL("address",'Raw Data'!F101),"\$([A-Z]+)\$[0-9]+"))</f>
        <v/>
      </c>
      <c r="G101" s="7" t="str" cm="1">
        <f t="array" aca="1" ref="G101" ca="1">IFERROR(IF(OR('Raw Data'!G101="",LEN(TRIM('Raw Data'!G101))=0),"",IF(AND(ISNUMBER('Raw Data'!G101), IFERROR('Raw Data'!G101 = ROUND('Raw Data'!G101, 2),FALSE)),"",_xlfn.REGEXEXTRACT(CELL("address",G101), "\$([A-Z]+)\$[0-9]+"))),_xlfn.REGEXEXTRACT(CELL("address",G101), "\$([A-Z]+)\$[0-9]+"))</f>
        <v/>
      </c>
      <c r="H101" s="7" t="str" cm="1">
        <f t="array" aca="1" ref="H101" ca="1">IFERROR(IF(OR('Raw Data'!H101="",LEN(TRIM('Raw Data'!H101))=0),"",IF(AND(ISNUMBER('Raw Data'!H101), IFERROR('Raw Data'!H101 = ROUND('Raw Data'!H101, 2),FALSE)),"",_xlfn.REGEXEXTRACT(CELL("address",H101), "\$([A-Z]+)\$[0-9]+"))),_xlfn.REGEXEXTRACT(CELL("address",H101), "\$([A-Z]+)\$[0-9]+"))</f>
        <v/>
      </c>
      <c r="I101" s="7" t="str" cm="1">
        <f t="array" aca="1" ref="I101" ca="1">IFERROR(IF(OR('Raw Data'!I101="",LEN(TRIM('Raw Data'!I101))=0),"",IF(AND(LEN('Raw Data'!I101) &lt;= 50,LEN('Raw Data'!I101)&gt; 0),"",_xlfn.REGEXEXTRACT(CELL("address",'Raw Data'!I101),"\$([A-Z]+)\$[0-9]+"))),_xlfn.REGEXEXTRACT(CELL("address",'Raw Data'!I101),"\$([A-Z]+)\$[0-9]+"))</f>
        <v/>
      </c>
      <c r="J101" s="7" t="str" cm="1">
        <f t="array" aca="1" ref="J101" ca="1">IFERROR(IF(OR('Raw Data'!J101="",LEN(TRIM('Raw Data'!J101))=0),"",IF(AND(ISNUMBER('Raw Data'!J101),'Raw Data'!J101&gt;=Configuration!$D$2),"",_xlfn.REGEXEXTRACT(CELL("address",'Raw Data'!J101),"\$([A-Z]+)\$[0-9]+"))),_xlfn.REGEXEXTRACT(CELL("address",J101), "\$([A-Z]+)\$[0-9]+"))</f>
        <v/>
      </c>
      <c r="K101" s="7" t="str" cm="1">
        <f t="array" aca="1" ref="K101" ca="1">IFERROR(IF(OR('Raw Data'!K101="",LEN(TRIM('Raw Data'!K101))=0),"",IF(AND(ISNUMBER('Raw Data'!K101), IFERROR('Raw Data'!K101 = ROUND('Raw Data'!K101, 2),FALSE)),"",_xlfn.REGEXEXTRACT(CELL("address",K101), "\$([A-Z]+)\$[0-9]+"))),_xlfn.REGEXEXTRACT(CELL("address",K101), "\$([A-Z]+)\$[0-9]+"))</f>
        <v/>
      </c>
      <c r="L101" s="7" t="str" cm="1">
        <f t="array" aca="1" ref="L101" ca="1">IFERROR(IF(OR('Raw Data'!L101="",LEN(TRIM('Raw Data'!L101))=0),"",IF(AND(ISNUMBER('Raw Data'!L101), IFERROR('Raw Data'!L101 = ROUND('Raw Data'!L101, 2),FALSE)),"",_xlfn.REGEXEXTRACT(CELL("address",L101), "\$([A-Z]+)\$[0-9]+"))),_xlfn.REGEXEXTRACT(CELL("address",L101), "\$([A-Z]+)\$[0-9]+"))</f>
        <v/>
      </c>
      <c r="M101" s="7" t="str" cm="1">
        <f t="array" aca="1" ref="M101" ca="1">IFERROR(IF(OR('Raw Data'!M101="",LEN(TRIM('Raw Data'!M101))=0),"",IF(AND(ISNUMBER('Raw Data'!M101), IFERROR('Raw Data'!M101 = ROUND('Raw Data'!M101, 2),FALSE)),"",_xlfn.REGEXEXTRACT(CELL("address",M101), "\$([A-Z]+)\$[0-9]+"))),_xlfn.REGEXEXTRACT(CELL("address",M101), "\$([A-Z]+)\$[0-9]+"))</f>
        <v/>
      </c>
      <c r="N101" s="7" t="str" cm="1">
        <f t="array" aca="1" ref="N101" ca="1">IFERROR(IF(OR('Raw Data'!N101="",LEN(TRIM('Raw Data'!N101))=0),"",IF(AND(ISNUMBER('Raw Data'!N101), IFERROR('Raw Data'!N101 = ROUND('Raw Data'!N101, 2),FALSE)),"",_xlfn.REGEXEXTRACT(CELL("address",N101), "\$([A-Z]+)\$[0-9]+"))),_xlfn.REGEXEXTRACT(CELL("address",N101), "\$([A-Z]+)\$[0-9]+"))</f>
        <v/>
      </c>
      <c r="O101" s="7" t="str" cm="1">
        <f t="array" aca="1" ref="O101" ca="1">IFERROR(IF(OR('Raw Data'!O101="",LEN(TRIM('Raw Data'!O101))=0),"",IF(AND(ISNUMBER('Raw Data'!O101), IFERROR('Raw Data'!O101 = ROUND('Raw Data'!O101, 2),FALSE)),"",_xlfn.REGEXEXTRACT(CELL("address",O101), "\$([A-Z]+)\$[0-9]+"))),_xlfn.REGEXEXTRACT(CELL("address",O101), "\$([A-Z]+)\$[0-9]+"))</f>
        <v/>
      </c>
      <c r="P101" s="7" t="str" cm="1">
        <f t="array" aca="1" ref="P101" ca="1">IFERROR(IF(OR('Raw Data'!P101="",LEN(TRIM('Raw Data'!P101))=0),"",IF(AND(ISNUMBER('Raw Data'!P101),'Raw Data'!P101&gt;=Configuration!$D$2),"",_xlfn.REGEXEXTRACT(CELL("address",'Raw Data'!P101),"\$([A-Z]+)\$[0-9]+"))),_xlfn.REGEXEXTRACT(CELL("address",P101), "\$([A-Z]+)\$[0-9]+"))</f>
        <v/>
      </c>
      <c r="Q101" s="7" t="str" cm="1">
        <f t="array" aca="1" ref="Q101" ca="1">IFERROR(IF(OR('Raw Data'!Q101="",LEN(TRIM('Raw Data'!Q101))=0),"",IF(AND(ISNUMBER('Raw Data'!Q101),'Raw Data'!Q101&gt;=Configuration!$D$2),"",_xlfn.REGEXEXTRACT(CELL("address",'Raw Data'!Q101),"\$([A-Z]+)\$[0-9]+"))),_xlfn.REGEXEXTRACT(CELL("address",Q101), "\$([A-Z]+)\$[0-9]+"))</f>
        <v/>
      </c>
      <c r="R101" s="7" t="str" cm="1">
        <f t="array" aca="1" ref="R101" ca="1">IFERROR(IF(OR('Raw Data'!R101="",LEN(TRIM('Raw Data'!R101))=0),"",IF(AND(ISNUMBER('Raw Data'!R101), IFERROR('Raw Data'!R101 = ROUND('Raw Data'!R101, 2),FALSE)),"",_xlfn.REGEXEXTRACT(CELL("address",R101), "\$([A-Z]+)\$[0-9]+"))),_xlfn.REGEXEXTRACT(CELL("address",R101), "\$([A-Z]+)\$[0-9]+"))</f>
        <v/>
      </c>
      <c r="S101" s="7" t="str" cm="1">
        <f t="array" aca="1" ref="S101" ca="1">IFERROR(IF(OR('Raw Data'!S101="",LEN(TRIM('Raw Data'!S101))=0),"",IF(AND(ISNUMBER('Raw Data'!S101), IFERROR('Raw Data'!S101 = ROUND('Raw Data'!S101, 2),FALSE)),"",_xlfn.REGEXEXTRACT(CELL("address",S101), "\$([A-Z]+)\$[0-9]+"))),_xlfn.REGEXEXTRACT(CELL("address",S101), "\$([A-Z]+)\$[0-9]+"))</f>
        <v/>
      </c>
      <c r="T101" s="7" t="str" cm="1">
        <f t="array" aca="1" ref="T101" ca="1">IFERROR(IF(OR('Raw Data'!T101="",LEN(TRIM('Raw Data'!T101))=0),"",IF(AND(ISNUMBER('Raw Data'!T101), IFERROR('Raw Data'!T101 = ROUND('Raw Data'!T101, 2),FALSE)),"",_xlfn.REGEXEXTRACT(CELL("address",T101), "\$([A-Z]+)\$[0-9]+"))),_xlfn.REGEXEXTRACT(CELL("address",T101), "\$([A-Z]+)\$[0-9]+"))</f>
        <v/>
      </c>
      <c r="U101" s="7" t="str" cm="1">
        <f t="array" aca="1" ref="U101" ca="1">IFERROR(IF(OR('Raw Data'!U101="",LEN(TRIM('Raw Data'!U101))=0),"",IF(AND(LEN('Raw Data'!U101) &lt;= 5,LEN('Raw Data'!U101)&gt; 0),"",_xlfn.REGEXEXTRACT(CELL("address",'Raw Data'!U101),"\$([A-Z]+)\$[0-9]+"))),_xlfn.REGEXEXTRACT(CELL("address",'Raw Data'!U101),"\$([A-Z]+)\$[0-9]+"))</f>
        <v/>
      </c>
      <c r="V101" s="7" t="str" cm="1">
        <f t="array" aca="1" ref="V101" ca="1">IFERROR(IF(OR('Raw Data'!V101="",LEN(TRIM('Raw Data'!V101))=0),"",IF(AND(ISNUMBER('Raw Data'!V101), IFERROR('Raw Data'!V101 = ROUND('Raw Data'!V101, 2),FALSE)),"",_xlfn.REGEXEXTRACT(CELL("address",V101), "\$([A-Z]+)\$[0-9]+"))),_xlfn.REGEXEXTRACT(CELL("address",V101), "\$([A-Z]+)\$[0-9]+"))</f>
        <v/>
      </c>
      <c r="W101" s="7" t="str" cm="1">
        <f t="array" aca="1" ref="W101" ca="1">IFERROR(IF(OR('Raw Data'!W101="",LEN(TRIM('Raw Data'!W101))=0),"",IF(AND(ISNUMBER('Raw Data'!W101), IFERROR('Raw Data'!W101 = ROUND('Raw Data'!W101, 2),FALSE)),"",_xlfn.REGEXEXTRACT(CELL("address",W101), "\$([A-Z]+)\$[0-9]+"))),_xlfn.REGEXEXTRACT(CELL("address",W101), "\$([A-Z]+)\$[0-9]+"))</f>
        <v/>
      </c>
      <c r="X101" s="7" t="str" cm="1">
        <f t="array" aca="1" ref="X101" ca="1">IFERROR(IF(OR('Raw Data'!X101="",LEN(TRIM('Raw Data'!X101))=0),"",IF(AND(ISNUMBER('Raw Data'!X101), IFERROR('Raw Data'!X101 = ROUND('Raw Data'!X101, 2),FALSE)),"",_xlfn.REGEXEXTRACT(CELL("address",X101), "\$([A-Z]+)\$[0-9]+"))),_xlfn.REGEXEXTRACT(CELL("address",X101), "\$([A-Z]+)\$[0-9]+"))</f>
        <v/>
      </c>
    </row>
    <row r="102" spans="2:24" x14ac:dyDescent="0.25">
      <c r="B102" s="7" t="str" cm="1">
        <f t="array" aca="1" ref="B102" ca="1">IFERROR(IF(OR('Raw Data'!B102="",LEN(TRIM('Raw Data'!B102))=0),"",IF(AND(LEN('Raw Data'!B102) &lt;= 50,LEN('Raw Data'!B102)&gt; 0),"",_xlfn.REGEXEXTRACT(CELL("address",'Raw Data'!B102),"\$([A-Z]+)\$[0-9]+"))),_xlfn.REGEXEXTRACT(CELL("address",'Raw Data'!B102),"\$([A-Z]+)\$[0-9]+"))</f>
        <v/>
      </c>
      <c r="C102" s="7" t="str" cm="1">
        <f t="array" aca="1" ref="C102" ca="1">IFERROR(IF(OR('Raw Data'!C102="",LEN(TRIM('Raw Data'!C102))=0),"",IF(AND(LEN('Raw Data'!C102) &lt;= 50,LEN('Raw Data'!C102)&gt; 0),"",_xlfn.REGEXEXTRACT(CELL("address",'Raw Data'!C102),"\$([A-Z]+)\$[0-9]+"))),_xlfn.REGEXEXTRACT(CELL("address",'Raw Data'!C102),"\$([A-Z]+)\$[0-9]+"))</f>
        <v/>
      </c>
      <c r="D102" s="7" t="str" cm="1">
        <f t="array" aca="1" ref="D102" ca="1">IFERROR(IF(OR('Raw Data'!D102="",LEN(TRIM('Raw Data'!D102))=0),"",IF(AND(LEN('Raw Data'!D102) &lt;= 255,LEN('Raw Data'!D102)&gt; 0),"",_xlfn.REGEXEXTRACT(CELL("address",'Raw Data'!D102),"\$([A-Z]+)\$[0-9]+"))),_xlfn.REGEXEXTRACT(CELL("address",'Raw Data'!D102),"\$([A-Z]+)\$[0-9]+"))</f>
        <v/>
      </c>
      <c r="E102" s="7" t="str" cm="1">
        <f t="array" aca="1" ref="E102" ca="1">IFERROR(IF(OR('Raw Data'!E102="",LEN(TRIM('Raw Data'!E102))=0),"",IF(AND(ISNUMBER('Raw Data'!E102),'Raw Data'!E102&gt;=Configuration!$D$2),"",_xlfn.REGEXEXTRACT(CELL("address",'Raw Data'!E102),"\$([A-Z]+)\$[0-9]+"))),_xlfn.REGEXEXTRACT(CELL("address",E102), "\$([A-Z]+)\$[0-9]+"))</f>
        <v/>
      </c>
      <c r="F102" s="7" t="str" cm="1">
        <f t="array" aca="1" ref="F102" ca="1">IFERROR(IF(OR('Raw Data'!F102="",LEN(TRIM('Raw Data'!F102))=0),"",IF(AND(LEN('Raw Data'!F102) &lt;= 20,LEN('Raw Data'!F102)&gt; 0),"",_xlfn.REGEXEXTRACT(CELL("address",'Raw Data'!F102),"\$([A-Z]+)\$[0-9]+"))),_xlfn.REGEXEXTRACT(CELL("address",'Raw Data'!F102),"\$([A-Z]+)\$[0-9]+"))</f>
        <v/>
      </c>
      <c r="G102" s="7" t="str" cm="1">
        <f t="array" aca="1" ref="G102" ca="1">IFERROR(IF(OR('Raw Data'!G102="",LEN(TRIM('Raw Data'!G102))=0),"",IF(AND(ISNUMBER('Raw Data'!G102), IFERROR('Raw Data'!G102 = ROUND('Raw Data'!G102, 2),FALSE)),"",_xlfn.REGEXEXTRACT(CELL("address",G102), "\$([A-Z]+)\$[0-9]+"))),_xlfn.REGEXEXTRACT(CELL("address",G102), "\$([A-Z]+)\$[0-9]+"))</f>
        <v/>
      </c>
      <c r="H102" s="7" t="str" cm="1">
        <f t="array" aca="1" ref="H102" ca="1">IFERROR(IF(OR('Raw Data'!H102="",LEN(TRIM('Raw Data'!H102))=0),"",IF(AND(ISNUMBER('Raw Data'!H102), IFERROR('Raw Data'!H102 = ROUND('Raw Data'!H102, 2),FALSE)),"",_xlfn.REGEXEXTRACT(CELL("address",H102), "\$([A-Z]+)\$[0-9]+"))),_xlfn.REGEXEXTRACT(CELL("address",H102), "\$([A-Z]+)\$[0-9]+"))</f>
        <v/>
      </c>
      <c r="I102" s="7" t="str" cm="1">
        <f t="array" aca="1" ref="I102" ca="1">IFERROR(IF(OR('Raw Data'!I102="",LEN(TRIM('Raw Data'!I102))=0),"",IF(AND(LEN('Raw Data'!I102) &lt;= 50,LEN('Raw Data'!I102)&gt; 0),"",_xlfn.REGEXEXTRACT(CELL("address",'Raw Data'!I102),"\$([A-Z]+)\$[0-9]+"))),_xlfn.REGEXEXTRACT(CELL("address",'Raw Data'!I102),"\$([A-Z]+)\$[0-9]+"))</f>
        <v/>
      </c>
      <c r="J102" s="7" t="str" cm="1">
        <f t="array" aca="1" ref="J102" ca="1">IFERROR(IF(OR('Raw Data'!J102="",LEN(TRIM('Raw Data'!J102))=0),"",IF(AND(ISNUMBER('Raw Data'!J102),'Raw Data'!J102&gt;=Configuration!$D$2),"",_xlfn.REGEXEXTRACT(CELL("address",'Raw Data'!J102),"\$([A-Z]+)\$[0-9]+"))),_xlfn.REGEXEXTRACT(CELL("address",J102), "\$([A-Z]+)\$[0-9]+"))</f>
        <v/>
      </c>
      <c r="K102" s="7" t="str" cm="1">
        <f t="array" aca="1" ref="K102" ca="1">IFERROR(IF(OR('Raw Data'!K102="",LEN(TRIM('Raw Data'!K102))=0),"",IF(AND(ISNUMBER('Raw Data'!K102), IFERROR('Raw Data'!K102 = ROUND('Raw Data'!K102, 2),FALSE)),"",_xlfn.REGEXEXTRACT(CELL("address",K102), "\$([A-Z]+)\$[0-9]+"))),_xlfn.REGEXEXTRACT(CELL("address",K102), "\$([A-Z]+)\$[0-9]+"))</f>
        <v/>
      </c>
      <c r="L102" s="7" t="str" cm="1">
        <f t="array" aca="1" ref="L102" ca="1">IFERROR(IF(OR('Raw Data'!L102="",LEN(TRIM('Raw Data'!L102))=0),"",IF(AND(ISNUMBER('Raw Data'!L102), IFERROR('Raw Data'!L102 = ROUND('Raw Data'!L102, 2),FALSE)),"",_xlfn.REGEXEXTRACT(CELL("address",L102), "\$([A-Z]+)\$[0-9]+"))),_xlfn.REGEXEXTRACT(CELL("address",L102), "\$([A-Z]+)\$[0-9]+"))</f>
        <v/>
      </c>
      <c r="M102" s="7" t="str" cm="1">
        <f t="array" aca="1" ref="M102" ca="1">IFERROR(IF(OR('Raw Data'!M102="",LEN(TRIM('Raw Data'!M102))=0),"",IF(AND(ISNUMBER('Raw Data'!M102), IFERROR('Raw Data'!M102 = ROUND('Raw Data'!M102, 2),FALSE)),"",_xlfn.REGEXEXTRACT(CELL("address",M102), "\$([A-Z]+)\$[0-9]+"))),_xlfn.REGEXEXTRACT(CELL("address",M102), "\$([A-Z]+)\$[0-9]+"))</f>
        <v/>
      </c>
      <c r="N102" s="7" t="str" cm="1">
        <f t="array" aca="1" ref="N102" ca="1">IFERROR(IF(OR('Raw Data'!N102="",LEN(TRIM('Raw Data'!N102))=0),"",IF(AND(ISNUMBER('Raw Data'!N102), IFERROR('Raw Data'!N102 = ROUND('Raw Data'!N102, 2),FALSE)),"",_xlfn.REGEXEXTRACT(CELL("address",N102), "\$([A-Z]+)\$[0-9]+"))),_xlfn.REGEXEXTRACT(CELL("address",N102), "\$([A-Z]+)\$[0-9]+"))</f>
        <v/>
      </c>
      <c r="O102" s="7" t="str" cm="1">
        <f t="array" aca="1" ref="O102" ca="1">IFERROR(IF(OR('Raw Data'!O102="",LEN(TRIM('Raw Data'!O102))=0),"",IF(AND(ISNUMBER('Raw Data'!O102), IFERROR('Raw Data'!O102 = ROUND('Raw Data'!O102, 2),FALSE)),"",_xlfn.REGEXEXTRACT(CELL("address",O102), "\$([A-Z]+)\$[0-9]+"))),_xlfn.REGEXEXTRACT(CELL("address",O102), "\$([A-Z]+)\$[0-9]+"))</f>
        <v/>
      </c>
      <c r="P102" s="7" t="str" cm="1">
        <f t="array" aca="1" ref="P102" ca="1">IFERROR(IF(OR('Raw Data'!P102="",LEN(TRIM('Raw Data'!P102))=0),"",IF(AND(ISNUMBER('Raw Data'!P102),'Raw Data'!P102&gt;=Configuration!$D$2),"",_xlfn.REGEXEXTRACT(CELL("address",'Raw Data'!P102),"\$([A-Z]+)\$[0-9]+"))),_xlfn.REGEXEXTRACT(CELL("address",P102), "\$([A-Z]+)\$[0-9]+"))</f>
        <v/>
      </c>
      <c r="Q102" s="7" t="str" cm="1">
        <f t="array" aca="1" ref="Q102" ca="1">IFERROR(IF(OR('Raw Data'!Q102="",LEN(TRIM('Raw Data'!Q102))=0),"",IF(AND(ISNUMBER('Raw Data'!Q102),'Raw Data'!Q102&gt;=Configuration!$D$2),"",_xlfn.REGEXEXTRACT(CELL("address",'Raw Data'!Q102),"\$([A-Z]+)\$[0-9]+"))),_xlfn.REGEXEXTRACT(CELL("address",Q102), "\$([A-Z]+)\$[0-9]+"))</f>
        <v/>
      </c>
      <c r="R102" s="7" t="str" cm="1">
        <f t="array" aca="1" ref="R102" ca="1">IFERROR(IF(OR('Raw Data'!R102="",LEN(TRIM('Raw Data'!R102))=0),"",IF(AND(ISNUMBER('Raw Data'!R102), IFERROR('Raw Data'!R102 = ROUND('Raw Data'!R102, 2),FALSE)),"",_xlfn.REGEXEXTRACT(CELL("address",R102), "\$([A-Z]+)\$[0-9]+"))),_xlfn.REGEXEXTRACT(CELL("address",R102), "\$([A-Z]+)\$[0-9]+"))</f>
        <v/>
      </c>
      <c r="S102" s="7" t="str" cm="1">
        <f t="array" aca="1" ref="S102" ca="1">IFERROR(IF(OR('Raw Data'!S102="",LEN(TRIM('Raw Data'!S102))=0),"",IF(AND(ISNUMBER('Raw Data'!S102), IFERROR('Raw Data'!S102 = ROUND('Raw Data'!S102, 2),FALSE)),"",_xlfn.REGEXEXTRACT(CELL("address",S102), "\$([A-Z]+)\$[0-9]+"))),_xlfn.REGEXEXTRACT(CELL("address",S102), "\$([A-Z]+)\$[0-9]+"))</f>
        <v/>
      </c>
      <c r="T102" s="7" t="str" cm="1">
        <f t="array" aca="1" ref="T102" ca="1">IFERROR(IF(OR('Raw Data'!T102="",LEN(TRIM('Raw Data'!T102))=0),"",IF(AND(ISNUMBER('Raw Data'!T102), IFERROR('Raw Data'!T102 = ROUND('Raw Data'!T102, 2),FALSE)),"",_xlfn.REGEXEXTRACT(CELL("address",T102), "\$([A-Z]+)\$[0-9]+"))),_xlfn.REGEXEXTRACT(CELL("address",T102), "\$([A-Z]+)\$[0-9]+"))</f>
        <v/>
      </c>
      <c r="U102" s="7" t="str" cm="1">
        <f t="array" aca="1" ref="U102" ca="1">IFERROR(IF(OR('Raw Data'!U102="",LEN(TRIM('Raw Data'!U102))=0),"",IF(AND(LEN('Raw Data'!U102) &lt;= 5,LEN('Raw Data'!U102)&gt; 0),"",_xlfn.REGEXEXTRACT(CELL("address",'Raw Data'!U102),"\$([A-Z]+)\$[0-9]+"))),_xlfn.REGEXEXTRACT(CELL("address",'Raw Data'!U102),"\$([A-Z]+)\$[0-9]+"))</f>
        <v/>
      </c>
      <c r="V102" s="7" t="str" cm="1">
        <f t="array" aca="1" ref="V102" ca="1">IFERROR(IF(OR('Raw Data'!V102="",LEN(TRIM('Raw Data'!V102))=0),"",IF(AND(ISNUMBER('Raw Data'!V102), IFERROR('Raw Data'!V102 = ROUND('Raw Data'!V102, 2),FALSE)),"",_xlfn.REGEXEXTRACT(CELL("address",V102), "\$([A-Z]+)\$[0-9]+"))),_xlfn.REGEXEXTRACT(CELL("address",V102), "\$([A-Z]+)\$[0-9]+"))</f>
        <v/>
      </c>
      <c r="W102" s="7" t="str" cm="1">
        <f t="array" aca="1" ref="W102" ca="1">IFERROR(IF(OR('Raw Data'!W102="",LEN(TRIM('Raw Data'!W102))=0),"",IF(AND(ISNUMBER('Raw Data'!W102), IFERROR('Raw Data'!W102 = ROUND('Raw Data'!W102, 2),FALSE)),"",_xlfn.REGEXEXTRACT(CELL("address",W102), "\$([A-Z]+)\$[0-9]+"))),_xlfn.REGEXEXTRACT(CELL("address",W102), "\$([A-Z]+)\$[0-9]+"))</f>
        <v/>
      </c>
      <c r="X102" s="7" t="str" cm="1">
        <f t="array" aca="1" ref="X102" ca="1">IFERROR(IF(OR('Raw Data'!X102="",LEN(TRIM('Raw Data'!X102))=0),"",IF(AND(ISNUMBER('Raw Data'!X102), IFERROR('Raw Data'!X102 = ROUND('Raw Data'!X102, 2),FALSE)),"",_xlfn.REGEXEXTRACT(CELL("address",X102), "\$([A-Z]+)\$[0-9]+"))),_xlfn.REGEXEXTRACT(CELL("address",X102), "\$([A-Z]+)\$[0-9]+"))</f>
        <v/>
      </c>
    </row>
    <row r="103" spans="2:24" x14ac:dyDescent="0.25">
      <c r="B103" s="7" t="str" cm="1">
        <f t="array" aca="1" ref="B103" ca="1">IFERROR(IF(OR('Raw Data'!B103="",LEN(TRIM('Raw Data'!B103))=0),"",IF(AND(LEN('Raw Data'!B103) &lt;= 50,LEN('Raw Data'!B103)&gt; 0),"",_xlfn.REGEXEXTRACT(CELL("address",'Raw Data'!B103),"\$([A-Z]+)\$[0-9]+"))),_xlfn.REGEXEXTRACT(CELL("address",'Raw Data'!B103),"\$([A-Z]+)\$[0-9]+"))</f>
        <v/>
      </c>
      <c r="C103" s="7" t="str" cm="1">
        <f t="array" aca="1" ref="C103" ca="1">IFERROR(IF(OR('Raw Data'!C103="",LEN(TRIM('Raw Data'!C103))=0),"",IF(AND(LEN('Raw Data'!C103) &lt;= 50,LEN('Raw Data'!C103)&gt; 0),"",_xlfn.REGEXEXTRACT(CELL("address",'Raw Data'!C103),"\$([A-Z]+)\$[0-9]+"))),_xlfn.REGEXEXTRACT(CELL("address",'Raw Data'!C103),"\$([A-Z]+)\$[0-9]+"))</f>
        <v/>
      </c>
      <c r="D103" s="7" t="str" cm="1">
        <f t="array" aca="1" ref="D103" ca="1">IFERROR(IF(OR('Raw Data'!D103="",LEN(TRIM('Raw Data'!D103))=0),"",IF(AND(LEN('Raw Data'!D103) &lt;= 255,LEN('Raw Data'!D103)&gt; 0),"",_xlfn.REGEXEXTRACT(CELL("address",'Raw Data'!D103),"\$([A-Z]+)\$[0-9]+"))),_xlfn.REGEXEXTRACT(CELL("address",'Raw Data'!D103),"\$([A-Z]+)\$[0-9]+"))</f>
        <v/>
      </c>
      <c r="E103" s="7" t="str" cm="1">
        <f t="array" aca="1" ref="E103" ca="1">IFERROR(IF(OR('Raw Data'!E103="",LEN(TRIM('Raw Data'!E103))=0),"",IF(AND(ISNUMBER('Raw Data'!E103),'Raw Data'!E103&gt;=Configuration!$D$2),"",_xlfn.REGEXEXTRACT(CELL("address",'Raw Data'!E103),"\$([A-Z]+)\$[0-9]+"))),_xlfn.REGEXEXTRACT(CELL("address",E103), "\$([A-Z]+)\$[0-9]+"))</f>
        <v/>
      </c>
      <c r="F103" s="7" t="str" cm="1">
        <f t="array" aca="1" ref="F103" ca="1">IFERROR(IF(OR('Raw Data'!F103="",LEN(TRIM('Raw Data'!F103))=0),"",IF(AND(LEN('Raw Data'!F103) &lt;= 20,LEN('Raw Data'!F103)&gt; 0),"",_xlfn.REGEXEXTRACT(CELL("address",'Raw Data'!F103),"\$([A-Z]+)\$[0-9]+"))),_xlfn.REGEXEXTRACT(CELL("address",'Raw Data'!F103),"\$([A-Z]+)\$[0-9]+"))</f>
        <v/>
      </c>
      <c r="G103" s="7" t="str" cm="1">
        <f t="array" aca="1" ref="G103" ca="1">IFERROR(IF(OR('Raw Data'!G103="",LEN(TRIM('Raw Data'!G103))=0),"",IF(AND(ISNUMBER('Raw Data'!G103), IFERROR('Raw Data'!G103 = ROUND('Raw Data'!G103, 2),FALSE)),"",_xlfn.REGEXEXTRACT(CELL("address",G103), "\$([A-Z]+)\$[0-9]+"))),_xlfn.REGEXEXTRACT(CELL("address",G103), "\$([A-Z]+)\$[0-9]+"))</f>
        <v/>
      </c>
      <c r="H103" s="7" t="str" cm="1">
        <f t="array" aca="1" ref="H103" ca="1">IFERROR(IF(OR('Raw Data'!H103="",LEN(TRIM('Raw Data'!H103))=0),"",IF(AND(ISNUMBER('Raw Data'!H103), IFERROR('Raw Data'!H103 = ROUND('Raw Data'!H103, 2),FALSE)),"",_xlfn.REGEXEXTRACT(CELL("address",H103), "\$([A-Z]+)\$[0-9]+"))),_xlfn.REGEXEXTRACT(CELL("address",H103), "\$([A-Z]+)\$[0-9]+"))</f>
        <v/>
      </c>
      <c r="I103" s="7" t="str" cm="1">
        <f t="array" aca="1" ref="I103" ca="1">IFERROR(IF(OR('Raw Data'!I103="",LEN(TRIM('Raw Data'!I103))=0),"",IF(AND(LEN('Raw Data'!I103) &lt;= 50,LEN('Raw Data'!I103)&gt; 0),"",_xlfn.REGEXEXTRACT(CELL("address",'Raw Data'!I103),"\$([A-Z]+)\$[0-9]+"))),_xlfn.REGEXEXTRACT(CELL("address",'Raw Data'!I103),"\$([A-Z]+)\$[0-9]+"))</f>
        <v/>
      </c>
      <c r="J103" s="7" t="str" cm="1">
        <f t="array" aca="1" ref="J103" ca="1">IFERROR(IF(OR('Raw Data'!J103="",LEN(TRIM('Raw Data'!J103))=0),"",IF(AND(ISNUMBER('Raw Data'!J103),'Raw Data'!J103&gt;=Configuration!$D$2),"",_xlfn.REGEXEXTRACT(CELL("address",'Raw Data'!J103),"\$([A-Z]+)\$[0-9]+"))),_xlfn.REGEXEXTRACT(CELL("address",J103), "\$([A-Z]+)\$[0-9]+"))</f>
        <v/>
      </c>
      <c r="K103" s="7" t="str" cm="1">
        <f t="array" aca="1" ref="K103" ca="1">IFERROR(IF(OR('Raw Data'!K103="",LEN(TRIM('Raw Data'!K103))=0),"",IF(AND(ISNUMBER('Raw Data'!K103), IFERROR('Raw Data'!K103 = ROUND('Raw Data'!K103, 2),FALSE)),"",_xlfn.REGEXEXTRACT(CELL("address",K103), "\$([A-Z]+)\$[0-9]+"))),_xlfn.REGEXEXTRACT(CELL("address",K103), "\$([A-Z]+)\$[0-9]+"))</f>
        <v/>
      </c>
      <c r="L103" s="7" t="str" cm="1">
        <f t="array" aca="1" ref="L103" ca="1">IFERROR(IF(OR('Raw Data'!L103="",LEN(TRIM('Raw Data'!L103))=0),"",IF(AND(ISNUMBER('Raw Data'!L103), IFERROR('Raw Data'!L103 = ROUND('Raw Data'!L103, 2),FALSE)),"",_xlfn.REGEXEXTRACT(CELL("address",L103), "\$([A-Z]+)\$[0-9]+"))),_xlfn.REGEXEXTRACT(CELL("address",L103), "\$([A-Z]+)\$[0-9]+"))</f>
        <v/>
      </c>
      <c r="M103" s="7" t="str" cm="1">
        <f t="array" aca="1" ref="M103" ca="1">IFERROR(IF(OR('Raw Data'!M103="",LEN(TRIM('Raw Data'!M103))=0),"",IF(AND(ISNUMBER('Raw Data'!M103), IFERROR('Raw Data'!M103 = ROUND('Raw Data'!M103, 2),FALSE)),"",_xlfn.REGEXEXTRACT(CELL("address",M103), "\$([A-Z]+)\$[0-9]+"))),_xlfn.REGEXEXTRACT(CELL("address",M103), "\$([A-Z]+)\$[0-9]+"))</f>
        <v/>
      </c>
      <c r="N103" s="7" t="str" cm="1">
        <f t="array" aca="1" ref="N103" ca="1">IFERROR(IF(OR('Raw Data'!N103="",LEN(TRIM('Raw Data'!N103))=0),"",IF(AND(ISNUMBER('Raw Data'!N103), IFERROR('Raw Data'!N103 = ROUND('Raw Data'!N103, 2),FALSE)),"",_xlfn.REGEXEXTRACT(CELL("address",N103), "\$([A-Z]+)\$[0-9]+"))),_xlfn.REGEXEXTRACT(CELL("address",N103), "\$([A-Z]+)\$[0-9]+"))</f>
        <v/>
      </c>
      <c r="O103" s="7" t="str" cm="1">
        <f t="array" aca="1" ref="O103" ca="1">IFERROR(IF(OR('Raw Data'!O103="",LEN(TRIM('Raw Data'!O103))=0),"",IF(AND(ISNUMBER('Raw Data'!O103), IFERROR('Raw Data'!O103 = ROUND('Raw Data'!O103, 2),FALSE)),"",_xlfn.REGEXEXTRACT(CELL("address",O103), "\$([A-Z]+)\$[0-9]+"))),_xlfn.REGEXEXTRACT(CELL("address",O103), "\$([A-Z]+)\$[0-9]+"))</f>
        <v/>
      </c>
      <c r="P103" s="7" t="str" cm="1">
        <f t="array" aca="1" ref="P103" ca="1">IFERROR(IF(OR('Raw Data'!P103="",LEN(TRIM('Raw Data'!P103))=0),"",IF(AND(ISNUMBER('Raw Data'!P103),'Raw Data'!P103&gt;=Configuration!$D$2),"",_xlfn.REGEXEXTRACT(CELL("address",'Raw Data'!P103),"\$([A-Z]+)\$[0-9]+"))),_xlfn.REGEXEXTRACT(CELL("address",P103), "\$([A-Z]+)\$[0-9]+"))</f>
        <v/>
      </c>
      <c r="Q103" s="7" t="str" cm="1">
        <f t="array" aca="1" ref="Q103" ca="1">IFERROR(IF(OR('Raw Data'!Q103="",LEN(TRIM('Raw Data'!Q103))=0),"",IF(AND(ISNUMBER('Raw Data'!Q103),'Raw Data'!Q103&gt;=Configuration!$D$2),"",_xlfn.REGEXEXTRACT(CELL("address",'Raw Data'!Q103),"\$([A-Z]+)\$[0-9]+"))),_xlfn.REGEXEXTRACT(CELL("address",Q103), "\$([A-Z]+)\$[0-9]+"))</f>
        <v/>
      </c>
      <c r="R103" s="7" t="str" cm="1">
        <f t="array" aca="1" ref="R103" ca="1">IFERROR(IF(OR('Raw Data'!R103="",LEN(TRIM('Raw Data'!R103))=0),"",IF(AND(ISNUMBER('Raw Data'!R103), IFERROR('Raw Data'!R103 = ROUND('Raw Data'!R103, 2),FALSE)),"",_xlfn.REGEXEXTRACT(CELL("address",R103), "\$([A-Z]+)\$[0-9]+"))),_xlfn.REGEXEXTRACT(CELL("address",R103), "\$([A-Z]+)\$[0-9]+"))</f>
        <v/>
      </c>
      <c r="S103" s="7" t="str" cm="1">
        <f t="array" aca="1" ref="S103" ca="1">IFERROR(IF(OR('Raw Data'!S103="",LEN(TRIM('Raw Data'!S103))=0),"",IF(AND(ISNUMBER('Raw Data'!S103), IFERROR('Raw Data'!S103 = ROUND('Raw Data'!S103, 2),FALSE)),"",_xlfn.REGEXEXTRACT(CELL("address",S103), "\$([A-Z]+)\$[0-9]+"))),_xlfn.REGEXEXTRACT(CELL("address",S103), "\$([A-Z]+)\$[0-9]+"))</f>
        <v/>
      </c>
      <c r="T103" s="7" t="str" cm="1">
        <f t="array" aca="1" ref="T103" ca="1">IFERROR(IF(OR('Raw Data'!T103="",LEN(TRIM('Raw Data'!T103))=0),"",IF(AND(ISNUMBER('Raw Data'!T103), IFERROR('Raw Data'!T103 = ROUND('Raw Data'!T103, 2),FALSE)),"",_xlfn.REGEXEXTRACT(CELL("address",T103), "\$([A-Z]+)\$[0-9]+"))),_xlfn.REGEXEXTRACT(CELL("address",T103), "\$([A-Z]+)\$[0-9]+"))</f>
        <v/>
      </c>
      <c r="U103" s="7" t="str" cm="1">
        <f t="array" aca="1" ref="U103" ca="1">IFERROR(IF(OR('Raw Data'!U103="",LEN(TRIM('Raw Data'!U103))=0),"",IF(AND(LEN('Raw Data'!U103) &lt;= 5,LEN('Raw Data'!U103)&gt; 0),"",_xlfn.REGEXEXTRACT(CELL("address",'Raw Data'!U103),"\$([A-Z]+)\$[0-9]+"))),_xlfn.REGEXEXTRACT(CELL("address",'Raw Data'!U103),"\$([A-Z]+)\$[0-9]+"))</f>
        <v/>
      </c>
      <c r="V103" s="7" t="str" cm="1">
        <f t="array" aca="1" ref="V103" ca="1">IFERROR(IF(OR('Raw Data'!V103="",LEN(TRIM('Raw Data'!V103))=0),"",IF(AND(ISNUMBER('Raw Data'!V103), IFERROR('Raw Data'!V103 = ROUND('Raw Data'!V103, 2),FALSE)),"",_xlfn.REGEXEXTRACT(CELL("address",V103), "\$([A-Z]+)\$[0-9]+"))),_xlfn.REGEXEXTRACT(CELL("address",V103), "\$([A-Z]+)\$[0-9]+"))</f>
        <v/>
      </c>
      <c r="W103" s="7" t="str" cm="1">
        <f t="array" aca="1" ref="W103" ca="1">IFERROR(IF(OR('Raw Data'!W103="",LEN(TRIM('Raw Data'!W103))=0),"",IF(AND(ISNUMBER('Raw Data'!W103), IFERROR('Raw Data'!W103 = ROUND('Raw Data'!W103, 2),FALSE)),"",_xlfn.REGEXEXTRACT(CELL("address",W103), "\$([A-Z]+)\$[0-9]+"))),_xlfn.REGEXEXTRACT(CELL("address",W103), "\$([A-Z]+)\$[0-9]+"))</f>
        <v/>
      </c>
      <c r="X103" s="7" t="str" cm="1">
        <f t="array" aca="1" ref="X103" ca="1">IFERROR(IF(OR('Raw Data'!X103="",LEN(TRIM('Raw Data'!X103))=0),"",IF(AND(ISNUMBER('Raw Data'!X103), IFERROR('Raw Data'!X103 = ROUND('Raw Data'!X103, 2),FALSE)),"",_xlfn.REGEXEXTRACT(CELL("address",X103), "\$([A-Z]+)\$[0-9]+"))),_xlfn.REGEXEXTRACT(CELL("address",X103), "\$([A-Z]+)\$[0-9]+"))</f>
        <v/>
      </c>
    </row>
    <row r="104" spans="2:24" x14ac:dyDescent="0.25">
      <c r="B104" s="7" t="str" cm="1">
        <f t="array" aca="1" ref="B104" ca="1">IFERROR(IF(OR('Raw Data'!B104="",LEN(TRIM('Raw Data'!B104))=0),"",IF(AND(LEN('Raw Data'!B104) &lt;= 50,LEN('Raw Data'!B104)&gt; 0),"",_xlfn.REGEXEXTRACT(CELL("address",'Raw Data'!B104),"\$([A-Z]+)\$[0-9]+"))),_xlfn.REGEXEXTRACT(CELL("address",'Raw Data'!B104),"\$([A-Z]+)\$[0-9]+"))</f>
        <v/>
      </c>
      <c r="C104" s="7" t="str" cm="1">
        <f t="array" aca="1" ref="C104" ca="1">IFERROR(IF(OR('Raw Data'!C104="",LEN(TRIM('Raw Data'!C104))=0),"",IF(AND(LEN('Raw Data'!C104) &lt;= 50,LEN('Raw Data'!C104)&gt; 0),"",_xlfn.REGEXEXTRACT(CELL("address",'Raw Data'!C104),"\$([A-Z]+)\$[0-9]+"))),_xlfn.REGEXEXTRACT(CELL("address",'Raw Data'!C104),"\$([A-Z]+)\$[0-9]+"))</f>
        <v/>
      </c>
      <c r="D104" s="7" t="str" cm="1">
        <f t="array" aca="1" ref="D104" ca="1">IFERROR(IF(OR('Raw Data'!D104="",LEN(TRIM('Raw Data'!D104))=0),"",IF(AND(LEN('Raw Data'!D104) &lt;= 255,LEN('Raw Data'!D104)&gt; 0),"",_xlfn.REGEXEXTRACT(CELL("address",'Raw Data'!D104),"\$([A-Z]+)\$[0-9]+"))),_xlfn.REGEXEXTRACT(CELL("address",'Raw Data'!D104),"\$([A-Z]+)\$[0-9]+"))</f>
        <v/>
      </c>
      <c r="E104" s="7" t="str" cm="1">
        <f t="array" aca="1" ref="E104" ca="1">IFERROR(IF(OR('Raw Data'!E104="",LEN(TRIM('Raw Data'!E104))=0),"",IF(AND(ISNUMBER('Raw Data'!E104),'Raw Data'!E104&gt;=Configuration!$D$2),"",_xlfn.REGEXEXTRACT(CELL("address",'Raw Data'!E104),"\$([A-Z]+)\$[0-9]+"))),_xlfn.REGEXEXTRACT(CELL("address",E104), "\$([A-Z]+)\$[0-9]+"))</f>
        <v/>
      </c>
      <c r="F104" s="7" t="str" cm="1">
        <f t="array" aca="1" ref="F104" ca="1">IFERROR(IF(OR('Raw Data'!F104="",LEN(TRIM('Raw Data'!F104))=0),"",IF(AND(LEN('Raw Data'!F104) &lt;= 20,LEN('Raw Data'!F104)&gt; 0),"",_xlfn.REGEXEXTRACT(CELL("address",'Raw Data'!F104),"\$([A-Z]+)\$[0-9]+"))),_xlfn.REGEXEXTRACT(CELL("address",'Raw Data'!F104),"\$([A-Z]+)\$[0-9]+"))</f>
        <v/>
      </c>
      <c r="G104" s="7" t="str" cm="1">
        <f t="array" aca="1" ref="G104" ca="1">IFERROR(IF(OR('Raw Data'!G104="",LEN(TRIM('Raw Data'!G104))=0),"",IF(AND(ISNUMBER('Raw Data'!G104), IFERROR('Raw Data'!G104 = ROUND('Raw Data'!G104, 2),FALSE)),"",_xlfn.REGEXEXTRACT(CELL("address",G104), "\$([A-Z]+)\$[0-9]+"))),_xlfn.REGEXEXTRACT(CELL("address",G104), "\$([A-Z]+)\$[0-9]+"))</f>
        <v/>
      </c>
      <c r="H104" s="7" t="str" cm="1">
        <f t="array" aca="1" ref="H104" ca="1">IFERROR(IF(OR('Raw Data'!H104="",LEN(TRIM('Raw Data'!H104))=0),"",IF(AND(ISNUMBER('Raw Data'!H104), IFERROR('Raw Data'!H104 = ROUND('Raw Data'!H104, 2),FALSE)),"",_xlfn.REGEXEXTRACT(CELL("address",H104), "\$([A-Z]+)\$[0-9]+"))),_xlfn.REGEXEXTRACT(CELL("address",H104), "\$([A-Z]+)\$[0-9]+"))</f>
        <v/>
      </c>
      <c r="I104" s="7" t="str" cm="1">
        <f t="array" aca="1" ref="I104" ca="1">IFERROR(IF(OR('Raw Data'!I104="",LEN(TRIM('Raw Data'!I104))=0),"",IF(AND(LEN('Raw Data'!I104) &lt;= 50,LEN('Raw Data'!I104)&gt; 0),"",_xlfn.REGEXEXTRACT(CELL("address",'Raw Data'!I104),"\$([A-Z]+)\$[0-9]+"))),_xlfn.REGEXEXTRACT(CELL("address",'Raw Data'!I104),"\$([A-Z]+)\$[0-9]+"))</f>
        <v/>
      </c>
      <c r="J104" s="7" t="str" cm="1">
        <f t="array" aca="1" ref="J104" ca="1">IFERROR(IF(OR('Raw Data'!J104="",LEN(TRIM('Raw Data'!J104))=0),"",IF(AND(ISNUMBER('Raw Data'!J104),'Raw Data'!J104&gt;=Configuration!$D$2),"",_xlfn.REGEXEXTRACT(CELL("address",'Raw Data'!J104),"\$([A-Z]+)\$[0-9]+"))),_xlfn.REGEXEXTRACT(CELL("address",J104), "\$([A-Z]+)\$[0-9]+"))</f>
        <v/>
      </c>
      <c r="K104" s="7" t="str" cm="1">
        <f t="array" aca="1" ref="K104" ca="1">IFERROR(IF(OR('Raw Data'!K104="",LEN(TRIM('Raw Data'!K104))=0),"",IF(AND(ISNUMBER('Raw Data'!K104), IFERROR('Raw Data'!K104 = ROUND('Raw Data'!K104, 2),FALSE)),"",_xlfn.REGEXEXTRACT(CELL("address",K104), "\$([A-Z]+)\$[0-9]+"))),_xlfn.REGEXEXTRACT(CELL("address",K104), "\$([A-Z]+)\$[0-9]+"))</f>
        <v/>
      </c>
      <c r="L104" s="7" t="str" cm="1">
        <f t="array" aca="1" ref="L104" ca="1">IFERROR(IF(OR('Raw Data'!L104="",LEN(TRIM('Raw Data'!L104))=0),"",IF(AND(ISNUMBER('Raw Data'!L104), IFERROR('Raw Data'!L104 = ROUND('Raw Data'!L104, 2),FALSE)),"",_xlfn.REGEXEXTRACT(CELL("address",L104), "\$([A-Z]+)\$[0-9]+"))),_xlfn.REGEXEXTRACT(CELL("address",L104), "\$([A-Z]+)\$[0-9]+"))</f>
        <v/>
      </c>
      <c r="M104" s="7" t="str" cm="1">
        <f t="array" aca="1" ref="M104" ca="1">IFERROR(IF(OR('Raw Data'!M104="",LEN(TRIM('Raw Data'!M104))=0),"",IF(AND(ISNUMBER('Raw Data'!M104), IFERROR('Raw Data'!M104 = ROUND('Raw Data'!M104, 2),FALSE)),"",_xlfn.REGEXEXTRACT(CELL("address",M104), "\$([A-Z]+)\$[0-9]+"))),_xlfn.REGEXEXTRACT(CELL("address",M104), "\$([A-Z]+)\$[0-9]+"))</f>
        <v/>
      </c>
      <c r="N104" s="7" t="str" cm="1">
        <f t="array" aca="1" ref="N104" ca="1">IFERROR(IF(OR('Raw Data'!N104="",LEN(TRIM('Raw Data'!N104))=0),"",IF(AND(ISNUMBER('Raw Data'!N104), IFERROR('Raw Data'!N104 = ROUND('Raw Data'!N104, 2),FALSE)),"",_xlfn.REGEXEXTRACT(CELL("address",N104), "\$([A-Z]+)\$[0-9]+"))),_xlfn.REGEXEXTRACT(CELL("address",N104), "\$([A-Z]+)\$[0-9]+"))</f>
        <v/>
      </c>
      <c r="O104" s="7" t="str" cm="1">
        <f t="array" aca="1" ref="O104" ca="1">IFERROR(IF(OR('Raw Data'!O104="",LEN(TRIM('Raw Data'!O104))=0),"",IF(AND(ISNUMBER('Raw Data'!O104), IFERROR('Raw Data'!O104 = ROUND('Raw Data'!O104, 2),FALSE)),"",_xlfn.REGEXEXTRACT(CELL("address",O104), "\$([A-Z]+)\$[0-9]+"))),_xlfn.REGEXEXTRACT(CELL("address",O104), "\$([A-Z]+)\$[0-9]+"))</f>
        <v/>
      </c>
      <c r="P104" s="7" t="str" cm="1">
        <f t="array" aca="1" ref="P104" ca="1">IFERROR(IF(OR('Raw Data'!P104="",LEN(TRIM('Raw Data'!P104))=0),"",IF(AND(ISNUMBER('Raw Data'!P104),'Raw Data'!P104&gt;=Configuration!$D$2),"",_xlfn.REGEXEXTRACT(CELL("address",'Raw Data'!P104),"\$([A-Z]+)\$[0-9]+"))),_xlfn.REGEXEXTRACT(CELL("address",P104), "\$([A-Z]+)\$[0-9]+"))</f>
        <v/>
      </c>
      <c r="Q104" s="7" t="str" cm="1">
        <f t="array" aca="1" ref="Q104" ca="1">IFERROR(IF(OR('Raw Data'!Q104="",LEN(TRIM('Raw Data'!Q104))=0),"",IF(AND(ISNUMBER('Raw Data'!Q104),'Raw Data'!Q104&gt;=Configuration!$D$2),"",_xlfn.REGEXEXTRACT(CELL("address",'Raw Data'!Q104),"\$([A-Z]+)\$[0-9]+"))),_xlfn.REGEXEXTRACT(CELL("address",Q104), "\$([A-Z]+)\$[0-9]+"))</f>
        <v/>
      </c>
      <c r="R104" s="7" t="str" cm="1">
        <f t="array" aca="1" ref="R104" ca="1">IFERROR(IF(OR('Raw Data'!R104="",LEN(TRIM('Raw Data'!R104))=0),"",IF(AND(ISNUMBER('Raw Data'!R104), IFERROR('Raw Data'!R104 = ROUND('Raw Data'!R104, 2),FALSE)),"",_xlfn.REGEXEXTRACT(CELL("address",R104), "\$([A-Z]+)\$[0-9]+"))),_xlfn.REGEXEXTRACT(CELL("address",R104), "\$([A-Z]+)\$[0-9]+"))</f>
        <v/>
      </c>
      <c r="S104" s="7" t="str" cm="1">
        <f t="array" aca="1" ref="S104" ca="1">IFERROR(IF(OR('Raw Data'!S104="",LEN(TRIM('Raw Data'!S104))=0),"",IF(AND(ISNUMBER('Raw Data'!S104), IFERROR('Raw Data'!S104 = ROUND('Raw Data'!S104, 2),FALSE)),"",_xlfn.REGEXEXTRACT(CELL("address",S104), "\$([A-Z]+)\$[0-9]+"))),_xlfn.REGEXEXTRACT(CELL("address",S104), "\$([A-Z]+)\$[0-9]+"))</f>
        <v/>
      </c>
      <c r="T104" s="7" t="str" cm="1">
        <f t="array" aca="1" ref="T104" ca="1">IFERROR(IF(OR('Raw Data'!T104="",LEN(TRIM('Raw Data'!T104))=0),"",IF(AND(ISNUMBER('Raw Data'!T104), IFERROR('Raw Data'!T104 = ROUND('Raw Data'!T104, 2),FALSE)),"",_xlfn.REGEXEXTRACT(CELL("address",T104), "\$([A-Z]+)\$[0-9]+"))),_xlfn.REGEXEXTRACT(CELL("address",T104), "\$([A-Z]+)\$[0-9]+"))</f>
        <v/>
      </c>
      <c r="U104" s="7" t="str" cm="1">
        <f t="array" aca="1" ref="U104" ca="1">IFERROR(IF(OR('Raw Data'!U104="",LEN(TRIM('Raw Data'!U104))=0),"",IF(AND(LEN('Raw Data'!U104) &lt;= 5,LEN('Raw Data'!U104)&gt; 0),"",_xlfn.REGEXEXTRACT(CELL("address",'Raw Data'!U104),"\$([A-Z]+)\$[0-9]+"))),_xlfn.REGEXEXTRACT(CELL("address",'Raw Data'!U104),"\$([A-Z]+)\$[0-9]+"))</f>
        <v/>
      </c>
      <c r="V104" s="7" t="str" cm="1">
        <f t="array" aca="1" ref="V104" ca="1">IFERROR(IF(OR('Raw Data'!V104="",LEN(TRIM('Raw Data'!V104))=0),"",IF(AND(ISNUMBER('Raw Data'!V104), IFERROR('Raw Data'!V104 = ROUND('Raw Data'!V104, 2),FALSE)),"",_xlfn.REGEXEXTRACT(CELL("address",V104), "\$([A-Z]+)\$[0-9]+"))),_xlfn.REGEXEXTRACT(CELL("address",V104), "\$([A-Z]+)\$[0-9]+"))</f>
        <v/>
      </c>
      <c r="W104" s="7" t="str" cm="1">
        <f t="array" aca="1" ref="W104" ca="1">IFERROR(IF(OR('Raw Data'!W104="",LEN(TRIM('Raw Data'!W104))=0),"",IF(AND(ISNUMBER('Raw Data'!W104), IFERROR('Raw Data'!W104 = ROUND('Raw Data'!W104, 2),FALSE)),"",_xlfn.REGEXEXTRACT(CELL("address",W104), "\$([A-Z]+)\$[0-9]+"))),_xlfn.REGEXEXTRACT(CELL("address",W104), "\$([A-Z]+)\$[0-9]+"))</f>
        <v/>
      </c>
      <c r="X104" s="7" t="str" cm="1">
        <f t="array" aca="1" ref="X104" ca="1">IFERROR(IF(OR('Raw Data'!X104="",LEN(TRIM('Raw Data'!X104))=0),"",IF(AND(ISNUMBER('Raw Data'!X104), IFERROR('Raw Data'!X104 = ROUND('Raw Data'!X104, 2),FALSE)),"",_xlfn.REGEXEXTRACT(CELL("address",X104), "\$([A-Z]+)\$[0-9]+"))),_xlfn.REGEXEXTRACT(CELL("address",X104), "\$([A-Z]+)\$[0-9]+"))</f>
        <v/>
      </c>
    </row>
    <row r="105" spans="2:24" x14ac:dyDescent="0.25">
      <c r="B105" s="7" t="str" cm="1">
        <f t="array" aca="1" ref="B105" ca="1">IFERROR(IF(OR('Raw Data'!B105="",LEN(TRIM('Raw Data'!B105))=0),"",IF(AND(LEN('Raw Data'!B105) &lt;= 50,LEN('Raw Data'!B105)&gt; 0),"",_xlfn.REGEXEXTRACT(CELL("address",'Raw Data'!B105),"\$([A-Z]+)\$[0-9]+"))),_xlfn.REGEXEXTRACT(CELL("address",'Raw Data'!B105),"\$([A-Z]+)\$[0-9]+"))</f>
        <v/>
      </c>
      <c r="C105" s="7" t="str" cm="1">
        <f t="array" aca="1" ref="C105" ca="1">IFERROR(IF(OR('Raw Data'!C105="",LEN(TRIM('Raw Data'!C105))=0),"",IF(AND(LEN('Raw Data'!C105) &lt;= 50,LEN('Raw Data'!C105)&gt; 0),"",_xlfn.REGEXEXTRACT(CELL("address",'Raw Data'!C105),"\$([A-Z]+)\$[0-9]+"))),_xlfn.REGEXEXTRACT(CELL("address",'Raw Data'!C105),"\$([A-Z]+)\$[0-9]+"))</f>
        <v/>
      </c>
      <c r="D105" s="7" t="str" cm="1">
        <f t="array" aca="1" ref="D105" ca="1">IFERROR(IF(OR('Raw Data'!D105="",LEN(TRIM('Raw Data'!D105))=0),"",IF(AND(LEN('Raw Data'!D105) &lt;= 255,LEN('Raw Data'!D105)&gt; 0),"",_xlfn.REGEXEXTRACT(CELL("address",'Raw Data'!D105),"\$([A-Z]+)\$[0-9]+"))),_xlfn.REGEXEXTRACT(CELL("address",'Raw Data'!D105),"\$([A-Z]+)\$[0-9]+"))</f>
        <v/>
      </c>
      <c r="E105" s="7" t="str" cm="1">
        <f t="array" aca="1" ref="E105" ca="1">IFERROR(IF(OR('Raw Data'!E105="",LEN(TRIM('Raw Data'!E105))=0),"",IF(AND(ISNUMBER('Raw Data'!E105),'Raw Data'!E105&gt;=Configuration!$D$2),"",_xlfn.REGEXEXTRACT(CELL("address",'Raw Data'!E105),"\$([A-Z]+)\$[0-9]+"))),_xlfn.REGEXEXTRACT(CELL("address",E105), "\$([A-Z]+)\$[0-9]+"))</f>
        <v/>
      </c>
      <c r="F105" s="7" t="str" cm="1">
        <f t="array" aca="1" ref="F105" ca="1">IFERROR(IF(OR('Raw Data'!F105="",LEN(TRIM('Raw Data'!F105))=0),"",IF(AND(LEN('Raw Data'!F105) &lt;= 20,LEN('Raw Data'!F105)&gt; 0),"",_xlfn.REGEXEXTRACT(CELL("address",'Raw Data'!F105),"\$([A-Z]+)\$[0-9]+"))),_xlfn.REGEXEXTRACT(CELL("address",'Raw Data'!F105),"\$([A-Z]+)\$[0-9]+"))</f>
        <v/>
      </c>
      <c r="G105" s="7" t="str" cm="1">
        <f t="array" aca="1" ref="G105" ca="1">IFERROR(IF(OR('Raw Data'!G105="",LEN(TRIM('Raw Data'!G105))=0),"",IF(AND(ISNUMBER('Raw Data'!G105), IFERROR('Raw Data'!G105 = ROUND('Raw Data'!G105, 2),FALSE)),"",_xlfn.REGEXEXTRACT(CELL("address",G105), "\$([A-Z]+)\$[0-9]+"))),_xlfn.REGEXEXTRACT(CELL("address",G105), "\$([A-Z]+)\$[0-9]+"))</f>
        <v/>
      </c>
      <c r="H105" s="7" t="str" cm="1">
        <f t="array" aca="1" ref="H105" ca="1">IFERROR(IF(OR('Raw Data'!H105="",LEN(TRIM('Raw Data'!H105))=0),"",IF(AND(ISNUMBER('Raw Data'!H105), IFERROR('Raw Data'!H105 = ROUND('Raw Data'!H105, 2),FALSE)),"",_xlfn.REGEXEXTRACT(CELL("address",H105), "\$([A-Z]+)\$[0-9]+"))),_xlfn.REGEXEXTRACT(CELL("address",H105), "\$([A-Z]+)\$[0-9]+"))</f>
        <v/>
      </c>
      <c r="I105" s="7" t="str" cm="1">
        <f t="array" aca="1" ref="I105" ca="1">IFERROR(IF(OR('Raw Data'!I105="",LEN(TRIM('Raw Data'!I105))=0),"",IF(AND(LEN('Raw Data'!I105) &lt;= 50,LEN('Raw Data'!I105)&gt; 0),"",_xlfn.REGEXEXTRACT(CELL("address",'Raw Data'!I105),"\$([A-Z]+)\$[0-9]+"))),_xlfn.REGEXEXTRACT(CELL("address",'Raw Data'!I105),"\$([A-Z]+)\$[0-9]+"))</f>
        <v/>
      </c>
      <c r="J105" s="7" t="str" cm="1">
        <f t="array" aca="1" ref="J105" ca="1">IFERROR(IF(OR('Raw Data'!J105="",LEN(TRIM('Raw Data'!J105))=0),"",IF(AND(ISNUMBER('Raw Data'!J105),'Raw Data'!J105&gt;=Configuration!$D$2),"",_xlfn.REGEXEXTRACT(CELL("address",'Raw Data'!J105),"\$([A-Z]+)\$[0-9]+"))),_xlfn.REGEXEXTRACT(CELL("address",J105), "\$([A-Z]+)\$[0-9]+"))</f>
        <v/>
      </c>
      <c r="K105" s="7" t="str" cm="1">
        <f t="array" aca="1" ref="K105" ca="1">IFERROR(IF(OR('Raw Data'!K105="",LEN(TRIM('Raw Data'!K105))=0),"",IF(AND(ISNUMBER('Raw Data'!K105), IFERROR('Raw Data'!K105 = ROUND('Raw Data'!K105, 2),FALSE)),"",_xlfn.REGEXEXTRACT(CELL("address",K105), "\$([A-Z]+)\$[0-9]+"))),_xlfn.REGEXEXTRACT(CELL("address",K105), "\$([A-Z]+)\$[0-9]+"))</f>
        <v/>
      </c>
      <c r="L105" s="7" t="str" cm="1">
        <f t="array" aca="1" ref="L105" ca="1">IFERROR(IF(OR('Raw Data'!L105="",LEN(TRIM('Raw Data'!L105))=0),"",IF(AND(ISNUMBER('Raw Data'!L105), IFERROR('Raw Data'!L105 = ROUND('Raw Data'!L105, 2),FALSE)),"",_xlfn.REGEXEXTRACT(CELL("address",L105), "\$([A-Z]+)\$[0-9]+"))),_xlfn.REGEXEXTRACT(CELL("address",L105), "\$([A-Z]+)\$[0-9]+"))</f>
        <v/>
      </c>
      <c r="M105" s="7" t="str" cm="1">
        <f t="array" aca="1" ref="M105" ca="1">IFERROR(IF(OR('Raw Data'!M105="",LEN(TRIM('Raw Data'!M105))=0),"",IF(AND(ISNUMBER('Raw Data'!M105), IFERROR('Raw Data'!M105 = ROUND('Raw Data'!M105, 2),FALSE)),"",_xlfn.REGEXEXTRACT(CELL("address",M105), "\$([A-Z]+)\$[0-9]+"))),_xlfn.REGEXEXTRACT(CELL("address",M105), "\$([A-Z]+)\$[0-9]+"))</f>
        <v/>
      </c>
      <c r="N105" s="7" t="str" cm="1">
        <f t="array" aca="1" ref="N105" ca="1">IFERROR(IF(OR('Raw Data'!N105="",LEN(TRIM('Raw Data'!N105))=0),"",IF(AND(ISNUMBER('Raw Data'!N105), IFERROR('Raw Data'!N105 = ROUND('Raw Data'!N105, 2),FALSE)),"",_xlfn.REGEXEXTRACT(CELL("address",N105), "\$([A-Z]+)\$[0-9]+"))),_xlfn.REGEXEXTRACT(CELL("address",N105), "\$([A-Z]+)\$[0-9]+"))</f>
        <v/>
      </c>
      <c r="O105" s="7" t="str" cm="1">
        <f t="array" aca="1" ref="O105" ca="1">IFERROR(IF(OR('Raw Data'!O105="",LEN(TRIM('Raw Data'!O105))=0),"",IF(AND(ISNUMBER('Raw Data'!O105), IFERROR('Raw Data'!O105 = ROUND('Raw Data'!O105, 2),FALSE)),"",_xlfn.REGEXEXTRACT(CELL("address",O105), "\$([A-Z]+)\$[0-9]+"))),_xlfn.REGEXEXTRACT(CELL("address",O105), "\$([A-Z]+)\$[0-9]+"))</f>
        <v/>
      </c>
      <c r="P105" s="7" t="str" cm="1">
        <f t="array" aca="1" ref="P105" ca="1">IFERROR(IF(OR('Raw Data'!P105="",LEN(TRIM('Raw Data'!P105))=0),"",IF(AND(ISNUMBER('Raw Data'!P105),'Raw Data'!P105&gt;=Configuration!$D$2),"",_xlfn.REGEXEXTRACT(CELL("address",'Raw Data'!P105),"\$([A-Z]+)\$[0-9]+"))),_xlfn.REGEXEXTRACT(CELL("address",P105), "\$([A-Z]+)\$[0-9]+"))</f>
        <v/>
      </c>
      <c r="Q105" s="7" t="str" cm="1">
        <f t="array" aca="1" ref="Q105" ca="1">IFERROR(IF(OR('Raw Data'!Q105="",LEN(TRIM('Raw Data'!Q105))=0),"",IF(AND(ISNUMBER('Raw Data'!Q105),'Raw Data'!Q105&gt;=Configuration!$D$2),"",_xlfn.REGEXEXTRACT(CELL("address",'Raw Data'!Q105),"\$([A-Z]+)\$[0-9]+"))),_xlfn.REGEXEXTRACT(CELL("address",Q105), "\$([A-Z]+)\$[0-9]+"))</f>
        <v/>
      </c>
      <c r="R105" s="7" t="str" cm="1">
        <f t="array" aca="1" ref="R105" ca="1">IFERROR(IF(OR('Raw Data'!R105="",LEN(TRIM('Raw Data'!R105))=0),"",IF(AND(ISNUMBER('Raw Data'!R105), IFERROR('Raw Data'!R105 = ROUND('Raw Data'!R105, 2),FALSE)),"",_xlfn.REGEXEXTRACT(CELL("address",R105), "\$([A-Z]+)\$[0-9]+"))),_xlfn.REGEXEXTRACT(CELL("address",R105), "\$([A-Z]+)\$[0-9]+"))</f>
        <v/>
      </c>
      <c r="S105" s="7" t="str" cm="1">
        <f t="array" aca="1" ref="S105" ca="1">IFERROR(IF(OR('Raw Data'!S105="",LEN(TRIM('Raw Data'!S105))=0),"",IF(AND(ISNUMBER('Raw Data'!S105), IFERROR('Raw Data'!S105 = ROUND('Raw Data'!S105, 2),FALSE)),"",_xlfn.REGEXEXTRACT(CELL("address",S105), "\$([A-Z]+)\$[0-9]+"))),_xlfn.REGEXEXTRACT(CELL("address",S105), "\$([A-Z]+)\$[0-9]+"))</f>
        <v/>
      </c>
      <c r="T105" s="7" t="str" cm="1">
        <f t="array" aca="1" ref="T105" ca="1">IFERROR(IF(OR('Raw Data'!T105="",LEN(TRIM('Raw Data'!T105))=0),"",IF(AND(ISNUMBER('Raw Data'!T105), IFERROR('Raw Data'!T105 = ROUND('Raw Data'!T105, 2),FALSE)),"",_xlfn.REGEXEXTRACT(CELL("address",T105), "\$([A-Z]+)\$[0-9]+"))),_xlfn.REGEXEXTRACT(CELL("address",T105), "\$([A-Z]+)\$[0-9]+"))</f>
        <v/>
      </c>
      <c r="U105" s="7" t="str" cm="1">
        <f t="array" aca="1" ref="U105" ca="1">IFERROR(IF(OR('Raw Data'!U105="",LEN(TRIM('Raw Data'!U105))=0),"",IF(AND(LEN('Raw Data'!U105) &lt;= 5,LEN('Raw Data'!U105)&gt; 0),"",_xlfn.REGEXEXTRACT(CELL("address",'Raw Data'!U105),"\$([A-Z]+)\$[0-9]+"))),_xlfn.REGEXEXTRACT(CELL("address",'Raw Data'!U105),"\$([A-Z]+)\$[0-9]+"))</f>
        <v/>
      </c>
      <c r="V105" s="7" t="str" cm="1">
        <f t="array" aca="1" ref="V105" ca="1">IFERROR(IF(OR('Raw Data'!V105="",LEN(TRIM('Raw Data'!V105))=0),"",IF(AND(ISNUMBER('Raw Data'!V105), IFERROR('Raw Data'!V105 = ROUND('Raw Data'!V105, 2),FALSE)),"",_xlfn.REGEXEXTRACT(CELL("address",V105), "\$([A-Z]+)\$[0-9]+"))),_xlfn.REGEXEXTRACT(CELL("address",V105), "\$([A-Z]+)\$[0-9]+"))</f>
        <v/>
      </c>
      <c r="W105" s="7" t="str" cm="1">
        <f t="array" aca="1" ref="W105" ca="1">IFERROR(IF(OR('Raw Data'!W105="",LEN(TRIM('Raw Data'!W105))=0),"",IF(AND(ISNUMBER('Raw Data'!W105), IFERROR('Raw Data'!W105 = ROUND('Raw Data'!W105, 2),FALSE)),"",_xlfn.REGEXEXTRACT(CELL("address",W105), "\$([A-Z]+)\$[0-9]+"))),_xlfn.REGEXEXTRACT(CELL("address",W105), "\$([A-Z]+)\$[0-9]+"))</f>
        <v/>
      </c>
      <c r="X105" s="7" t="str" cm="1">
        <f t="array" aca="1" ref="X105" ca="1">IFERROR(IF(OR('Raw Data'!X105="",LEN(TRIM('Raw Data'!X105))=0),"",IF(AND(ISNUMBER('Raw Data'!X105), IFERROR('Raw Data'!X105 = ROUND('Raw Data'!X105, 2),FALSE)),"",_xlfn.REGEXEXTRACT(CELL("address",X105), "\$([A-Z]+)\$[0-9]+"))),_xlfn.REGEXEXTRACT(CELL("address",X105), "\$([A-Z]+)\$[0-9]+"))</f>
        <v/>
      </c>
    </row>
    <row r="106" spans="2:24" x14ac:dyDescent="0.25">
      <c r="B106" s="7" t="str" cm="1">
        <f t="array" aca="1" ref="B106" ca="1">IFERROR(IF(OR('Raw Data'!B106="",LEN(TRIM('Raw Data'!B106))=0),"",IF(AND(LEN('Raw Data'!B106) &lt;= 50,LEN('Raw Data'!B106)&gt; 0),"",_xlfn.REGEXEXTRACT(CELL("address",'Raw Data'!B106),"\$([A-Z]+)\$[0-9]+"))),_xlfn.REGEXEXTRACT(CELL("address",'Raw Data'!B106),"\$([A-Z]+)\$[0-9]+"))</f>
        <v/>
      </c>
      <c r="C106" s="7" t="str" cm="1">
        <f t="array" aca="1" ref="C106" ca="1">IFERROR(IF(OR('Raw Data'!C106="",LEN(TRIM('Raw Data'!C106))=0),"",IF(AND(LEN('Raw Data'!C106) &lt;= 50,LEN('Raw Data'!C106)&gt; 0),"",_xlfn.REGEXEXTRACT(CELL("address",'Raw Data'!C106),"\$([A-Z]+)\$[0-9]+"))),_xlfn.REGEXEXTRACT(CELL("address",'Raw Data'!C106),"\$([A-Z]+)\$[0-9]+"))</f>
        <v/>
      </c>
      <c r="D106" s="7" t="str" cm="1">
        <f t="array" aca="1" ref="D106" ca="1">IFERROR(IF(OR('Raw Data'!D106="",LEN(TRIM('Raw Data'!D106))=0),"",IF(AND(LEN('Raw Data'!D106) &lt;= 255,LEN('Raw Data'!D106)&gt; 0),"",_xlfn.REGEXEXTRACT(CELL("address",'Raw Data'!D106),"\$([A-Z]+)\$[0-9]+"))),_xlfn.REGEXEXTRACT(CELL("address",'Raw Data'!D106),"\$([A-Z]+)\$[0-9]+"))</f>
        <v/>
      </c>
      <c r="E106" s="7" t="str" cm="1">
        <f t="array" aca="1" ref="E106" ca="1">IFERROR(IF(OR('Raw Data'!E106="",LEN(TRIM('Raw Data'!E106))=0),"",IF(AND(ISNUMBER('Raw Data'!E106),'Raw Data'!E106&gt;=Configuration!$D$2),"",_xlfn.REGEXEXTRACT(CELL("address",'Raw Data'!E106),"\$([A-Z]+)\$[0-9]+"))),_xlfn.REGEXEXTRACT(CELL("address",E106), "\$([A-Z]+)\$[0-9]+"))</f>
        <v/>
      </c>
      <c r="F106" s="7" t="str" cm="1">
        <f t="array" aca="1" ref="F106" ca="1">IFERROR(IF(OR('Raw Data'!F106="",LEN(TRIM('Raw Data'!F106))=0),"",IF(AND(LEN('Raw Data'!F106) &lt;= 20,LEN('Raw Data'!F106)&gt; 0),"",_xlfn.REGEXEXTRACT(CELL("address",'Raw Data'!F106),"\$([A-Z]+)\$[0-9]+"))),_xlfn.REGEXEXTRACT(CELL("address",'Raw Data'!F106),"\$([A-Z]+)\$[0-9]+"))</f>
        <v/>
      </c>
      <c r="G106" s="7" t="str" cm="1">
        <f t="array" aca="1" ref="G106" ca="1">IFERROR(IF(OR('Raw Data'!G106="",LEN(TRIM('Raw Data'!G106))=0),"",IF(AND(ISNUMBER('Raw Data'!G106), IFERROR('Raw Data'!G106 = ROUND('Raw Data'!G106, 2),FALSE)),"",_xlfn.REGEXEXTRACT(CELL("address",G106), "\$([A-Z]+)\$[0-9]+"))),_xlfn.REGEXEXTRACT(CELL("address",G106), "\$([A-Z]+)\$[0-9]+"))</f>
        <v/>
      </c>
      <c r="H106" s="7" t="str" cm="1">
        <f t="array" aca="1" ref="H106" ca="1">IFERROR(IF(OR('Raw Data'!H106="",LEN(TRIM('Raw Data'!H106))=0),"",IF(AND(ISNUMBER('Raw Data'!H106), IFERROR('Raw Data'!H106 = ROUND('Raw Data'!H106, 2),FALSE)),"",_xlfn.REGEXEXTRACT(CELL("address",H106), "\$([A-Z]+)\$[0-9]+"))),_xlfn.REGEXEXTRACT(CELL("address",H106), "\$([A-Z]+)\$[0-9]+"))</f>
        <v/>
      </c>
      <c r="I106" s="7" t="str" cm="1">
        <f t="array" aca="1" ref="I106" ca="1">IFERROR(IF(OR('Raw Data'!I106="",LEN(TRIM('Raw Data'!I106))=0),"",IF(AND(LEN('Raw Data'!I106) &lt;= 50,LEN('Raw Data'!I106)&gt; 0),"",_xlfn.REGEXEXTRACT(CELL("address",'Raw Data'!I106),"\$([A-Z]+)\$[0-9]+"))),_xlfn.REGEXEXTRACT(CELL("address",'Raw Data'!I106),"\$([A-Z]+)\$[0-9]+"))</f>
        <v/>
      </c>
      <c r="J106" s="7" t="str" cm="1">
        <f t="array" aca="1" ref="J106" ca="1">IFERROR(IF(OR('Raw Data'!J106="",LEN(TRIM('Raw Data'!J106))=0),"",IF(AND(ISNUMBER('Raw Data'!J106),'Raw Data'!J106&gt;=Configuration!$D$2),"",_xlfn.REGEXEXTRACT(CELL("address",'Raw Data'!J106),"\$([A-Z]+)\$[0-9]+"))),_xlfn.REGEXEXTRACT(CELL("address",J106), "\$([A-Z]+)\$[0-9]+"))</f>
        <v/>
      </c>
      <c r="K106" s="7" t="str" cm="1">
        <f t="array" aca="1" ref="K106" ca="1">IFERROR(IF(OR('Raw Data'!K106="",LEN(TRIM('Raw Data'!K106))=0),"",IF(AND(ISNUMBER('Raw Data'!K106), IFERROR('Raw Data'!K106 = ROUND('Raw Data'!K106, 2),FALSE)),"",_xlfn.REGEXEXTRACT(CELL("address",K106), "\$([A-Z]+)\$[0-9]+"))),_xlfn.REGEXEXTRACT(CELL("address",K106), "\$([A-Z]+)\$[0-9]+"))</f>
        <v/>
      </c>
      <c r="L106" s="7" t="str" cm="1">
        <f t="array" aca="1" ref="L106" ca="1">IFERROR(IF(OR('Raw Data'!L106="",LEN(TRIM('Raw Data'!L106))=0),"",IF(AND(ISNUMBER('Raw Data'!L106), IFERROR('Raw Data'!L106 = ROUND('Raw Data'!L106, 2),FALSE)),"",_xlfn.REGEXEXTRACT(CELL("address",L106), "\$([A-Z]+)\$[0-9]+"))),_xlfn.REGEXEXTRACT(CELL("address",L106), "\$([A-Z]+)\$[0-9]+"))</f>
        <v/>
      </c>
      <c r="M106" s="7" t="str" cm="1">
        <f t="array" aca="1" ref="M106" ca="1">IFERROR(IF(OR('Raw Data'!M106="",LEN(TRIM('Raw Data'!M106))=0),"",IF(AND(ISNUMBER('Raw Data'!M106), IFERROR('Raw Data'!M106 = ROUND('Raw Data'!M106, 2),FALSE)),"",_xlfn.REGEXEXTRACT(CELL("address",M106), "\$([A-Z]+)\$[0-9]+"))),_xlfn.REGEXEXTRACT(CELL("address",M106), "\$([A-Z]+)\$[0-9]+"))</f>
        <v/>
      </c>
      <c r="N106" s="7" t="str" cm="1">
        <f t="array" aca="1" ref="N106" ca="1">IFERROR(IF(OR('Raw Data'!N106="",LEN(TRIM('Raw Data'!N106))=0),"",IF(AND(ISNUMBER('Raw Data'!N106), IFERROR('Raw Data'!N106 = ROUND('Raw Data'!N106, 2),FALSE)),"",_xlfn.REGEXEXTRACT(CELL("address",N106), "\$([A-Z]+)\$[0-9]+"))),_xlfn.REGEXEXTRACT(CELL("address",N106), "\$([A-Z]+)\$[0-9]+"))</f>
        <v/>
      </c>
      <c r="O106" s="7" t="str" cm="1">
        <f t="array" aca="1" ref="O106" ca="1">IFERROR(IF(OR('Raw Data'!O106="",LEN(TRIM('Raw Data'!O106))=0),"",IF(AND(ISNUMBER('Raw Data'!O106), IFERROR('Raw Data'!O106 = ROUND('Raw Data'!O106, 2),FALSE)),"",_xlfn.REGEXEXTRACT(CELL("address",O106), "\$([A-Z]+)\$[0-9]+"))),_xlfn.REGEXEXTRACT(CELL("address",O106), "\$([A-Z]+)\$[0-9]+"))</f>
        <v/>
      </c>
      <c r="P106" s="7" t="str" cm="1">
        <f t="array" aca="1" ref="P106" ca="1">IFERROR(IF(OR('Raw Data'!P106="",LEN(TRIM('Raw Data'!P106))=0),"",IF(AND(ISNUMBER('Raw Data'!P106),'Raw Data'!P106&gt;=Configuration!$D$2),"",_xlfn.REGEXEXTRACT(CELL("address",'Raw Data'!P106),"\$([A-Z]+)\$[0-9]+"))),_xlfn.REGEXEXTRACT(CELL("address",P106), "\$([A-Z]+)\$[0-9]+"))</f>
        <v/>
      </c>
      <c r="Q106" s="7" t="str" cm="1">
        <f t="array" aca="1" ref="Q106" ca="1">IFERROR(IF(OR('Raw Data'!Q106="",LEN(TRIM('Raw Data'!Q106))=0),"",IF(AND(ISNUMBER('Raw Data'!Q106),'Raw Data'!Q106&gt;=Configuration!$D$2),"",_xlfn.REGEXEXTRACT(CELL("address",'Raw Data'!Q106),"\$([A-Z]+)\$[0-9]+"))),_xlfn.REGEXEXTRACT(CELL("address",Q106), "\$([A-Z]+)\$[0-9]+"))</f>
        <v/>
      </c>
      <c r="R106" s="7" t="str" cm="1">
        <f t="array" aca="1" ref="R106" ca="1">IFERROR(IF(OR('Raw Data'!R106="",LEN(TRIM('Raw Data'!R106))=0),"",IF(AND(ISNUMBER('Raw Data'!R106), IFERROR('Raw Data'!R106 = ROUND('Raw Data'!R106, 2),FALSE)),"",_xlfn.REGEXEXTRACT(CELL("address",R106), "\$([A-Z]+)\$[0-9]+"))),_xlfn.REGEXEXTRACT(CELL("address",R106), "\$([A-Z]+)\$[0-9]+"))</f>
        <v/>
      </c>
      <c r="S106" s="7" t="str" cm="1">
        <f t="array" aca="1" ref="S106" ca="1">IFERROR(IF(OR('Raw Data'!S106="",LEN(TRIM('Raw Data'!S106))=0),"",IF(AND(ISNUMBER('Raw Data'!S106), IFERROR('Raw Data'!S106 = ROUND('Raw Data'!S106, 2),FALSE)),"",_xlfn.REGEXEXTRACT(CELL("address",S106), "\$([A-Z]+)\$[0-9]+"))),_xlfn.REGEXEXTRACT(CELL("address",S106), "\$([A-Z]+)\$[0-9]+"))</f>
        <v/>
      </c>
      <c r="T106" s="7" t="str" cm="1">
        <f t="array" aca="1" ref="T106" ca="1">IFERROR(IF(OR('Raw Data'!T106="",LEN(TRIM('Raw Data'!T106))=0),"",IF(AND(ISNUMBER('Raw Data'!T106), IFERROR('Raw Data'!T106 = ROUND('Raw Data'!T106, 2),FALSE)),"",_xlfn.REGEXEXTRACT(CELL("address",T106), "\$([A-Z]+)\$[0-9]+"))),_xlfn.REGEXEXTRACT(CELL("address",T106), "\$([A-Z]+)\$[0-9]+"))</f>
        <v/>
      </c>
      <c r="U106" s="7" t="str" cm="1">
        <f t="array" aca="1" ref="U106" ca="1">IFERROR(IF(OR('Raw Data'!U106="",LEN(TRIM('Raw Data'!U106))=0),"",IF(AND(LEN('Raw Data'!U106) &lt;= 5,LEN('Raw Data'!U106)&gt; 0),"",_xlfn.REGEXEXTRACT(CELL("address",'Raw Data'!U106),"\$([A-Z]+)\$[0-9]+"))),_xlfn.REGEXEXTRACT(CELL("address",'Raw Data'!U106),"\$([A-Z]+)\$[0-9]+"))</f>
        <v/>
      </c>
      <c r="V106" s="7" t="str" cm="1">
        <f t="array" aca="1" ref="V106" ca="1">IFERROR(IF(OR('Raw Data'!V106="",LEN(TRIM('Raw Data'!V106))=0),"",IF(AND(ISNUMBER('Raw Data'!V106), IFERROR('Raw Data'!V106 = ROUND('Raw Data'!V106, 2),FALSE)),"",_xlfn.REGEXEXTRACT(CELL("address",V106), "\$([A-Z]+)\$[0-9]+"))),_xlfn.REGEXEXTRACT(CELL("address",V106), "\$([A-Z]+)\$[0-9]+"))</f>
        <v/>
      </c>
      <c r="W106" s="7" t="str" cm="1">
        <f t="array" aca="1" ref="W106" ca="1">IFERROR(IF(OR('Raw Data'!W106="",LEN(TRIM('Raw Data'!W106))=0),"",IF(AND(ISNUMBER('Raw Data'!W106), IFERROR('Raw Data'!W106 = ROUND('Raw Data'!W106, 2),FALSE)),"",_xlfn.REGEXEXTRACT(CELL("address",W106), "\$([A-Z]+)\$[0-9]+"))),_xlfn.REGEXEXTRACT(CELL("address",W106), "\$([A-Z]+)\$[0-9]+"))</f>
        <v/>
      </c>
      <c r="X106" s="7" t="str" cm="1">
        <f t="array" aca="1" ref="X106" ca="1">IFERROR(IF(OR('Raw Data'!X106="",LEN(TRIM('Raw Data'!X106))=0),"",IF(AND(ISNUMBER('Raw Data'!X106), IFERROR('Raw Data'!X106 = ROUND('Raw Data'!X106, 2),FALSE)),"",_xlfn.REGEXEXTRACT(CELL("address",X106), "\$([A-Z]+)\$[0-9]+"))),_xlfn.REGEXEXTRACT(CELL("address",X106), "\$([A-Z]+)\$[0-9]+"))</f>
        <v/>
      </c>
    </row>
    <row r="107" spans="2:24" x14ac:dyDescent="0.25">
      <c r="B107" s="7" t="str" cm="1">
        <f t="array" aca="1" ref="B107" ca="1">IFERROR(IF(OR('Raw Data'!B107="",LEN(TRIM('Raw Data'!B107))=0),"",IF(AND(LEN('Raw Data'!B107) &lt;= 50,LEN('Raw Data'!B107)&gt; 0),"",_xlfn.REGEXEXTRACT(CELL("address",'Raw Data'!B107),"\$([A-Z]+)\$[0-9]+"))),_xlfn.REGEXEXTRACT(CELL("address",'Raw Data'!B107),"\$([A-Z]+)\$[0-9]+"))</f>
        <v/>
      </c>
      <c r="C107" s="7" t="str" cm="1">
        <f t="array" aca="1" ref="C107" ca="1">IFERROR(IF(OR('Raw Data'!C107="",LEN(TRIM('Raw Data'!C107))=0),"",IF(AND(LEN('Raw Data'!C107) &lt;= 50,LEN('Raw Data'!C107)&gt; 0),"",_xlfn.REGEXEXTRACT(CELL("address",'Raw Data'!C107),"\$([A-Z]+)\$[0-9]+"))),_xlfn.REGEXEXTRACT(CELL("address",'Raw Data'!C107),"\$([A-Z]+)\$[0-9]+"))</f>
        <v/>
      </c>
      <c r="D107" s="7" t="str" cm="1">
        <f t="array" aca="1" ref="D107" ca="1">IFERROR(IF(OR('Raw Data'!D107="",LEN(TRIM('Raw Data'!D107))=0),"",IF(AND(LEN('Raw Data'!D107) &lt;= 255,LEN('Raw Data'!D107)&gt; 0),"",_xlfn.REGEXEXTRACT(CELL("address",'Raw Data'!D107),"\$([A-Z]+)\$[0-9]+"))),_xlfn.REGEXEXTRACT(CELL("address",'Raw Data'!D107),"\$([A-Z]+)\$[0-9]+"))</f>
        <v/>
      </c>
      <c r="E107" s="7" t="str" cm="1">
        <f t="array" aca="1" ref="E107" ca="1">IFERROR(IF(OR('Raw Data'!E107="",LEN(TRIM('Raw Data'!E107))=0),"",IF(AND(ISNUMBER('Raw Data'!E107),'Raw Data'!E107&gt;=Configuration!$D$2),"",_xlfn.REGEXEXTRACT(CELL("address",'Raw Data'!E107),"\$([A-Z]+)\$[0-9]+"))),_xlfn.REGEXEXTRACT(CELL("address",E107), "\$([A-Z]+)\$[0-9]+"))</f>
        <v/>
      </c>
      <c r="F107" s="7" t="str" cm="1">
        <f t="array" aca="1" ref="F107" ca="1">IFERROR(IF(OR('Raw Data'!F107="",LEN(TRIM('Raw Data'!F107))=0),"",IF(AND(LEN('Raw Data'!F107) &lt;= 20,LEN('Raw Data'!F107)&gt; 0),"",_xlfn.REGEXEXTRACT(CELL("address",'Raw Data'!F107),"\$([A-Z]+)\$[0-9]+"))),_xlfn.REGEXEXTRACT(CELL("address",'Raw Data'!F107),"\$([A-Z]+)\$[0-9]+"))</f>
        <v/>
      </c>
      <c r="G107" s="7" t="str" cm="1">
        <f t="array" aca="1" ref="G107" ca="1">IFERROR(IF(OR('Raw Data'!G107="",LEN(TRIM('Raw Data'!G107))=0),"",IF(AND(ISNUMBER('Raw Data'!G107), IFERROR('Raw Data'!G107 = ROUND('Raw Data'!G107, 2),FALSE)),"",_xlfn.REGEXEXTRACT(CELL("address",G107), "\$([A-Z]+)\$[0-9]+"))),_xlfn.REGEXEXTRACT(CELL("address",G107), "\$([A-Z]+)\$[0-9]+"))</f>
        <v/>
      </c>
      <c r="H107" s="7" t="str" cm="1">
        <f t="array" aca="1" ref="H107" ca="1">IFERROR(IF(OR('Raw Data'!H107="",LEN(TRIM('Raw Data'!H107))=0),"",IF(AND(ISNUMBER('Raw Data'!H107), IFERROR('Raw Data'!H107 = ROUND('Raw Data'!H107, 2),FALSE)),"",_xlfn.REGEXEXTRACT(CELL("address",H107), "\$([A-Z]+)\$[0-9]+"))),_xlfn.REGEXEXTRACT(CELL("address",H107), "\$([A-Z]+)\$[0-9]+"))</f>
        <v/>
      </c>
      <c r="I107" s="7" t="str" cm="1">
        <f t="array" aca="1" ref="I107" ca="1">IFERROR(IF(OR('Raw Data'!I107="",LEN(TRIM('Raw Data'!I107))=0),"",IF(AND(LEN('Raw Data'!I107) &lt;= 50,LEN('Raw Data'!I107)&gt; 0),"",_xlfn.REGEXEXTRACT(CELL("address",'Raw Data'!I107),"\$([A-Z]+)\$[0-9]+"))),_xlfn.REGEXEXTRACT(CELL("address",'Raw Data'!I107),"\$([A-Z]+)\$[0-9]+"))</f>
        <v/>
      </c>
      <c r="J107" s="7" t="str" cm="1">
        <f t="array" aca="1" ref="J107" ca="1">IFERROR(IF(OR('Raw Data'!J107="",LEN(TRIM('Raw Data'!J107))=0),"",IF(AND(ISNUMBER('Raw Data'!J107),'Raw Data'!J107&gt;=Configuration!$D$2),"",_xlfn.REGEXEXTRACT(CELL("address",'Raw Data'!J107),"\$([A-Z]+)\$[0-9]+"))),_xlfn.REGEXEXTRACT(CELL("address",J107), "\$([A-Z]+)\$[0-9]+"))</f>
        <v/>
      </c>
      <c r="K107" s="7" t="str" cm="1">
        <f t="array" aca="1" ref="K107" ca="1">IFERROR(IF(OR('Raw Data'!K107="",LEN(TRIM('Raw Data'!K107))=0),"",IF(AND(ISNUMBER('Raw Data'!K107), IFERROR('Raw Data'!K107 = ROUND('Raw Data'!K107, 2),FALSE)),"",_xlfn.REGEXEXTRACT(CELL("address",K107), "\$([A-Z]+)\$[0-9]+"))),_xlfn.REGEXEXTRACT(CELL("address",K107), "\$([A-Z]+)\$[0-9]+"))</f>
        <v/>
      </c>
      <c r="L107" s="7" t="str" cm="1">
        <f t="array" aca="1" ref="L107" ca="1">IFERROR(IF(OR('Raw Data'!L107="",LEN(TRIM('Raw Data'!L107))=0),"",IF(AND(ISNUMBER('Raw Data'!L107), IFERROR('Raw Data'!L107 = ROUND('Raw Data'!L107, 2),FALSE)),"",_xlfn.REGEXEXTRACT(CELL("address",L107), "\$([A-Z]+)\$[0-9]+"))),_xlfn.REGEXEXTRACT(CELL("address",L107), "\$([A-Z]+)\$[0-9]+"))</f>
        <v/>
      </c>
      <c r="M107" s="7" t="str" cm="1">
        <f t="array" aca="1" ref="M107" ca="1">IFERROR(IF(OR('Raw Data'!M107="",LEN(TRIM('Raw Data'!M107))=0),"",IF(AND(ISNUMBER('Raw Data'!M107), IFERROR('Raw Data'!M107 = ROUND('Raw Data'!M107, 2),FALSE)),"",_xlfn.REGEXEXTRACT(CELL("address",M107), "\$([A-Z]+)\$[0-9]+"))),_xlfn.REGEXEXTRACT(CELL("address",M107), "\$([A-Z]+)\$[0-9]+"))</f>
        <v/>
      </c>
      <c r="N107" s="7" t="str" cm="1">
        <f t="array" aca="1" ref="N107" ca="1">IFERROR(IF(OR('Raw Data'!N107="",LEN(TRIM('Raw Data'!N107))=0),"",IF(AND(ISNUMBER('Raw Data'!N107), IFERROR('Raw Data'!N107 = ROUND('Raw Data'!N107, 2),FALSE)),"",_xlfn.REGEXEXTRACT(CELL("address",N107), "\$([A-Z]+)\$[0-9]+"))),_xlfn.REGEXEXTRACT(CELL("address",N107), "\$([A-Z]+)\$[0-9]+"))</f>
        <v/>
      </c>
      <c r="O107" s="7" t="str" cm="1">
        <f t="array" aca="1" ref="O107" ca="1">IFERROR(IF(OR('Raw Data'!O107="",LEN(TRIM('Raw Data'!O107))=0),"",IF(AND(ISNUMBER('Raw Data'!O107), IFERROR('Raw Data'!O107 = ROUND('Raw Data'!O107, 2),FALSE)),"",_xlfn.REGEXEXTRACT(CELL("address",O107), "\$([A-Z]+)\$[0-9]+"))),_xlfn.REGEXEXTRACT(CELL("address",O107), "\$([A-Z]+)\$[0-9]+"))</f>
        <v/>
      </c>
      <c r="P107" s="7" t="str" cm="1">
        <f t="array" aca="1" ref="P107" ca="1">IFERROR(IF(OR('Raw Data'!P107="",LEN(TRIM('Raw Data'!P107))=0),"",IF(AND(ISNUMBER('Raw Data'!P107),'Raw Data'!P107&gt;=Configuration!$D$2),"",_xlfn.REGEXEXTRACT(CELL("address",'Raw Data'!P107),"\$([A-Z]+)\$[0-9]+"))),_xlfn.REGEXEXTRACT(CELL("address",P107), "\$([A-Z]+)\$[0-9]+"))</f>
        <v/>
      </c>
      <c r="Q107" s="7" t="str" cm="1">
        <f t="array" aca="1" ref="Q107" ca="1">IFERROR(IF(OR('Raw Data'!Q107="",LEN(TRIM('Raw Data'!Q107))=0),"",IF(AND(ISNUMBER('Raw Data'!Q107),'Raw Data'!Q107&gt;=Configuration!$D$2),"",_xlfn.REGEXEXTRACT(CELL("address",'Raw Data'!Q107),"\$([A-Z]+)\$[0-9]+"))),_xlfn.REGEXEXTRACT(CELL("address",Q107), "\$([A-Z]+)\$[0-9]+"))</f>
        <v/>
      </c>
      <c r="R107" s="7" t="str" cm="1">
        <f t="array" aca="1" ref="R107" ca="1">IFERROR(IF(OR('Raw Data'!R107="",LEN(TRIM('Raw Data'!R107))=0),"",IF(AND(ISNUMBER('Raw Data'!R107), IFERROR('Raw Data'!R107 = ROUND('Raw Data'!R107, 2),FALSE)),"",_xlfn.REGEXEXTRACT(CELL("address",R107), "\$([A-Z]+)\$[0-9]+"))),_xlfn.REGEXEXTRACT(CELL("address",R107), "\$([A-Z]+)\$[0-9]+"))</f>
        <v/>
      </c>
      <c r="S107" s="7" t="str" cm="1">
        <f t="array" aca="1" ref="S107" ca="1">IFERROR(IF(OR('Raw Data'!S107="",LEN(TRIM('Raw Data'!S107))=0),"",IF(AND(ISNUMBER('Raw Data'!S107), IFERROR('Raw Data'!S107 = ROUND('Raw Data'!S107, 2),FALSE)),"",_xlfn.REGEXEXTRACT(CELL("address",S107), "\$([A-Z]+)\$[0-9]+"))),_xlfn.REGEXEXTRACT(CELL("address",S107), "\$([A-Z]+)\$[0-9]+"))</f>
        <v/>
      </c>
      <c r="T107" s="7" t="str" cm="1">
        <f t="array" aca="1" ref="T107" ca="1">IFERROR(IF(OR('Raw Data'!T107="",LEN(TRIM('Raw Data'!T107))=0),"",IF(AND(ISNUMBER('Raw Data'!T107), IFERROR('Raw Data'!T107 = ROUND('Raw Data'!T107, 2),FALSE)),"",_xlfn.REGEXEXTRACT(CELL("address",T107), "\$([A-Z]+)\$[0-9]+"))),_xlfn.REGEXEXTRACT(CELL("address",T107), "\$([A-Z]+)\$[0-9]+"))</f>
        <v/>
      </c>
      <c r="U107" s="7" t="str" cm="1">
        <f t="array" aca="1" ref="U107" ca="1">IFERROR(IF(OR('Raw Data'!U107="",LEN(TRIM('Raw Data'!U107))=0),"",IF(AND(LEN('Raw Data'!U107) &lt;= 5,LEN('Raw Data'!U107)&gt; 0),"",_xlfn.REGEXEXTRACT(CELL("address",'Raw Data'!U107),"\$([A-Z]+)\$[0-9]+"))),_xlfn.REGEXEXTRACT(CELL("address",'Raw Data'!U107),"\$([A-Z]+)\$[0-9]+"))</f>
        <v/>
      </c>
      <c r="V107" s="7" t="str" cm="1">
        <f t="array" aca="1" ref="V107" ca="1">IFERROR(IF(OR('Raw Data'!V107="",LEN(TRIM('Raw Data'!V107))=0),"",IF(AND(ISNUMBER('Raw Data'!V107), IFERROR('Raw Data'!V107 = ROUND('Raw Data'!V107, 2),FALSE)),"",_xlfn.REGEXEXTRACT(CELL("address",V107), "\$([A-Z]+)\$[0-9]+"))),_xlfn.REGEXEXTRACT(CELL("address",V107), "\$([A-Z]+)\$[0-9]+"))</f>
        <v/>
      </c>
      <c r="W107" s="7" t="str" cm="1">
        <f t="array" aca="1" ref="W107" ca="1">IFERROR(IF(OR('Raw Data'!W107="",LEN(TRIM('Raw Data'!W107))=0),"",IF(AND(ISNUMBER('Raw Data'!W107), IFERROR('Raw Data'!W107 = ROUND('Raw Data'!W107, 2),FALSE)),"",_xlfn.REGEXEXTRACT(CELL("address",W107), "\$([A-Z]+)\$[0-9]+"))),_xlfn.REGEXEXTRACT(CELL("address",W107), "\$([A-Z]+)\$[0-9]+"))</f>
        <v/>
      </c>
      <c r="X107" s="7" t="str" cm="1">
        <f t="array" aca="1" ref="X107" ca="1">IFERROR(IF(OR('Raw Data'!X107="",LEN(TRIM('Raw Data'!X107))=0),"",IF(AND(ISNUMBER('Raw Data'!X107), IFERROR('Raw Data'!X107 = ROUND('Raw Data'!X107, 2),FALSE)),"",_xlfn.REGEXEXTRACT(CELL("address",X107), "\$([A-Z]+)\$[0-9]+"))),_xlfn.REGEXEXTRACT(CELL("address",X107), "\$([A-Z]+)\$[0-9]+"))</f>
        <v/>
      </c>
    </row>
    <row r="108" spans="2:24" x14ac:dyDescent="0.25">
      <c r="B108" s="7" t="str" cm="1">
        <f t="array" aca="1" ref="B108" ca="1">IFERROR(IF(OR('Raw Data'!B108="",LEN(TRIM('Raw Data'!B108))=0),"",IF(AND(LEN('Raw Data'!B108) &lt;= 50,LEN('Raw Data'!B108)&gt; 0),"",_xlfn.REGEXEXTRACT(CELL("address",'Raw Data'!B108),"\$([A-Z]+)\$[0-9]+"))),_xlfn.REGEXEXTRACT(CELL("address",'Raw Data'!B108),"\$([A-Z]+)\$[0-9]+"))</f>
        <v/>
      </c>
      <c r="C108" s="7" t="str" cm="1">
        <f t="array" aca="1" ref="C108" ca="1">IFERROR(IF(OR('Raw Data'!C108="",LEN(TRIM('Raw Data'!C108))=0),"",IF(AND(LEN('Raw Data'!C108) &lt;= 50,LEN('Raw Data'!C108)&gt; 0),"",_xlfn.REGEXEXTRACT(CELL("address",'Raw Data'!C108),"\$([A-Z]+)\$[0-9]+"))),_xlfn.REGEXEXTRACT(CELL("address",'Raw Data'!C108),"\$([A-Z]+)\$[0-9]+"))</f>
        <v/>
      </c>
      <c r="D108" s="7" t="str" cm="1">
        <f t="array" aca="1" ref="D108" ca="1">IFERROR(IF(OR('Raw Data'!D108="",LEN(TRIM('Raw Data'!D108))=0),"",IF(AND(LEN('Raw Data'!D108) &lt;= 255,LEN('Raw Data'!D108)&gt; 0),"",_xlfn.REGEXEXTRACT(CELL("address",'Raw Data'!D108),"\$([A-Z]+)\$[0-9]+"))),_xlfn.REGEXEXTRACT(CELL("address",'Raw Data'!D108),"\$([A-Z]+)\$[0-9]+"))</f>
        <v/>
      </c>
      <c r="E108" s="7" t="str" cm="1">
        <f t="array" aca="1" ref="E108" ca="1">IFERROR(IF(OR('Raw Data'!E108="",LEN(TRIM('Raw Data'!E108))=0),"",IF(AND(ISNUMBER('Raw Data'!E108),'Raw Data'!E108&gt;=Configuration!$D$2),"",_xlfn.REGEXEXTRACT(CELL("address",'Raw Data'!E108),"\$([A-Z]+)\$[0-9]+"))),_xlfn.REGEXEXTRACT(CELL("address",E108), "\$([A-Z]+)\$[0-9]+"))</f>
        <v/>
      </c>
      <c r="F108" s="7" t="str" cm="1">
        <f t="array" aca="1" ref="F108" ca="1">IFERROR(IF(OR('Raw Data'!F108="",LEN(TRIM('Raw Data'!F108))=0),"",IF(AND(LEN('Raw Data'!F108) &lt;= 20,LEN('Raw Data'!F108)&gt; 0),"",_xlfn.REGEXEXTRACT(CELL("address",'Raw Data'!F108),"\$([A-Z]+)\$[0-9]+"))),_xlfn.REGEXEXTRACT(CELL("address",'Raw Data'!F108),"\$([A-Z]+)\$[0-9]+"))</f>
        <v/>
      </c>
      <c r="G108" s="7" t="str" cm="1">
        <f t="array" aca="1" ref="G108" ca="1">IFERROR(IF(OR('Raw Data'!G108="",LEN(TRIM('Raw Data'!G108))=0),"",IF(AND(ISNUMBER('Raw Data'!G108), IFERROR('Raw Data'!G108 = ROUND('Raw Data'!G108, 2),FALSE)),"",_xlfn.REGEXEXTRACT(CELL("address",G108), "\$([A-Z]+)\$[0-9]+"))),_xlfn.REGEXEXTRACT(CELL("address",G108), "\$([A-Z]+)\$[0-9]+"))</f>
        <v/>
      </c>
      <c r="H108" s="7" t="str" cm="1">
        <f t="array" aca="1" ref="H108" ca="1">IFERROR(IF(OR('Raw Data'!H108="",LEN(TRIM('Raw Data'!H108))=0),"",IF(AND(ISNUMBER('Raw Data'!H108), IFERROR('Raw Data'!H108 = ROUND('Raw Data'!H108, 2),FALSE)),"",_xlfn.REGEXEXTRACT(CELL("address",H108), "\$([A-Z]+)\$[0-9]+"))),_xlfn.REGEXEXTRACT(CELL("address",H108), "\$([A-Z]+)\$[0-9]+"))</f>
        <v/>
      </c>
      <c r="I108" s="7" t="str" cm="1">
        <f t="array" aca="1" ref="I108" ca="1">IFERROR(IF(OR('Raw Data'!I108="",LEN(TRIM('Raw Data'!I108))=0),"",IF(AND(LEN('Raw Data'!I108) &lt;= 50,LEN('Raw Data'!I108)&gt; 0),"",_xlfn.REGEXEXTRACT(CELL("address",'Raw Data'!I108),"\$([A-Z]+)\$[0-9]+"))),_xlfn.REGEXEXTRACT(CELL("address",'Raw Data'!I108),"\$([A-Z]+)\$[0-9]+"))</f>
        <v/>
      </c>
      <c r="J108" s="7" t="str" cm="1">
        <f t="array" aca="1" ref="J108" ca="1">IFERROR(IF(OR('Raw Data'!J108="",LEN(TRIM('Raw Data'!J108))=0),"",IF(AND(ISNUMBER('Raw Data'!J108),'Raw Data'!J108&gt;=Configuration!$D$2),"",_xlfn.REGEXEXTRACT(CELL("address",'Raw Data'!J108),"\$([A-Z]+)\$[0-9]+"))),_xlfn.REGEXEXTRACT(CELL("address",J108), "\$([A-Z]+)\$[0-9]+"))</f>
        <v/>
      </c>
      <c r="K108" s="7" t="str" cm="1">
        <f t="array" aca="1" ref="K108" ca="1">IFERROR(IF(OR('Raw Data'!K108="",LEN(TRIM('Raw Data'!K108))=0),"",IF(AND(ISNUMBER('Raw Data'!K108), IFERROR('Raw Data'!K108 = ROUND('Raw Data'!K108, 2),FALSE)),"",_xlfn.REGEXEXTRACT(CELL("address",K108), "\$([A-Z]+)\$[0-9]+"))),_xlfn.REGEXEXTRACT(CELL("address",K108), "\$([A-Z]+)\$[0-9]+"))</f>
        <v/>
      </c>
      <c r="L108" s="7" t="str" cm="1">
        <f t="array" aca="1" ref="L108" ca="1">IFERROR(IF(OR('Raw Data'!L108="",LEN(TRIM('Raw Data'!L108))=0),"",IF(AND(ISNUMBER('Raw Data'!L108), IFERROR('Raw Data'!L108 = ROUND('Raw Data'!L108, 2),FALSE)),"",_xlfn.REGEXEXTRACT(CELL("address",L108), "\$([A-Z]+)\$[0-9]+"))),_xlfn.REGEXEXTRACT(CELL("address",L108), "\$([A-Z]+)\$[0-9]+"))</f>
        <v/>
      </c>
      <c r="M108" s="7" t="str" cm="1">
        <f t="array" aca="1" ref="M108" ca="1">IFERROR(IF(OR('Raw Data'!M108="",LEN(TRIM('Raw Data'!M108))=0),"",IF(AND(ISNUMBER('Raw Data'!M108), IFERROR('Raw Data'!M108 = ROUND('Raw Data'!M108, 2),FALSE)),"",_xlfn.REGEXEXTRACT(CELL("address",M108), "\$([A-Z]+)\$[0-9]+"))),_xlfn.REGEXEXTRACT(CELL("address",M108), "\$([A-Z]+)\$[0-9]+"))</f>
        <v/>
      </c>
      <c r="N108" s="7" t="str" cm="1">
        <f t="array" aca="1" ref="N108" ca="1">IFERROR(IF(OR('Raw Data'!N108="",LEN(TRIM('Raw Data'!N108))=0),"",IF(AND(ISNUMBER('Raw Data'!N108), IFERROR('Raw Data'!N108 = ROUND('Raw Data'!N108, 2),FALSE)),"",_xlfn.REGEXEXTRACT(CELL("address",N108), "\$([A-Z]+)\$[0-9]+"))),_xlfn.REGEXEXTRACT(CELL("address",N108), "\$([A-Z]+)\$[0-9]+"))</f>
        <v/>
      </c>
      <c r="O108" s="7" t="str" cm="1">
        <f t="array" aca="1" ref="O108" ca="1">IFERROR(IF(OR('Raw Data'!O108="",LEN(TRIM('Raw Data'!O108))=0),"",IF(AND(ISNUMBER('Raw Data'!O108), IFERROR('Raw Data'!O108 = ROUND('Raw Data'!O108, 2),FALSE)),"",_xlfn.REGEXEXTRACT(CELL("address",O108), "\$([A-Z]+)\$[0-9]+"))),_xlfn.REGEXEXTRACT(CELL("address",O108), "\$([A-Z]+)\$[0-9]+"))</f>
        <v/>
      </c>
      <c r="P108" s="7" t="str" cm="1">
        <f t="array" aca="1" ref="P108" ca="1">IFERROR(IF(OR('Raw Data'!P108="",LEN(TRIM('Raw Data'!P108))=0),"",IF(AND(ISNUMBER('Raw Data'!P108),'Raw Data'!P108&gt;=Configuration!$D$2),"",_xlfn.REGEXEXTRACT(CELL("address",'Raw Data'!P108),"\$([A-Z]+)\$[0-9]+"))),_xlfn.REGEXEXTRACT(CELL("address",P108), "\$([A-Z]+)\$[0-9]+"))</f>
        <v/>
      </c>
      <c r="Q108" s="7" t="str" cm="1">
        <f t="array" aca="1" ref="Q108" ca="1">IFERROR(IF(OR('Raw Data'!Q108="",LEN(TRIM('Raw Data'!Q108))=0),"",IF(AND(ISNUMBER('Raw Data'!Q108),'Raw Data'!Q108&gt;=Configuration!$D$2),"",_xlfn.REGEXEXTRACT(CELL("address",'Raw Data'!Q108),"\$([A-Z]+)\$[0-9]+"))),_xlfn.REGEXEXTRACT(CELL("address",Q108), "\$([A-Z]+)\$[0-9]+"))</f>
        <v/>
      </c>
      <c r="R108" s="7" t="str" cm="1">
        <f t="array" aca="1" ref="R108" ca="1">IFERROR(IF(OR('Raw Data'!R108="",LEN(TRIM('Raw Data'!R108))=0),"",IF(AND(ISNUMBER('Raw Data'!R108), IFERROR('Raw Data'!R108 = ROUND('Raw Data'!R108, 2),FALSE)),"",_xlfn.REGEXEXTRACT(CELL("address",R108), "\$([A-Z]+)\$[0-9]+"))),_xlfn.REGEXEXTRACT(CELL("address",R108), "\$([A-Z]+)\$[0-9]+"))</f>
        <v/>
      </c>
      <c r="S108" s="7" t="str" cm="1">
        <f t="array" aca="1" ref="S108" ca="1">IFERROR(IF(OR('Raw Data'!S108="",LEN(TRIM('Raw Data'!S108))=0),"",IF(AND(ISNUMBER('Raw Data'!S108), IFERROR('Raw Data'!S108 = ROUND('Raw Data'!S108, 2),FALSE)),"",_xlfn.REGEXEXTRACT(CELL("address",S108), "\$([A-Z]+)\$[0-9]+"))),_xlfn.REGEXEXTRACT(CELL("address",S108), "\$([A-Z]+)\$[0-9]+"))</f>
        <v/>
      </c>
      <c r="T108" s="7" t="str" cm="1">
        <f t="array" aca="1" ref="T108" ca="1">IFERROR(IF(OR('Raw Data'!T108="",LEN(TRIM('Raw Data'!T108))=0),"",IF(AND(ISNUMBER('Raw Data'!T108), IFERROR('Raw Data'!T108 = ROUND('Raw Data'!T108, 2),FALSE)),"",_xlfn.REGEXEXTRACT(CELL("address",T108), "\$([A-Z]+)\$[0-9]+"))),_xlfn.REGEXEXTRACT(CELL("address",T108), "\$([A-Z]+)\$[0-9]+"))</f>
        <v/>
      </c>
      <c r="U108" s="7" t="str" cm="1">
        <f t="array" aca="1" ref="U108" ca="1">IFERROR(IF(OR('Raw Data'!U108="",LEN(TRIM('Raw Data'!U108))=0),"",IF(AND(LEN('Raw Data'!U108) &lt;= 5,LEN('Raw Data'!U108)&gt; 0),"",_xlfn.REGEXEXTRACT(CELL("address",'Raw Data'!U108),"\$([A-Z]+)\$[0-9]+"))),_xlfn.REGEXEXTRACT(CELL("address",'Raw Data'!U108),"\$([A-Z]+)\$[0-9]+"))</f>
        <v/>
      </c>
      <c r="V108" s="7" t="str" cm="1">
        <f t="array" aca="1" ref="V108" ca="1">IFERROR(IF(OR('Raw Data'!V108="",LEN(TRIM('Raw Data'!V108))=0),"",IF(AND(ISNUMBER('Raw Data'!V108), IFERROR('Raw Data'!V108 = ROUND('Raw Data'!V108, 2),FALSE)),"",_xlfn.REGEXEXTRACT(CELL("address",V108), "\$([A-Z]+)\$[0-9]+"))),_xlfn.REGEXEXTRACT(CELL("address",V108), "\$([A-Z]+)\$[0-9]+"))</f>
        <v/>
      </c>
      <c r="W108" s="7" t="str" cm="1">
        <f t="array" aca="1" ref="W108" ca="1">IFERROR(IF(OR('Raw Data'!W108="",LEN(TRIM('Raw Data'!W108))=0),"",IF(AND(ISNUMBER('Raw Data'!W108), IFERROR('Raw Data'!W108 = ROUND('Raw Data'!W108, 2),FALSE)),"",_xlfn.REGEXEXTRACT(CELL("address",W108), "\$([A-Z]+)\$[0-9]+"))),_xlfn.REGEXEXTRACT(CELL("address",W108), "\$([A-Z]+)\$[0-9]+"))</f>
        <v/>
      </c>
      <c r="X108" s="7" t="str" cm="1">
        <f t="array" aca="1" ref="X108" ca="1">IFERROR(IF(OR('Raw Data'!X108="",LEN(TRIM('Raw Data'!X108))=0),"",IF(AND(ISNUMBER('Raw Data'!X108), IFERROR('Raw Data'!X108 = ROUND('Raw Data'!X108, 2),FALSE)),"",_xlfn.REGEXEXTRACT(CELL("address",X108), "\$([A-Z]+)\$[0-9]+"))),_xlfn.REGEXEXTRACT(CELL("address",X108), "\$([A-Z]+)\$[0-9]+"))</f>
        <v/>
      </c>
    </row>
    <row r="109" spans="2:24" x14ac:dyDescent="0.25">
      <c r="B109" s="7" t="str" cm="1">
        <f t="array" aca="1" ref="B109" ca="1">IFERROR(IF(OR('Raw Data'!B109="",LEN(TRIM('Raw Data'!B109))=0),"",IF(AND(LEN('Raw Data'!B109) &lt;= 50,LEN('Raw Data'!B109)&gt; 0),"",_xlfn.REGEXEXTRACT(CELL("address",'Raw Data'!B109),"\$([A-Z]+)\$[0-9]+"))),_xlfn.REGEXEXTRACT(CELL("address",'Raw Data'!B109),"\$([A-Z]+)\$[0-9]+"))</f>
        <v/>
      </c>
      <c r="C109" s="7" t="str" cm="1">
        <f t="array" aca="1" ref="C109" ca="1">IFERROR(IF(OR('Raw Data'!C109="",LEN(TRIM('Raw Data'!C109))=0),"",IF(AND(LEN('Raw Data'!C109) &lt;= 50,LEN('Raw Data'!C109)&gt; 0),"",_xlfn.REGEXEXTRACT(CELL("address",'Raw Data'!C109),"\$([A-Z]+)\$[0-9]+"))),_xlfn.REGEXEXTRACT(CELL("address",'Raw Data'!C109),"\$([A-Z]+)\$[0-9]+"))</f>
        <v/>
      </c>
      <c r="D109" s="7" t="str" cm="1">
        <f t="array" aca="1" ref="D109" ca="1">IFERROR(IF(OR('Raw Data'!D109="",LEN(TRIM('Raw Data'!D109))=0),"",IF(AND(LEN('Raw Data'!D109) &lt;= 255,LEN('Raw Data'!D109)&gt; 0),"",_xlfn.REGEXEXTRACT(CELL("address",'Raw Data'!D109),"\$([A-Z]+)\$[0-9]+"))),_xlfn.REGEXEXTRACT(CELL("address",'Raw Data'!D109),"\$([A-Z]+)\$[0-9]+"))</f>
        <v/>
      </c>
      <c r="E109" s="7" t="str" cm="1">
        <f t="array" aca="1" ref="E109" ca="1">IFERROR(IF(OR('Raw Data'!E109="",LEN(TRIM('Raw Data'!E109))=0),"",IF(AND(ISNUMBER('Raw Data'!E109),'Raw Data'!E109&gt;=Configuration!$D$2),"",_xlfn.REGEXEXTRACT(CELL("address",'Raw Data'!E109),"\$([A-Z]+)\$[0-9]+"))),_xlfn.REGEXEXTRACT(CELL("address",E109), "\$([A-Z]+)\$[0-9]+"))</f>
        <v/>
      </c>
      <c r="F109" s="7" t="str" cm="1">
        <f t="array" aca="1" ref="F109" ca="1">IFERROR(IF(OR('Raw Data'!F109="",LEN(TRIM('Raw Data'!F109))=0),"",IF(AND(LEN('Raw Data'!F109) &lt;= 20,LEN('Raw Data'!F109)&gt; 0),"",_xlfn.REGEXEXTRACT(CELL("address",'Raw Data'!F109),"\$([A-Z]+)\$[0-9]+"))),_xlfn.REGEXEXTRACT(CELL("address",'Raw Data'!F109),"\$([A-Z]+)\$[0-9]+"))</f>
        <v/>
      </c>
      <c r="G109" s="7" t="str" cm="1">
        <f t="array" aca="1" ref="G109" ca="1">IFERROR(IF(OR('Raw Data'!G109="",LEN(TRIM('Raw Data'!G109))=0),"",IF(AND(ISNUMBER('Raw Data'!G109), IFERROR('Raw Data'!G109 = ROUND('Raw Data'!G109, 2),FALSE)),"",_xlfn.REGEXEXTRACT(CELL("address",G109), "\$([A-Z]+)\$[0-9]+"))),_xlfn.REGEXEXTRACT(CELL("address",G109), "\$([A-Z]+)\$[0-9]+"))</f>
        <v/>
      </c>
      <c r="H109" s="7" t="str" cm="1">
        <f t="array" aca="1" ref="H109" ca="1">IFERROR(IF(OR('Raw Data'!H109="",LEN(TRIM('Raw Data'!H109))=0),"",IF(AND(ISNUMBER('Raw Data'!H109), IFERROR('Raw Data'!H109 = ROUND('Raw Data'!H109, 2),FALSE)),"",_xlfn.REGEXEXTRACT(CELL("address",H109), "\$([A-Z]+)\$[0-9]+"))),_xlfn.REGEXEXTRACT(CELL("address",H109), "\$([A-Z]+)\$[0-9]+"))</f>
        <v/>
      </c>
      <c r="I109" s="7" t="str" cm="1">
        <f t="array" aca="1" ref="I109" ca="1">IFERROR(IF(OR('Raw Data'!I109="",LEN(TRIM('Raw Data'!I109))=0),"",IF(AND(LEN('Raw Data'!I109) &lt;= 50,LEN('Raw Data'!I109)&gt; 0),"",_xlfn.REGEXEXTRACT(CELL("address",'Raw Data'!I109),"\$([A-Z]+)\$[0-9]+"))),_xlfn.REGEXEXTRACT(CELL("address",'Raw Data'!I109),"\$([A-Z]+)\$[0-9]+"))</f>
        <v/>
      </c>
      <c r="J109" s="7" t="str" cm="1">
        <f t="array" aca="1" ref="J109" ca="1">IFERROR(IF(OR('Raw Data'!J109="",LEN(TRIM('Raw Data'!J109))=0),"",IF(AND(ISNUMBER('Raw Data'!J109),'Raw Data'!J109&gt;=Configuration!$D$2),"",_xlfn.REGEXEXTRACT(CELL("address",'Raw Data'!J109),"\$([A-Z]+)\$[0-9]+"))),_xlfn.REGEXEXTRACT(CELL("address",J109), "\$([A-Z]+)\$[0-9]+"))</f>
        <v/>
      </c>
      <c r="K109" s="7" t="str" cm="1">
        <f t="array" aca="1" ref="K109" ca="1">IFERROR(IF(OR('Raw Data'!K109="",LEN(TRIM('Raw Data'!K109))=0),"",IF(AND(ISNUMBER('Raw Data'!K109), IFERROR('Raw Data'!K109 = ROUND('Raw Data'!K109, 2),FALSE)),"",_xlfn.REGEXEXTRACT(CELL("address",K109), "\$([A-Z]+)\$[0-9]+"))),_xlfn.REGEXEXTRACT(CELL("address",K109), "\$([A-Z]+)\$[0-9]+"))</f>
        <v/>
      </c>
      <c r="L109" s="7" t="str" cm="1">
        <f t="array" aca="1" ref="L109" ca="1">IFERROR(IF(OR('Raw Data'!L109="",LEN(TRIM('Raw Data'!L109))=0),"",IF(AND(ISNUMBER('Raw Data'!L109), IFERROR('Raw Data'!L109 = ROUND('Raw Data'!L109, 2),FALSE)),"",_xlfn.REGEXEXTRACT(CELL("address",L109), "\$([A-Z]+)\$[0-9]+"))),_xlfn.REGEXEXTRACT(CELL("address",L109), "\$([A-Z]+)\$[0-9]+"))</f>
        <v/>
      </c>
      <c r="M109" s="7" t="str" cm="1">
        <f t="array" aca="1" ref="M109" ca="1">IFERROR(IF(OR('Raw Data'!M109="",LEN(TRIM('Raw Data'!M109))=0),"",IF(AND(ISNUMBER('Raw Data'!M109), IFERROR('Raw Data'!M109 = ROUND('Raw Data'!M109, 2),FALSE)),"",_xlfn.REGEXEXTRACT(CELL("address",M109), "\$([A-Z]+)\$[0-9]+"))),_xlfn.REGEXEXTRACT(CELL("address",M109), "\$([A-Z]+)\$[0-9]+"))</f>
        <v/>
      </c>
      <c r="N109" s="7" t="str" cm="1">
        <f t="array" aca="1" ref="N109" ca="1">IFERROR(IF(OR('Raw Data'!N109="",LEN(TRIM('Raw Data'!N109))=0),"",IF(AND(ISNUMBER('Raw Data'!N109), IFERROR('Raw Data'!N109 = ROUND('Raw Data'!N109, 2),FALSE)),"",_xlfn.REGEXEXTRACT(CELL("address",N109), "\$([A-Z]+)\$[0-9]+"))),_xlfn.REGEXEXTRACT(CELL("address",N109), "\$([A-Z]+)\$[0-9]+"))</f>
        <v/>
      </c>
      <c r="O109" s="7" t="str" cm="1">
        <f t="array" aca="1" ref="O109" ca="1">IFERROR(IF(OR('Raw Data'!O109="",LEN(TRIM('Raw Data'!O109))=0),"",IF(AND(ISNUMBER('Raw Data'!O109), IFERROR('Raw Data'!O109 = ROUND('Raw Data'!O109, 2),FALSE)),"",_xlfn.REGEXEXTRACT(CELL("address",O109), "\$([A-Z]+)\$[0-9]+"))),_xlfn.REGEXEXTRACT(CELL("address",O109), "\$([A-Z]+)\$[0-9]+"))</f>
        <v/>
      </c>
      <c r="P109" s="7" t="str" cm="1">
        <f t="array" aca="1" ref="P109" ca="1">IFERROR(IF(OR('Raw Data'!P109="",LEN(TRIM('Raw Data'!P109))=0),"",IF(AND(ISNUMBER('Raw Data'!P109),'Raw Data'!P109&gt;=Configuration!$D$2),"",_xlfn.REGEXEXTRACT(CELL("address",'Raw Data'!P109),"\$([A-Z]+)\$[0-9]+"))),_xlfn.REGEXEXTRACT(CELL("address",P109), "\$([A-Z]+)\$[0-9]+"))</f>
        <v/>
      </c>
      <c r="Q109" s="7" t="str" cm="1">
        <f t="array" aca="1" ref="Q109" ca="1">IFERROR(IF(OR('Raw Data'!Q109="",LEN(TRIM('Raw Data'!Q109))=0),"",IF(AND(ISNUMBER('Raw Data'!Q109),'Raw Data'!Q109&gt;=Configuration!$D$2),"",_xlfn.REGEXEXTRACT(CELL("address",'Raw Data'!Q109),"\$([A-Z]+)\$[0-9]+"))),_xlfn.REGEXEXTRACT(CELL("address",Q109), "\$([A-Z]+)\$[0-9]+"))</f>
        <v/>
      </c>
      <c r="R109" s="7" t="str" cm="1">
        <f t="array" aca="1" ref="R109" ca="1">IFERROR(IF(OR('Raw Data'!R109="",LEN(TRIM('Raw Data'!R109))=0),"",IF(AND(ISNUMBER('Raw Data'!R109), IFERROR('Raw Data'!R109 = ROUND('Raw Data'!R109, 2),FALSE)),"",_xlfn.REGEXEXTRACT(CELL("address",R109), "\$([A-Z]+)\$[0-9]+"))),_xlfn.REGEXEXTRACT(CELL("address",R109), "\$([A-Z]+)\$[0-9]+"))</f>
        <v/>
      </c>
      <c r="S109" s="7" t="str" cm="1">
        <f t="array" aca="1" ref="S109" ca="1">IFERROR(IF(OR('Raw Data'!S109="",LEN(TRIM('Raw Data'!S109))=0),"",IF(AND(ISNUMBER('Raw Data'!S109), IFERROR('Raw Data'!S109 = ROUND('Raw Data'!S109, 2),FALSE)),"",_xlfn.REGEXEXTRACT(CELL("address",S109), "\$([A-Z]+)\$[0-9]+"))),_xlfn.REGEXEXTRACT(CELL("address",S109), "\$([A-Z]+)\$[0-9]+"))</f>
        <v/>
      </c>
      <c r="T109" s="7" t="str" cm="1">
        <f t="array" aca="1" ref="T109" ca="1">IFERROR(IF(OR('Raw Data'!T109="",LEN(TRIM('Raw Data'!T109))=0),"",IF(AND(ISNUMBER('Raw Data'!T109), IFERROR('Raw Data'!T109 = ROUND('Raw Data'!T109, 2),FALSE)),"",_xlfn.REGEXEXTRACT(CELL("address",T109), "\$([A-Z]+)\$[0-9]+"))),_xlfn.REGEXEXTRACT(CELL("address",T109), "\$([A-Z]+)\$[0-9]+"))</f>
        <v/>
      </c>
      <c r="U109" s="7" t="str" cm="1">
        <f t="array" aca="1" ref="U109" ca="1">IFERROR(IF(OR('Raw Data'!U109="",LEN(TRIM('Raw Data'!U109))=0),"",IF(AND(LEN('Raw Data'!U109) &lt;= 5,LEN('Raw Data'!U109)&gt; 0),"",_xlfn.REGEXEXTRACT(CELL("address",'Raw Data'!U109),"\$([A-Z]+)\$[0-9]+"))),_xlfn.REGEXEXTRACT(CELL("address",'Raw Data'!U109),"\$([A-Z]+)\$[0-9]+"))</f>
        <v/>
      </c>
      <c r="V109" s="7" t="str" cm="1">
        <f t="array" aca="1" ref="V109" ca="1">IFERROR(IF(OR('Raw Data'!V109="",LEN(TRIM('Raw Data'!V109))=0),"",IF(AND(ISNUMBER('Raw Data'!V109), IFERROR('Raw Data'!V109 = ROUND('Raw Data'!V109, 2),FALSE)),"",_xlfn.REGEXEXTRACT(CELL("address",V109), "\$([A-Z]+)\$[0-9]+"))),_xlfn.REGEXEXTRACT(CELL("address",V109), "\$([A-Z]+)\$[0-9]+"))</f>
        <v/>
      </c>
      <c r="W109" s="7" t="str" cm="1">
        <f t="array" aca="1" ref="W109" ca="1">IFERROR(IF(OR('Raw Data'!W109="",LEN(TRIM('Raw Data'!W109))=0),"",IF(AND(ISNUMBER('Raw Data'!W109), IFERROR('Raw Data'!W109 = ROUND('Raw Data'!W109, 2),FALSE)),"",_xlfn.REGEXEXTRACT(CELL("address",W109), "\$([A-Z]+)\$[0-9]+"))),_xlfn.REGEXEXTRACT(CELL("address",W109), "\$([A-Z]+)\$[0-9]+"))</f>
        <v/>
      </c>
      <c r="X109" s="7" t="str" cm="1">
        <f t="array" aca="1" ref="X109" ca="1">IFERROR(IF(OR('Raw Data'!X109="",LEN(TRIM('Raw Data'!X109))=0),"",IF(AND(ISNUMBER('Raw Data'!X109), IFERROR('Raw Data'!X109 = ROUND('Raw Data'!X109, 2),FALSE)),"",_xlfn.REGEXEXTRACT(CELL("address",X109), "\$([A-Z]+)\$[0-9]+"))),_xlfn.REGEXEXTRACT(CELL("address",X109), "\$([A-Z]+)\$[0-9]+"))</f>
        <v/>
      </c>
    </row>
    <row r="110" spans="2:24" x14ac:dyDescent="0.25">
      <c r="B110" s="7" t="str" cm="1">
        <f t="array" aca="1" ref="B110" ca="1">IFERROR(IF(OR('Raw Data'!B110="",LEN(TRIM('Raw Data'!B110))=0),"",IF(AND(LEN('Raw Data'!B110) &lt;= 50,LEN('Raw Data'!B110)&gt; 0),"",_xlfn.REGEXEXTRACT(CELL("address",'Raw Data'!B110),"\$([A-Z]+)\$[0-9]+"))),_xlfn.REGEXEXTRACT(CELL("address",'Raw Data'!B110),"\$([A-Z]+)\$[0-9]+"))</f>
        <v/>
      </c>
      <c r="C110" s="7" t="str" cm="1">
        <f t="array" aca="1" ref="C110" ca="1">IFERROR(IF(OR('Raw Data'!C110="",LEN(TRIM('Raw Data'!C110))=0),"",IF(AND(LEN('Raw Data'!C110) &lt;= 50,LEN('Raw Data'!C110)&gt; 0),"",_xlfn.REGEXEXTRACT(CELL("address",'Raw Data'!C110),"\$([A-Z]+)\$[0-9]+"))),_xlfn.REGEXEXTRACT(CELL("address",'Raw Data'!C110),"\$([A-Z]+)\$[0-9]+"))</f>
        <v/>
      </c>
      <c r="D110" s="7" t="str" cm="1">
        <f t="array" aca="1" ref="D110" ca="1">IFERROR(IF(OR('Raw Data'!D110="",LEN(TRIM('Raw Data'!D110))=0),"",IF(AND(LEN('Raw Data'!D110) &lt;= 255,LEN('Raw Data'!D110)&gt; 0),"",_xlfn.REGEXEXTRACT(CELL("address",'Raw Data'!D110),"\$([A-Z]+)\$[0-9]+"))),_xlfn.REGEXEXTRACT(CELL("address",'Raw Data'!D110),"\$([A-Z]+)\$[0-9]+"))</f>
        <v/>
      </c>
      <c r="E110" s="7" t="str" cm="1">
        <f t="array" aca="1" ref="E110" ca="1">IFERROR(IF(OR('Raw Data'!E110="",LEN(TRIM('Raw Data'!E110))=0),"",IF(AND(ISNUMBER('Raw Data'!E110),'Raw Data'!E110&gt;=Configuration!$D$2),"",_xlfn.REGEXEXTRACT(CELL("address",'Raw Data'!E110),"\$([A-Z]+)\$[0-9]+"))),_xlfn.REGEXEXTRACT(CELL("address",E110), "\$([A-Z]+)\$[0-9]+"))</f>
        <v/>
      </c>
      <c r="F110" s="7" t="str" cm="1">
        <f t="array" aca="1" ref="F110" ca="1">IFERROR(IF(OR('Raw Data'!F110="",LEN(TRIM('Raw Data'!F110))=0),"",IF(AND(LEN('Raw Data'!F110) &lt;= 20,LEN('Raw Data'!F110)&gt; 0),"",_xlfn.REGEXEXTRACT(CELL("address",'Raw Data'!F110),"\$([A-Z]+)\$[0-9]+"))),_xlfn.REGEXEXTRACT(CELL("address",'Raw Data'!F110),"\$([A-Z]+)\$[0-9]+"))</f>
        <v/>
      </c>
      <c r="G110" s="7" t="str" cm="1">
        <f t="array" aca="1" ref="G110" ca="1">IFERROR(IF(OR('Raw Data'!G110="",LEN(TRIM('Raw Data'!G110))=0),"",IF(AND(ISNUMBER('Raw Data'!G110), IFERROR('Raw Data'!G110 = ROUND('Raw Data'!G110, 2),FALSE)),"",_xlfn.REGEXEXTRACT(CELL("address",G110), "\$([A-Z]+)\$[0-9]+"))),_xlfn.REGEXEXTRACT(CELL("address",G110), "\$([A-Z]+)\$[0-9]+"))</f>
        <v/>
      </c>
      <c r="H110" s="7" t="str" cm="1">
        <f t="array" aca="1" ref="H110" ca="1">IFERROR(IF(OR('Raw Data'!H110="",LEN(TRIM('Raw Data'!H110))=0),"",IF(AND(ISNUMBER('Raw Data'!H110), IFERROR('Raw Data'!H110 = ROUND('Raw Data'!H110, 2),FALSE)),"",_xlfn.REGEXEXTRACT(CELL("address",H110), "\$([A-Z]+)\$[0-9]+"))),_xlfn.REGEXEXTRACT(CELL("address",H110), "\$([A-Z]+)\$[0-9]+"))</f>
        <v/>
      </c>
      <c r="I110" s="7" t="str" cm="1">
        <f t="array" aca="1" ref="I110" ca="1">IFERROR(IF(OR('Raw Data'!I110="",LEN(TRIM('Raw Data'!I110))=0),"",IF(AND(LEN('Raw Data'!I110) &lt;= 50,LEN('Raw Data'!I110)&gt; 0),"",_xlfn.REGEXEXTRACT(CELL("address",'Raw Data'!I110),"\$([A-Z]+)\$[0-9]+"))),_xlfn.REGEXEXTRACT(CELL("address",'Raw Data'!I110),"\$([A-Z]+)\$[0-9]+"))</f>
        <v/>
      </c>
      <c r="J110" s="7" t="str" cm="1">
        <f t="array" aca="1" ref="J110" ca="1">IFERROR(IF(OR('Raw Data'!J110="",LEN(TRIM('Raw Data'!J110))=0),"",IF(AND(ISNUMBER('Raw Data'!J110),'Raw Data'!J110&gt;=Configuration!$D$2),"",_xlfn.REGEXEXTRACT(CELL("address",'Raw Data'!J110),"\$([A-Z]+)\$[0-9]+"))),_xlfn.REGEXEXTRACT(CELL("address",J110), "\$([A-Z]+)\$[0-9]+"))</f>
        <v/>
      </c>
      <c r="K110" s="7" t="str" cm="1">
        <f t="array" aca="1" ref="K110" ca="1">IFERROR(IF(OR('Raw Data'!K110="",LEN(TRIM('Raw Data'!K110))=0),"",IF(AND(ISNUMBER('Raw Data'!K110), IFERROR('Raw Data'!K110 = ROUND('Raw Data'!K110, 2),FALSE)),"",_xlfn.REGEXEXTRACT(CELL("address",K110), "\$([A-Z]+)\$[0-9]+"))),_xlfn.REGEXEXTRACT(CELL("address",K110), "\$([A-Z]+)\$[0-9]+"))</f>
        <v/>
      </c>
      <c r="L110" s="7" t="str" cm="1">
        <f t="array" aca="1" ref="L110" ca="1">IFERROR(IF(OR('Raw Data'!L110="",LEN(TRIM('Raw Data'!L110))=0),"",IF(AND(ISNUMBER('Raw Data'!L110), IFERROR('Raw Data'!L110 = ROUND('Raw Data'!L110, 2),FALSE)),"",_xlfn.REGEXEXTRACT(CELL("address",L110), "\$([A-Z]+)\$[0-9]+"))),_xlfn.REGEXEXTRACT(CELL("address",L110), "\$([A-Z]+)\$[0-9]+"))</f>
        <v/>
      </c>
      <c r="M110" s="7" t="str" cm="1">
        <f t="array" aca="1" ref="M110" ca="1">IFERROR(IF(OR('Raw Data'!M110="",LEN(TRIM('Raw Data'!M110))=0),"",IF(AND(ISNUMBER('Raw Data'!M110), IFERROR('Raw Data'!M110 = ROUND('Raw Data'!M110, 2),FALSE)),"",_xlfn.REGEXEXTRACT(CELL("address",M110), "\$([A-Z]+)\$[0-9]+"))),_xlfn.REGEXEXTRACT(CELL("address",M110), "\$([A-Z]+)\$[0-9]+"))</f>
        <v/>
      </c>
      <c r="N110" s="7" t="str" cm="1">
        <f t="array" aca="1" ref="N110" ca="1">IFERROR(IF(OR('Raw Data'!N110="",LEN(TRIM('Raw Data'!N110))=0),"",IF(AND(ISNUMBER('Raw Data'!N110), IFERROR('Raw Data'!N110 = ROUND('Raw Data'!N110, 2),FALSE)),"",_xlfn.REGEXEXTRACT(CELL("address",N110), "\$([A-Z]+)\$[0-9]+"))),_xlfn.REGEXEXTRACT(CELL("address",N110), "\$([A-Z]+)\$[0-9]+"))</f>
        <v/>
      </c>
      <c r="O110" s="7" t="str" cm="1">
        <f t="array" aca="1" ref="O110" ca="1">IFERROR(IF(OR('Raw Data'!O110="",LEN(TRIM('Raw Data'!O110))=0),"",IF(AND(ISNUMBER('Raw Data'!O110), IFERROR('Raw Data'!O110 = ROUND('Raw Data'!O110, 2),FALSE)),"",_xlfn.REGEXEXTRACT(CELL("address",O110), "\$([A-Z]+)\$[0-9]+"))),_xlfn.REGEXEXTRACT(CELL("address",O110), "\$([A-Z]+)\$[0-9]+"))</f>
        <v/>
      </c>
      <c r="P110" s="7" t="str" cm="1">
        <f t="array" aca="1" ref="P110" ca="1">IFERROR(IF(OR('Raw Data'!P110="",LEN(TRIM('Raw Data'!P110))=0),"",IF(AND(ISNUMBER('Raw Data'!P110),'Raw Data'!P110&gt;=Configuration!$D$2),"",_xlfn.REGEXEXTRACT(CELL("address",'Raw Data'!P110),"\$([A-Z]+)\$[0-9]+"))),_xlfn.REGEXEXTRACT(CELL("address",P110), "\$([A-Z]+)\$[0-9]+"))</f>
        <v/>
      </c>
      <c r="Q110" s="7" t="str" cm="1">
        <f t="array" aca="1" ref="Q110" ca="1">IFERROR(IF(OR('Raw Data'!Q110="",LEN(TRIM('Raw Data'!Q110))=0),"",IF(AND(ISNUMBER('Raw Data'!Q110),'Raw Data'!Q110&gt;=Configuration!$D$2),"",_xlfn.REGEXEXTRACT(CELL("address",'Raw Data'!Q110),"\$([A-Z]+)\$[0-9]+"))),_xlfn.REGEXEXTRACT(CELL("address",Q110), "\$([A-Z]+)\$[0-9]+"))</f>
        <v/>
      </c>
      <c r="R110" s="7" t="str" cm="1">
        <f t="array" aca="1" ref="R110" ca="1">IFERROR(IF(OR('Raw Data'!R110="",LEN(TRIM('Raw Data'!R110))=0),"",IF(AND(ISNUMBER('Raw Data'!R110), IFERROR('Raw Data'!R110 = ROUND('Raw Data'!R110, 2),FALSE)),"",_xlfn.REGEXEXTRACT(CELL("address",R110), "\$([A-Z]+)\$[0-9]+"))),_xlfn.REGEXEXTRACT(CELL("address",R110), "\$([A-Z]+)\$[0-9]+"))</f>
        <v/>
      </c>
      <c r="S110" s="7" t="str" cm="1">
        <f t="array" aca="1" ref="S110" ca="1">IFERROR(IF(OR('Raw Data'!S110="",LEN(TRIM('Raw Data'!S110))=0),"",IF(AND(ISNUMBER('Raw Data'!S110), IFERROR('Raw Data'!S110 = ROUND('Raw Data'!S110, 2),FALSE)),"",_xlfn.REGEXEXTRACT(CELL("address",S110), "\$([A-Z]+)\$[0-9]+"))),_xlfn.REGEXEXTRACT(CELL("address",S110), "\$([A-Z]+)\$[0-9]+"))</f>
        <v/>
      </c>
      <c r="T110" s="7" t="str" cm="1">
        <f t="array" aca="1" ref="T110" ca="1">IFERROR(IF(OR('Raw Data'!T110="",LEN(TRIM('Raw Data'!T110))=0),"",IF(AND(ISNUMBER('Raw Data'!T110), IFERROR('Raw Data'!T110 = ROUND('Raw Data'!T110, 2),FALSE)),"",_xlfn.REGEXEXTRACT(CELL("address",T110), "\$([A-Z]+)\$[0-9]+"))),_xlfn.REGEXEXTRACT(CELL("address",T110), "\$([A-Z]+)\$[0-9]+"))</f>
        <v/>
      </c>
      <c r="U110" s="7" t="str" cm="1">
        <f t="array" aca="1" ref="U110" ca="1">IFERROR(IF(OR('Raw Data'!U110="",LEN(TRIM('Raw Data'!U110))=0),"",IF(AND(LEN('Raw Data'!U110) &lt;= 5,LEN('Raw Data'!U110)&gt; 0),"",_xlfn.REGEXEXTRACT(CELL("address",'Raw Data'!U110),"\$([A-Z]+)\$[0-9]+"))),_xlfn.REGEXEXTRACT(CELL("address",'Raw Data'!U110),"\$([A-Z]+)\$[0-9]+"))</f>
        <v/>
      </c>
      <c r="V110" s="7" t="str" cm="1">
        <f t="array" aca="1" ref="V110" ca="1">IFERROR(IF(OR('Raw Data'!V110="",LEN(TRIM('Raw Data'!V110))=0),"",IF(AND(ISNUMBER('Raw Data'!V110), IFERROR('Raw Data'!V110 = ROUND('Raw Data'!V110, 2),FALSE)),"",_xlfn.REGEXEXTRACT(CELL("address",V110), "\$([A-Z]+)\$[0-9]+"))),_xlfn.REGEXEXTRACT(CELL("address",V110), "\$([A-Z]+)\$[0-9]+"))</f>
        <v/>
      </c>
      <c r="W110" s="7" t="str" cm="1">
        <f t="array" aca="1" ref="W110" ca="1">IFERROR(IF(OR('Raw Data'!W110="",LEN(TRIM('Raw Data'!W110))=0),"",IF(AND(ISNUMBER('Raw Data'!W110), IFERROR('Raw Data'!W110 = ROUND('Raw Data'!W110, 2),FALSE)),"",_xlfn.REGEXEXTRACT(CELL("address",W110), "\$([A-Z]+)\$[0-9]+"))),_xlfn.REGEXEXTRACT(CELL("address",W110), "\$([A-Z]+)\$[0-9]+"))</f>
        <v/>
      </c>
      <c r="X110" s="7" t="str" cm="1">
        <f t="array" aca="1" ref="X110" ca="1">IFERROR(IF(OR('Raw Data'!X110="",LEN(TRIM('Raw Data'!X110))=0),"",IF(AND(ISNUMBER('Raw Data'!X110), IFERROR('Raw Data'!X110 = ROUND('Raw Data'!X110, 2),FALSE)),"",_xlfn.REGEXEXTRACT(CELL("address",X110), "\$([A-Z]+)\$[0-9]+"))),_xlfn.REGEXEXTRACT(CELL("address",X110), "\$([A-Z]+)\$[0-9]+"))</f>
        <v/>
      </c>
    </row>
    <row r="111" spans="2:24" x14ac:dyDescent="0.25">
      <c r="B111" s="7" t="str" cm="1">
        <f t="array" aca="1" ref="B111" ca="1">IFERROR(IF(OR('Raw Data'!B111="",LEN(TRIM('Raw Data'!B111))=0),"",IF(AND(LEN('Raw Data'!B111) &lt;= 50,LEN('Raw Data'!B111)&gt; 0),"",_xlfn.REGEXEXTRACT(CELL("address",'Raw Data'!B111),"\$([A-Z]+)\$[0-9]+"))),_xlfn.REGEXEXTRACT(CELL("address",'Raw Data'!B111),"\$([A-Z]+)\$[0-9]+"))</f>
        <v/>
      </c>
      <c r="C111" s="7" t="str" cm="1">
        <f t="array" aca="1" ref="C111" ca="1">IFERROR(IF(OR('Raw Data'!C111="",LEN(TRIM('Raw Data'!C111))=0),"",IF(AND(LEN('Raw Data'!C111) &lt;= 50,LEN('Raw Data'!C111)&gt; 0),"",_xlfn.REGEXEXTRACT(CELL("address",'Raw Data'!C111),"\$([A-Z]+)\$[0-9]+"))),_xlfn.REGEXEXTRACT(CELL("address",'Raw Data'!C111),"\$([A-Z]+)\$[0-9]+"))</f>
        <v/>
      </c>
      <c r="D111" s="7" t="str" cm="1">
        <f t="array" aca="1" ref="D111" ca="1">IFERROR(IF(OR('Raw Data'!D111="",LEN(TRIM('Raw Data'!D111))=0),"",IF(AND(LEN('Raw Data'!D111) &lt;= 255,LEN('Raw Data'!D111)&gt; 0),"",_xlfn.REGEXEXTRACT(CELL("address",'Raw Data'!D111),"\$([A-Z]+)\$[0-9]+"))),_xlfn.REGEXEXTRACT(CELL("address",'Raw Data'!D111),"\$([A-Z]+)\$[0-9]+"))</f>
        <v/>
      </c>
      <c r="E111" s="7" t="str" cm="1">
        <f t="array" aca="1" ref="E111" ca="1">IFERROR(IF(OR('Raw Data'!E111="",LEN(TRIM('Raw Data'!E111))=0),"",IF(AND(ISNUMBER('Raw Data'!E111),'Raw Data'!E111&gt;=Configuration!$D$2),"",_xlfn.REGEXEXTRACT(CELL("address",'Raw Data'!E111),"\$([A-Z]+)\$[0-9]+"))),_xlfn.REGEXEXTRACT(CELL("address",E111), "\$([A-Z]+)\$[0-9]+"))</f>
        <v/>
      </c>
      <c r="F111" s="7" t="str" cm="1">
        <f t="array" aca="1" ref="F111" ca="1">IFERROR(IF(OR('Raw Data'!F111="",LEN(TRIM('Raw Data'!F111))=0),"",IF(AND(LEN('Raw Data'!F111) &lt;= 20,LEN('Raw Data'!F111)&gt; 0),"",_xlfn.REGEXEXTRACT(CELL("address",'Raw Data'!F111),"\$([A-Z]+)\$[0-9]+"))),_xlfn.REGEXEXTRACT(CELL("address",'Raw Data'!F111),"\$([A-Z]+)\$[0-9]+"))</f>
        <v/>
      </c>
      <c r="G111" s="7" t="str" cm="1">
        <f t="array" aca="1" ref="G111" ca="1">IFERROR(IF(OR('Raw Data'!G111="",LEN(TRIM('Raw Data'!G111))=0),"",IF(AND(ISNUMBER('Raw Data'!G111), IFERROR('Raw Data'!G111 = ROUND('Raw Data'!G111, 2),FALSE)),"",_xlfn.REGEXEXTRACT(CELL("address",G111), "\$([A-Z]+)\$[0-9]+"))),_xlfn.REGEXEXTRACT(CELL("address",G111), "\$([A-Z]+)\$[0-9]+"))</f>
        <v/>
      </c>
      <c r="H111" s="7" t="str" cm="1">
        <f t="array" aca="1" ref="H111" ca="1">IFERROR(IF(OR('Raw Data'!H111="",LEN(TRIM('Raw Data'!H111))=0),"",IF(AND(ISNUMBER('Raw Data'!H111), IFERROR('Raw Data'!H111 = ROUND('Raw Data'!H111, 2),FALSE)),"",_xlfn.REGEXEXTRACT(CELL("address",H111), "\$([A-Z]+)\$[0-9]+"))),_xlfn.REGEXEXTRACT(CELL("address",H111), "\$([A-Z]+)\$[0-9]+"))</f>
        <v/>
      </c>
      <c r="I111" s="7" t="str" cm="1">
        <f t="array" aca="1" ref="I111" ca="1">IFERROR(IF(OR('Raw Data'!I111="",LEN(TRIM('Raw Data'!I111))=0),"",IF(AND(LEN('Raw Data'!I111) &lt;= 50,LEN('Raw Data'!I111)&gt; 0),"",_xlfn.REGEXEXTRACT(CELL("address",'Raw Data'!I111),"\$([A-Z]+)\$[0-9]+"))),_xlfn.REGEXEXTRACT(CELL("address",'Raw Data'!I111),"\$([A-Z]+)\$[0-9]+"))</f>
        <v/>
      </c>
      <c r="J111" s="7" t="str" cm="1">
        <f t="array" aca="1" ref="J111" ca="1">IFERROR(IF(OR('Raw Data'!J111="",LEN(TRIM('Raw Data'!J111))=0),"",IF(AND(ISNUMBER('Raw Data'!J111),'Raw Data'!J111&gt;=Configuration!$D$2),"",_xlfn.REGEXEXTRACT(CELL("address",'Raw Data'!J111),"\$([A-Z]+)\$[0-9]+"))),_xlfn.REGEXEXTRACT(CELL("address",J111), "\$([A-Z]+)\$[0-9]+"))</f>
        <v/>
      </c>
      <c r="K111" s="7" t="str" cm="1">
        <f t="array" aca="1" ref="K111" ca="1">IFERROR(IF(OR('Raw Data'!K111="",LEN(TRIM('Raw Data'!K111))=0),"",IF(AND(ISNUMBER('Raw Data'!K111), IFERROR('Raw Data'!K111 = ROUND('Raw Data'!K111, 2),FALSE)),"",_xlfn.REGEXEXTRACT(CELL("address",K111), "\$([A-Z]+)\$[0-9]+"))),_xlfn.REGEXEXTRACT(CELL("address",K111), "\$([A-Z]+)\$[0-9]+"))</f>
        <v/>
      </c>
      <c r="L111" s="7" t="str" cm="1">
        <f t="array" aca="1" ref="L111" ca="1">IFERROR(IF(OR('Raw Data'!L111="",LEN(TRIM('Raw Data'!L111))=0),"",IF(AND(ISNUMBER('Raw Data'!L111), IFERROR('Raw Data'!L111 = ROUND('Raw Data'!L111, 2),FALSE)),"",_xlfn.REGEXEXTRACT(CELL("address",L111), "\$([A-Z]+)\$[0-9]+"))),_xlfn.REGEXEXTRACT(CELL("address",L111), "\$([A-Z]+)\$[0-9]+"))</f>
        <v/>
      </c>
      <c r="M111" s="7" t="str" cm="1">
        <f t="array" aca="1" ref="M111" ca="1">IFERROR(IF(OR('Raw Data'!M111="",LEN(TRIM('Raw Data'!M111))=0),"",IF(AND(ISNUMBER('Raw Data'!M111), IFERROR('Raw Data'!M111 = ROUND('Raw Data'!M111, 2),FALSE)),"",_xlfn.REGEXEXTRACT(CELL("address",M111), "\$([A-Z]+)\$[0-9]+"))),_xlfn.REGEXEXTRACT(CELL("address",M111), "\$([A-Z]+)\$[0-9]+"))</f>
        <v/>
      </c>
      <c r="N111" s="7" t="str" cm="1">
        <f t="array" aca="1" ref="N111" ca="1">IFERROR(IF(OR('Raw Data'!N111="",LEN(TRIM('Raw Data'!N111))=0),"",IF(AND(ISNUMBER('Raw Data'!N111), IFERROR('Raw Data'!N111 = ROUND('Raw Data'!N111, 2),FALSE)),"",_xlfn.REGEXEXTRACT(CELL("address",N111), "\$([A-Z]+)\$[0-9]+"))),_xlfn.REGEXEXTRACT(CELL("address",N111), "\$([A-Z]+)\$[0-9]+"))</f>
        <v/>
      </c>
      <c r="O111" s="7" t="str" cm="1">
        <f t="array" aca="1" ref="O111" ca="1">IFERROR(IF(OR('Raw Data'!O111="",LEN(TRIM('Raw Data'!O111))=0),"",IF(AND(ISNUMBER('Raw Data'!O111), IFERROR('Raw Data'!O111 = ROUND('Raw Data'!O111, 2),FALSE)),"",_xlfn.REGEXEXTRACT(CELL("address",O111), "\$([A-Z]+)\$[0-9]+"))),_xlfn.REGEXEXTRACT(CELL("address",O111), "\$([A-Z]+)\$[0-9]+"))</f>
        <v/>
      </c>
      <c r="P111" s="7" t="str" cm="1">
        <f t="array" aca="1" ref="P111" ca="1">IFERROR(IF(OR('Raw Data'!P111="",LEN(TRIM('Raw Data'!P111))=0),"",IF(AND(ISNUMBER('Raw Data'!P111),'Raw Data'!P111&gt;=Configuration!$D$2),"",_xlfn.REGEXEXTRACT(CELL("address",'Raw Data'!P111),"\$([A-Z]+)\$[0-9]+"))),_xlfn.REGEXEXTRACT(CELL("address",P111), "\$([A-Z]+)\$[0-9]+"))</f>
        <v/>
      </c>
      <c r="Q111" s="7" t="str" cm="1">
        <f t="array" aca="1" ref="Q111" ca="1">IFERROR(IF(OR('Raw Data'!Q111="",LEN(TRIM('Raw Data'!Q111))=0),"",IF(AND(ISNUMBER('Raw Data'!Q111),'Raw Data'!Q111&gt;=Configuration!$D$2),"",_xlfn.REGEXEXTRACT(CELL("address",'Raw Data'!Q111),"\$([A-Z]+)\$[0-9]+"))),_xlfn.REGEXEXTRACT(CELL("address",Q111), "\$([A-Z]+)\$[0-9]+"))</f>
        <v/>
      </c>
      <c r="R111" s="7" t="str" cm="1">
        <f t="array" aca="1" ref="R111" ca="1">IFERROR(IF(OR('Raw Data'!R111="",LEN(TRIM('Raw Data'!R111))=0),"",IF(AND(ISNUMBER('Raw Data'!R111), IFERROR('Raw Data'!R111 = ROUND('Raw Data'!R111, 2),FALSE)),"",_xlfn.REGEXEXTRACT(CELL("address",R111), "\$([A-Z]+)\$[0-9]+"))),_xlfn.REGEXEXTRACT(CELL("address",R111), "\$([A-Z]+)\$[0-9]+"))</f>
        <v/>
      </c>
      <c r="S111" s="7" t="str" cm="1">
        <f t="array" aca="1" ref="S111" ca="1">IFERROR(IF(OR('Raw Data'!S111="",LEN(TRIM('Raw Data'!S111))=0),"",IF(AND(ISNUMBER('Raw Data'!S111), IFERROR('Raw Data'!S111 = ROUND('Raw Data'!S111, 2),FALSE)),"",_xlfn.REGEXEXTRACT(CELL("address",S111), "\$([A-Z]+)\$[0-9]+"))),_xlfn.REGEXEXTRACT(CELL("address",S111), "\$([A-Z]+)\$[0-9]+"))</f>
        <v/>
      </c>
      <c r="T111" s="7" t="str" cm="1">
        <f t="array" aca="1" ref="T111" ca="1">IFERROR(IF(OR('Raw Data'!T111="",LEN(TRIM('Raw Data'!T111))=0),"",IF(AND(ISNUMBER('Raw Data'!T111), IFERROR('Raw Data'!T111 = ROUND('Raw Data'!T111, 2),FALSE)),"",_xlfn.REGEXEXTRACT(CELL("address",T111), "\$([A-Z]+)\$[0-9]+"))),_xlfn.REGEXEXTRACT(CELL("address",T111), "\$([A-Z]+)\$[0-9]+"))</f>
        <v/>
      </c>
      <c r="U111" s="7" t="str" cm="1">
        <f t="array" aca="1" ref="U111" ca="1">IFERROR(IF(OR('Raw Data'!U111="",LEN(TRIM('Raw Data'!U111))=0),"",IF(AND(LEN('Raw Data'!U111) &lt;= 5,LEN('Raw Data'!U111)&gt; 0),"",_xlfn.REGEXEXTRACT(CELL("address",'Raw Data'!U111),"\$([A-Z]+)\$[0-9]+"))),_xlfn.REGEXEXTRACT(CELL("address",'Raw Data'!U111),"\$([A-Z]+)\$[0-9]+"))</f>
        <v/>
      </c>
      <c r="V111" s="7" t="str" cm="1">
        <f t="array" aca="1" ref="V111" ca="1">IFERROR(IF(OR('Raw Data'!V111="",LEN(TRIM('Raw Data'!V111))=0),"",IF(AND(ISNUMBER('Raw Data'!V111), IFERROR('Raw Data'!V111 = ROUND('Raw Data'!V111, 2),FALSE)),"",_xlfn.REGEXEXTRACT(CELL("address",V111), "\$([A-Z]+)\$[0-9]+"))),_xlfn.REGEXEXTRACT(CELL("address",V111), "\$([A-Z]+)\$[0-9]+"))</f>
        <v/>
      </c>
      <c r="W111" s="7" t="str" cm="1">
        <f t="array" aca="1" ref="W111" ca="1">IFERROR(IF(OR('Raw Data'!W111="",LEN(TRIM('Raw Data'!W111))=0),"",IF(AND(ISNUMBER('Raw Data'!W111), IFERROR('Raw Data'!W111 = ROUND('Raw Data'!W111, 2),FALSE)),"",_xlfn.REGEXEXTRACT(CELL("address",W111), "\$([A-Z]+)\$[0-9]+"))),_xlfn.REGEXEXTRACT(CELL("address",W111), "\$([A-Z]+)\$[0-9]+"))</f>
        <v/>
      </c>
      <c r="X111" s="7" t="str" cm="1">
        <f t="array" aca="1" ref="X111" ca="1">IFERROR(IF(OR('Raw Data'!X111="",LEN(TRIM('Raw Data'!X111))=0),"",IF(AND(ISNUMBER('Raw Data'!X111), IFERROR('Raw Data'!X111 = ROUND('Raw Data'!X111, 2),FALSE)),"",_xlfn.REGEXEXTRACT(CELL("address",X111), "\$([A-Z]+)\$[0-9]+"))),_xlfn.REGEXEXTRACT(CELL("address",X111), "\$([A-Z]+)\$[0-9]+"))</f>
        <v/>
      </c>
    </row>
    <row r="112" spans="2:24" x14ac:dyDescent="0.25">
      <c r="B112" s="7" t="str" cm="1">
        <f t="array" aca="1" ref="B112" ca="1">IFERROR(IF(OR('Raw Data'!B112="",LEN(TRIM('Raw Data'!B112))=0),"",IF(AND(LEN('Raw Data'!B112) &lt;= 50,LEN('Raw Data'!B112)&gt; 0),"",_xlfn.REGEXEXTRACT(CELL("address",'Raw Data'!B112),"\$([A-Z]+)\$[0-9]+"))),_xlfn.REGEXEXTRACT(CELL("address",'Raw Data'!B112),"\$([A-Z]+)\$[0-9]+"))</f>
        <v/>
      </c>
      <c r="C112" s="7" t="str" cm="1">
        <f t="array" aca="1" ref="C112" ca="1">IFERROR(IF(OR('Raw Data'!C112="",LEN(TRIM('Raw Data'!C112))=0),"",IF(AND(LEN('Raw Data'!C112) &lt;= 50,LEN('Raw Data'!C112)&gt; 0),"",_xlfn.REGEXEXTRACT(CELL("address",'Raw Data'!C112),"\$([A-Z]+)\$[0-9]+"))),_xlfn.REGEXEXTRACT(CELL("address",'Raw Data'!C112),"\$([A-Z]+)\$[0-9]+"))</f>
        <v/>
      </c>
      <c r="D112" s="7" t="str" cm="1">
        <f t="array" aca="1" ref="D112" ca="1">IFERROR(IF(OR('Raw Data'!D112="",LEN(TRIM('Raw Data'!D112))=0),"",IF(AND(LEN('Raw Data'!D112) &lt;= 255,LEN('Raw Data'!D112)&gt; 0),"",_xlfn.REGEXEXTRACT(CELL("address",'Raw Data'!D112),"\$([A-Z]+)\$[0-9]+"))),_xlfn.REGEXEXTRACT(CELL("address",'Raw Data'!D112),"\$([A-Z]+)\$[0-9]+"))</f>
        <v/>
      </c>
      <c r="E112" s="7" t="str" cm="1">
        <f t="array" aca="1" ref="E112" ca="1">IFERROR(IF(OR('Raw Data'!E112="",LEN(TRIM('Raw Data'!E112))=0),"",IF(AND(ISNUMBER('Raw Data'!E112),'Raw Data'!E112&gt;=Configuration!$D$2),"",_xlfn.REGEXEXTRACT(CELL("address",'Raw Data'!E112),"\$([A-Z]+)\$[0-9]+"))),_xlfn.REGEXEXTRACT(CELL("address",E112), "\$([A-Z]+)\$[0-9]+"))</f>
        <v/>
      </c>
      <c r="F112" s="7" t="str" cm="1">
        <f t="array" aca="1" ref="F112" ca="1">IFERROR(IF(OR('Raw Data'!F112="",LEN(TRIM('Raw Data'!F112))=0),"",IF(AND(LEN('Raw Data'!F112) &lt;= 20,LEN('Raw Data'!F112)&gt; 0),"",_xlfn.REGEXEXTRACT(CELL("address",'Raw Data'!F112),"\$([A-Z]+)\$[0-9]+"))),_xlfn.REGEXEXTRACT(CELL("address",'Raw Data'!F112),"\$([A-Z]+)\$[0-9]+"))</f>
        <v/>
      </c>
      <c r="G112" s="7" t="str" cm="1">
        <f t="array" aca="1" ref="G112" ca="1">IFERROR(IF(OR('Raw Data'!G112="",LEN(TRIM('Raw Data'!G112))=0),"",IF(AND(ISNUMBER('Raw Data'!G112), IFERROR('Raw Data'!G112 = ROUND('Raw Data'!G112, 2),FALSE)),"",_xlfn.REGEXEXTRACT(CELL("address",G112), "\$([A-Z]+)\$[0-9]+"))),_xlfn.REGEXEXTRACT(CELL("address",G112), "\$([A-Z]+)\$[0-9]+"))</f>
        <v/>
      </c>
      <c r="H112" s="7" t="str" cm="1">
        <f t="array" aca="1" ref="H112" ca="1">IFERROR(IF(OR('Raw Data'!H112="",LEN(TRIM('Raw Data'!H112))=0),"",IF(AND(ISNUMBER('Raw Data'!H112), IFERROR('Raw Data'!H112 = ROUND('Raw Data'!H112, 2),FALSE)),"",_xlfn.REGEXEXTRACT(CELL("address",H112), "\$([A-Z]+)\$[0-9]+"))),_xlfn.REGEXEXTRACT(CELL("address",H112), "\$([A-Z]+)\$[0-9]+"))</f>
        <v/>
      </c>
      <c r="I112" s="7" t="str" cm="1">
        <f t="array" aca="1" ref="I112" ca="1">IFERROR(IF(OR('Raw Data'!I112="",LEN(TRIM('Raw Data'!I112))=0),"",IF(AND(LEN('Raw Data'!I112) &lt;= 50,LEN('Raw Data'!I112)&gt; 0),"",_xlfn.REGEXEXTRACT(CELL("address",'Raw Data'!I112),"\$([A-Z]+)\$[0-9]+"))),_xlfn.REGEXEXTRACT(CELL("address",'Raw Data'!I112),"\$([A-Z]+)\$[0-9]+"))</f>
        <v/>
      </c>
      <c r="J112" s="7" t="str" cm="1">
        <f t="array" aca="1" ref="J112" ca="1">IFERROR(IF(OR('Raw Data'!J112="",LEN(TRIM('Raw Data'!J112))=0),"",IF(AND(ISNUMBER('Raw Data'!J112),'Raw Data'!J112&gt;=Configuration!$D$2),"",_xlfn.REGEXEXTRACT(CELL("address",'Raw Data'!J112),"\$([A-Z]+)\$[0-9]+"))),_xlfn.REGEXEXTRACT(CELL("address",J112), "\$([A-Z]+)\$[0-9]+"))</f>
        <v/>
      </c>
      <c r="K112" s="7" t="str" cm="1">
        <f t="array" aca="1" ref="K112" ca="1">IFERROR(IF(OR('Raw Data'!K112="",LEN(TRIM('Raw Data'!K112))=0),"",IF(AND(ISNUMBER('Raw Data'!K112), IFERROR('Raw Data'!K112 = ROUND('Raw Data'!K112, 2),FALSE)),"",_xlfn.REGEXEXTRACT(CELL("address",K112), "\$([A-Z]+)\$[0-9]+"))),_xlfn.REGEXEXTRACT(CELL("address",K112), "\$([A-Z]+)\$[0-9]+"))</f>
        <v/>
      </c>
      <c r="L112" s="7" t="str" cm="1">
        <f t="array" aca="1" ref="L112" ca="1">IFERROR(IF(OR('Raw Data'!L112="",LEN(TRIM('Raw Data'!L112))=0),"",IF(AND(ISNUMBER('Raw Data'!L112), IFERROR('Raw Data'!L112 = ROUND('Raw Data'!L112, 2),FALSE)),"",_xlfn.REGEXEXTRACT(CELL("address",L112), "\$([A-Z]+)\$[0-9]+"))),_xlfn.REGEXEXTRACT(CELL("address",L112), "\$([A-Z]+)\$[0-9]+"))</f>
        <v/>
      </c>
      <c r="M112" s="7" t="str" cm="1">
        <f t="array" aca="1" ref="M112" ca="1">IFERROR(IF(OR('Raw Data'!M112="",LEN(TRIM('Raw Data'!M112))=0),"",IF(AND(ISNUMBER('Raw Data'!M112), IFERROR('Raw Data'!M112 = ROUND('Raw Data'!M112, 2),FALSE)),"",_xlfn.REGEXEXTRACT(CELL("address",M112), "\$([A-Z]+)\$[0-9]+"))),_xlfn.REGEXEXTRACT(CELL("address",M112), "\$([A-Z]+)\$[0-9]+"))</f>
        <v/>
      </c>
      <c r="N112" s="7" t="str" cm="1">
        <f t="array" aca="1" ref="N112" ca="1">IFERROR(IF(OR('Raw Data'!N112="",LEN(TRIM('Raw Data'!N112))=0),"",IF(AND(ISNUMBER('Raw Data'!N112), IFERROR('Raw Data'!N112 = ROUND('Raw Data'!N112, 2),FALSE)),"",_xlfn.REGEXEXTRACT(CELL("address",N112), "\$([A-Z]+)\$[0-9]+"))),_xlfn.REGEXEXTRACT(CELL("address",N112), "\$([A-Z]+)\$[0-9]+"))</f>
        <v/>
      </c>
      <c r="O112" s="7" t="str" cm="1">
        <f t="array" aca="1" ref="O112" ca="1">IFERROR(IF(OR('Raw Data'!O112="",LEN(TRIM('Raw Data'!O112))=0),"",IF(AND(ISNUMBER('Raw Data'!O112), IFERROR('Raw Data'!O112 = ROUND('Raw Data'!O112, 2),FALSE)),"",_xlfn.REGEXEXTRACT(CELL("address",O112), "\$([A-Z]+)\$[0-9]+"))),_xlfn.REGEXEXTRACT(CELL("address",O112), "\$([A-Z]+)\$[0-9]+"))</f>
        <v/>
      </c>
      <c r="P112" s="7" t="str" cm="1">
        <f t="array" aca="1" ref="P112" ca="1">IFERROR(IF(OR('Raw Data'!P112="",LEN(TRIM('Raw Data'!P112))=0),"",IF(AND(ISNUMBER('Raw Data'!P112),'Raw Data'!P112&gt;=Configuration!$D$2),"",_xlfn.REGEXEXTRACT(CELL("address",'Raw Data'!P112),"\$([A-Z]+)\$[0-9]+"))),_xlfn.REGEXEXTRACT(CELL("address",P112), "\$([A-Z]+)\$[0-9]+"))</f>
        <v/>
      </c>
      <c r="Q112" s="7" t="str" cm="1">
        <f t="array" aca="1" ref="Q112" ca="1">IFERROR(IF(OR('Raw Data'!Q112="",LEN(TRIM('Raw Data'!Q112))=0),"",IF(AND(ISNUMBER('Raw Data'!Q112),'Raw Data'!Q112&gt;=Configuration!$D$2),"",_xlfn.REGEXEXTRACT(CELL("address",'Raw Data'!Q112),"\$([A-Z]+)\$[0-9]+"))),_xlfn.REGEXEXTRACT(CELL("address",Q112), "\$([A-Z]+)\$[0-9]+"))</f>
        <v/>
      </c>
      <c r="R112" s="7" t="str" cm="1">
        <f t="array" aca="1" ref="R112" ca="1">IFERROR(IF(OR('Raw Data'!R112="",LEN(TRIM('Raw Data'!R112))=0),"",IF(AND(ISNUMBER('Raw Data'!R112), IFERROR('Raw Data'!R112 = ROUND('Raw Data'!R112, 2),FALSE)),"",_xlfn.REGEXEXTRACT(CELL("address",R112), "\$([A-Z]+)\$[0-9]+"))),_xlfn.REGEXEXTRACT(CELL("address",R112), "\$([A-Z]+)\$[0-9]+"))</f>
        <v/>
      </c>
      <c r="S112" s="7" t="str" cm="1">
        <f t="array" aca="1" ref="S112" ca="1">IFERROR(IF(OR('Raw Data'!S112="",LEN(TRIM('Raw Data'!S112))=0),"",IF(AND(ISNUMBER('Raw Data'!S112), IFERROR('Raw Data'!S112 = ROUND('Raw Data'!S112, 2),FALSE)),"",_xlfn.REGEXEXTRACT(CELL("address",S112), "\$([A-Z]+)\$[0-9]+"))),_xlfn.REGEXEXTRACT(CELL("address",S112), "\$([A-Z]+)\$[0-9]+"))</f>
        <v/>
      </c>
      <c r="T112" s="7" t="str" cm="1">
        <f t="array" aca="1" ref="T112" ca="1">IFERROR(IF(OR('Raw Data'!T112="",LEN(TRIM('Raw Data'!T112))=0),"",IF(AND(ISNUMBER('Raw Data'!T112), IFERROR('Raw Data'!T112 = ROUND('Raw Data'!T112, 2),FALSE)),"",_xlfn.REGEXEXTRACT(CELL("address",T112), "\$([A-Z]+)\$[0-9]+"))),_xlfn.REGEXEXTRACT(CELL("address",T112), "\$([A-Z]+)\$[0-9]+"))</f>
        <v/>
      </c>
      <c r="U112" s="7" t="str" cm="1">
        <f t="array" aca="1" ref="U112" ca="1">IFERROR(IF(OR('Raw Data'!U112="",LEN(TRIM('Raw Data'!U112))=0),"",IF(AND(LEN('Raw Data'!U112) &lt;= 5,LEN('Raw Data'!U112)&gt; 0),"",_xlfn.REGEXEXTRACT(CELL("address",'Raw Data'!U112),"\$([A-Z]+)\$[0-9]+"))),_xlfn.REGEXEXTRACT(CELL("address",'Raw Data'!U112),"\$([A-Z]+)\$[0-9]+"))</f>
        <v/>
      </c>
      <c r="V112" s="7" t="str" cm="1">
        <f t="array" aca="1" ref="V112" ca="1">IFERROR(IF(OR('Raw Data'!V112="",LEN(TRIM('Raw Data'!V112))=0),"",IF(AND(ISNUMBER('Raw Data'!V112), IFERROR('Raw Data'!V112 = ROUND('Raw Data'!V112, 2),FALSE)),"",_xlfn.REGEXEXTRACT(CELL("address",V112), "\$([A-Z]+)\$[0-9]+"))),_xlfn.REGEXEXTRACT(CELL("address",V112), "\$([A-Z]+)\$[0-9]+"))</f>
        <v/>
      </c>
      <c r="W112" s="7" t="str" cm="1">
        <f t="array" aca="1" ref="W112" ca="1">IFERROR(IF(OR('Raw Data'!W112="",LEN(TRIM('Raw Data'!W112))=0),"",IF(AND(ISNUMBER('Raw Data'!W112), IFERROR('Raw Data'!W112 = ROUND('Raw Data'!W112, 2),FALSE)),"",_xlfn.REGEXEXTRACT(CELL("address",W112), "\$([A-Z]+)\$[0-9]+"))),_xlfn.REGEXEXTRACT(CELL("address",W112), "\$([A-Z]+)\$[0-9]+"))</f>
        <v/>
      </c>
      <c r="X112" s="7" t="str" cm="1">
        <f t="array" aca="1" ref="X112" ca="1">IFERROR(IF(OR('Raw Data'!X112="",LEN(TRIM('Raw Data'!X112))=0),"",IF(AND(ISNUMBER('Raw Data'!X112), IFERROR('Raw Data'!X112 = ROUND('Raw Data'!X112, 2),FALSE)),"",_xlfn.REGEXEXTRACT(CELL("address",X112), "\$([A-Z]+)\$[0-9]+"))),_xlfn.REGEXEXTRACT(CELL("address",X112), "\$([A-Z]+)\$[0-9]+"))</f>
        <v/>
      </c>
    </row>
    <row r="113" spans="2:24" x14ac:dyDescent="0.25">
      <c r="B113" s="7" t="str" cm="1">
        <f t="array" aca="1" ref="B113" ca="1">IFERROR(IF(OR('Raw Data'!B113="",LEN(TRIM('Raw Data'!B113))=0),"",IF(AND(LEN('Raw Data'!B113) &lt;= 50,LEN('Raw Data'!B113)&gt; 0),"",_xlfn.REGEXEXTRACT(CELL("address",'Raw Data'!B113),"\$([A-Z]+)\$[0-9]+"))),_xlfn.REGEXEXTRACT(CELL("address",'Raw Data'!B113),"\$([A-Z]+)\$[0-9]+"))</f>
        <v/>
      </c>
      <c r="C113" s="7" t="str" cm="1">
        <f t="array" aca="1" ref="C113" ca="1">IFERROR(IF(OR('Raw Data'!C113="",LEN(TRIM('Raw Data'!C113))=0),"",IF(AND(LEN('Raw Data'!C113) &lt;= 50,LEN('Raw Data'!C113)&gt; 0),"",_xlfn.REGEXEXTRACT(CELL("address",'Raw Data'!C113),"\$([A-Z]+)\$[0-9]+"))),_xlfn.REGEXEXTRACT(CELL("address",'Raw Data'!C113),"\$([A-Z]+)\$[0-9]+"))</f>
        <v/>
      </c>
      <c r="D113" s="7" t="str" cm="1">
        <f t="array" aca="1" ref="D113" ca="1">IFERROR(IF(OR('Raw Data'!D113="",LEN(TRIM('Raw Data'!D113))=0),"",IF(AND(LEN('Raw Data'!D113) &lt;= 255,LEN('Raw Data'!D113)&gt; 0),"",_xlfn.REGEXEXTRACT(CELL("address",'Raw Data'!D113),"\$([A-Z]+)\$[0-9]+"))),_xlfn.REGEXEXTRACT(CELL("address",'Raw Data'!D113),"\$([A-Z]+)\$[0-9]+"))</f>
        <v/>
      </c>
      <c r="E113" s="7" t="str" cm="1">
        <f t="array" aca="1" ref="E113" ca="1">IFERROR(IF(OR('Raw Data'!E113="",LEN(TRIM('Raw Data'!E113))=0),"",IF(AND(ISNUMBER('Raw Data'!E113),'Raw Data'!E113&gt;=Configuration!$D$2),"",_xlfn.REGEXEXTRACT(CELL("address",'Raw Data'!E113),"\$([A-Z]+)\$[0-9]+"))),_xlfn.REGEXEXTRACT(CELL("address",E113), "\$([A-Z]+)\$[0-9]+"))</f>
        <v/>
      </c>
      <c r="F113" s="7" t="str" cm="1">
        <f t="array" aca="1" ref="F113" ca="1">IFERROR(IF(OR('Raw Data'!F113="",LEN(TRIM('Raw Data'!F113))=0),"",IF(AND(LEN('Raw Data'!F113) &lt;= 20,LEN('Raw Data'!F113)&gt; 0),"",_xlfn.REGEXEXTRACT(CELL("address",'Raw Data'!F113),"\$([A-Z]+)\$[0-9]+"))),_xlfn.REGEXEXTRACT(CELL("address",'Raw Data'!F113),"\$([A-Z]+)\$[0-9]+"))</f>
        <v/>
      </c>
      <c r="G113" s="7" t="str" cm="1">
        <f t="array" aca="1" ref="G113" ca="1">IFERROR(IF(OR('Raw Data'!G113="",LEN(TRIM('Raw Data'!G113))=0),"",IF(AND(ISNUMBER('Raw Data'!G113), IFERROR('Raw Data'!G113 = ROUND('Raw Data'!G113, 2),FALSE)),"",_xlfn.REGEXEXTRACT(CELL("address",G113), "\$([A-Z]+)\$[0-9]+"))),_xlfn.REGEXEXTRACT(CELL("address",G113), "\$([A-Z]+)\$[0-9]+"))</f>
        <v/>
      </c>
      <c r="H113" s="7" t="str" cm="1">
        <f t="array" aca="1" ref="H113" ca="1">IFERROR(IF(OR('Raw Data'!H113="",LEN(TRIM('Raw Data'!H113))=0),"",IF(AND(ISNUMBER('Raw Data'!H113), IFERROR('Raw Data'!H113 = ROUND('Raw Data'!H113, 2),FALSE)),"",_xlfn.REGEXEXTRACT(CELL("address",H113), "\$([A-Z]+)\$[0-9]+"))),_xlfn.REGEXEXTRACT(CELL("address",H113), "\$([A-Z]+)\$[0-9]+"))</f>
        <v/>
      </c>
      <c r="I113" s="7" t="str" cm="1">
        <f t="array" aca="1" ref="I113" ca="1">IFERROR(IF(OR('Raw Data'!I113="",LEN(TRIM('Raw Data'!I113))=0),"",IF(AND(LEN('Raw Data'!I113) &lt;= 50,LEN('Raw Data'!I113)&gt; 0),"",_xlfn.REGEXEXTRACT(CELL("address",'Raw Data'!I113),"\$([A-Z]+)\$[0-9]+"))),_xlfn.REGEXEXTRACT(CELL("address",'Raw Data'!I113),"\$([A-Z]+)\$[0-9]+"))</f>
        <v/>
      </c>
      <c r="J113" s="7" t="str" cm="1">
        <f t="array" aca="1" ref="J113" ca="1">IFERROR(IF(OR('Raw Data'!J113="",LEN(TRIM('Raw Data'!J113))=0),"",IF(AND(ISNUMBER('Raw Data'!J113),'Raw Data'!J113&gt;=Configuration!$D$2),"",_xlfn.REGEXEXTRACT(CELL("address",'Raw Data'!J113),"\$([A-Z]+)\$[0-9]+"))),_xlfn.REGEXEXTRACT(CELL("address",J113), "\$([A-Z]+)\$[0-9]+"))</f>
        <v/>
      </c>
      <c r="K113" s="7" t="str" cm="1">
        <f t="array" aca="1" ref="K113" ca="1">IFERROR(IF(OR('Raw Data'!K113="",LEN(TRIM('Raw Data'!K113))=0),"",IF(AND(ISNUMBER('Raw Data'!K113), IFERROR('Raw Data'!K113 = ROUND('Raw Data'!K113, 2),FALSE)),"",_xlfn.REGEXEXTRACT(CELL("address",K113), "\$([A-Z]+)\$[0-9]+"))),_xlfn.REGEXEXTRACT(CELL("address",K113), "\$([A-Z]+)\$[0-9]+"))</f>
        <v/>
      </c>
      <c r="L113" s="7" t="str" cm="1">
        <f t="array" aca="1" ref="L113" ca="1">IFERROR(IF(OR('Raw Data'!L113="",LEN(TRIM('Raw Data'!L113))=0),"",IF(AND(ISNUMBER('Raw Data'!L113), IFERROR('Raw Data'!L113 = ROUND('Raw Data'!L113, 2),FALSE)),"",_xlfn.REGEXEXTRACT(CELL("address",L113), "\$([A-Z]+)\$[0-9]+"))),_xlfn.REGEXEXTRACT(CELL("address",L113), "\$([A-Z]+)\$[0-9]+"))</f>
        <v/>
      </c>
      <c r="M113" s="7" t="str" cm="1">
        <f t="array" aca="1" ref="M113" ca="1">IFERROR(IF(OR('Raw Data'!M113="",LEN(TRIM('Raw Data'!M113))=0),"",IF(AND(ISNUMBER('Raw Data'!M113), IFERROR('Raw Data'!M113 = ROUND('Raw Data'!M113, 2),FALSE)),"",_xlfn.REGEXEXTRACT(CELL("address",M113), "\$([A-Z]+)\$[0-9]+"))),_xlfn.REGEXEXTRACT(CELL("address",M113), "\$([A-Z]+)\$[0-9]+"))</f>
        <v/>
      </c>
      <c r="N113" s="7" t="str" cm="1">
        <f t="array" aca="1" ref="N113" ca="1">IFERROR(IF(OR('Raw Data'!N113="",LEN(TRIM('Raw Data'!N113))=0),"",IF(AND(ISNUMBER('Raw Data'!N113), IFERROR('Raw Data'!N113 = ROUND('Raw Data'!N113, 2),FALSE)),"",_xlfn.REGEXEXTRACT(CELL("address",N113), "\$([A-Z]+)\$[0-9]+"))),_xlfn.REGEXEXTRACT(CELL("address",N113), "\$([A-Z]+)\$[0-9]+"))</f>
        <v/>
      </c>
      <c r="O113" s="7" t="str" cm="1">
        <f t="array" aca="1" ref="O113" ca="1">IFERROR(IF(OR('Raw Data'!O113="",LEN(TRIM('Raw Data'!O113))=0),"",IF(AND(ISNUMBER('Raw Data'!O113), IFERROR('Raw Data'!O113 = ROUND('Raw Data'!O113, 2),FALSE)),"",_xlfn.REGEXEXTRACT(CELL("address",O113), "\$([A-Z]+)\$[0-9]+"))),_xlfn.REGEXEXTRACT(CELL("address",O113), "\$([A-Z]+)\$[0-9]+"))</f>
        <v/>
      </c>
      <c r="P113" s="7" t="str" cm="1">
        <f t="array" aca="1" ref="P113" ca="1">IFERROR(IF(OR('Raw Data'!P113="",LEN(TRIM('Raw Data'!P113))=0),"",IF(AND(ISNUMBER('Raw Data'!P113),'Raw Data'!P113&gt;=Configuration!$D$2),"",_xlfn.REGEXEXTRACT(CELL("address",'Raw Data'!P113),"\$([A-Z]+)\$[0-9]+"))),_xlfn.REGEXEXTRACT(CELL("address",P113), "\$([A-Z]+)\$[0-9]+"))</f>
        <v/>
      </c>
      <c r="Q113" s="7" t="str" cm="1">
        <f t="array" aca="1" ref="Q113" ca="1">IFERROR(IF(OR('Raw Data'!Q113="",LEN(TRIM('Raw Data'!Q113))=0),"",IF(AND(ISNUMBER('Raw Data'!Q113),'Raw Data'!Q113&gt;=Configuration!$D$2),"",_xlfn.REGEXEXTRACT(CELL("address",'Raw Data'!Q113),"\$([A-Z]+)\$[0-9]+"))),_xlfn.REGEXEXTRACT(CELL("address",Q113), "\$([A-Z]+)\$[0-9]+"))</f>
        <v/>
      </c>
      <c r="R113" s="7" t="str" cm="1">
        <f t="array" aca="1" ref="R113" ca="1">IFERROR(IF(OR('Raw Data'!R113="",LEN(TRIM('Raw Data'!R113))=0),"",IF(AND(ISNUMBER('Raw Data'!R113), IFERROR('Raw Data'!R113 = ROUND('Raw Data'!R113, 2),FALSE)),"",_xlfn.REGEXEXTRACT(CELL("address",R113), "\$([A-Z]+)\$[0-9]+"))),_xlfn.REGEXEXTRACT(CELL("address",R113), "\$([A-Z]+)\$[0-9]+"))</f>
        <v/>
      </c>
      <c r="S113" s="7" t="str" cm="1">
        <f t="array" aca="1" ref="S113" ca="1">IFERROR(IF(OR('Raw Data'!S113="",LEN(TRIM('Raw Data'!S113))=0),"",IF(AND(ISNUMBER('Raw Data'!S113), IFERROR('Raw Data'!S113 = ROUND('Raw Data'!S113, 2),FALSE)),"",_xlfn.REGEXEXTRACT(CELL("address",S113), "\$([A-Z]+)\$[0-9]+"))),_xlfn.REGEXEXTRACT(CELL("address",S113), "\$([A-Z]+)\$[0-9]+"))</f>
        <v/>
      </c>
      <c r="T113" s="7" t="str" cm="1">
        <f t="array" aca="1" ref="T113" ca="1">IFERROR(IF(OR('Raw Data'!T113="",LEN(TRIM('Raw Data'!T113))=0),"",IF(AND(ISNUMBER('Raw Data'!T113), IFERROR('Raw Data'!T113 = ROUND('Raw Data'!T113, 2),FALSE)),"",_xlfn.REGEXEXTRACT(CELL("address",T113), "\$([A-Z]+)\$[0-9]+"))),_xlfn.REGEXEXTRACT(CELL("address",T113), "\$([A-Z]+)\$[0-9]+"))</f>
        <v/>
      </c>
      <c r="U113" s="7" t="str" cm="1">
        <f t="array" aca="1" ref="U113" ca="1">IFERROR(IF(OR('Raw Data'!U113="",LEN(TRIM('Raw Data'!U113))=0),"",IF(AND(LEN('Raw Data'!U113) &lt;= 5,LEN('Raw Data'!U113)&gt; 0),"",_xlfn.REGEXEXTRACT(CELL("address",'Raw Data'!U113),"\$([A-Z]+)\$[0-9]+"))),_xlfn.REGEXEXTRACT(CELL("address",'Raw Data'!U113),"\$([A-Z]+)\$[0-9]+"))</f>
        <v/>
      </c>
      <c r="V113" s="7" t="str" cm="1">
        <f t="array" aca="1" ref="V113" ca="1">IFERROR(IF(OR('Raw Data'!V113="",LEN(TRIM('Raw Data'!V113))=0),"",IF(AND(ISNUMBER('Raw Data'!V113), IFERROR('Raw Data'!V113 = ROUND('Raw Data'!V113, 2),FALSE)),"",_xlfn.REGEXEXTRACT(CELL("address",V113), "\$([A-Z]+)\$[0-9]+"))),_xlfn.REGEXEXTRACT(CELL("address",V113), "\$([A-Z]+)\$[0-9]+"))</f>
        <v/>
      </c>
      <c r="W113" s="7" t="str" cm="1">
        <f t="array" aca="1" ref="W113" ca="1">IFERROR(IF(OR('Raw Data'!W113="",LEN(TRIM('Raw Data'!W113))=0),"",IF(AND(ISNUMBER('Raw Data'!W113), IFERROR('Raw Data'!W113 = ROUND('Raw Data'!W113, 2),FALSE)),"",_xlfn.REGEXEXTRACT(CELL("address",W113), "\$([A-Z]+)\$[0-9]+"))),_xlfn.REGEXEXTRACT(CELL("address",W113), "\$([A-Z]+)\$[0-9]+"))</f>
        <v/>
      </c>
      <c r="X113" s="7" t="str" cm="1">
        <f t="array" aca="1" ref="X113" ca="1">IFERROR(IF(OR('Raw Data'!X113="",LEN(TRIM('Raw Data'!X113))=0),"",IF(AND(ISNUMBER('Raw Data'!X113), IFERROR('Raw Data'!X113 = ROUND('Raw Data'!X113, 2),FALSE)),"",_xlfn.REGEXEXTRACT(CELL("address",X113), "\$([A-Z]+)\$[0-9]+"))),_xlfn.REGEXEXTRACT(CELL("address",X113), "\$([A-Z]+)\$[0-9]+"))</f>
        <v/>
      </c>
    </row>
    <row r="114" spans="2:24" x14ac:dyDescent="0.25">
      <c r="B114" s="7" t="str" cm="1">
        <f t="array" aca="1" ref="B114" ca="1">IFERROR(IF(OR('Raw Data'!B114="",LEN(TRIM('Raw Data'!B114))=0),"",IF(AND(LEN('Raw Data'!B114) &lt;= 50,LEN('Raw Data'!B114)&gt; 0),"",_xlfn.REGEXEXTRACT(CELL("address",'Raw Data'!B114),"\$([A-Z]+)\$[0-9]+"))),_xlfn.REGEXEXTRACT(CELL("address",'Raw Data'!B114),"\$([A-Z]+)\$[0-9]+"))</f>
        <v/>
      </c>
      <c r="C114" s="7" t="str" cm="1">
        <f t="array" aca="1" ref="C114" ca="1">IFERROR(IF(OR('Raw Data'!C114="",LEN(TRIM('Raw Data'!C114))=0),"",IF(AND(LEN('Raw Data'!C114) &lt;= 50,LEN('Raw Data'!C114)&gt; 0),"",_xlfn.REGEXEXTRACT(CELL("address",'Raw Data'!C114),"\$([A-Z]+)\$[0-9]+"))),_xlfn.REGEXEXTRACT(CELL("address",'Raw Data'!C114),"\$([A-Z]+)\$[0-9]+"))</f>
        <v/>
      </c>
      <c r="D114" s="7" t="str" cm="1">
        <f t="array" aca="1" ref="D114" ca="1">IFERROR(IF(OR('Raw Data'!D114="",LEN(TRIM('Raw Data'!D114))=0),"",IF(AND(LEN('Raw Data'!D114) &lt;= 255,LEN('Raw Data'!D114)&gt; 0),"",_xlfn.REGEXEXTRACT(CELL("address",'Raw Data'!D114),"\$([A-Z]+)\$[0-9]+"))),_xlfn.REGEXEXTRACT(CELL("address",'Raw Data'!D114),"\$([A-Z]+)\$[0-9]+"))</f>
        <v/>
      </c>
      <c r="E114" s="7" t="str" cm="1">
        <f t="array" aca="1" ref="E114" ca="1">IFERROR(IF(OR('Raw Data'!E114="",LEN(TRIM('Raw Data'!E114))=0),"",IF(AND(ISNUMBER('Raw Data'!E114),'Raw Data'!E114&gt;=Configuration!$D$2),"",_xlfn.REGEXEXTRACT(CELL("address",'Raw Data'!E114),"\$([A-Z]+)\$[0-9]+"))),_xlfn.REGEXEXTRACT(CELL("address",E114), "\$([A-Z]+)\$[0-9]+"))</f>
        <v/>
      </c>
      <c r="F114" s="7" t="str" cm="1">
        <f t="array" aca="1" ref="F114" ca="1">IFERROR(IF(OR('Raw Data'!F114="",LEN(TRIM('Raw Data'!F114))=0),"",IF(AND(LEN('Raw Data'!F114) &lt;= 20,LEN('Raw Data'!F114)&gt; 0),"",_xlfn.REGEXEXTRACT(CELL("address",'Raw Data'!F114),"\$([A-Z]+)\$[0-9]+"))),_xlfn.REGEXEXTRACT(CELL("address",'Raw Data'!F114),"\$([A-Z]+)\$[0-9]+"))</f>
        <v/>
      </c>
      <c r="G114" s="7" t="str" cm="1">
        <f t="array" aca="1" ref="G114" ca="1">IFERROR(IF(OR('Raw Data'!G114="",LEN(TRIM('Raw Data'!G114))=0),"",IF(AND(ISNUMBER('Raw Data'!G114), IFERROR('Raw Data'!G114 = ROUND('Raw Data'!G114, 2),FALSE)),"",_xlfn.REGEXEXTRACT(CELL("address",G114), "\$([A-Z]+)\$[0-9]+"))),_xlfn.REGEXEXTRACT(CELL("address",G114), "\$([A-Z]+)\$[0-9]+"))</f>
        <v/>
      </c>
      <c r="H114" s="7" t="str" cm="1">
        <f t="array" aca="1" ref="H114" ca="1">IFERROR(IF(OR('Raw Data'!H114="",LEN(TRIM('Raw Data'!H114))=0),"",IF(AND(ISNUMBER('Raw Data'!H114), IFERROR('Raw Data'!H114 = ROUND('Raw Data'!H114, 2),FALSE)),"",_xlfn.REGEXEXTRACT(CELL("address",H114), "\$([A-Z]+)\$[0-9]+"))),_xlfn.REGEXEXTRACT(CELL("address",H114), "\$([A-Z]+)\$[0-9]+"))</f>
        <v/>
      </c>
      <c r="I114" s="7" t="str" cm="1">
        <f t="array" aca="1" ref="I114" ca="1">IFERROR(IF(OR('Raw Data'!I114="",LEN(TRIM('Raw Data'!I114))=0),"",IF(AND(LEN('Raw Data'!I114) &lt;= 50,LEN('Raw Data'!I114)&gt; 0),"",_xlfn.REGEXEXTRACT(CELL("address",'Raw Data'!I114),"\$([A-Z]+)\$[0-9]+"))),_xlfn.REGEXEXTRACT(CELL("address",'Raw Data'!I114),"\$([A-Z]+)\$[0-9]+"))</f>
        <v/>
      </c>
      <c r="J114" s="7" t="str" cm="1">
        <f t="array" aca="1" ref="J114" ca="1">IFERROR(IF(OR('Raw Data'!J114="",LEN(TRIM('Raw Data'!J114))=0),"",IF(AND(ISNUMBER('Raw Data'!J114),'Raw Data'!J114&gt;=Configuration!$D$2),"",_xlfn.REGEXEXTRACT(CELL("address",'Raw Data'!J114),"\$([A-Z]+)\$[0-9]+"))),_xlfn.REGEXEXTRACT(CELL("address",J114), "\$([A-Z]+)\$[0-9]+"))</f>
        <v/>
      </c>
      <c r="K114" s="7" t="str" cm="1">
        <f t="array" aca="1" ref="K114" ca="1">IFERROR(IF(OR('Raw Data'!K114="",LEN(TRIM('Raw Data'!K114))=0),"",IF(AND(ISNUMBER('Raw Data'!K114), IFERROR('Raw Data'!K114 = ROUND('Raw Data'!K114, 2),FALSE)),"",_xlfn.REGEXEXTRACT(CELL("address",K114), "\$([A-Z]+)\$[0-9]+"))),_xlfn.REGEXEXTRACT(CELL("address",K114), "\$([A-Z]+)\$[0-9]+"))</f>
        <v/>
      </c>
      <c r="L114" s="7" t="str" cm="1">
        <f t="array" aca="1" ref="L114" ca="1">IFERROR(IF(OR('Raw Data'!L114="",LEN(TRIM('Raw Data'!L114))=0),"",IF(AND(ISNUMBER('Raw Data'!L114), IFERROR('Raw Data'!L114 = ROUND('Raw Data'!L114, 2),FALSE)),"",_xlfn.REGEXEXTRACT(CELL("address",L114), "\$([A-Z]+)\$[0-9]+"))),_xlfn.REGEXEXTRACT(CELL("address",L114), "\$([A-Z]+)\$[0-9]+"))</f>
        <v/>
      </c>
      <c r="M114" s="7" t="str" cm="1">
        <f t="array" aca="1" ref="M114" ca="1">IFERROR(IF(OR('Raw Data'!M114="",LEN(TRIM('Raw Data'!M114))=0),"",IF(AND(ISNUMBER('Raw Data'!M114), IFERROR('Raw Data'!M114 = ROUND('Raw Data'!M114, 2),FALSE)),"",_xlfn.REGEXEXTRACT(CELL("address",M114), "\$([A-Z]+)\$[0-9]+"))),_xlfn.REGEXEXTRACT(CELL("address",M114), "\$([A-Z]+)\$[0-9]+"))</f>
        <v/>
      </c>
      <c r="N114" s="7" t="str" cm="1">
        <f t="array" aca="1" ref="N114" ca="1">IFERROR(IF(OR('Raw Data'!N114="",LEN(TRIM('Raw Data'!N114))=0),"",IF(AND(ISNUMBER('Raw Data'!N114), IFERROR('Raw Data'!N114 = ROUND('Raw Data'!N114, 2),FALSE)),"",_xlfn.REGEXEXTRACT(CELL("address",N114), "\$([A-Z]+)\$[0-9]+"))),_xlfn.REGEXEXTRACT(CELL("address",N114), "\$([A-Z]+)\$[0-9]+"))</f>
        <v/>
      </c>
      <c r="O114" s="7" t="str" cm="1">
        <f t="array" aca="1" ref="O114" ca="1">IFERROR(IF(OR('Raw Data'!O114="",LEN(TRIM('Raw Data'!O114))=0),"",IF(AND(ISNUMBER('Raw Data'!O114), IFERROR('Raw Data'!O114 = ROUND('Raw Data'!O114, 2),FALSE)),"",_xlfn.REGEXEXTRACT(CELL("address",O114), "\$([A-Z]+)\$[0-9]+"))),_xlfn.REGEXEXTRACT(CELL("address",O114), "\$([A-Z]+)\$[0-9]+"))</f>
        <v/>
      </c>
      <c r="P114" s="7" t="str" cm="1">
        <f t="array" aca="1" ref="P114" ca="1">IFERROR(IF(OR('Raw Data'!P114="",LEN(TRIM('Raw Data'!P114))=0),"",IF(AND(ISNUMBER('Raw Data'!P114),'Raw Data'!P114&gt;=Configuration!$D$2),"",_xlfn.REGEXEXTRACT(CELL("address",'Raw Data'!P114),"\$([A-Z]+)\$[0-9]+"))),_xlfn.REGEXEXTRACT(CELL("address",P114), "\$([A-Z]+)\$[0-9]+"))</f>
        <v/>
      </c>
      <c r="Q114" s="7" t="str" cm="1">
        <f t="array" aca="1" ref="Q114" ca="1">IFERROR(IF(OR('Raw Data'!Q114="",LEN(TRIM('Raw Data'!Q114))=0),"",IF(AND(ISNUMBER('Raw Data'!Q114),'Raw Data'!Q114&gt;=Configuration!$D$2),"",_xlfn.REGEXEXTRACT(CELL("address",'Raw Data'!Q114),"\$([A-Z]+)\$[0-9]+"))),_xlfn.REGEXEXTRACT(CELL("address",Q114), "\$([A-Z]+)\$[0-9]+"))</f>
        <v/>
      </c>
      <c r="R114" s="7" t="str" cm="1">
        <f t="array" aca="1" ref="R114" ca="1">IFERROR(IF(OR('Raw Data'!R114="",LEN(TRIM('Raw Data'!R114))=0),"",IF(AND(ISNUMBER('Raw Data'!R114), IFERROR('Raw Data'!R114 = ROUND('Raw Data'!R114, 2),FALSE)),"",_xlfn.REGEXEXTRACT(CELL("address",R114), "\$([A-Z]+)\$[0-9]+"))),_xlfn.REGEXEXTRACT(CELL("address",R114), "\$([A-Z]+)\$[0-9]+"))</f>
        <v/>
      </c>
      <c r="S114" s="7" t="str" cm="1">
        <f t="array" aca="1" ref="S114" ca="1">IFERROR(IF(OR('Raw Data'!S114="",LEN(TRIM('Raw Data'!S114))=0),"",IF(AND(ISNUMBER('Raw Data'!S114), IFERROR('Raw Data'!S114 = ROUND('Raw Data'!S114, 2),FALSE)),"",_xlfn.REGEXEXTRACT(CELL("address",S114), "\$([A-Z]+)\$[0-9]+"))),_xlfn.REGEXEXTRACT(CELL("address",S114), "\$([A-Z]+)\$[0-9]+"))</f>
        <v/>
      </c>
      <c r="T114" s="7" t="str" cm="1">
        <f t="array" aca="1" ref="T114" ca="1">IFERROR(IF(OR('Raw Data'!T114="",LEN(TRIM('Raw Data'!T114))=0),"",IF(AND(ISNUMBER('Raw Data'!T114), IFERROR('Raw Data'!T114 = ROUND('Raw Data'!T114, 2),FALSE)),"",_xlfn.REGEXEXTRACT(CELL("address",T114), "\$([A-Z]+)\$[0-9]+"))),_xlfn.REGEXEXTRACT(CELL("address",T114), "\$([A-Z]+)\$[0-9]+"))</f>
        <v/>
      </c>
      <c r="U114" s="7" t="str" cm="1">
        <f t="array" aca="1" ref="U114" ca="1">IFERROR(IF(OR('Raw Data'!U114="",LEN(TRIM('Raw Data'!U114))=0),"",IF(AND(LEN('Raw Data'!U114) &lt;= 5,LEN('Raw Data'!U114)&gt; 0),"",_xlfn.REGEXEXTRACT(CELL("address",'Raw Data'!U114),"\$([A-Z]+)\$[0-9]+"))),_xlfn.REGEXEXTRACT(CELL("address",'Raw Data'!U114),"\$([A-Z]+)\$[0-9]+"))</f>
        <v/>
      </c>
      <c r="V114" s="7" t="str" cm="1">
        <f t="array" aca="1" ref="V114" ca="1">IFERROR(IF(OR('Raw Data'!V114="",LEN(TRIM('Raw Data'!V114))=0),"",IF(AND(ISNUMBER('Raw Data'!V114), IFERROR('Raw Data'!V114 = ROUND('Raw Data'!V114, 2),FALSE)),"",_xlfn.REGEXEXTRACT(CELL("address",V114), "\$([A-Z]+)\$[0-9]+"))),_xlfn.REGEXEXTRACT(CELL("address",V114), "\$([A-Z]+)\$[0-9]+"))</f>
        <v/>
      </c>
      <c r="W114" s="7" t="str" cm="1">
        <f t="array" aca="1" ref="W114" ca="1">IFERROR(IF(OR('Raw Data'!W114="",LEN(TRIM('Raw Data'!W114))=0),"",IF(AND(ISNUMBER('Raw Data'!W114), IFERROR('Raw Data'!W114 = ROUND('Raw Data'!W114, 2),FALSE)),"",_xlfn.REGEXEXTRACT(CELL("address",W114), "\$([A-Z]+)\$[0-9]+"))),_xlfn.REGEXEXTRACT(CELL("address",W114), "\$([A-Z]+)\$[0-9]+"))</f>
        <v/>
      </c>
      <c r="X114" s="7" t="str" cm="1">
        <f t="array" aca="1" ref="X114" ca="1">IFERROR(IF(OR('Raw Data'!X114="",LEN(TRIM('Raw Data'!X114))=0),"",IF(AND(ISNUMBER('Raw Data'!X114), IFERROR('Raw Data'!X114 = ROUND('Raw Data'!X114, 2),FALSE)),"",_xlfn.REGEXEXTRACT(CELL("address",X114), "\$([A-Z]+)\$[0-9]+"))),_xlfn.REGEXEXTRACT(CELL("address",X114), "\$([A-Z]+)\$[0-9]+"))</f>
        <v/>
      </c>
    </row>
    <row r="115" spans="2:24" x14ac:dyDescent="0.25">
      <c r="B115" s="7" t="str" cm="1">
        <f t="array" aca="1" ref="B115" ca="1">IFERROR(IF(OR('Raw Data'!B115="",LEN(TRIM('Raw Data'!B115))=0),"",IF(AND(LEN('Raw Data'!B115) &lt;= 50,LEN('Raw Data'!B115)&gt; 0),"",_xlfn.REGEXEXTRACT(CELL("address",'Raw Data'!B115),"\$([A-Z]+)\$[0-9]+"))),_xlfn.REGEXEXTRACT(CELL("address",'Raw Data'!B115),"\$([A-Z]+)\$[0-9]+"))</f>
        <v/>
      </c>
      <c r="C115" s="7" t="str" cm="1">
        <f t="array" aca="1" ref="C115" ca="1">IFERROR(IF(OR('Raw Data'!C115="",LEN(TRIM('Raw Data'!C115))=0),"",IF(AND(LEN('Raw Data'!C115) &lt;= 50,LEN('Raw Data'!C115)&gt; 0),"",_xlfn.REGEXEXTRACT(CELL("address",'Raw Data'!C115),"\$([A-Z]+)\$[0-9]+"))),_xlfn.REGEXEXTRACT(CELL("address",'Raw Data'!C115),"\$([A-Z]+)\$[0-9]+"))</f>
        <v/>
      </c>
      <c r="D115" s="7" t="str" cm="1">
        <f t="array" aca="1" ref="D115" ca="1">IFERROR(IF(OR('Raw Data'!D115="",LEN(TRIM('Raw Data'!D115))=0),"",IF(AND(LEN('Raw Data'!D115) &lt;= 255,LEN('Raw Data'!D115)&gt; 0),"",_xlfn.REGEXEXTRACT(CELL("address",'Raw Data'!D115),"\$([A-Z]+)\$[0-9]+"))),_xlfn.REGEXEXTRACT(CELL("address",'Raw Data'!D115),"\$([A-Z]+)\$[0-9]+"))</f>
        <v/>
      </c>
      <c r="E115" s="7" t="str" cm="1">
        <f t="array" aca="1" ref="E115" ca="1">IFERROR(IF(OR('Raw Data'!E115="",LEN(TRIM('Raw Data'!E115))=0),"",IF(AND(ISNUMBER('Raw Data'!E115),'Raw Data'!E115&gt;=Configuration!$D$2),"",_xlfn.REGEXEXTRACT(CELL("address",'Raw Data'!E115),"\$([A-Z]+)\$[0-9]+"))),_xlfn.REGEXEXTRACT(CELL("address",E115), "\$([A-Z]+)\$[0-9]+"))</f>
        <v/>
      </c>
      <c r="F115" s="7" t="str" cm="1">
        <f t="array" aca="1" ref="F115" ca="1">IFERROR(IF(OR('Raw Data'!F115="",LEN(TRIM('Raw Data'!F115))=0),"",IF(AND(LEN('Raw Data'!F115) &lt;= 20,LEN('Raw Data'!F115)&gt; 0),"",_xlfn.REGEXEXTRACT(CELL("address",'Raw Data'!F115),"\$([A-Z]+)\$[0-9]+"))),_xlfn.REGEXEXTRACT(CELL("address",'Raw Data'!F115),"\$([A-Z]+)\$[0-9]+"))</f>
        <v/>
      </c>
      <c r="G115" s="7" t="str" cm="1">
        <f t="array" aca="1" ref="G115" ca="1">IFERROR(IF(OR('Raw Data'!G115="",LEN(TRIM('Raw Data'!G115))=0),"",IF(AND(ISNUMBER('Raw Data'!G115), IFERROR('Raw Data'!G115 = ROUND('Raw Data'!G115, 2),FALSE)),"",_xlfn.REGEXEXTRACT(CELL("address",G115), "\$([A-Z]+)\$[0-9]+"))),_xlfn.REGEXEXTRACT(CELL("address",G115), "\$([A-Z]+)\$[0-9]+"))</f>
        <v/>
      </c>
      <c r="H115" s="7" t="str" cm="1">
        <f t="array" aca="1" ref="H115" ca="1">IFERROR(IF(OR('Raw Data'!H115="",LEN(TRIM('Raw Data'!H115))=0),"",IF(AND(ISNUMBER('Raw Data'!H115), IFERROR('Raw Data'!H115 = ROUND('Raw Data'!H115, 2),FALSE)),"",_xlfn.REGEXEXTRACT(CELL("address",H115), "\$([A-Z]+)\$[0-9]+"))),_xlfn.REGEXEXTRACT(CELL("address",H115), "\$([A-Z]+)\$[0-9]+"))</f>
        <v/>
      </c>
      <c r="I115" s="7" t="str" cm="1">
        <f t="array" aca="1" ref="I115" ca="1">IFERROR(IF(OR('Raw Data'!I115="",LEN(TRIM('Raw Data'!I115))=0),"",IF(AND(LEN('Raw Data'!I115) &lt;= 50,LEN('Raw Data'!I115)&gt; 0),"",_xlfn.REGEXEXTRACT(CELL("address",'Raw Data'!I115),"\$([A-Z]+)\$[0-9]+"))),_xlfn.REGEXEXTRACT(CELL("address",'Raw Data'!I115),"\$([A-Z]+)\$[0-9]+"))</f>
        <v/>
      </c>
      <c r="J115" s="7" t="str" cm="1">
        <f t="array" aca="1" ref="J115" ca="1">IFERROR(IF(OR('Raw Data'!J115="",LEN(TRIM('Raw Data'!J115))=0),"",IF(AND(ISNUMBER('Raw Data'!J115),'Raw Data'!J115&gt;=Configuration!$D$2),"",_xlfn.REGEXEXTRACT(CELL("address",'Raw Data'!J115),"\$([A-Z]+)\$[0-9]+"))),_xlfn.REGEXEXTRACT(CELL("address",J115), "\$([A-Z]+)\$[0-9]+"))</f>
        <v/>
      </c>
      <c r="K115" s="7" t="str" cm="1">
        <f t="array" aca="1" ref="K115" ca="1">IFERROR(IF(OR('Raw Data'!K115="",LEN(TRIM('Raw Data'!K115))=0),"",IF(AND(ISNUMBER('Raw Data'!K115), IFERROR('Raw Data'!K115 = ROUND('Raw Data'!K115, 2),FALSE)),"",_xlfn.REGEXEXTRACT(CELL("address",K115), "\$([A-Z]+)\$[0-9]+"))),_xlfn.REGEXEXTRACT(CELL("address",K115), "\$([A-Z]+)\$[0-9]+"))</f>
        <v/>
      </c>
      <c r="L115" s="7" t="str" cm="1">
        <f t="array" aca="1" ref="L115" ca="1">IFERROR(IF(OR('Raw Data'!L115="",LEN(TRIM('Raw Data'!L115))=0),"",IF(AND(ISNUMBER('Raw Data'!L115), IFERROR('Raw Data'!L115 = ROUND('Raw Data'!L115, 2),FALSE)),"",_xlfn.REGEXEXTRACT(CELL("address",L115), "\$([A-Z]+)\$[0-9]+"))),_xlfn.REGEXEXTRACT(CELL("address",L115), "\$([A-Z]+)\$[0-9]+"))</f>
        <v/>
      </c>
      <c r="M115" s="7" t="str" cm="1">
        <f t="array" aca="1" ref="M115" ca="1">IFERROR(IF(OR('Raw Data'!M115="",LEN(TRIM('Raw Data'!M115))=0),"",IF(AND(ISNUMBER('Raw Data'!M115), IFERROR('Raw Data'!M115 = ROUND('Raw Data'!M115, 2),FALSE)),"",_xlfn.REGEXEXTRACT(CELL("address",M115), "\$([A-Z]+)\$[0-9]+"))),_xlfn.REGEXEXTRACT(CELL("address",M115), "\$([A-Z]+)\$[0-9]+"))</f>
        <v/>
      </c>
      <c r="N115" s="7" t="str" cm="1">
        <f t="array" aca="1" ref="N115" ca="1">IFERROR(IF(OR('Raw Data'!N115="",LEN(TRIM('Raw Data'!N115))=0),"",IF(AND(ISNUMBER('Raw Data'!N115), IFERROR('Raw Data'!N115 = ROUND('Raw Data'!N115, 2),FALSE)),"",_xlfn.REGEXEXTRACT(CELL("address",N115), "\$([A-Z]+)\$[0-9]+"))),_xlfn.REGEXEXTRACT(CELL("address",N115), "\$([A-Z]+)\$[0-9]+"))</f>
        <v/>
      </c>
      <c r="O115" s="7" t="str" cm="1">
        <f t="array" aca="1" ref="O115" ca="1">IFERROR(IF(OR('Raw Data'!O115="",LEN(TRIM('Raw Data'!O115))=0),"",IF(AND(ISNUMBER('Raw Data'!O115), IFERROR('Raw Data'!O115 = ROUND('Raw Data'!O115, 2),FALSE)),"",_xlfn.REGEXEXTRACT(CELL("address",O115), "\$([A-Z]+)\$[0-9]+"))),_xlfn.REGEXEXTRACT(CELL("address",O115), "\$([A-Z]+)\$[0-9]+"))</f>
        <v/>
      </c>
      <c r="P115" s="7" t="str" cm="1">
        <f t="array" aca="1" ref="P115" ca="1">IFERROR(IF(OR('Raw Data'!P115="",LEN(TRIM('Raw Data'!P115))=0),"",IF(AND(ISNUMBER('Raw Data'!P115),'Raw Data'!P115&gt;=Configuration!$D$2),"",_xlfn.REGEXEXTRACT(CELL("address",'Raw Data'!P115),"\$([A-Z]+)\$[0-9]+"))),_xlfn.REGEXEXTRACT(CELL("address",P115), "\$([A-Z]+)\$[0-9]+"))</f>
        <v/>
      </c>
      <c r="Q115" s="7" t="str" cm="1">
        <f t="array" aca="1" ref="Q115" ca="1">IFERROR(IF(OR('Raw Data'!Q115="",LEN(TRIM('Raw Data'!Q115))=0),"",IF(AND(ISNUMBER('Raw Data'!Q115),'Raw Data'!Q115&gt;=Configuration!$D$2),"",_xlfn.REGEXEXTRACT(CELL("address",'Raw Data'!Q115),"\$([A-Z]+)\$[0-9]+"))),_xlfn.REGEXEXTRACT(CELL("address",Q115), "\$([A-Z]+)\$[0-9]+"))</f>
        <v/>
      </c>
      <c r="R115" s="7" t="str" cm="1">
        <f t="array" aca="1" ref="R115" ca="1">IFERROR(IF(OR('Raw Data'!R115="",LEN(TRIM('Raw Data'!R115))=0),"",IF(AND(ISNUMBER('Raw Data'!R115), IFERROR('Raw Data'!R115 = ROUND('Raw Data'!R115, 2),FALSE)),"",_xlfn.REGEXEXTRACT(CELL("address",R115), "\$([A-Z]+)\$[0-9]+"))),_xlfn.REGEXEXTRACT(CELL("address",R115), "\$([A-Z]+)\$[0-9]+"))</f>
        <v/>
      </c>
      <c r="S115" s="7" t="str" cm="1">
        <f t="array" aca="1" ref="S115" ca="1">IFERROR(IF(OR('Raw Data'!S115="",LEN(TRIM('Raw Data'!S115))=0),"",IF(AND(ISNUMBER('Raw Data'!S115), IFERROR('Raw Data'!S115 = ROUND('Raw Data'!S115, 2),FALSE)),"",_xlfn.REGEXEXTRACT(CELL("address",S115), "\$([A-Z]+)\$[0-9]+"))),_xlfn.REGEXEXTRACT(CELL("address",S115), "\$([A-Z]+)\$[0-9]+"))</f>
        <v/>
      </c>
      <c r="T115" s="7" t="str" cm="1">
        <f t="array" aca="1" ref="T115" ca="1">IFERROR(IF(OR('Raw Data'!T115="",LEN(TRIM('Raw Data'!T115))=0),"",IF(AND(ISNUMBER('Raw Data'!T115), IFERROR('Raw Data'!T115 = ROUND('Raw Data'!T115, 2),FALSE)),"",_xlfn.REGEXEXTRACT(CELL("address",T115), "\$([A-Z]+)\$[0-9]+"))),_xlfn.REGEXEXTRACT(CELL("address",T115), "\$([A-Z]+)\$[0-9]+"))</f>
        <v/>
      </c>
      <c r="U115" s="7" t="str" cm="1">
        <f t="array" aca="1" ref="U115" ca="1">IFERROR(IF(OR('Raw Data'!U115="",LEN(TRIM('Raw Data'!U115))=0),"",IF(AND(LEN('Raw Data'!U115) &lt;= 5,LEN('Raw Data'!U115)&gt; 0),"",_xlfn.REGEXEXTRACT(CELL("address",'Raw Data'!U115),"\$([A-Z]+)\$[0-9]+"))),_xlfn.REGEXEXTRACT(CELL("address",'Raw Data'!U115),"\$([A-Z]+)\$[0-9]+"))</f>
        <v/>
      </c>
      <c r="V115" s="7" t="str" cm="1">
        <f t="array" aca="1" ref="V115" ca="1">IFERROR(IF(OR('Raw Data'!V115="",LEN(TRIM('Raw Data'!V115))=0),"",IF(AND(ISNUMBER('Raw Data'!V115), IFERROR('Raw Data'!V115 = ROUND('Raw Data'!V115, 2),FALSE)),"",_xlfn.REGEXEXTRACT(CELL("address",V115), "\$([A-Z]+)\$[0-9]+"))),_xlfn.REGEXEXTRACT(CELL("address",V115), "\$([A-Z]+)\$[0-9]+"))</f>
        <v/>
      </c>
      <c r="W115" s="7" t="str" cm="1">
        <f t="array" aca="1" ref="W115" ca="1">IFERROR(IF(OR('Raw Data'!W115="",LEN(TRIM('Raw Data'!W115))=0),"",IF(AND(ISNUMBER('Raw Data'!W115), IFERROR('Raw Data'!W115 = ROUND('Raw Data'!W115, 2),FALSE)),"",_xlfn.REGEXEXTRACT(CELL("address",W115), "\$([A-Z]+)\$[0-9]+"))),_xlfn.REGEXEXTRACT(CELL("address",W115), "\$([A-Z]+)\$[0-9]+"))</f>
        <v/>
      </c>
      <c r="X115" s="7" t="str" cm="1">
        <f t="array" aca="1" ref="X115" ca="1">IFERROR(IF(OR('Raw Data'!X115="",LEN(TRIM('Raw Data'!X115))=0),"",IF(AND(ISNUMBER('Raw Data'!X115), IFERROR('Raw Data'!X115 = ROUND('Raw Data'!X115, 2),FALSE)),"",_xlfn.REGEXEXTRACT(CELL("address",X115), "\$([A-Z]+)\$[0-9]+"))),_xlfn.REGEXEXTRACT(CELL("address",X115), "\$([A-Z]+)\$[0-9]+"))</f>
        <v/>
      </c>
    </row>
    <row r="116" spans="2:24" x14ac:dyDescent="0.25">
      <c r="B116" s="7" t="str" cm="1">
        <f t="array" aca="1" ref="B116" ca="1">IFERROR(IF(OR('Raw Data'!B116="",LEN(TRIM('Raw Data'!B116))=0),"",IF(AND(LEN('Raw Data'!B116) &lt;= 50,LEN('Raw Data'!B116)&gt; 0),"",_xlfn.REGEXEXTRACT(CELL("address",'Raw Data'!B116),"\$([A-Z]+)\$[0-9]+"))),_xlfn.REGEXEXTRACT(CELL("address",'Raw Data'!B116),"\$([A-Z]+)\$[0-9]+"))</f>
        <v/>
      </c>
      <c r="C116" s="7" t="str" cm="1">
        <f t="array" aca="1" ref="C116" ca="1">IFERROR(IF(OR('Raw Data'!C116="",LEN(TRIM('Raw Data'!C116))=0),"",IF(AND(LEN('Raw Data'!C116) &lt;= 50,LEN('Raw Data'!C116)&gt; 0),"",_xlfn.REGEXEXTRACT(CELL("address",'Raw Data'!C116),"\$([A-Z]+)\$[0-9]+"))),_xlfn.REGEXEXTRACT(CELL("address",'Raw Data'!C116),"\$([A-Z]+)\$[0-9]+"))</f>
        <v/>
      </c>
      <c r="D116" s="7" t="str" cm="1">
        <f t="array" aca="1" ref="D116" ca="1">IFERROR(IF(OR('Raw Data'!D116="",LEN(TRIM('Raw Data'!D116))=0),"",IF(AND(LEN('Raw Data'!D116) &lt;= 255,LEN('Raw Data'!D116)&gt; 0),"",_xlfn.REGEXEXTRACT(CELL("address",'Raw Data'!D116),"\$([A-Z]+)\$[0-9]+"))),_xlfn.REGEXEXTRACT(CELL("address",'Raw Data'!D116),"\$([A-Z]+)\$[0-9]+"))</f>
        <v/>
      </c>
      <c r="E116" s="7" t="str" cm="1">
        <f t="array" aca="1" ref="E116" ca="1">IFERROR(IF(OR('Raw Data'!E116="",LEN(TRIM('Raw Data'!E116))=0),"",IF(AND(ISNUMBER('Raw Data'!E116),'Raw Data'!E116&gt;=Configuration!$D$2),"",_xlfn.REGEXEXTRACT(CELL("address",'Raw Data'!E116),"\$([A-Z]+)\$[0-9]+"))),_xlfn.REGEXEXTRACT(CELL("address",E116), "\$([A-Z]+)\$[0-9]+"))</f>
        <v/>
      </c>
      <c r="F116" s="7" t="str" cm="1">
        <f t="array" aca="1" ref="F116" ca="1">IFERROR(IF(OR('Raw Data'!F116="",LEN(TRIM('Raw Data'!F116))=0),"",IF(AND(LEN('Raw Data'!F116) &lt;= 20,LEN('Raw Data'!F116)&gt; 0),"",_xlfn.REGEXEXTRACT(CELL("address",'Raw Data'!F116),"\$([A-Z]+)\$[0-9]+"))),_xlfn.REGEXEXTRACT(CELL("address",'Raw Data'!F116),"\$([A-Z]+)\$[0-9]+"))</f>
        <v/>
      </c>
      <c r="G116" s="7" t="str" cm="1">
        <f t="array" aca="1" ref="G116" ca="1">IFERROR(IF(OR('Raw Data'!G116="",LEN(TRIM('Raw Data'!G116))=0),"",IF(AND(ISNUMBER('Raw Data'!G116), IFERROR('Raw Data'!G116 = ROUND('Raw Data'!G116, 2),FALSE)),"",_xlfn.REGEXEXTRACT(CELL("address",G116), "\$([A-Z]+)\$[0-9]+"))),_xlfn.REGEXEXTRACT(CELL("address",G116), "\$([A-Z]+)\$[0-9]+"))</f>
        <v/>
      </c>
      <c r="H116" s="7" t="str" cm="1">
        <f t="array" aca="1" ref="H116" ca="1">IFERROR(IF(OR('Raw Data'!H116="",LEN(TRIM('Raw Data'!H116))=0),"",IF(AND(ISNUMBER('Raw Data'!H116), IFERROR('Raw Data'!H116 = ROUND('Raw Data'!H116, 2),FALSE)),"",_xlfn.REGEXEXTRACT(CELL("address",H116), "\$([A-Z]+)\$[0-9]+"))),_xlfn.REGEXEXTRACT(CELL("address",H116), "\$([A-Z]+)\$[0-9]+"))</f>
        <v/>
      </c>
      <c r="I116" s="7" t="str" cm="1">
        <f t="array" aca="1" ref="I116" ca="1">IFERROR(IF(OR('Raw Data'!I116="",LEN(TRIM('Raw Data'!I116))=0),"",IF(AND(LEN('Raw Data'!I116) &lt;= 50,LEN('Raw Data'!I116)&gt; 0),"",_xlfn.REGEXEXTRACT(CELL("address",'Raw Data'!I116),"\$([A-Z]+)\$[0-9]+"))),_xlfn.REGEXEXTRACT(CELL("address",'Raw Data'!I116),"\$([A-Z]+)\$[0-9]+"))</f>
        <v/>
      </c>
      <c r="J116" s="7" t="str" cm="1">
        <f t="array" aca="1" ref="J116" ca="1">IFERROR(IF(OR('Raw Data'!J116="",LEN(TRIM('Raw Data'!J116))=0),"",IF(AND(ISNUMBER('Raw Data'!J116),'Raw Data'!J116&gt;=Configuration!$D$2),"",_xlfn.REGEXEXTRACT(CELL("address",'Raw Data'!J116),"\$([A-Z]+)\$[0-9]+"))),_xlfn.REGEXEXTRACT(CELL("address",J116), "\$([A-Z]+)\$[0-9]+"))</f>
        <v/>
      </c>
      <c r="K116" s="7" t="str" cm="1">
        <f t="array" aca="1" ref="K116" ca="1">IFERROR(IF(OR('Raw Data'!K116="",LEN(TRIM('Raw Data'!K116))=0),"",IF(AND(ISNUMBER('Raw Data'!K116), IFERROR('Raw Data'!K116 = ROUND('Raw Data'!K116, 2),FALSE)),"",_xlfn.REGEXEXTRACT(CELL("address",K116), "\$([A-Z]+)\$[0-9]+"))),_xlfn.REGEXEXTRACT(CELL("address",K116), "\$([A-Z]+)\$[0-9]+"))</f>
        <v/>
      </c>
      <c r="L116" s="7" t="str" cm="1">
        <f t="array" aca="1" ref="L116" ca="1">IFERROR(IF(OR('Raw Data'!L116="",LEN(TRIM('Raw Data'!L116))=0),"",IF(AND(ISNUMBER('Raw Data'!L116), IFERROR('Raw Data'!L116 = ROUND('Raw Data'!L116, 2),FALSE)),"",_xlfn.REGEXEXTRACT(CELL("address",L116), "\$([A-Z]+)\$[0-9]+"))),_xlfn.REGEXEXTRACT(CELL("address",L116), "\$([A-Z]+)\$[0-9]+"))</f>
        <v/>
      </c>
      <c r="M116" s="7" t="str" cm="1">
        <f t="array" aca="1" ref="M116" ca="1">IFERROR(IF(OR('Raw Data'!M116="",LEN(TRIM('Raw Data'!M116))=0),"",IF(AND(ISNUMBER('Raw Data'!M116), IFERROR('Raw Data'!M116 = ROUND('Raw Data'!M116, 2),FALSE)),"",_xlfn.REGEXEXTRACT(CELL("address",M116), "\$([A-Z]+)\$[0-9]+"))),_xlfn.REGEXEXTRACT(CELL("address",M116), "\$([A-Z]+)\$[0-9]+"))</f>
        <v/>
      </c>
      <c r="N116" s="7" t="str" cm="1">
        <f t="array" aca="1" ref="N116" ca="1">IFERROR(IF(OR('Raw Data'!N116="",LEN(TRIM('Raw Data'!N116))=0),"",IF(AND(ISNUMBER('Raw Data'!N116), IFERROR('Raw Data'!N116 = ROUND('Raw Data'!N116, 2),FALSE)),"",_xlfn.REGEXEXTRACT(CELL("address",N116), "\$([A-Z]+)\$[0-9]+"))),_xlfn.REGEXEXTRACT(CELL("address",N116), "\$([A-Z]+)\$[0-9]+"))</f>
        <v/>
      </c>
      <c r="O116" s="7" t="str" cm="1">
        <f t="array" aca="1" ref="O116" ca="1">IFERROR(IF(OR('Raw Data'!O116="",LEN(TRIM('Raw Data'!O116))=0),"",IF(AND(ISNUMBER('Raw Data'!O116), IFERROR('Raw Data'!O116 = ROUND('Raw Data'!O116, 2),FALSE)),"",_xlfn.REGEXEXTRACT(CELL("address",O116), "\$([A-Z]+)\$[0-9]+"))),_xlfn.REGEXEXTRACT(CELL("address",O116), "\$([A-Z]+)\$[0-9]+"))</f>
        <v/>
      </c>
      <c r="P116" s="7" t="str" cm="1">
        <f t="array" aca="1" ref="P116" ca="1">IFERROR(IF(OR('Raw Data'!P116="",LEN(TRIM('Raw Data'!P116))=0),"",IF(AND(ISNUMBER('Raw Data'!P116),'Raw Data'!P116&gt;=Configuration!$D$2),"",_xlfn.REGEXEXTRACT(CELL("address",'Raw Data'!P116),"\$([A-Z]+)\$[0-9]+"))),_xlfn.REGEXEXTRACT(CELL("address",P116), "\$([A-Z]+)\$[0-9]+"))</f>
        <v/>
      </c>
      <c r="Q116" s="7" t="str" cm="1">
        <f t="array" aca="1" ref="Q116" ca="1">IFERROR(IF(OR('Raw Data'!Q116="",LEN(TRIM('Raw Data'!Q116))=0),"",IF(AND(ISNUMBER('Raw Data'!Q116),'Raw Data'!Q116&gt;=Configuration!$D$2),"",_xlfn.REGEXEXTRACT(CELL("address",'Raw Data'!Q116),"\$([A-Z]+)\$[0-9]+"))),_xlfn.REGEXEXTRACT(CELL("address",Q116), "\$([A-Z]+)\$[0-9]+"))</f>
        <v/>
      </c>
      <c r="R116" s="7" t="str" cm="1">
        <f t="array" aca="1" ref="R116" ca="1">IFERROR(IF(OR('Raw Data'!R116="",LEN(TRIM('Raw Data'!R116))=0),"",IF(AND(ISNUMBER('Raw Data'!R116), IFERROR('Raw Data'!R116 = ROUND('Raw Data'!R116, 2),FALSE)),"",_xlfn.REGEXEXTRACT(CELL("address",R116), "\$([A-Z]+)\$[0-9]+"))),_xlfn.REGEXEXTRACT(CELL("address",R116), "\$([A-Z]+)\$[0-9]+"))</f>
        <v/>
      </c>
      <c r="S116" s="7" t="str" cm="1">
        <f t="array" aca="1" ref="S116" ca="1">IFERROR(IF(OR('Raw Data'!S116="",LEN(TRIM('Raw Data'!S116))=0),"",IF(AND(ISNUMBER('Raw Data'!S116), IFERROR('Raw Data'!S116 = ROUND('Raw Data'!S116, 2),FALSE)),"",_xlfn.REGEXEXTRACT(CELL("address",S116), "\$([A-Z]+)\$[0-9]+"))),_xlfn.REGEXEXTRACT(CELL("address",S116), "\$([A-Z]+)\$[0-9]+"))</f>
        <v/>
      </c>
      <c r="T116" s="7" t="str" cm="1">
        <f t="array" aca="1" ref="T116" ca="1">IFERROR(IF(OR('Raw Data'!T116="",LEN(TRIM('Raw Data'!T116))=0),"",IF(AND(ISNUMBER('Raw Data'!T116), IFERROR('Raw Data'!T116 = ROUND('Raw Data'!T116, 2),FALSE)),"",_xlfn.REGEXEXTRACT(CELL("address",T116), "\$([A-Z]+)\$[0-9]+"))),_xlfn.REGEXEXTRACT(CELL("address",T116), "\$([A-Z]+)\$[0-9]+"))</f>
        <v/>
      </c>
      <c r="U116" s="7" t="str" cm="1">
        <f t="array" aca="1" ref="U116" ca="1">IFERROR(IF(OR('Raw Data'!U116="",LEN(TRIM('Raw Data'!U116))=0),"",IF(AND(LEN('Raw Data'!U116) &lt;= 5,LEN('Raw Data'!U116)&gt; 0),"",_xlfn.REGEXEXTRACT(CELL("address",'Raw Data'!U116),"\$([A-Z]+)\$[0-9]+"))),_xlfn.REGEXEXTRACT(CELL("address",'Raw Data'!U116),"\$([A-Z]+)\$[0-9]+"))</f>
        <v/>
      </c>
      <c r="V116" s="7" t="str" cm="1">
        <f t="array" aca="1" ref="V116" ca="1">IFERROR(IF(OR('Raw Data'!V116="",LEN(TRIM('Raw Data'!V116))=0),"",IF(AND(ISNUMBER('Raw Data'!V116), IFERROR('Raw Data'!V116 = ROUND('Raw Data'!V116, 2),FALSE)),"",_xlfn.REGEXEXTRACT(CELL("address",V116), "\$([A-Z]+)\$[0-9]+"))),_xlfn.REGEXEXTRACT(CELL("address",V116), "\$([A-Z]+)\$[0-9]+"))</f>
        <v/>
      </c>
      <c r="W116" s="7" t="str" cm="1">
        <f t="array" aca="1" ref="W116" ca="1">IFERROR(IF(OR('Raw Data'!W116="",LEN(TRIM('Raw Data'!W116))=0),"",IF(AND(ISNUMBER('Raw Data'!W116), IFERROR('Raw Data'!W116 = ROUND('Raw Data'!W116, 2),FALSE)),"",_xlfn.REGEXEXTRACT(CELL("address",W116), "\$([A-Z]+)\$[0-9]+"))),_xlfn.REGEXEXTRACT(CELL("address",W116), "\$([A-Z]+)\$[0-9]+"))</f>
        <v/>
      </c>
      <c r="X116" s="7" t="str" cm="1">
        <f t="array" aca="1" ref="X116" ca="1">IFERROR(IF(OR('Raw Data'!X116="",LEN(TRIM('Raw Data'!X116))=0),"",IF(AND(ISNUMBER('Raw Data'!X116), IFERROR('Raw Data'!X116 = ROUND('Raw Data'!X116, 2),FALSE)),"",_xlfn.REGEXEXTRACT(CELL("address",X116), "\$([A-Z]+)\$[0-9]+"))),_xlfn.REGEXEXTRACT(CELL("address",X116), "\$([A-Z]+)\$[0-9]+"))</f>
        <v/>
      </c>
    </row>
    <row r="117" spans="2:24" x14ac:dyDescent="0.25">
      <c r="B117" s="7" t="str" cm="1">
        <f t="array" aca="1" ref="B117" ca="1">IFERROR(IF(OR('Raw Data'!B117="",LEN(TRIM('Raw Data'!B117))=0),"",IF(AND(LEN('Raw Data'!B117) &lt;= 50,LEN('Raw Data'!B117)&gt; 0),"",_xlfn.REGEXEXTRACT(CELL("address",'Raw Data'!B117),"\$([A-Z]+)\$[0-9]+"))),_xlfn.REGEXEXTRACT(CELL("address",'Raw Data'!B117),"\$([A-Z]+)\$[0-9]+"))</f>
        <v/>
      </c>
      <c r="C117" s="7" t="str" cm="1">
        <f t="array" aca="1" ref="C117" ca="1">IFERROR(IF(OR('Raw Data'!C117="",LEN(TRIM('Raw Data'!C117))=0),"",IF(AND(LEN('Raw Data'!C117) &lt;= 50,LEN('Raw Data'!C117)&gt; 0),"",_xlfn.REGEXEXTRACT(CELL("address",'Raw Data'!C117),"\$([A-Z]+)\$[0-9]+"))),_xlfn.REGEXEXTRACT(CELL("address",'Raw Data'!C117),"\$([A-Z]+)\$[0-9]+"))</f>
        <v/>
      </c>
      <c r="D117" s="7" t="str" cm="1">
        <f t="array" aca="1" ref="D117" ca="1">IFERROR(IF(OR('Raw Data'!D117="",LEN(TRIM('Raw Data'!D117))=0),"",IF(AND(LEN('Raw Data'!D117) &lt;= 255,LEN('Raw Data'!D117)&gt; 0),"",_xlfn.REGEXEXTRACT(CELL("address",'Raw Data'!D117),"\$([A-Z]+)\$[0-9]+"))),_xlfn.REGEXEXTRACT(CELL("address",'Raw Data'!D117),"\$([A-Z]+)\$[0-9]+"))</f>
        <v/>
      </c>
      <c r="E117" s="7" t="str" cm="1">
        <f t="array" aca="1" ref="E117" ca="1">IFERROR(IF(OR('Raw Data'!E117="",LEN(TRIM('Raw Data'!E117))=0),"",IF(AND(ISNUMBER('Raw Data'!E117),'Raw Data'!E117&gt;=Configuration!$D$2),"",_xlfn.REGEXEXTRACT(CELL("address",'Raw Data'!E117),"\$([A-Z]+)\$[0-9]+"))),_xlfn.REGEXEXTRACT(CELL("address",E117), "\$([A-Z]+)\$[0-9]+"))</f>
        <v/>
      </c>
      <c r="F117" s="7" t="str" cm="1">
        <f t="array" aca="1" ref="F117" ca="1">IFERROR(IF(OR('Raw Data'!F117="",LEN(TRIM('Raw Data'!F117))=0),"",IF(AND(LEN('Raw Data'!F117) &lt;= 20,LEN('Raw Data'!F117)&gt; 0),"",_xlfn.REGEXEXTRACT(CELL("address",'Raw Data'!F117),"\$([A-Z]+)\$[0-9]+"))),_xlfn.REGEXEXTRACT(CELL("address",'Raw Data'!F117),"\$([A-Z]+)\$[0-9]+"))</f>
        <v/>
      </c>
      <c r="G117" s="7" t="str" cm="1">
        <f t="array" aca="1" ref="G117" ca="1">IFERROR(IF(OR('Raw Data'!G117="",LEN(TRIM('Raw Data'!G117))=0),"",IF(AND(ISNUMBER('Raw Data'!G117), IFERROR('Raw Data'!G117 = ROUND('Raw Data'!G117, 2),FALSE)),"",_xlfn.REGEXEXTRACT(CELL("address",G117), "\$([A-Z]+)\$[0-9]+"))),_xlfn.REGEXEXTRACT(CELL("address",G117), "\$([A-Z]+)\$[0-9]+"))</f>
        <v/>
      </c>
      <c r="H117" s="7" t="str" cm="1">
        <f t="array" aca="1" ref="H117" ca="1">IFERROR(IF(OR('Raw Data'!H117="",LEN(TRIM('Raw Data'!H117))=0),"",IF(AND(ISNUMBER('Raw Data'!H117), IFERROR('Raw Data'!H117 = ROUND('Raw Data'!H117, 2),FALSE)),"",_xlfn.REGEXEXTRACT(CELL("address",H117), "\$([A-Z]+)\$[0-9]+"))),_xlfn.REGEXEXTRACT(CELL("address",H117), "\$([A-Z]+)\$[0-9]+"))</f>
        <v/>
      </c>
      <c r="I117" s="7" t="str" cm="1">
        <f t="array" aca="1" ref="I117" ca="1">IFERROR(IF(OR('Raw Data'!I117="",LEN(TRIM('Raw Data'!I117))=0),"",IF(AND(LEN('Raw Data'!I117) &lt;= 50,LEN('Raw Data'!I117)&gt; 0),"",_xlfn.REGEXEXTRACT(CELL("address",'Raw Data'!I117),"\$([A-Z]+)\$[0-9]+"))),_xlfn.REGEXEXTRACT(CELL("address",'Raw Data'!I117),"\$([A-Z]+)\$[0-9]+"))</f>
        <v/>
      </c>
      <c r="J117" s="7" t="str" cm="1">
        <f t="array" aca="1" ref="J117" ca="1">IFERROR(IF(OR('Raw Data'!J117="",LEN(TRIM('Raw Data'!J117))=0),"",IF(AND(ISNUMBER('Raw Data'!J117),'Raw Data'!J117&gt;=Configuration!$D$2),"",_xlfn.REGEXEXTRACT(CELL("address",'Raw Data'!J117),"\$([A-Z]+)\$[0-9]+"))),_xlfn.REGEXEXTRACT(CELL("address",J117), "\$([A-Z]+)\$[0-9]+"))</f>
        <v/>
      </c>
      <c r="K117" s="7" t="str" cm="1">
        <f t="array" aca="1" ref="K117" ca="1">IFERROR(IF(OR('Raw Data'!K117="",LEN(TRIM('Raw Data'!K117))=0),"",IF(AND(ISNUMBER('Raw Data'!K117), IFERROR('Raw Data'!K117 = ROUND('Raw Data'!K117, 2),FALSE)),"",_xlfn.REGEXEXTRACT(CELL("address",K117), "\$([A-Z]+)\$[0-9]+"))),_xlfn.REGEXEXTRACT(CELL("address",K117), "\$([A-Z]+)\$[0-9]+"))</f>
        <v/>
      </c>
      <c r="L117" s="7" t="str" cm="1">
        <f t="array" aca="1" ref="L117" ca="1">IFERROR(IF(OR('Raw Data'!L117="",LEN(TRIM('Raw Data'!L117))=0),"",IF(AND(ISNUMBER('Raw Data'!L117), IFERROR('Raw Data'!L117 = ROUND('Raw Data'!L117, 2),FALSE)),"",_xlfn.REGEXEXTRACT(CELL("address",L117), "\$([A-Z]+)\$[0-9]+"))),_xlfn.REGEXEXTRACT(CELL("address",L117), "\$([A-Z]+)\$[0-9]+"))</f>
        <v/>
      </c>
      <c r="M117" s="7" t="str" cm="1">
        <f t="array" aca="1" ref="M117" ca="1">IFERROR(IF(OR('Raw Data'!M117="",LEN(TRIM('Raw Data'!M117))=0),"",IF(AND(ISNUMBER('Raw Data'!M117), IFERROR('Raw Data'!M117 = ROUND('Raw Data'!M117, 2),FALSE)),"",_xlfn.REGEXEXTRACT(CELL("address",M117), "\$([A-Z]+)\$[0-9]+"))),_xlfn.REGEXEXTRACT(CELL("address",M117), "\$([A-Z]+)\$[0-9]+"))</f>
        <v/>
      </c>
      <c r="N117" s="7" t="str" cm="1">
        <f t="array" aca="1" ref="N117" ca="1">IFERROR(IF(OR('Raw Data'!N117="",LEN(TRIM('Raw Data'!N117))=0),"",IF(AND(ISNUMBER('Raw Data'!N117), IFERROR('Raw Data'!N117 = ROUND('Raw Data'!N117, 2),FALSE)),"",_xlfn.REGEXEXTRACT(CELL("address",N117), "\$([A-Z]+)\$[0-9]+"))),_xlfn.REGEXEXTRACT(CELL("address",N117), "\$([A-Z]+)\$[0-9]+"))</f>
        <v/>
      </c>
      <c r="O117" s="7" t="str" cm="1">
        <f t="array" aca="1" ref="O117" ca="1">IFERROR(IF(OR('Raw Data'!O117="",LEN(TRIM('Raw Data'!O117))=0),"",IF(AND(ISNUMBER('Raw Data'!O117), IFERROR('Raw Data'!O117 = ROUND('Raw Data'!O117, 2),FALSE)),"",_xlfn.REGEXEXTRACT(CELL("address",O117), "\$([A-Z]+)\$[0-9]+"))),_xlfn.REGEXEXTRACT(CELL("address",O117), "\$([A-Z]+)\$[0-9]+"))</f>
        <v/>
      </c>
      <c r="P117" s="7" t="str" cm="1">
        <f t="array" aca="1" ref="P117" ca="1">IFERROR(IF(OR('Raw Data'!P117="",LEN(TRIM('Raw Data'!P117))=0),"",IF(AND(ISNUMBER('Raw Data'!P117),'Raw Data'!P117&gt;=Configuration!$D$2),"",_xlfn.REGEXEXTRACT(CELL("address",'Raw Data'!P117),"\$([A-Z]+)\$[0-9]+"))),_xlfn.REGEXEXTRACT(CELL("address",P117), "\$([A-Z]+)\$[0-9]+"))</f>
        <v/>
      </c>
      <c r="Q117" s="7" t="str" cm="1">
        <f t="array" aca="1" ref="Q117" ca="1">IFERROR(IF(OR('Raw Data'!Q117="",LEN(TRIM('Raw Data'!Q117))=0),"",IF(AND(ISNUMBER('Raw Data'!Q117),'Raw Data'!Q117&gt;=Configuration!$D$2),"",_xlfn.REGEXEXTRACT(CELL("address",'Raw Data'!Q117),"\$([A-Z]+)\$[0-9]+"))),_xlfn.REGEXEXTRACT(CELL("address",Q117), "\$([A-Z]+)\$[0-9]+"))</f>
        <v/>
      </c>
      <c r="R117" s="7" t="str" cm="1">
        <f t="array" aca="1" ref="R117" ca="1">IFERROR(IF(OR('Raw Data'!R117="",LEN(TRIM('Raw Data'!R117))=0),"",IF(AND(ISNUMBER('Raw Data'!R117), IFERROR('Raw Data'!R117 = ROUND('Raw Data'!R117, 2),FALSE)),"",_xlfn.REGEXEXTRACT(CELL("address",R117), "\$([A-Z]+)\$[0-9]+"))),_xlfn.REGEXEXTRACT(CELL("address",R117), "\$([A-Z]+)\$[0-9]+"))</f>
        <v/>
      </c>
      <c r="S117" s="7" t="str" cm="1">
        <f t="array" aca="1" ref="S117" ca="1">IFERROR(IF(OR('Raw Data'!S117="",LEN(TRIM('Raw Data'!S117))=0),"",IF(AND(ISNUMBER('Raw Data'!S117), IFERROR('Raw Data'!S117 = ROUND('Raw Data'!S117, 2),FALSE)),"",_xlfn.REGEXEXTRACT(CELL("address",S117), "\$([A-Z]+)\$[0-9]+"))),_xlfn.REGEXEXTRACT(CELL("address",S117), "\$([A-Z]+)\$[0-9]+"))</f>
        <v/>
      </c>
      <c r="T117" s="7" t="str" cm="1">
        <f t="array" aca="1" ref="T117" ca="1">IFERROR(IF(OR('Raw Data'!T117="",LEN(TRIM('Raw Data'!T117))=0),"",IF(AND(ISNUMBER('Raw Data'!T117), IFERROR('Raw Data'!T117 = ROUND('Raw Data'!T117, 2),FALSE)),"",_xlfn.REGEXEXTRACT(CELL("address",T117), "\$([A-Z]+)\$[0-9]+"))),_xlfn.REGEXEXTRACT(CELL("address",T117), "\$([A-Z]+)\$[0-9]+"))</f>
        <v/>
      </c>
      <c r="U117" s="7" t="str" cm="1">
        <f t="array" aca="1" ref="U117" ca="1">IFERROR(IF(OR('Raw Data'!U117="",LEN(TRIM('Raw Data'!U117))=0),"",IF(AND(LEN('Raw Data'!U117) &lt;= 5,LEN('Raw Data'!U117)&gt; 0),"",_xlfn.REGEXEXTRACT(CELL("address",'Raw Data'!U117),"\$([A-Z]+)\$[0-9]+"))),_xlfn.REGEXEXTRACT(CELL("address",'Raw Data'!U117),"\$([A-Z]+)\$[0-9]+"))</f>
        <v/>
      </c>
      <c r="V117" s="7" t="str" cm="1">
        <f t="array" aca="1" ref="V117" ca="1">IFERROR(IF(OR('Raw Data'!V117="",LEN(TRIM('Raw Data'!V117))=0),"",IF(AND(ISNUMBER('Raw Data'!V117), IFERROR('Raw Data'!V117 = ROUND('Raw Data'!V117, 2),FALSE)),"",_xlfn.REGEXEXTRACT(CELL("address",V117), "\$([A-Z]+)\$[0-9]+"))),_xlfn.REGEXEXTRACT(CELL("address",V117), "\$([A-Z]+)\$[0-9]+"))</f>
        <v/>
      </c>
      <c r="W117" s="7" t="str" cm="1">
        <f t="array" aca="1" ref="W117" ca="1">IFERROR(IF(OR('Raw Data'!W117="",LEN(TRIM('Raw Data'!W117))=0),"",IF(AND(ISNUMBER('Raw Data'!W117), IFERROR('Raw Data'!W117 = ROUND('Raw Data'!W117, 2),FALSE)),"",_xlfn.REGEXEXTRACT(CELL("address",W117), "\$([A-Z]+)\$[0-9]+"))),_xlfn.REGEXEXTRACT(CELL("address",W117), "\$([A-Z]+)\$[0-9]+"))</f>
        <v/>
      </c>
      <c r="X117" s="7" t="str" cm="1">
        <f t="array" aca="1" ref="X117" ca="1">IFERROR(IF(OR('Raw Data'!X117="",LEN(TRIM('Raw Data'!X117))=0),"",IF(AND(ISNUMBER('Raw Data'!X117), IFERROR('Raw Data'!X117 = ROUND('Raw Data'!X117, 2),FALSE)),"",_xlfn.REGEXEXTRACT(CELL("address",X117), "\$([A-Z]+)\$[0-9]+"))),_xlfn.REGEXEXTRACT(CELL("address",X117), "\$([A-Z]+)\$[0-9]+"))</f>
        <v/>
      </c>
    </row>
    <row r="118" spans="2:24" x14ac:dyDescent="0.25">
      <c r="B118" s="7" t="str" cm="1">
        <f t="array" aca="1" ref="B118" ca="1">IFERROR(IF(OR('Raw Data'!B118="",LEN(TRIM('Raw Data'!B118))=0),"",IF(AND(LEN('Raw Data'!B118) &lt;= 50,LEN('Raw Data'!B118)&gt; 0),"",_xlfn.REGEXEXTRACT(CELL("address",'Raw Data'!B118),"\$([A-Z]+)\$[0-9]+"))),_xlfn.REGEXEXTRACT(CELL("address",'Raw Data'!B118),"\$([A-Z]+)\$[0-9]+"))</f>
        <v/>
      </c>
      <c r="C118" s="7" t="str" cm="1">
        <f t="array" aca="1" ref="C118" ca="1">IFERROR(IF(OR('Raw Data'!C118="",LEN(TRIM('Raw Data'!C118))=0),"",IF(AND(LEN('Raw Data'!C118) &lt;= 50,LEN('Raw Data'!C118)&gt; 0),"",_xlfn.REGEXEXTRACT(CELL("address",'Raw Data'!C118),"\$([A-Z]+)\$[0-9]+"))),_xlfn.REGEXEXTRACT(CELL("address",'Raw Data'!C118),"\$([A-Z]+)\$[0-9]+"))</f>
        <v/>
      </c>
      <c r="D118" s="7" t="str" cm="1">
        <f t="array" aca="1" ref="D118" ca="1">IFERROR(IF(OR('Raw Data'!D118="",LEN(TRIM('Raw Data'!D118))=0),"",IF(AND(LEN('Raw Data'!D118) &lt;= 255,LEN('Raw Data'!D118)&gt; 0),"",_xlfn.REGEXEXTRACT(CELL("address",'Raw Data'!D118),"\$([A-Z]+)\$[0-9]+"))),_xlfn.REGEXEXTRACT(CELL("address",'Raw Data'!D118),"\$([A-Z]+)\$[0-9]+"))</f>
        <v/>
      </c>
      <c r="E118" s="7" t="str" cm="1">
        <f t="array" aca="1" ref="E118" ca="1">IFERROR(IF(OR('Raw Data'!E118="",LEN(TRIM('Raw Data'!E118))=0),"",IF(AND(ISNUMBER('Raw Data'!E118),'Raw Data'!E118&gt;=Configuration!$D$2),"",_xlfn.REGEXEXTRACT(CELL("address",'Raw Data'!E118),"\$([A-Z]+)\$[0-9]+"))),_xlfn.REGEXEXTRACT(CELL("address",E118), "\$([A-Z]+)\$[0-9]+"))</f>
        <v/>
      </c>
      <c r="F118" s="7" t="str" cm="1">
        <f t="array" aca="1" ref="F118" ca="1">IFERROR(IF(OR('Raw Data'!F118="",LEN(TRIM('Raw Data'!F118))=0),"",IF(AND(LEN('Raw Data'!F118) &lt;= 20,LEN('Raw Data'!F118)&gt; 0),"",_xlfn.REGEXEXTRACT(CELL("address",'Raw Data'!F118),"\$([A-Z]+)\$[0-9]+"))),_xlfn.REGEXEXTRACT(CELL("address",'Raw Data'!F118),"\$([A-Z]+)\$[0-9]+"))</f>
        <v/>
      </c>
      <c r="G118" s="7" t="str" cm="1">
        <f t="array" aca="1" ref="G118" ca="1">IFERROR(IF(OR('Raw Data'!G118="",LEN(TRIM('Raw Data'!G118))=0),"",IF(AND(ISNUMBER('Raw Data'!G118), IFERROR('Raw Data'!G118 = ROUND('Raw Data'!G118, 2),FALSE)),"",_xlfn.REGEXEXTRACT(CELL("address",G118), "\$([A-Z]+)\$[0-9]+"))),_xlfn.REGEXEXTRACT(CELL("address",G118), "\$([A-Z]+)\$[0-9]+"))</f>
        <v/>
      </c>
      <c r="H118" s="7" t="str" cm="1">
        <f t="array" aca="1" ref="H118" ca="1">IFERROR(IF(OR('Raw Data'!H118="",LEN(TRIM('Raw Data'!H118))=0),"",IF(AND(ISNUMBER('Raw Data'!H118), IFERROR('Raw Data'!H118 = ROUND('Raw Data'!H118, 2),FALSE)),"",_xlfn.REGEXEXTRACT(CELL("address",H118), "\$([A-Z]+)\$[0-9]+"))),_xlfn.REGEXEXTRACT(CELL("address",H118), "\$([A-Z]+)\$[0-9]+"))</f>
        <v/>
      </c>
      <c r="I118" s="7" t="str" cm="1">
        <f t="array" aca="1" ref="I118" ca="1">IFERROR(IF(OR('Raw Data'!I118="",LEN(TRIM('Raw Data'!I118))=0),"",IF(AND(LEN('Raw Data'!I118) &lt;= 50,LEN('Raw Data'!I118)&gt; 0),"",_xlfn.REGEXEXTRACT(CELL("address",'Raw Data'!I118),"\$([A-Z]+)\$[0-9]+"))),_xlfn.REGEXEXTRACT(CELL("address",'Raw Data'!I118),"\$([A-Z]+)\$[0-9]+"))</f>
        <v/>
      </c>
      <c r="J118" s="7" t="str" cm="1">
        <f t="array" aca="1" ref="J118" ca="1">IFERROR(IF(OR('Raw Data'!J118="",LEN(TRIM('Raw Data'!J118))=0),"",IF(AND(ISNUMBER('Raw Data'!J118),'Raw Data'!J118&gt;=Configuration!$D$2),"",_xlfn.REGEXEXTRACT(CELL("address",'Raw Data'!J118),"\$([A-Z]+)\$[0-9]+"))),_xlfn.REGEXEXTRACT(CELL("address",J118), "\$([A-Z]+)\$[0-9]+"))</f>
        <v/>
      </c>
      <c r="K118" s="7" t="str" cm="1">
        <f t="array" aca="1" ref="K118" ca="1">IFERROR(IF(OR('Raw Data'!K118="",LEN(TRIM('Raw Data'!K118))=0),"",IF(AND(ISNUMBER('Raw Data'!K118), IFERROR('Raw Data'!K118 = ROUND('Raw Data'!K118, 2),FALSE)),"",_xlfn.REGEXEXTRACT(CELL("address",K118), "\$([A-Z]+)\$[0-9]+"))),_xlfn.REGEXEXTRACT(CELL("address",K118), "\$([A-Z]+)\$[0-9]+"))</f>
        <v/>
      </c>
      <c r="L118" s="7" t="str" cm="1">
        <f t="array" aca="1" ref="L118" ca="1">IFERROR(IF(OR('Raw Data'!L118="",LEN(TRIM('Raw Data'!L118))=0),"",IF(AND(ISNUMBER('Raw Data'!L118), IFERROR('Raw Data'!L118 = ROUND('Raw Data'!L118, 2),FALSE)),"",_xlfn.REGEXEXTRACT(CELL("address",L118), "\$([A-Z]+)\$[0-9]+"))),_xlfn.REGEXEXTRACT(CELL("address",L118), "\$([A-Z]+)\$[0-9]+"))</f>
        <v/>
      </c>
      <c r="M118" s="7" t="str" cm="1">
        <f t="array" aca="1" ref="M118" ca="1">IFERROR(IF(OR('Raw Data'!M118="",LEN(TRIM('Raw Data'!M118))=0),"",IF(AND(ISNUMBER('Raw Data'!M118), IFERROR('Raw Data'!M118 = ROUND('Raw Data'!M118, 2),FALSE)),"",_xlfn.REGEXEXTRACT(CELL("address",M118), "\$([A-Z]+)\$[0-9]+"))),_xlfn.REGEXEXTRACT(CELL("address",M118), "\$([A-Z]+)\$[0-9]+"))</f>
        <v/>
      </c>
      <c r="N118" s="7" t="str" cm="1">
        <f t="array" aca="1" ref="N118" ca="1">IFERROR(IF(OR('Raw Data'!N118="",LEN(TRIM('Raw Data'!N118))=0),"",IF(AND(ISNUMBER('Raw Data'!N118), IFERROR('Raw Data'!N118 = ROUND('Raw Data'!N118, 2),FALSE)),"",_xlfn.REGEXEXTRACT(CELL("address",N118), "\$([A-Z]+)\$[0-9]+"))),_xlfn.REGEXEXTRACT(CELL("address",N118), "\$([A-Z]+)\$[0-9]+"))</f>
        <v/>
      </c>
      <c r="O118" s="7" t="str" cm="1">
        <f t="array" aca="1" ref="O118" ca="1">IFERROR(IF(OR('Raw Data'!O118="",LEN(TRIM('Raw Data'!O118))=0),"",IF(AND(ISNUMBER('Raw Data'!O118), IFERROR('Raw Data'!O118 = ROUND('Raw Data'!O118, 2),FALSE)),"",_xlfn.REGEXEXTRACT(CELL("address",O118), "\$([A-Z]+)\$[0-9]+"))),_xlfn.REGEXEXTRACT(CELL("address",O118), "\$([A-Z]+)\$[0-9]+"))</f>
        <v/>
      </c>
      <c r="P118" s="7" t="str" cm="1">
        <f t="array" aca="1" ref="P118" ca="1">IFERROR(IF(OR('Raw Data'!P118="",LEN(TRIM('Raw Data'!P118))=0),"",IF(AND(ISNUMBER('Raw Data'!P118),'Raw Data'!P118&gt;=Configuration!$D$2),"",_xlfn.REGEXEXTRACT(CELL("address",'Raw Data'!P118),"\$([A-Z]+)\$[0-9]+"))),_xlfn.REGEXEXTRACT(CELL("address",P118), "\$([A-Z]+)\$[0-9]+"))</f>
        <v/>
      </c>
      <c r="Q118" s="7" t="str" cm="1">
        <f t="array" aca="1" ref="Q118" ca="1">IFERROR(IF(OR('Raw Data'!Q118="",LEN(TRIM('Raw Data'!Q118))=0),"",IF(AND(ISNUMBER('Raw Data'!Q118),'Raw Data'!Q118&gt;=Configuration!$D$2),"",_xlfn.REGEXEXTRACT(CELL("address",'Raw Data'!Q118),"\$([A-Z]+)\$[0-9]+"))),_xlfn.REGEXEXTRACT(CELL("address",Q118), "\$([A-Z]+)\$[0-9]+"))</f>
        <v/>
      </c>
      <c r="R118" s="7" t="str" cm="1">
        <f t="array" aca="1" ref="R118" ca="1">IFERROR(IF(OR('Raw Data'!R118="",LEN(TRIM('Raw Data'!R118))=0),"",IF(AND(ISNUMBER('Raw Data'!R118), IFERROR('Raw Data'!R118 = ROUND('Raw Data'!R118, 2),FALSE)),"",_xlfn.REGEXEXTRACT(CELL("address",R118), "\$([A-Z]+)\$[0-9]+"))),_xlfn.REGEXEXTRACT(CELL("address",R118), "\$([A-Z]+)\$[0-9]+"))</f>
        <v/>
      </c>
      <c r="S118" s="7" t="str" cm="1">
        <f t="array" aca="1" ref="S118" ca="1">IFERROR(IF(OR('Raw Data'!S118="",LEN(TRIM('Raw Data'!S118))=0),"",IF(AND(ISNUMBER('Raw Data'!S118), IFERROR('Raw Data'!S118 = ROUND('Raw Data'!S118, 2),FALSE)),"",_xlfn.REGEXEXTRACT(CELL("address",S118), "\$([A-Z]+)\$[0-9]+"))),_xlfn.REGEXEXTRACT(CELL("address",S118), "\$([A-Z]+)\$[0-9]+"))</f>
        <v/>
      </c>
      <c r="T118" s="7" t="str" cm="1">
        <f t="array" aca="1" ref="T118" ca="1">IFERROR(IF(OR('Raw Data'!T118="",LEN(TRIM('Raw Data'!T118))=0),"",IF(AND(ISNUMBER('Raw Data'!T118), IFERROR('Raw Data'!T118 = ROUND('Raw Data'!T118, 2),FALSE)),"",_xlfn.REGEXEXTRACT(CELL("address",T118), "\$([A-Z]+)\$[0-9]+"))),_xlfn.REGEXEXTRACT(CELL("address",T118), "\$([A-Z]+)\$[0-9]+"))</f>
        <v/>
      </c>
      <c r="U118" s="7" t="str" cm="1">
        <f t="array" aca="1" ref="U118" ca="1">IFERROR(IF(OR('Raw Data'!U118="",LEN(TRIM('Raw Data'!U118))=0),"",IF(AND(LEN('Raw Data'!U118) &lt;= 5,LEN('Raw Data'!U118)&gt; 0),"",_xlfn.REGEXEXTRACT(CELL("address",'Raw Data'!U118),"\$([A-Z]+)\$[0-9]+"))),_xlfn.REGEXEXTRACT(CELL("address",'Raw Data'!U118),"\$([A-Z]+)\$[0-9]+"))</f>
        <v/>
      </c>
      <c r="V118" s="7" t="str" cm="1">
        <f t="array" aca="1" ref="V118" ca="1">IFERROR(IF(OR('Raw Data'!V118="",LEN(TRIM('Raw Data'!V118))=0),"",IF(AND(ISNUMBER('Raw Data'!V118), IFERROR('Raw Data'!V118 = ROUND('Raw Data'!V118, 2),FALSE)),"",_xlfn.REGEXEXTRACT(CELL("address",V118), "\$([A-Z]+)\$[0-9]+"))),_xlfn.REGEXEXTRACT(CELL("address",V118), "\$([A-Z]+)\$[0-9]+"))</f>
        <v/>
      </c>
      <c r="W118" s="7" t="str" cm="1">
        <f t="array" aca="1" ref="W118" ca="1">IFERROR(IF(OR('Raw Data'!W118="",LEN(TRIM('Raw Data'!W118))=0),"",IF(AND(ISNUMBER('Raw Data'!W118), IFERROR('Raw Data'!W118 = ROUND('Raw Data'!W118, 2),FALSE)),"",_xlfn.REGEXEXTRACT(CELL("address",W118), "\$([A-Z]+)\$[0-9]+"))),_xlfn.REGEXEXTRACT(CELL("address",W118), "\$([A-Z]+)\$[0-9]+"))</f>
        <v/>
      </c>
      <c r="X118" s="7" t="str" cm="1">
        <f t="array" aca="1" ref="X118" ca="1">IFERROR(IF(OR('Raw Data'!X118="",LEN(TRIM('Raw Data'!X118))=0),"",IF(AND(ISNUMBER('Raw Data'!X118), IFERROR('Raw Data'!X118 = ROUND('Raw Data'!X118, 2),FALSE)),"",_xlfn.REGEXEXTRACT(CELL("address",X118), "\$([A-Z]+)\$[0-9]+"))),_xlfn.REGEXEXTRACT(CELL("address",X118), "\$([A-Z]+)\$[0-9]+"))</f>
        <v/>
      </c>
    </row>
    <row r="119" spans="2:24" x14ac:dyDescent="0.25">
      <c r="B119" s="7" t="str" cm="1">
        <f t="array" aca="1" ref="B119" ca="1">IFERROR(IF(OR('Raw Data'!B119="",LEN(TRIM('Raw Data'!B119))=0),"",IF(AND(LEN('Raw Data'!B119) &lt;= 50,LEN('Raw Data'!B119)&gt; 0),"",_xlfn.REGEXEXTRACT(CELL("address",'Raw Data'!B119),"\$([A-Z]+)\$[0-9]+"))),_xlfn.REGEXEXTRACT(CELL("address",'Raw Data'!B119),"\$([A-Z]+)\$[0-9]+"))</f>
        <v/>
      </c>
      <c r="C119" s="7" t="str" cm="1">
        <f t="array" aca="1" ref="C119" ca="1">IFERROR(IF(OR('Raw Data'!C119="",LEN(TRIM('Raw Data'!C119))=0),"",IF(AND(LEN('Raw Data'!C119) &lt;= 50,LEN('Raw Data'!C119)&gt; 0),"",_xlfn.REGEXEXTRACT(CELL("address",'Raw Data'!C119),"\$([A-Z]+)\$[0-9]+"))),_xlfn.REGEXEXTRACT(CELL("address",'Raw Data'!C119),"\$([A-Z]+)\$[0-9]+"))</f>
        <v/>
      </c>
      <c r="D119" s="7" t="str" cm="1">
        <f t="array" aca="1" ref="D119" ca="1">IFERROR(IF(OR('Raw Data'!D119="",LEN(TRIM('Raw Data'!D119))=0),"",IF(AND(LEN('Raw Data'!D119) &lt;= 255,LEN('Raw Data'!D119)&gt; 0),"",_xlfn.REGEXEXTRACT(CELL("address",'Raw Data'!D119),"\$([A-Z]+)\$[0-9]+"))),_xlfn.REGEXEXTRACT(CELL("address",'Raw Data'!D119),"\$([A-Z]+)\$[0-9]+"))</f>
        <v/>
      </c>
      <c r="E119" s="7" t="str" cm="1">
        <f t="array" aca="1" ref="E119" ca="1">IFERROR(IF(OR('Raw Data'!E119="",LEN(TRIM('Raw Data'!E119))=0),"",IF(AND(ISNUMBER('Raw Data'!E119),'Raw Data'!E119&gt;=Configuration!$D$2),"",_xlfn.REGEXEXTRACT(CELL("address",'Raw Data'!E119),"\$([A-Z]+)\$[0-9]+"))),_xlfn.REGEXEXTRACT(CELL("address",E119), "\$([A-Z]+)\$[0-9]+"))</f>
        <v/>
      </c>
      <c r="F119" s="7" t="str" cm="1">
        <f t="array" aca="1" ref="F119" ca="1">IFERROR(IF(OR('Raw Data'!F119="",LEN(TRIM('Raw Data'!F119))=0),"",IF(AND(LEN('Raw Data'!F119) &lt;= 20,LEN('Raw Data'!F119)&gt; 0),"",_xlfn.REGEXEXTRACT(CELL("address",'Raw Data'!F119),"\$([A-Z]+)\$[0-9]+"))),_xlfn.REGEXEXTRACT(CELL("address",'Raw Data'!F119),"\$([A-Z]+)\$[0-9]+"))</f>
        <v/>
      </c>
      <c r="G119" s="7" t="str" cm="1">
        <f t="array" aca="1" ref="G119" ca="1">IFERROR(IF(OR('Raw Data'!G119="",LEN(TRIM('Raw Data'!G119))=0),"",IF(AND(ISNUMBER('Raw Data'!G119), IFERROR('Raw Data'!G119 = ROUND('Raw Data'!G119, 2),FALSE)),"",_xlfn.REGEXEXTRACT(CELL("address",G119), "\$([A-Z]+)\$[0-9]+"))),_xlfn.REGEXEXTRACT(CELL("address",G119), "\$([A-Z]+)\$[0-9]+"))</f>
        <v/>
      </c>
      <c r="H119" s="7" t="str" cm="1">
        <f t="array" aca="1" ref="H119" ca="1">IFERROR(IF(OR('Raw Data'!H119="",LEN(TRIM('Raw Data'!H119))=0),"",IF(AND(ISNUMBER('Raw Data'!H119), IFERROR('Raw Data'!H119 = ROUND('Raw Data'!H119, 2),FALSE)),"",_xlfn.REGEXEXTRACT(CELL("address",H119), "\$([A-Z]+)\$[0-9]+"))),_xlfn.REGEXEXTRACT(CELL("address",H119), "\$([A-Z]+)\$[0-9]+"))</f>
        <v/>
      </c>
      <c r="I119" s="7" t="str" cm="1">
        <f t="array" aca="1" ref="I119" ca="1">IFERROR(IF(OR('Raw Data'!I119="",LEN(TRIM('Raw Data'!I119))=0),"",IF(AND(LEN('Raw Data'!I119) &lt;= 50,LEN('Raw Data'!I119)&gt; 0),"",_xlfn.REGEXEXTRACT(CELL("address",'Raw Data'!I119),"\$([A-Z]+)\$[0-9]+"))),_xlfn.REGEXEXTRACT(CELL("address",'Raw Data'!I119),"\$([A-Z]+)\$[0-9]+"))</f>
        <v/>
      </c>
      <c r="J119" s="7" t="str" cm="1">
        <f t="array" aca="1" ref="J119" ca="1">IFERROR(IF(OR('Raw Data'!J119="",LEN(TRIM('Raw Data'!J119))=0),"",IF(AND(ISNUMBER('Raw Data'!J119),'Raw Data'!J119&gt;=Configuration!$D$2),"",_xlfn.REGEXEXTRACT(CELL("address",'Raw Data'!J119),"\$([A-Z]+)\$[0-9]+"))),_xlfn.REGEXEXTRACT(CELL("address",J119), "\$([A-Z]+)\$[0-9]+"))</f>
        <v/>
      </c>
      <c r="K119" s="7" t="str" cm="1">
        <f t="array" aca="1" ref="K119" ca="1">IFERROR(IF(OR('Raw Data'!K119="",LEN(TRIM('Raw Data'!K119))=0),"",IF(AND(ISNUMBER('Raw Data'!K119), IFERROR('Raw Data'!K119 = ROUND('Raw Data'!K119, 2),FALSE)),"",_xlfn.REGEXEXTRACT(CELL("address",K119), "\$([A-Z]+)\$[0-9]+"))),_xlfn.REGEXEXTRACT(CELL("address",K119), "\$([A-Z]+)\$[0-9]+"))</f>
        <v/>
      </c>
      <c r="L119" s="7" t="str" cm="1">
        <f t="array" aca="1" ref="L119" ca="1">IFERROR(IF(OR('Raw Data'!L119="",LEN(TRIM('Raw Data'!L119))=0),"",IF(AND(ISNUMBER('Raw Data'!L119), IFERROR('Raw Data'!L119 = ROUND('Raw Data'!L119, 2),FALSE)),"",_xlfn.REGEXEXTRACT(CELL("address",L119), "\$([A-Z]+)\$[0-9]+"))),_xlfn.REGEXEXTRACT(CELL("address",L119), "\$([A-Z]+)\$[0-9]+"))</f>
        <v/>
      </c>
      <c r="M119" s="7" t="str" cm="1">
        <f t="array" aca="1" ref="M119" ca="1">IFERROR(IF(OR('Raw Data'!M119="",LEN(TRIM('Raw Data'!M119))=0),"",IF(AND(ISNUMBER('Raw Data'!M119), IFERROR('Raw Data'!M119 = ROUND('Raw Data'!M119, 2),FALSE)),"",_xlfn.REGEXEXTRACT(CELL("address",M119), "\$([A-Z]+)\$[0-9]+"))),_xlfn.REGEXEXTRACT(CELL("address",M119), "\$([A-Z]+)\$[0-9]+"))</f>
        <v/>
      </c>
      <c r="N119" s="7" t="str" cm="1">
        <f t="array" aca="1" ref="N119" ca="1">IFERROR(IF(OR('Raw Data'!N119="",LEN(TRIM('Raw Data'!N119))=0),"",IF(AND(ISNUMBER('Raw Data'!N119), IFERROR('Raw Data'!N119 = ROUND('Raw Data'!N119, 2),FALSE)),"",_xlfn.REGEXEXTRACT(CELL("address",N119), "\$([A-Z]+)\$[0-9]+"))),_xlfn.REGEXEXTRACT(CELL("address",N119), "\$([A-Z]+)\$[0-9]+"))</f>
        <v/>
      </c>
      <c r="O119" s="7" t="str" cm="1">
        <f t="array" aca="1" ref="O119" ca="1">IFERROR(IF(OR('Raw Data'!O119="",LEN(TRIM('Raw Data'!O119))=0),"",IF(AND(ISNUMBER('Raw Data'!O119), IFERROR('Raw Data'!O119 = ROUND('Raw Data'!O119, 2),FALSE)),"",_xlfn.REGEXEXTRACT(CELL("address",O119), "\$([A-Z]+)\$[0-9]+"))),_xlfn.REGEXEXTRACT(CELL("address",O119), "\$([A-Z]+)\$[0-9]+"))</f>
        <v/>
      </c>
      <c r="P119" s="7" t="str" cm="1">
        <f t="array" aca="1" ref="P119" ca="1">IFERROR(IF(OR('Raw Data'!P119="",LEN(TRIM('Raw Data'!P119))=0),"",IF(AND(ISNUMBER('Raw Data'!P119),'Raw Data'!P119&gt;=Configuration!$D$2),"",_xlfn.REGEXEXTRACT(CELL("address",'Raw Data'!P119),"\$([A-Z]+)\$[0-9]+"))),_xlfn.REGEXEXTRACT(CELL("address",P119), "\$([A-Z]+)\$[0-9]+"))</f>
        <v/>
      </c>
      <c r="Q119" s="7" t="str" cm="1">
        <f t="array" aca="1" ref="Q119" ca="1">IFERROR(IF(OR('Raw Data'!Q119="",LEN(TRIM('Raw Data'!Q119))=0),"",IF(AND(ISNUMBER('Raw Data'!Q119),'Raw Data'!Q119&gt;=Configuration!$D$2),"",_xlfn.REGEXEXTRACT(CELL("address",'Raw Data'!Q119),"\$([A-Z]+)\$[0-9]+"))),_xlfn.REGEXEXTRACT(CELL("address",Q119), "\$([A-Z]+)\$[0-9]+"))</f>
        <v/>
      </c>
      <c r="R119" s="7" t="str" cm="1">
        <f t="array" aca="1" ref="R119" ca="1">IFERROR(IF(OR('Raw Data'!R119="",LEN(TRIM('Raw Data'!R119))=0),"",IF(AND(ISNUMBER('Raw Data'!R119), IFERROR('Raw Data'!R119 = ROUND('Raw Data'!R119, 2),FALSE)),"",_xlfn.REGEXEXTRACT(CELL("address",R119), "\$([A-Z]+)\$[0-9]+"))),_xlfn.REGEXEXTRACT(CELL("address",R119), "\$([A-Z]+)\$[0-9]+"))</f>
        <v/>
      </c>
      <c r="S119" s="7" t="str" cm="1">
        <f t="array" aca="1" ref="S119" ca="1">IFERROR(IF(OR('Raw Data'!S119="",LEN(TRIM('Raw Data'!S119))=0),"",IF(AND(ISNUMBER('Raw Data'!S119), IFERROR('Raw Data'!S119 = ROUND('Raw Data'!S119, 2),FALSE)),"",_xlfn.REGEXEXTRACT(CELL("address",S119), "\$([A-Z]+)\$[0-9]+"))),_xlfn.REGEXEXTRACT(CELL("address",S119), "\$([A-Z]+)\$[0-9]+"))</f>
        <v/>
      </c>
      <c r="T119" s="7" t="str" cm="1">
        <f t="array" aca="1" ref="T119" ca="1">IFERROR(IF(OR('Raw Data'!T119="",LEN(TRIM('Raw Data'!T119))=0),"",IF(AND(ISNUMBER('Raw Data'!T119), IFERROR('Raw Data'!T119 = ROUND('Raw Data'!T119, 2),FALSE)),"",_xlfn.REGEXEXTRACT(CELL("address",T119), "\$([A-Z]+)\$[0-9]+"))),_xlfn.REGEXEXTRACT(CELL("address",T119), "\$([A-Z]+)\$[0-9]+"))</f>
        <v/>
      </c>
      <c r="U119" s="7" t="str" cm="1">
        <f t="array" aca="1" ref="U119" ca="1">IFERROR(IF(OR('Raw Data'!U119="",LEN(TRIM('Raw Data'!U119))=0),"",IF(AND(LEN('Raw Data'!U119) &lt;= 5,LEN('Raw Data'!U119)&gt; 0),"",_xlfn.REGEXEXTRACT(CELL("address",'Raw Data'!U119),"\$([A-Z]+)\$[0-9]+"))),_xlfn.REGEXEXTRACT(CELL("address",'Raw Data'!U119),"\$([A-Z]+)\$[0-9]+"))</f>
        <v/>
      </c>
      <c r="V119" s="7" t="str" cm="1">
        <f t="array" aca="1" ref="V119" ca="1">IFERROR(IF(OR('Raw Data'!V119="",LEN(TRIM('Raw Data'!V119))=0),"",IF(AND(ISNUMBER('Raw Data'!V119), IFERROR('Raw Data'!V119 = ROUND('Raw Data'!V119, 2),FALSE)),"",_xlfn.REGEXEXTRACT(CELL("address",V119), "\$([A-Z]+)\$[0-9]+"))),_xlfn.REGEXEXTRACT(CELL("address",V119), "\$([A-Z]+)\$[0-9]+"))</f>
        <v/>
      </c>
      <c r="W119" s="7" t="str" cm="1">
        <f t="array" aca="1" ref="W119" ca="1">IFERROR(IF(OR('Raw Data'!W119="",LEN(TRIM('Raw Data'!W119))=0),"",IF(AND(ISNUMBER('Raw Data'!W119), IFERROR('Raw Data'!W119 = ROUND('Raw Data'!W119, 2),FALSE)),"",_xlfn.REGEXEXTRACT(CELL("address",W119), "\$([A-Z]+)\$[0-9]+"))),_xlfn.REGEXEXTRACT(CELL("address",W119), "\$([A-Z]+)\$[0-9]+"))</f>
        <v/>
      </c>
      <c r="X119" s="7" t="str" cm="1">
        <f t="array" aca="1" ref="X119" ca="1">IFERROR(IF(OR('Raw Data'!X119="",LEN(TRIM('Raw Data'!X119))=0),"",IF(AND(ISNUMBER('Raw Data'!X119), IFERROR('Raw Data'!X119 = ROUND('Raw Data'!X119, 2),FALSE)),"",_xlfn.REGEXEXTRACT(CELL("address",X119), "\$([A-Z]+)\$[0-9]+"))),_xlfn.REGEXEXTRACT(CELL("address",X119), "\$([A-Z]+)\$[0-9]+"))</f>
        <v/>
      </c>
    </row>
    <row r="120" spans="2:24" x14ac:dyDescent="0.25">
      <c r="B120" s="7" t="str" cm="1">
        <f t="array" aca="1" ref="B120" ca="1">IFERROR(IF(OR('Raw Data'!B120="",LEN(TRIM('Raw Data'!B120))=0),"",IF(AND(LEN('Raw Data'!B120) &lt;= 50,LEN('Raw Data'!B120)&gt; 0),"",_xlfn.REGEXEXTRACT(CELL("address",'Raw Data'!B120),"\$([A-Z]+)\$[0-9]+"))),_xlfn.REGEXEXTRACT(CELL("address",'Raw Data'!B120),"\$([A-Z]+)\$[0-9]+"))</f>
        <v/>
      </c>
      <c r="C120" s="7" t="str" cm="1">
        <f t="array" aca="1" ref="C120" ca="1">IFERROR(IF(OR('Raw Data'!C120="",LEN(TRIM('Raw Data'!C120))=0),"",IF(AND(LEN('Raw Data'!C120) &lt;= 50,LEN('Raw Data'!C120)&gt; 0),"",_xlfn.REGEXEXTRACT(CELL("address",'Raw Data'!C120),"\$([A-Z]+)\$[0-9]+"))),_xlfn.REGEXEXTRACT(CELL("address",'Raw Data'!C120),"\$([A-Z]+)\$[0-9]+"))</f>
        <v/>
      </c>
      <c r="D120" s="7" t="str" cm="1">
        <f t="array" aca="1" ref="D120" ca="1">IFERROR(IF(OR('Raw Data'!D120="",LEN(TRIM('Raw Data'!D120))=0),"",IF(AND(LEN('Raw Data'!D120) &lt;= 255,LEN('Raw Data'!D120)&gt; 0),"",_xlfn.REGEXEXTRACT(CELL("address",'Raw Data'!D120),"\$([A-Z]+)\$[0-9]+"))),_xlfn.REGEXEXTRACT(CELL("address",'Raw Data'!D120),"\$([A-Z]+)\$[0-9]+"))</f>
        <v/>
      </c>
      <c r="E120" s="7" t="str" cm="1">
        <f t="array" aca="1" ref="E120" ca="1">IFERROR(IF(OR('Raw Data'!E120="",LEN(TRIM('Raw Data'!E120))=0),"",IF(AND(ISNUMBER('Raw Data'!E120),'Raw Data'!E120&gt;=Configuration!$D$2),"",_xlfn.REGEXEXTRACT(CELL("address",'Raw Data'!E120),"\$([A-Z]+)\$[0-9]+"))),_xlfn.REGEXEXTRACT(CELL("address",E120), "\$([A-Z]+)\$[0-9]+"))</f>
        <v/>
      </c>
      <c r="F120" s="7" t="str" cm="1">
        <f t="array" aca="1" ref="F120" ca="1">IFERROR(IF(OR('Raw Data'!F120="",LEN(TRIM('Raw Data'!F120))=0),"",IF(AND(LEN('Raw Data'!F120) &lt;= 20,LEN('Raw Data'!F120)&gt; 0),"",_xlfn.REGEXEXTRACT(CELL("address",'Raw Data'!F120),"\$([A-Z]+)\$[0-9]+"))),_xlfn.REGEXEXTRACT(CELL("address",'Raw Data'!F120),"\$([A-Z]+)\$[0-9]+"))</f>
        <v/>
      </c>
      <c r="G120" s="7" t="str" cm="1">
        <f t="array" aca="1" ref="G120" ca="1">IFERROR(IF(OR('Raw Data'!G120="",LEN(TRIM('Raw Data'!G120))=0),"",IF(AND(ISNUMBER('Raw Data'!G120), IFERROR('Raw Data'!G120 = ROUND('Raw Data'!G120, 2),FALSE)),"",_xlfn.REGEXEXTRACT(CELL("address",G120), "\$([A-Z]+)\$[0-9]+"))),_xlfn.REGEXEXTRACT(CELL("address",G120), "\$([A-Z]+)\$[0-9]+"))</f>
        <v/>
      </c>
      <c r="H120" s="7" t="str" cm="1">
        <f t="array" aca="1" ref="H120" ca="1">IFERROR(IF(OR('Raw Data'!H120="",LEN(TRIM('Raw Data'!H120))=0),"",IF(AND(ISNUMBER('Raw Data'!H120), IFERROR('Raw Data'!H120 = ROUND('Raw Data'!H120, 2),FALSE)),"",_xlfn.REGEXEXTRACT(CELL("address",H120), "\$([A-Z]+)\$[0-9]+"))),_xlfn.REGEXEXTRACT(CELL("address",H120), "\$([A-Z]+)\$[0-9]+"))</f>
        <v/>
      </c>
      <c r="I120" s="7" t="str" cm="1">
        <f t="array" aca="1" ref="I120" ca="1">IFERROR(IF(OR('Raw Data'!I120="",LEN(TRIM('Raw Data'!I120))=0),"",IF(AND(LEN('Raw Data'!I120) &lt;= 50,LEN('Raw Data'!I120)&gt; 0),"",_xlfn.REGEXEXTRACT(CELL("address",'Raw Data'!I120),"\$([A-Z]+)\$[0-9]+"))),_xlfn.REGEXEXTRACT(CELL("address",'Raw Data'!I120),"\$([A-Z]+)\$[0-9]+"))</f>
        <v/>
      </c>
      <c r="J120" s="7" t="str" cm="1">
        <f t="array" aca="1" ref="J120" ca="1">IFERROR(IF(OR('Raw Data'!J120="",LEN(TRIM('Raw Data'!J120))=0),"",IF(AND(ISNUMBER('Raw Data'!J120),'Raw Data'!J120&gt;=Configuration!$D$2),"",_xlfn.REGEXEXTRACT(CELL("address",'Raw Data'!J120),"\$([A-Z]+)\$[0-9]+"))),_xlfn.REGEXEXTRACT(CELL("address",J120), "\$([A-Z]+)\$[0-9]+"))</f>
        <v/>
      </c>
      <c r="K120" s="7" t="str" cm="1">
        <f t="array" aca="1" ref="K120" ca="1">IFERROR(IF(OR('Raw Data'!K120="",LEN(TRIM('Raw Data'!K120))=0),"",IF(AND(ISNUMBER('Raw Data'!K120), IFERROR('Raw Data'!K120 = ROUND('Raw Data'!K120, 2),FALSE)),"",_xlfn.REGEXEXTRACT(CELL("address",K120), "\$([A-Z]+)\$[0-9]+"))),_xlfn.REGEXEXTRACT(CELL("address",K120), "\$([A-Z]+)\$[0-9]+"))</f>
        <v/>
      </c>
      <c r="L120" s="7" t="str" cm="1">
        <f t="array" aca="1" ref="L120" ca="1">IFERROR(IF(OR('Raw Data'!L120="",LEN(TRIM('Raw Data'!L120))=0),"",IF(AND(ISNUMBER('Raw Data'!L120), IFERROR('Raw Data'!L120 = ROUND('Raw Data'!L120, 2),FALSE)),"",_xlfn.REGEXEXTRACT(CELL("address",L120), "\$([A-Z]+)\$[0-9]+"))),_xlfn.REGEXEXTRACT(CELL("address",L120), "\$([A-Z]+)\$[0-9]+"))</f>
        <v/>
      </c>
      <c r="M120" s="7" t="str" cm="1">
        <f t="array" aca="1" ref="M120" ca="1">IFERROR(IF(OR('Raw Data'!M120="",LEN(TRIM('Raw Data'!M120))=0),"",IF(AND(ISNUMBER('Raw Data'!M120), IFERROR('Raw Data'!M120 = ROUND('Raw Data'!M120, 2),FALSE)),"",_xlfn.REGEXEXTRACT(CELL("address",M120), "\$([A-Z]+)\$[0-9]+"))),_xlfn.REGEXEXTRACT(CELL("address",M120), "\$([A-Z]+)\$[0-9]+"))</f>
        <v/>
      </c>
      <c r="N120" s="7" t="str" cm="1">
        <f t="array" aca="1" ref="N120" ca="1">IFERROR(IF(OR('Raw Data'!N120="",LEN(TRIM('Raw Data'!N120))=0),"",IF(AND(ISNUMBER('Raw Data'!N120), IFERROR('Raw Data'!N120 = ROUND('Raw Data'!N120, 2),FALSE)),"",_xlfn.REGEXEXTRACT(CELL("address",N120), "\$([A-Z]+)\$[0-9]+"))),_xlfn.REGEXEXTRACT(CELL("address",N120), "\$([A-Z]+)\$[0-9]+"))</f>
        <v/>
      </c>
      <c r="O120" s="7" t="str" cm="1">
        <f t="array" aca="1" ref="O120" ca="1">IFERROR(IF(OR('Raw Data'!O120="",LEN(TRIM('Raw Data'!O120))=0),"",IF(AND(ISNUMBER('Raw Data'!O120), IFERROR('Raw Data'!O120 = ROUND('Raw Data'!O120, 2),FALSE)),"",_xlfn.REGEXEXTRACT(CELL("address",O120), "\$([A-Z]+)\$[0-9]+"))),_xlfn.REGEXEXTRACT(CELL("address",O120), "\$([A-Z]+)\$[0-9]+"))</f>
        <v/>
      </c>
      <c r="P120" s="7" t="str" cm="1">
        <f t="array" aca="1" ref="P120" ca="1">IFERROR(IF(OR('Raw Data'!P120="",LEN(TRIM('Raw Data'!P120))=0),"",IF(AND(ISNUMBER('Raw Data'!P120),'Raw Data'!P120&gt;=Configuration!$D$2),"",_xlfn.REGEXEXTRACT(CELL("address",'Raw Data'!P120),"\$([A-Z]+)\$[0-9]+"))),_xlfn.REGEXEXTRACT(CELL("address",P120), "\$([A-Z]+)\$[0-9]+"))</f>
        <v/>
      </c>
      <c r="Q120" s="7" t="str" cm="1">
        <f t="array" aca="1" ref="Q120" ca="1">IFERROR(IF(OR('Raw Data'!Q120="",LEN(TRIM('Raw Data'!Q120))=0),"",IF(AND(ISNUMBER('Raw Data'!Q120),'Raw Data'!Q120&gt;=Configuration!$D$2),"",_xlfn.REGEXEXTRACT(CELL("address",'Raw Data'!Q120),"\$([A-Z]+)\$[0-9]+"))),_xlfn.REGEXEXTRACT(CELL("address",Q120), "\$([A-Z]+)\$[0-9]+"))</f>
        <v/>
      </c>
      <c r="R120" s="7" t="str" cm="1">
        <f t="array" aca="1" ref="R120" ca="1">IFERROR(IF(OR('Raw Data'!R120="",LEN(TRIM('Raw Data'!R120))=0),"",IF(AND(ISNUMBER('Raw Data'!R120), IFERROR('Raw Data'!R120 = ROUND('Raw Data'!R120, 2),FALSE)),"",_xlfn.REGEXEXTRACT(CELL("address",R120), "\$([A-Z]+)\$[0-9]+"))),_xlfn.REGEXEXTRACT(CELL("address",R120), "\$([A-Z]+)\$[0-9]+"))</f>
        <v/>
      </c>
      <c r="S120" s="7" t="str" cm="1">
        <f t="array" aca="1" ref="S120" ca="1">IFERROR(IF(OR('Raw Data'!S120="",LEN(TRIM('Raw Data'!S120))=0),"",IF(AND(ISNUMBER('Raw Data'!S120), IFERROR('Raw Data'!S120 = ROUND('Raw Data'!S120, 2),FALSE)),"",_xlfn.REGEXEXTRACT(CELL("address",S120), "\$([A-Z]+)\$[0-9]+"))),_xlfn.REGEXEXTRACT(CELL("address",S120), "\$([A-Z]+)\$[0-9]+"))</f>
        <v/>
      </c>
      <c r="T120" s="7" t="str" cm="1">
        <f t="array" aca="1" ref="T120" ca="1">IFERROR(IF(OR('Raw Data'!T120="",LEN(TRIM('Raw Data'!T120))=0),"",IF(AND(ISNUMBER('Raw Data'!T120), IFERROR('Raw Data'!T120 = ROUND('Raw Data'!T120, 2),FALSE)),"",_xlfn.REGEXEXTRACT(CELL("address",T120), "\$([A-Z]+)\$[0-9]+"))),_xlfn.REGEXEXTRACT(CELL("address",T120), "\$([A-Z]+)\$[0-9]+"))</f>
        <v/>
      </c>
      <c r="U120" s="7" t="str" cm="1">
        <f t="array" aca="1" ref="U120" ca="1">IFERROR(IF(OR('Raw Data'!U120="",LEN(TRIM('Raw Data'!U120))=0),"",IF(AND(LEN('Raw Data'!U120) &lt;= 5,LEN('Raw Data'!U120)&gt; 0),"",_xlfn.REGEXEXTRACT(CELL("address",'Raw Data'!U120),"\$([A-Z]+)\$[0-9]+"))),_xlfn.REGEXEXTRACT(CELL("address",'Raw Data'!U120),"\$([A-Z]+)\$[0-9]+"))</f>
        <v/>
      </c>
      <c r="V120" s="7" t="str" cm="1">
        <f t="array" aca="1" ref="V120" ca="1">IFERROR(IF(OR('Raw Data'!V120="",LEN(TRIM('Raw Data'!V120))=0),"",IF(AND(ISNUMBER('Raw Data'!V120), IFERROR('Raw Data'!V120 = ROUND('Raw Data'!V120, 2),FALSE)),"",_xlfn.REGEXEXTRACT(CELL("address",V120), "\$([A-Z]+)\$[0-9]+"))),_xlfn.REGEXEXTRACT(CELL("address",V120), "\$([A-Z]+)\$[0-9]+"))</f>
        <v/>
      </c>
      <c r="W120" s="7" t="str" cm="1">
        <f t="array" aca="1" ref="W120" ca="1">IFERROR(IF(OR('Raw Data'!W120="",LEN(TRIM('Raw Data'!W120))=0),"",IF(AND(ISNUMBER('Raw Data'!W120), IFERROR('Raw Data'!W120 = ROUND('Raw Data'!W120, 2),FALSE)),"",_xlfn.REGEXEXTRACT(CELL("address",W120), "\$([A-Z]+)\$[0-9]+"))),_xlfn.REGEXEXTRACT(CELL("address",W120), "\$([A-Z]+)\$[0-9]+"))</f>
        <v/>
      </c>
      <c r="X120" s="7" t="str" cm="1">
        <f t="array" aca="1" ref="X120" ca="1">IFERROR(IF(OR('Raw Data'!X120="",LEN(TRIM('Raw Data'!X120))=0),"",IF(AND(ISNUMBER('Raw Data'!X120), IFERROR('Raw Data'!X120 = ROUND('Raw Data'!X120, 2),FALSE)),"",_xlfn.REGEXEXTRACT(CELL("address",X120), "\$([A-Z]+)\$[0-9]+"))),_xlfn.REGEXEXTRACT(CELL("address",X120), "\$([A-Z]+)\$[0-9]+"))</f>
        <v/>
      </c>
    </row>
    <row r="121" spans="2:24" x14ac:dyDescent="0.25">
      <c r="B121" s="7" t="str" cm="1">
        <f t="array" aca="1" ref="B121" ca="1">IFERROR(IF(OR('Raw Data'!B121="",LEN(TRIM('Raw Data'!B121))=0),"",IF(AND(LEN('Raw Data'!B121) &lt;= 50,LEN('Raw Data'!B121)&gt; 0),"",_xlfn.REGEXEXTRACT(CELL("address",'Raw Data'!B121),"\$([A-Z]+)\$[0-9]+"))),_xlfn.REGEXEXTRACT(CELL("address",'Raw Data'!B121),"\$([A-Z]+)\$[0-9]+"))</f>
        <v/>
      </c>
      <c r="C121" s="7" t="str" cm="1">
        <f t="array" aca="1" ref="C121" ca="1">IFERROR(IF(OR('Raw Data'!C121="",LEN(TRIM('Raw Data'!C121))=0),"",IF(AND(LEN('Raw Data'!C121) &lt;= 50,LEN('Raw Data'!C121)&gt; 0),"",_xlfn.REGEXEXTRACT(CELL("address",'Raw Data'!C121),"\$([A-Z]+)\$[0-9]+"))),_xlfn.REGEXEXTRACT(CELL("address",'Raw Data'!C121),"\$([A-Z]+)\$[0-9]+"))</f>
        <v/>
      </c>
      <c r="D121" s="7" t="str" cm="1">
        <f t="array" aca="1" ref="D121" ca="1">IFERROR(IF(OR('Raw Data'!D121="",LEN(TRIM('Raw Data'!D121))=0),"",IF(AND(LEN('Raw Data'!D121) &lt;= 255,LEN('Raw Data'!D121)&gt; 0),"",_xlfn.REGEXEXTRACT(CELL("address",'Raw Data'!D121),"\$([A-Z]+)\$[0-9]+"))),_xlfn.REGEXEXTRACT(CELL("address",'Raw Data'!D121),"\$([A-Z]+)\$[0-9]+"))</f>
        <v/>
      </c>
      <c r="E121" s="7" t="str" cm="1">
        <f t="array" aca="1" ref="E121" ca="1">IFERROR(IF(OR('Raw Data'!E121="",LEN(TRIM('Raw Data'!E121))=0),"",IF(AND(ISNUMBER('Raw Data'!E121),'Raw Data'!E121&gt;=Configuration!$D$2),"",_xlfn.REGEXEXTRACT(CELL("address",'Raw Data'!E121),"\$([A-Z]+)\$[0-9]+"))),_xlfn.REGEXEXTRACT(CELL("address",E121), "\$([A-Z]+)\$[0-9]+"))</f>
        <v/>
      </c>
      <c r="F121" s="7" t="str" cm="1">
        <f t="array" aca="1" ref="F121" ca="1">IFERROR(IF(OR('Raw Data'!F121="",LEN(TRIM('Raw Data'!F121))=0),"",IF(AND(LEN('Raw Data'!F121) &lt;= 20,LEN('Raw Data'!F121)&gt; 0),"",_xlfn.REGEXEXTRACT(CELL("address",'Raw Data'!F121),"\$([A-Z]+)\$[0-9]+"))),_xlfn.REGEXEXTRACT(CELL("address",'Raw Data'!F121),"\$([A-Z]+)\$[0-9]+"))</f>
        <v/>
      </c>
      <c r="G121" s="7" t="str" cm="1">
        <f t="array" aca="1" ref="G121" ca="1">IFERROR(IF(OR('Raw Data'!G121="",LEN(TRIM('Raw Data'!G121))=0),"",IF(AND(ISNUMBER('Raw Data'!G121), IFERROR('Raw Data'!G121 = ROUND('Raw Data'!G121, 2),FALSE)),"",_xlfn.REGEXEXTRACT(CELL("address",G121), "\$([A-Z]+)\$[0-9]+"))),_xlfn.REGEXEXTRACT(CELL("address",G121), "\$([A-Z]+)\$[0-9]+"))</f>
        <v/>
      </c>
      <c r="H121" s="7" t="str" cm="1">
        <f t="array" aca="1" ref="H121" ca="1">IFERROR(IF(OR('Raw Data'!H121="",LEN(TRIM('Raw Data'!H121))=0),"",IF(AND(ISNUMBER('Raw Data'!H121), IFERROR('Raw Data'!H121 = ROUND('Raw Data'!H121, 2),FALSE)),"",_xlfn.REGEXEXTRACT(CELL("address",H121), "\$([A-Z]+)\$[0-9]+"))),_xlfn.REGEXEXTRACT(CELL("address",H121), "\$([A-Z]+)\$[0-9]+"))</f>
        <v/>
      </c>
      <c r="I121" s="7" t="str" cm="1">
        <f t="array" aca="1" ref="I121" ca="1">IFERROR(IF(OR('Raw Data'!I121="",LEN(TRIM('Raw Data'!I121))=0),"",IF(AND(LEN('Raw Data'!I121) &lt;= 50,LEN('Raw Data'!I121)&gt; 0),"",_xlfn.REGEXEXTRACT(CELL("address",'Raw Data'!I121),"\$([A-Z]+)\$[0-9]+"))),_xlfn.REGEXEXTRACT(CELL("address",'Raw Data'!I121),"\$([A-Z]+)\$[0-9]+"))</f>
        <v/>
      </c>
      <c r="J121" s="7" t="str" cm="1">
        <f t="array" aca="1" ref="J121" ca="1">IFERROR(IF(OR('Raw Data'!J121="",LEN(TRIM('Raw Data'!J121))=0),"",IF(AND(ISNUMBER('Raw Data'!J121),'Raw Data'!J121&gt;=Configuration!$D$2),"",_xlfn.REGEXEXTRACT(CELL("address",'Raw Data'!J121),"\$([A-Z]+)\$[0-9]+"))),_xlfn.REGEXEXTRACT(CELL("address",J121), "\$([A-Z]+)\$[0-9]+"))</f>
        <v/>
      </c>
      <c r="K121" s="7" t="str" cm="1">
        <f t="array" aca="1" ref="K121" ca="1">IFERROR(IF(OR('Raw Data'!K121="",LEN(TRIM('Raw Data'!K121))=0),"",IF(AND(ISNUMBER('Raw Data'!K121), IFERROR('Raw Data'!K121 = ROUND('Raw Data'!K121, 2),FALSE)),"",_xlfn.REGEXEXTRACT(CELL("address",K121), "\$([A-Z]+)\$[0-9]+"))),_xlfn.REGEXEXTRACT(CELL("address",K121), "\$([A-Z]+)\$[0-9]+"))</f>
        <v/>
      </c>
      <c r="L121" s="7" t="str" cm="1">
        <f t="array" aca="1" ref="L121" ca="1">IFERROR(IF(OR('Raw Data'!L121="",LEN(TRIM('Raw Data'!L121))=0),"",IF(AND(ISNUMBER('Raw Data'!L121), IFERROR('Raw Data'!L121 = ROUND('Raw Data'!L121, 2),FALSE)),"",_xlfn.REGEXEXTRACT(CELL("address",L121), "\$([A-Z]+)\$[0-9]+"))),_xlfn.REGEXEXTRACT(CELL("address",L121), "\$([A-Z]+)\$[0-9]+"))</f>
        <v/>
      </c>
      <c r="M121" s="7" t="str" cm="1">
        <f t="array" aca="1" ref="M121" ca="1">IFERROR(IF(OR('Raw Data'!M121="",LEN(TRIM('Raw Data'!M121))=0),"",IF(AND(ISNUMBER('Raw Data'!M121), IFERROR('Raw Data'!M121 = ROUND('Raw Data'!M121, 2),FALSE)),"",_xlfn.REGEXEXTRACT(CELL("address",M121), "\$([A-Z]+)\$[0-9]+"))),_xlfn.REGEXEXTRACT(CELL("address",M121), "\$([A-Z]+)\$[0-9]+"))</f>
        <v/>
      </c>
      <c r="N121" s="7" t="str" cm="1">
        <f t="array" aca="1" ref="N121" ca="1">IFERROR(IF(OR('Raw Data'!N121="",LEN(TRIM('Raw Data'!N121))=0),"",IF(AND(ISNUMBER('Raw Data'!N121), IFERROR('Raw Data'!N121 = ROUND('Raw Data'!N121, 2),FALSE)),"",_xlfn.REGEXEXTRACT(CELL("address",N121), "\$([A-Z]+)\$[0-9]+"))),_xlfn.REGEXEXTRACT(CELL("address",N121), "\$([A-Z]+)\$[0-9]+"))</f>
        <v/>
      </c>
      <c r="O121" s="7" t="str" cm="1">
        <f t="array" aca="1" ref="O121" ca="1">IFERROR(IF(OR('Raw Data'!O121="",LEN(TRIM('Raw Data'!O121))=0),"",IF(AND(ISNUMBER('Raw Data'!O121), IFERROR('Raw Data'!O121 = ROUND('Raw Data'!O121, 2),FALSE)),"",_xlfn.REGEXEXTRACT(CELL("address",O121), "\$([A-Z]+)\$[0-9]+"))),_xlfn.REGEXEXTRACT(CELL("address",O121), "\$([A-Z]+)\$[0-9]+"))</f>
        <v/>
      </c>
      <c r="P121" s="7" t="str" cm="1">
        <f t="array" aca="1" ref="P121" ca="1">IFERROR(IF(OR('Raw Data'!P121="",LEN(TRIM('Raw Data'!P121))=0),"",IF(AND(ISNUMBER('Raw Data'!P121),'Raw Data'!P121&gt;=Configuration!$D$2),"",_xlfn.REGEXEXTRACT(CELL("address",'Raw Data'!P121),"\$([A-Z]+)\$[0-9]+"))),_xlfn.REGEXEXTRACT(CELL("address",P121), "\$([A-Z]+)\$[0-9]+"))</f>
        <v/>
      </c>
      <c r="Q121" s="7" t="str" cm="1">
        <f t="array" aca="1" ref="Q121" ca="1">IFERROR(IF(OR('Raw Data'!Q121="",LEN(TRIM('Raw Data'!Q121))=0),"",IF(AND(ISNUMBER('Raw Data'!Q121),'Raw Data'!Q121&gt;=Configuration!$D$2),"",_xlfn.REGEXEXTRACT(CELL("address",'Raw Data'!Q121),"\$([A-Z]+)\$[0-9]+"))),_xlfn.REGEXEXTRACT(CELL("address",Q121), "\$([A-Z]+)\$[0-9]+"))</f>
        <v/>
      </c>
      <c r="R121" s="7" t="str" cm="1">
        <f t="array" aca="1" ref="R121" ca="1">IFERROR(IF(OR('Raw Data'!R121="",LEN(TRIM('Raw Data'!R121))=0),"",IF(AND(ISNUMBER('Raw Data'!R121), IFERROR('Raw Data'!R121 = ROUND('Raw Data'!R121, 2),FALSE)),"",_xlfn.REGEXEXTRACT(CELL("address",R121), "\$([A-Z]+)\$[0-9]+"))),_xlfn.REGEXEXTRACT(CELL("address",R121), "\$([A-Z]+)\$[0-9]+"))</f>
        <v/>
      </c>
      <c r="S121" s="7" t="str" cm="1">
        <f t="array" aca="1" ref="S121" ca="1">IFERROR(IF(OR('Raw Data'!S121="",LEN(TRIM('Raw Data'!S121))=0),"",IF(AND(ISNUMBER('Raw Data'!S121), IFERROR('Raw Data'!S121 = ROUND('Raw Data'!S121, 2),FALSE)),"",_xlfn.REGEXEXTRACT(CELL("address",S121), "\$([A-Z]+)\$[0-9]+"))),_xlfn.REGEXEXTRACT(CELL("address",S121), "\$([A-Z]+)\$[0-9]+"))</f>
        <v/>
      </c>
      <c r="T121" s="7" t="str" cm="1">
        <f t="array" aca="1" ref="T121" ca="1">IFERROR(IF(OR('Raw Data'!T121="",LEN(TRIM('Raw Data'!T121))=0),"",IF(AND(ISNUMBER('Raw Data'!T121), IFERROR('Raw Data'!T121 = ROUND('Raw Data'!T121, 2),FALSE)),"",_xlfn.REGEXEXTRACT(CELL("address",T121), "\$([A-Z]+)\$[0-9]+"))),_xlfn.REGEXEXTRACT(CELL("address",T121), "\$([A-Z]+)\$[0-9]+"))</f>
        <v/>
      </c>
      <c r="U121" s="7" t="str" cm="1">
        <f t="array" aca="1" ref="U121" ca="1">IFERROR(IF(OR('Raw Data'!U121="",LEN(TRIM('Raw Data'!U121))=0),"",IF(AND(LEN('Raw Data'!U121) &lt;= 5,LEN('Raw Data'!U121)&gt; 0),"",_xlfn.REGEXEXTRACT(CELL("address",'Raw Data'!U121),"\$([A-Z]+)\$[0-9]+"))),_xlfn.REGEXEXTRACT(CELL("address",'Raw Data'!U121),"\$([A-Z]+)\$[0-9]+"))</f>
        <v/>
      </c>
      <c r="V121" s="7" t="str" cm="1">
        <f t="array" aca="1" ref="V121" ca="1">IFERROR(IF(OR('Raw Data'!V121="",LEN(TRIM('Raw Data'!V121))=0),"",IF(AND(ISNUMBER('Raw Data'!V121), IFERROR('Raw Data'!V121 = ROUND('Raw Data'!V121, 2),FALSE)),"",_xlfn.REGEXEXTRACT(CELL("address",V121), "\$([A-Z]+)\$[0-9]+"))),_xlfn.REGEXEXTRACT(CELL("address",V121), "\$([A-Z]+)\$[0-9]+"))</f>
        <v/>
      </c>
      <c r="W121" s="7" t="str" cm="1">
        <f t="array" aca="1" ref="W121" ca="1">IFERROR(IF(OR('Raw Data'!W121="",LEN(TRIM('Raw Data'!W121))=0),"",IF(AND(ISNUMBER('Raw Data'!W121), IFERROR('Raw Data'!W121 = ROUND('Raw Data'!W121, 2),FALSE)),"",_xlfn.REGEXEXTRACT(CELL("address",W121), "\$([A-Z]+)\$[0-9]+"))),_xlfn.REGEXEXTRACT(CELL("address",W121), "\$([A-Z]+)\$[0-9]+"))</f>
        <v/>
      </c>
      <c r="X121" s="7" t="str" cm="1">
        <f t="array" aca="1" ref="X121" ca="1">IFERROR(IF(OR('Raw Data'!X121="",LEN(TRIM('Raw Data'!X121))=0),"",IF(AND(ISNUMBER('Raw Data'!X121), IFERROR('Raw Data'!X121 = ROUND('Raw Data'!X121, 2),FALSE)),"",_xlfn.REGEXEXTRACT(CELL("address",X121), "\$([A-Z]+)\$[0-9]+"))),_xlfn.REGEXEXTRACT(CELL("address",X121), "\$([A-Z]+)\$[0-9]+"))</f>
        <v/>
      </c>
    </row>
    <row r="122" spans="2:24" x14ac:dyDescent="0.25">
      <c r="B122" s="7" t="str" cm="1">
        <f t="array" aca="1" ref="B122" ca="1">IFERROR(IF(OR('Raw Data'!B122="",LEN(TRIM('Raw Data'!B122))=0),"",IF(AND(LEN('Raw Data'!B122) &lt;= 50,LEN('Raw Data'!B122)&gt; 0),"",_xlfn.REGEXEXTRACT(CELL("address",'Raw Data'!B122),"\$([A-Z]+)\$[0-9]+"))),_xlfn.REGEXEXTRACT(CELL("address",'Raw Data'!B122),"\$([A-Z]+)\$[0-9]+"))</f>
        <v/>
      </c>
      <c r="C122" s="7" t="str" cm="1">
        <f t="array" aca="1" ref="C122" ca="1">IFERROR(IF(OR('Raw Data'!C122="",LEN(TRIM('Raw Data'!C122))=0),"",IF(AND(LEN('Raw Data'!C122) &lt;= 50,LEN('Raw Data'!C122)&gt; 0),"",_xlfn.REGEXEXTRACT(CELL("address",'Raw Data'!C122),"\$([A-Z]+)\$[0-9]+"))),_xlfn.REGEXEXTRACT(CELL("address",'Raw Data'!C122),"\$([A-Z]+)\$[0-9]+"))</f>
        <v/>
      </c>
      <c r="D122" s="7" t="str" cm="1">
        <f t="array" aca="1" ref="D122" ca="1">IFERROR(IF(OR('Raw Data'!D122="",LEN(TRIM('Raw Data'!D122))=0),"",IF(AND(LEN('Raw Data'!D122) &lt;= 255,LEN('Raw Data'!D122)&gt; 0),"",_xlfn.REGEXEXTRACT(CELL("address",'Raw Data'!D122),"\$([A-Z]+)\$[0-9]+"))),_xlfn.REGEXEXTRACT(CELL("address",'Raw Data'!D122),"\$([A-Z]+)\$[0-9]+"))</f>
        <v/>
      </c>
      <c r="E122" s="7" t="str" cm="1">
        <f t="array" aca="1" ref="E122" ca="1">IFERROR(IF(OR('Raw Data'!E122="",LEN(TRIM('Raw Data'!E122))=0),"",IF(AND(ISNUMBER('Raw Data'!E122),'Raw Data'!E122&gt;=Configuration!$D$2),"",_xlfn.REGEXEXTRACT(CELL("address",'Raw Data'!E122),"\$([A-Z]+)\$[0-9]+"))),_xlfn.REGEXEXTRACT(CELL("address",E122), "\$([A-Z]+)\$[0-9]+"))</f>
        <v/>
      </c>
      <c r="F122" s="7" t="str" cm="1">
        <f t="array" aca="1" ref="F122" ca="1">IFERROR(IF(OR('Raw Data'!F122="",LEN(TRIM('Raw Data'!F122))=0),"",IF(AND(LEN('Raw Data'!F122) &lt;= 20,LEN('Raw Data'!F122)&gt; 0),"",_xlfn.REGEXEXTRACT(CELL("address",'Raw Data'!F122),"\$([A-Z]+)\$[0-9]+"))),_xlfn.REGEXEXTRACT(CELL("address",'Raw Data'!F122),"\$([A-Z]+)\$[0-9]+"))</f>
        <v/>
      </c>
      <c r="G122" s="7" t="str" cm="1">
        <f t="array" aca="1" ref="G122" ca="1">IFERROR(IF(OR('Raw Data'!G122="",LEN(TRIM('Raw Data'!G122))=0),"",IF(AND(ISNUMBER('Raw Data'!G122), IFERROR('Raw Data'!G122 = ROUND('Raw Data'!G122, 2),FALSE)),"",_xlfn.REGEXEXTRACT(CELL("address",G122), "\$([A-Z]+)\$[0-9]+"))),_xlfn.REGEXEXTRACT(CELL("address",G122), "\$([A-Z]+)\$[0-9]+"))</f>
        <v/>
      </c>
      <c r="H122" s="7" t="str" cm="1">
        <f t="array" aca="1" ref="H122" ca="1">IFERROR(IF(OR('Raw Data'!H122="",LEN(TRIM('Raw Data'!H122))=0),"",IF(AND(ISNUMBER('Raw Data'!H122), IFERROR('Raw Data'!H122 = ROUND('Raw Data'!H122, 2),FALSE)),"",_xlfn.REGEXEXTRACT(CELL("address",H122), "\$([A-Z]+)\$[0-9]+"))),_xlfn.REGEXEXTRACT(CELL("address",H122), "\$([A-Z]+)\$[0-9]+"))</f>
        <v/>
      </c>
      <c r="I122" s="7" t="str" cm="1">
        <f t="array" aca="1" ref="I122" ca="1">IFERROR(IF(OR('Raw Data'!I122="",LEN(TRIM('Raw Data'!I122))=0),"",IF(AND(LEN('Raw Data'!I122) &lt;= 50,LEN('Raw Data'!I122)&gt; 0),"",_xlfn.REGEXEXTRACT(CELL("address",'Raw Data'!I122),"\$([A-Z]+)\$[0-9]+"))),_xlfn.REGEXEXTRACT(CELL("address",'Raw Data'!I122),"\$([A-Z]+)\$[0-9]+"))</f>
        <v/>
      </c>
      <c r="J122" s="7" t="str" cm="1">
        <f t="array" aca="1" ref="J122" ca="1">IFERROR(IF(OR('Raw Data'!J122="",LEN(TRIM('Raw Data'!J122))=0),"",IF(AND(ISNUMBER('Raw Data'!J122),'Raw Data'!J122&gt;=Configuration!$D$2),"",_xlfn.REGEXEXTRACT(CELL("address",'Raw Data'!J122),"\$([A-Z]+)\$[0-9]+"))),_xlfn.REGEXEXTRACT(CELL("address",J122), "\$([A-Z]+)\$[0-9]+"))</f>
        <v/>
      </c>
      <c r="K122" s="7" t="str" cm="1">
        <f t="array" aca="1" ref="K122" ca="1">IFERROR(IF(OR('Raw Data'!K122="",LEN(TRIM('Raw Data'!K122))=0),"",IF(AND(ISNUMBER('Raw Data'!K122), IFERROR('Raw Data'!K122 = ROUND('Raw Data'!K122, 2),FALSE)),"",_xlfn.REGEXEXTRACT(CELL("address",K122), "\$([A-Z]+)\$[0-9]+"))),_xlfn.REGEXEXTRACT(CELL("address",K122), "\$([A-Z]+)\$[0-9]+"))</f>
        <v/>
      </c>
      <c r="L122" s="7" t="str" cm="1">
        <f t="array" aca="1" ref="L122" ca="1">IFERROR(IF(OR('Raw Data'!L122="",LEN(TRIM('Raw Data'!L122))=0),"",IF(AND(ISNUMBER('Raw Data'!L122), IFERROR('Raw Data'!L122 = ROUND('Raw Data'!L122, 2),FALSE)),"",_xlfn.REGEXEXTRACT(CELL("address",L122), "\$([A-Z]+)\$[0-9]+"))),_xlfn.REGEXEXTRACT(CELL("address",L122), "\$([A-Z]+)\$[0-9]+"))</f>
        <v/>
      </c>
      <c r="M122" s="7" t="str" cm="1">
        <f t="array" aca="1" ref="M122" ca="1">IFERROR(IF(OR('Raw Data'!M122="",LEN(TRIM('Raw Data'!M122))=0),"",IF(AND(ISNUMBER('Raw Data'!M122), IFERROR('Raw Data'!M122 = ROUND('Raw Data'!M122, 2),FALSE)),"",_xlfn.REGEXEXTRACT(CELL("address",M122), "\$([A-Z]+)\$[0-9]+"))),_xlfn.REGEXEXTRACT(CELL("address",M122), "\$([A-Z]+)\$[0-9]+"))</f>
        <v/>
      </c>
      <c r="N122" s="7" t="str" cm="1">
        <f t="array" aca="1" ref="N122" ca="1">IFERROR(IF(OR('Raw Data'!N122="",LEN(TRIM('Raw Data'!N122))=0),"",IF(AND(ISNUMBER('Raw Data'!N122), IFERROR('Raw Data'!N122 = ROUND('Raw Data'!N122, 2),FALSE)),"",_xlfn.REGEXEXTRACT(CELL("address",N122), "\$([A-Z]+)\$[0-9]+"))),_xlfn.REGEXEXTRACT(CELL("address",N122), "\$([A-Z]+)\$[0-9]+"))</f>
        <v/>
      </c>
      <c r="O122" s="7" t="str" cm="1">
        <f t="array" aca="1" ref="O122" ca="1">IFERROR(IF(OR('Raw Data'!O122="",LEN(TRIM('Raw Data'!O122))=0),"",IF(AND(ISNUMBER('Raw Data'!O122), IFERROR('Raw Data'!O122 = ROUND('Raw Data'!O122, 2),FALSE)),"",_xlfn.REGEXEXTRACT(CELL("address",O122), "\$([A-Z]+)\$[0-9]+"))),_xlfn.REGEXEXTRACT(CELL("address",O122), "\$([A-Z]+)\$[0-9]+"))</f>
        <v/>
      </c>
      <c r="P122" s="7" t="str" cm="1">
        <f t="array" aca="1" ref="P122" ca="1">IFERROR(IF(OR('Raw Data'!P122="",LEN(TRIM('Raw Data'!P122))=0),"",IF(AND(ISNUMBER('Raw Data'!P122),'Raw Data'!P122&gt;=Configuration!$D$2),"",_xlfn.REGEXEXTRACT(CELL("address",'Raw Data'!P122),"\$([A-Z]+)\$[0-9]+"))),_xlfn.REGEXEXTRACT(CELL("address",P122), "\$([A-Z]+)\$[0-9]+"))</f>
        <v/>
      </c>
      <c r="Q122" s="7" t="str" cm="1">
        <f t="array" aca="1" ref="Q122" ca="1">IFERROR(IF(OR('Raw Data'!Q122="",LEN(TRIM('Raw Data'!Q122))=0),"",IF(AND(ISNUMBER('Raw Data'!Q122),'Raw Data'!Q122&gt;=Configuration!$D$2),"",_xlfn.REGEXEXTRACT(CELL("address",'Raw Data'!Q122),"\$([A-Z]+)\$[0-9]+"))),_xlfn.REGEXEXTRACT(CELL("address",Q122), "\$([A-Z]+)\$[0-9]+"))</f>
        <v/>
      </c>
      <c r="R122" s="7" t="str" cm="1">
        <f t="array" aca="1" ref="R122" ca="1">IFERROR(IF(OR('Raw Data'!R122="",LEN(TRIM('Raw Data'!R122))=0),"",IF(AND(ISNUMBER('Raw Data'!R122), IFERROR('Raw Data'!R122 = ROUND('Raw Data'!R122, 2),FALSE)),"",_xlfn.REGEXEXTRACT(CELL("address",R122), "\$([A-Z]+)\$[0-9]+"))),_xlfn.REGEXEXTRACT(CELL("address",R122), "\$([A-Z]+)\$[0-9]+"))</f>
        <v/>
      </c>
      <c r="S122" s="7" t="str" cm="1">
        <f t="array" aca="1" ref="S122" ca="1">IFERROR(IF(OR('Raw Data'!S122="",LEN(TRIM('Raw Data'!S122))=0),"",IF(AND(ISNUMBER('Raw Data'!S122), IFERROR('Raw Data'!S122 = ROUND('Raw Data'!S122, 2),FALSE)),"",_xlfn.REGEXEXTRACT(CELL("address",S122), "\$([A-Z]+)\$[0-9]+"))),_xlfn.REGEXEXTRACT(CELL("address",S122), "\$([A-Z]+)\$[0-9]+"))</f>
        <v/>
      </c>
      <c r="T122" s="7" t="str" cm="1">
        <f t="array" aca="1" ref="T122" ca="1">IFERROR(IF(OR('Raw Data'!T122="",LEN(TRIM('Raw Data'!T122))=0),"",IF(AND(ISNUMBER('Raw Data'!T122), IFERROR('Raw Data'!T122 = ROUND('Raw Data'!T122, 2),FALSE)),"",_xlfn.REGEXEXTRACT(CELL("address",T122), "\$([A-Z]+)\$[0-9]+"))),_xlfn.REGEXEXTRACT(CELL("address",T122), "\$([A-Z]+)\$[0-9]+"))</f>
        <v/>
      </c>
      <c r="U122" s="7" t="str" cm="1">
        <f t="array" aca="1" ref="U122" ca="1">IFERROR(IF(OR('Raw Data'!U122="",LEN(TRIM('Raw Data'!U122))=0),"",IF(AND(LEN('Raw Data'!U122) &lt;= 5,LEN('Raw Data'!U122)&gt; 0),"",_xlfn.REGEXEXTRACT(CELL("address",'Raw Data'!U122),"\$([A-Z]+)\$[0-9]+"))),_xlfn.REGEXEXTRACT(CELL("address",'Raw Data'!U122),"\$([A-Z]+)\$[0-9]+"))</f>
        <v/>
      </c>
      <c r="V122" s="7" t="str" cm="1">
        <f t="array" aca="1" ref="V122" ca="1">IFERROR(IF(OR('Raw Data'!V122="",LEN(TRIM('Raw Data'!V122))=0),"",IF(AND(ISNUMBER('Raw Data'!V122), IFERROR('Raw Data'!V122 = ROUND('Raw Data'!V122, 2),FALSE)),"",_xlfn.REGEXEXTRACT(CELL("address",V122), "\$([A-Z]+)\$[0-9]+"))),_xlfn.REGEXEXTRACT(CELL("address",V122), "\$([A-Z]+)\$[0-9]+"))</f>
        <v/>
      </c>
      <c r="W122" s="7" t="str" cm="1">
        <f t="array" aca="1" ref="W122" ca="1">IFERROR(IF(OR('Raw Data'!W122="",LEN(TRIM('Raw Data'!W122))=0),"",IF(AND(ISNUMBER('Raw Data'!W122), IFERROR('Raw Data'!W122 = ROUND('Raw Data'!W122, 2),FALSE)),"",_xlfn.REGEXEXTRACT(CELL("address",W122), "\$([A-Z]+)\$[0-9]+"))),_xlfn.REGEXEXTRACT(CELL("address",W122), "\$([A-Z]+)\$[0-9]+"))</f>
        <v/>
      </c>
      <c r="X122" s="7" t="str" cm="1">
        <f t="array" aca="1" ref="X122" ca="1">IFERROR(IF(OR('Raw Data'!X122="",LEN(TRIM('Raw Data'!X122))=0),"",IF(AND(ISNUMBER('Raw Data'!X122), IFERROR('Raw Data'!X122 = ROUND('Raw Data'!X122, 2),FALSE)),"",_xlfn.REGEXEXTRACT(CELL("address",X122), "\$([A-Z]+)\$[0-9]+"))),_xlfn.REGEXEXTRACT(CELL("address",X122), "\$([A-Z]+)\$[0-9]+"))</f>
        <v/>
      </c>
    </row>
    <row r="123" spans="2:24" x14ac:dyDescent="0.25">
      <c r="B123" s="7" t="str" cm="1">
        <f t="array" aca="1" ref="B123" ca="1">IFERROR(IF(OR('Raw Data'!B123="",LEN(TRIM('Raw Data'!B123))=0),"",IF(AND(LEN('Raw Data'!B123) &lt;= 50,LEN('Raw Data'!B123)&gt; 0),"",_xlfn.REGEXEXTRACT(CELL("address",'Raw Data'!B123),"\$([A-Z]+)\$[0-9]+"))),_xlfn.REGEXEXTRACT(CELL("address",'Raw Data'!B123),"\$([A-Z]+)\$[0-9]+"))</f>
        <v/>
      </c>
      <c r="C123" s="7" t="str" cm="1">
        <f t="array" aca="1" ref="C123" ca="1">IFERROR(IF(OR('Raw Data'!C123="",LEN(TRIM('Raw Data'!C123))=0),"",IF(AND(LEN('Raw Data'!C123) &lt;= 50,LEN('Raw Data'!C123)&gt; 0),"",_xlfn.REGEXEXTRACT(CELL("address",'Raw Data'!C123),"\$([A-Z]+)\$[0-9]+"))),_xlfn.REGEXEXTRACT(CELL("address",'Raw Data'!C123),"\$([A-Z]+)\$[0-9]+"))</f>
        <v/>
      </c>
      <c r="D123" s="7" t="str" cm="1">
        <f t="array" aca="1" ref="D123" ca="1">IFERROR(IF(OR('Raw Data'!D123="",LEN(TRIM('Raw Data'!D123))=0),"",IF(AND(LEN('Raw Data'!D123) &lt;= 255,LEN('Raw Data'!D123)&gt; 0),"",_xlfn.REGEXEXTRACT(CELL("address",'Raw Data'!D123),"\$([A-Z]+)\$[0-9]+"))),_xlfn.REGEXEXTRACT(CELL("address",'Raw Data'!D123),"\$([A-Z]+)\$[0-9]+"))</f>
        <v/>
      </c>
      <c r="E123" s="7" t="str" cm="1">
        <f t="array" aca="1" ref="E123" ca="1">IFERROR(IF(OR('Raw Data'!E123="",LEN(TRIM('Raw Data'!E123))=0),"",IF(AND(ISNUMBER('Raw Data'!E123),'Raw Data'!E123&gt;=Configuration!$D$2),"",_xlfn.REGEXEXTRACT(CELL("address",'Raw Data'!E123),"\$([A-Z]+)\$[0-9]+"))),_xlfn.REGEXEXTRACT(CELL("address",E123), "\$([A-Z]+)\$[0-9]+"))</f>
        <v/>
      </c>
      <c r="F123" s="7" t="str" cm="1">
        <f t="array" aca="1" ref="F123" ca="1">IFERROR(IF(OR('Raw Data'!F123="",LEN(TRIM('Raw Data'!F123))=0),"",IF(AND(LEN('Raw Data'!F123) &lt;= 20,LEN('Raw Data'!F123)&gt; 0),"",_xlfn.REGEXEXTRACT(CELL("address",'Raw Data'!F123),"\$([A-Z]+)\$[0-9]+"))),_xlfn.REGEXEXTRACT(CELL("address",'Raw Data'!F123),"\$([A-Z]+)\$[0-9]+"))</f>
        <v/>
      </c>
      <c r="G123" s="7" t="str" cm="1">
        <f t="array" aca="1" ref="G123" ca="1">IFERROR(IF(OR('Raw Data'!G123="",LEN(TRIM('Raw Data'!G123))=0),"",IF(AND(ISNUMBER('Raw Data'!G123), IFERROR('Raw Data'!G123 = ROUND('Raw Data'!G123, 2),FALSE)),"",_xlfn.REGEXEXTRACT(CELL("address",G123), "\$([A-Z]+)\$[0-9]+"))),_xlfn.REGEXEXTRACT(CELL("address",G123), "\$([A-Z]+)\$[0-9]+"))</f>
        <v/>
      </c>
      <c r="H123" s="7" t="str" cm="1">
        <f t="array" aca="1" ref="H123" ca="1">IFERROR(IF(OR('Raw Data'!H123="",LEN(TRIM('Raw Data'!H123))=0),"",IF(AND(ISNUMBER('Raw Data'!H123), IFERROR('Raw Data'!H123 = ROUND('Raw Data'!H123, 2),FALSE)),"",_xlfn.REGEXEXTRACT(CELL("address",H123), "\$([A-Z]+)\$[0-9]+"))),_xlfn.REGEXEXTRACT(CELL("address",H123), "\$([A-Z]+)\$[0-9]+"))</f>
        <v/>
      </c>
      <c r="I123" s="7" t="str" cm="1">
        <f t="array" aca="1" ref="I123" ca="1">IFERROR(IF(OR('Raw Data'!I123="",LEN(TRIM('Raw Data'!I123))=0),"",IF(AND(LEN('Raw Data'!I123) &lt;= 50,LEN('Raw Data'!I123)&gt; 0),"",_xlfn.REGEXEXTRACT(CELL("address",'Raw Data'!I123),"\$([A-Z]+)\$[0-9]+"))),_xlfn.REGEXEXTRACT(CELL("address",'Raw Data'!I123),"\$([A-Z]+)\$[0-9]+"))</f>
        <v/>
      </c>
      <c r="J123" s="7" t="str" cm="1">
        <f t="array" aca="1" ref="J123" ca="1">IFERROR(IF(OR('Raw Data'!J123="",LEN(TRIM('Raw Data'!J123))=0),"",IF(AND(ISNUMBER('Raw Data'!J123),'Raw Data'!J123&gt;=Configuration!$D$2),"",_xlfn.REGEXEXTRACT(CELL("address",'Raw Data'!J123),"\$([A-Z]+)\$[0-9]+"))),_xlfn.REGEXEXTRACT(CELL("address",J123), "\$([A-Z]+)\$[0-9]+"))</f>
        <v/>
      </c>
      <c r="K123" s="7" t="str" cm="1">
        <f t="array" aca="1" ref="K123" ca="1">IFERROR(IF(OR('Raw Data'!K123="",LEN(TRIM('Raw Data'!K123))=0),"",IF(AND(ISNUMBER('Raw Data'!K123), IFERROR('Raw Data'!K123 = ROUND('Raw Data'!K123, 2),FALSE)),"",_xlfn.REGEXEXTRACT(CELL("address",K123), "\$([A-Z]+)\$[0-9]+"))),_xlfn.REGEXEXTRACT(CELL("address",K123), "\$([A-Z]+)\$[0-9]+"))</f>
        <v/>
      </c>
      <c r="L123" s="7" t="str" cm="1">
        <f t="array" aca="1" ref="L123" ca="1">IFERROR(IF(OR('Raw Data'!L123="",LEN(TRIM('Raw Data'!L123))=0),"",IF(AND(ISNUMBER('Raw Data'!L123), IFERROR('Raw Data'!L123 = ROUND('Raw Data'!L123, 2),FALSE)),"",_xlfn.REGEXEXTRACT(CELL("address",L123), "\$([A-Z]+)\$[0-9]+"))),_xlfn.REGEXEXTRACT(CELL("address",L123), "\$([A-Z]+)\$[0-9]+"))</f>
        <v/>
      </c>
      <c r="M123" s="7" t="str" cm="1">
        <f t="array" aca="1" ref="M123" ca="1">IFERROR(IF(OR('Raw Data'!M123="",LEN(TRIM('Raw Data'!M123))=0),"",IF(AND(ISNUMBER('Raw Data'!M123), IFERROR('Raw Data'!M123 = ROUND('Raw Data'!M123, 2),FALSE)),"",_xlfn.REGEXEXTRACT(CELL("address",M123), "\$([A-Z]+)\$[0-9]+"))),_xlfn.REGEXEXTRACT(CELL("address",M123), "\$([A-Z]+)\$[0-9]+"))</f>
        <v/>
      </c>
      <c r="N123" s="7" t="str" cm="1">
        <f t="array" aca="1" ref="N123" ca="1">IFERROR(IF(OR('Raw Data'!N123="",LEN(TRIM('Raw Data'!N123))=0),"",IF(AND(ISNUMBER('Raw Data'!N123), IFERROR('Raw Data'!N123 = ROUND('Raw Data'!N123, 2),FALSE)),"",_xlfn.REGEXEXTRACT(CELL("address",N123), "\$([A-Z]+)\$[0-9]+"))),_xlfn.REGEXEXTRACT(CELL("address",N123), "\$([A-Z]+)\$[0-9]+"))</f>
        <v/>
      </c>
      <c r="O123" s="7" t="str" cm="1">
        <f t="array" aca="1" ref="O123" ca="1">IFERROR(IF(OR('Raw Data'!O123="",LEN(TRIM('Raw Data'!O123))=0),"",IF(AND(ISNUMBER('Raw Data'!O123), IFERROR('Raw Data'!O123 = ROUND('Raw Data'!O123, 2),FALSE)),"",_xlfn.REGEXEXTRACT(CELL("address",O123), "\$([A-Z]+)\$[0-9]+"))),_xlfn.REGEXEXTRACT(CELL("address",O123), "\$([A-Z]+)\$[0-9]+"))</f>
        <v/>
      </c>
      <c r="P123" s="7" t="str" cm="1">
        <f t="array" aca="1" ref="P123" ca="1">IFERROR(IF(OR('Raw Data'!P123="",LEN(TRIM('Raw Data'!P123))=0),"",IF(AND(ISNUMBER('Raw Data'!P123),'Raw Data'!P123&gt;=Configuration!$D$2),"",_xlfn.REGEXEXTRACT(CELL("address",'Raw Data'!P123),"\$([A-Z]+)\$[0-9]+"))),_xlfn.REGEXEXTRACT(CELL("address",P123), "\$([A-Z]+)\$[0-9]+"))</f>
        <v/>
      </c>
      <c r="Q123" s="7" t="str" cm="1">
        <f t="array" aca="1" ref="Q123" ca="1">IFERROR(IF(OR('Raw Data'!Q123="",LEN(TRIM('Raw Data'!Q123))=0),"",IF(AND(ISNUMBER('Raw Data'!Q123),'Raw Data'!Q123&gt;=Configuration!$D$2),"",_xlfn.REGEXEXTRACT(CELL("address",'Raw Data'!Q123),"\$([A-Z]+)\$[0-9]+"))),_xlfn.REGEXEXTRACT(CELL("address",Q123), "\$([A-Z]+)\$[0-9]+"))</f>
        <v/>
      </c>
      <c r="R123" s="7" t="str" cm="1">
        <f t="array" aca="1" ref="R123" ca="1">IFERROR(IF(OR('Raw Data'!R123="",LEN(TRIM('Raw Data'!R123))=0),"",IF(AND(ISNUMBER('Raw Data'!R123), IFERROR('Raw Data'!R123 = ROUND('Raw Data'!R123, 2),FALSE)),"",_xlfn.REGEXEXTRACT(CELL("address",R123), "\$([A-Z]+)\$[0-9]+"))),_xlfn.REGEXEXTRACT(CELL("address",R123), "\$([A-Z]+)\$[0-9]+"))</f>
        <v/>
      </c>
      <c r="S123" s="7" t="str" cm="1">
        <f t="array" aca="1" ref="S123" ca="1">IFERROR(IF(OR('Raw Data'!S123="",LEN(TRIM('Raw Data'!S123))=0),"",IF(AND(ISNUMBER('Raw Data'!S123), IFERROR('Raw Data'!S123 = ROUND('Raw Data'!S123, 2),FALSE)),"",_xlfn.REGEXEXTRACT(CELL("address",S123), "\$([A-Z]+)\$[0-9]+"))),_xlfn.REGEXEXTRACT(CELL("address",S123), "\$([A-Z]+)\$[0-9]+"))</f>
        <v/>
      </c>
      <c r="T123" s="7" t="str" cm="1">
        <f t="array" aca="1" ref="T123" ca="1">IFERROR(IF(OR('Raw Data'!T123="",LEN(TRIM('Raw Data'!T123))=0),"",IF(AND(ISNUMBER('Raw Data'!T123), IFERROR('Raw Data'!T123 = ROUND('Raw Data'!T123, 2),FALSE)),"",_xlfn.REGEXEXTRACT(CELL("address",T123), "\$([A-Z]+)\$[0-9]+"))),_xlfn.REGEXEXTRACT(CELL("address",T123), "\$([A-Z]+)\$[0-9]+"))</f>
        <v/>
      </c>
      <c r="U123" s="7" t="str" cm="1">
        <f t="array" aca="1" ref="U123" ca="1">IFERROR(IF(OR('Raw Data'!U123="",LEN(TRIM('Raw Data'!U123))=0),"",IF(AND(LEN('Raw Data'!U123) &lt;= 5,LEN('Raw Data'!U123)&gt; 0),"",_xlfn.REGEXEXTRACT(CELL("address",'Raw Data'!U123),"\$([A-Z]+)\$[0-9]+"))),_xlfn.REGEXEXTRACT(CELL("address",'Raw Data'!U123),"\$([A-Z]+)\$[0-9]+"))</f>
        <v/>
      </c>
      <c r="V123" s="7" t="str" cm="1">
        <f t="array" aca="1" ref="V123" ca="1">IFERROR(IF(OR('Raw Data'!V123="",LEN(TRIM('Raw Data'!V123))=0),"",IF(AND(ISNUMBER('Raw Data'!V123), IFERROR('Raw Data'!V123 = ROUND('Raw Data'!V123, 2),FALSE)),"",_xlfn.REGEXEXTRACT(CELL("address",V123), "\$([A-Z]+)\$[0-9]+"))),_xlfn.REGEXEXTRACT(CELL("address",V123), "\$([A-Z]+)\$[0-9]+"))</f>
        <v/>
      </c>
      <c r="W123" s="7" t="str" cm="1">
        <f t="array" aca="1" ref="W123" ca="1">IFERROR(IF(OR('Raw Data'!W123="",LEN(TRIM('Raw Data'!W123))=0),"",IF(AND(ISNUMBER('Raw Data'!W123), IFERROR('Raw Data'!W123 = ROUND('Raw Data'!W123, 2),FALSE)),"",_xlfn.REGEXEXTRACT(CELL("address",W123), "\$([A-Z]+)\$[0-9]+"))),_xlfn.REGEXEXTRACT(CELL("address",W123), "\$([A-Z]+)\$[0-9]+"))</f>
        <v/>
      </c>
      <c r="X123" s="7" t="str" cm="1">
        <f t="array" aca="1" ref="X123" ca="1">IFERROR(IF(OR('Raw Data'!X123="",LEN(TRIM('Raw Data'!X123))=0),"",IF(AND(ISNUMBER('Raw Data'!X123), IFERROR('Raw Data'!X123 = ROUND('Raw Data'!X123, 2),FALSE)),"",_xlfn.REGEXEXTRACT(CELL("address",X123), "\$([A-Z]+)\$[0-9]+"))),_xlfn.REGEXEXTRACT(CELL("address",X123), "\$([A-Z]+)\$[0-9]+"))</f>
        <v/>
      </c>
    </row>
    <row r="124" spans="2:24" x14ac:dyDescent="0.25">
      <c r="B124" s="7" t="str" cm="1">
        <f t="array" aca="1" ref="B124" ca="1">IFERROR(IF(OR('Raw Data'!B124="",LEN(TRIM('Raw Data'!B124))=0),"",IF(AND(LEN('Raw Data'!B124) &lt;= 50,LEN('Raw Data'!B124)&gt; 0),"",_xlfn.REGEXEXTRACT(CELL("address",'Raw Data'!B124),"\$([A-Z]+)\$[0-9]+"))),_xlfn.REGEXEXTRACT(CELL("address",'Raw Data'!B124),"\$([A-Z]+)\$[0-9]+"))</f>
        <v/>
      </c>
      <c r="C124" s="7" t="str" cm="1">
        <f t="array" aca="1" ref="C124" ca="1">IFERROR(IF(OR('Raw Data'!C124="",LEN(TRIM('Raw Data'!C124))=0),"",IF(AND(LEN('Raw Data'!C124) &lt;= 50,LEN('Raw Data'!C124)&gt; 0),"",_xlfn.REGEXEXTRACT(CELL("address",'Raw Data'!C124),"\$([A-Z]+)\$[0-9]+"))),_xlfn.REGEXEXTRACT(CELL("address",'Raw Data'!C124),"\$([A-Z]+)\$[0-9]+"))</f>
        <v/>
      </c>
      <c r="D124" s="7" t="str" cm="1">
        <f t="array" aca="1" ref="D124" ca="1">IFERROR(IF(OR('Raw Data'!D124="",LEN(TRIM('Raw Data'!D124))=0),"",IF(AND(LEN('Raw Data'!D124) &lt;= 255,LEN('Raw Data'!D124)&gt; 0),"",_xlfn.REGEXEXTRACT(CELL("address",'Raw Data'!D124),"\$([A-Z]+)\$[0-9]+"))),_xlfn.REGEXEXTRACT(CELL("address",'Raw Data'!D124),"\$([A-Z]+)\$[0-9]+"))</f>
        <v/>
      </c>
      <c r="E124" s="7" t="str" cm="1">
        <f t="array" aca="1" ref="E124" ca="1">IFERROR(IF(OR('Raw Data'!E124="",LEN(TRIM('Raw Data'!E124))=0),"",IF(AND(ISNUMBER('Raw Data'!E124),'Raw Data'!E124&gt;=Configuration!$D$2),"",_xlfn.REGEXEXTRACT(CELL("address",'Raw Data'!E124),"\$([A-Z]+)\$[0-9]+"))),_xlfn.REGEXEXTRACT(CELL("address",E124), "\$([A-Z]+)\$[0-9]+"))</f>
        <v/>
      </c>
      <c r="F124" s="7" t="str" cm="1">
        <f t="array" aca="1" ref="F124" ca="1">IFERROR(IF(OR('Raw Data'!F124="",LEN(TRIM('Raw Data'!F124))=0),"",IF(AND(LEN('Raw Data'!F124) &lt;= 20,LEN('Raw Data'!F124)&gt; 0),"",_xlfn.REGEXEXTRACT(CELL("address",'Raw Data'!F124),"\$([A-Z]+)\$[0-9]+"))),_xlfn.REGEXEXTRACT(CELL("address",'Raw Data'!F124),"\$([A-Z]+)\$[0-9]+"))</f>
        <v/>
      </c>
      <c r="G124" s="7" t="str" cm="1">
        <f t="array" aca="1" ref="G124" ca="1">IFERROR(IF(OR('Raw Data'!G124="",LEN(TRIM('Raw Data'!G124))=0),"",IF(AND(ISNUMBER('Raw Data'!G124), IFERROR('Raw Data'!G124 = ROUND('Raw Data'!G124, 2),FALSE)),"",_xlfn.REGEXEXTRACT(CELL("address",G124), "\$([A-Z]+)\$[0-9]+"))),_xlfn.REGEXEXTRACT(CELL("address",G124), "\$([A-Z]+)\$[0-9]+"))</f>
        <v/>
      </c>
      <c r="H124" s="7" t="str" cm="1">
        <f t="array" aca="1" ref="H124" ca="1">IFERROR(IF(OR('Raw Data'!H124="",LEN(TRIM('Raw Data'!H124))=0),"",IF(AND(ISNUMBER('Raw Data'!H124), IFERROR('Raw Data'!H124 = ROUND('Raw Data'!H124, 2),FALSE)),"",_xlfn.REGEXEXTRACT(CELL("address",H124), "\$([A-Z]+)\$[0-9]+"))),_xlfn.REGEXEXTRACT(CELL("address",H124), "\$([A-Z]+)\$[0-9]+"))</f>
        <v/>
      </c>
      <c r="I124" s="7" t="str" cm="1">
        <f t="array" aca="1" ref="I124" ca="1">IFERROR(IF(OR('Raw Data'!I124="",LEN(TRIM('Raw Data'!I124))=0),"",IF(AND(LEN('Raw Data'!I124) &lt;= 50,LEN('Raw Data'!I124)&gt; 0),"",_xlfn.REGEXEXTRACT(CELL("address",'Raw Data'!I124),"\$([A-Z]+)\$[0-9]+"))),_xlfn.REGEXEXTRACT(CELL("address",'Raw Data'!I124),"\$([A-Z]+)\$[0-9]+"))</f>
        <v/>
      </c>
      <c r="J124" s="7" t="str" cm="1">
        <f t="array" aca="1" ref="J124" ca="1">IFERROR(IF(OR('Raw Data'!J124="",LEN(TRIM('Raw Data'!J124))=0),"",IF(AND(ISNUMBER('Raw Data'!J124),'Raw Data'!J124&gt;=Configuration!$D$2),"",_xlfn.REGEXEXTRACT(CELL("address",'Raw Data'!J124),"\$([A-Z]+)\$[0-9]+"))),_xlfn.REGEXEXTRACT(CELL("address",J124), "\$([A-Z]+)\$[0-9]+"))</f>
        <v/>
      </c>
      <c r="K124" s="7" t="str" cm="1">
        <f t="array" aca="1" ref="K124" ca="1">IFERROR(IF(OR('Raw Data'!K124="",LEN(TRIM('Raw Data'!K124))=0),"",IF(AND(ISNUMBER('Raw Data'!K124), IFERROR('Raw Data'!K124 = ROUND('Raw Data'!K124, 2),FALSE)),"",_xlfn.REGEXEXTRACT(CELL("address",K124), "\$([A-Z]+)\$[0-9]+"))),_xlfn.REGEXEXTRACT(CELL("address",K124), "\$([A-Z]+)\$[0-9]+"))</f>
        <v/>
      </c>
      <c r="L124" s="7" t="str" cm="1">
        <f t="array" aca="1" ref="L124" ca="1">IFERROR(IF(OR('Raw Data'!L124="",LEN(TRIM('Raw Data'!L124))=0),"",IF(AND(ISNUMBER('Raw Data'!L124), IFERROR('Raw Data'!L124 = ROUND('Raw Data'!L124, 2),FALSE)),"",_xlfn.REGEXEXTRACT(CELL("address",L124), "\$([A-Z]+)\$[0-9]+"))),_xlfn.REGEXEXTRACT(CELL("address",L124), "\$([A-Z]+)\$[0-9]+"))</f>
        <v/>
      </c>
      <c r="M124" s="7" t="str" cm="1">
        <f t="array" aca="1" ref="M124" ca="1">IFERROR(IF(OR('Raw Data'!M124="",LEN(TRIM('Raw Data'!M124))=0),"",IF(AND(ISNUMBER('Raw Data'!M124), IFERROR('Raw Data'!M124 = ROUND('Raw Data'!M124, 2),FALSE)),"",_xlfn.REGEXEXTRACT(CELL("address",M124), "\$([A-Z]+)\$[0-9]+"))),_xlfn.REGEXEXTRACT(CELL("address",M124), "\$([A-Z]+)\$[0-9]+"))</f>
        <v/>
      </c>
      <c r="N124" s="7" t="str" cm="1">
        <f t="array" aca="1" ref="N124" ca="1">IFERROR(IF(OR('Raw Data'!N124="",LEN(TRIM('Raw Data'!N124))=0),"",IF(AND(ISNUMBER('Raw Data'!N124), IFERROR('Raw Data'!N124 = ROUND('Raw Data'!N124, 2),FALSE)),"",_xlfn.REGEXEXTRACT(CELL("address",N124), "\$([A-Z]+)\$[0-9]+"))),_xlfn.REGEXEXTRACT(CELL("address",N124), "\$([A-Z]+)\$[0-9]+"))</f>
        <v/>
      </c>
      <c r="O124" s="7" t="str" cm="1">
        <f t="array" aca="1" ref="O124" ca="1">IFERROR(IF(OR('Raw Data'!O124="",LEN(TRIM('Raw Data'!O124))=0),"",IF(AND(ISNUMBER('Raw Data'!O124), IFERROR('Raw Data'!O124 = ROUND('Raw Data'!O124, 2),FALSE)),"",_xlfn.REGEXEXTRACT(CELL("address",O124), "\$([A-Z]+)\$[0-9]+"))),_xlfn.REGEXEXTRACT(CELL("address",O124), "\$([A-Z]+)\$[0-9]+"))</f>
        <v/>
      </c>
      <c r="P124" s="7" t="str" cm="1">
        <f t="array" aca="1" ref="P124" ca="1">IFERROR(IF(OR('Raw Data'!P124="",LEN(TRIM('Raw Data'!P124))=0),"",IF(AND(ISNUMBER('Raw Data'!P124),'Raw Data'!P124&gt;=Configuration!$D$2),"",_xlfn.REGEXEXTRACT(CELL("address",'Raw Data'!P124),"\$([A-Z]+)\$[0-9]+"))),_xlfn.REGEXEXTRACT(CELL("address",P124), "\$([A-Z]+)\$[0-9]+"))</f>
        <v/>
      </c>
      <c r="Q124" s="7" t="str" cm="1">
        <f t="array" aca="1" ref="Q124" ca="1">IFERROR(IF(OR('Raw Data'!Q124="",LEN(TRIM('Raw Data'!Q124))=0),"",IF(AND(ISNUMBER('Raw Data'!Q124),'Raw Data'!Q124&gt;=Configuration!$D$2),"",_xlfn.REGEXEXTRACT(CELL("address",'Raw Data'!Q124),"\$([A-Z]+)\$[0-9]+"))),_xlfn.REGEXEXTRACT(CELL("address",Q124), "\$([A-Z]+)\$[0-9]+"))</f>
        <v/>
      </c>
      <c r="R124" s="7" t="str" cm="1">
        <f t="array" aca="1" ref="R124" ca="1">IFERROR(IF(OR('Raw Data'!R124="",LEN(TRIM('Raw Data'!R124))=0),"",IF(AND(ISNUMBER('Raw Data'!R124), IFERROR('Raw Data'!R124 = ROUND('Raw Data'!R124, 2),FALSE)),"",_xlfn.REGEXEXTRACT(CELL("address",R124), "\$([A-Z]+)\$[0-9]+"))),_xlfn.REGEXEXTRACT(CELL("address",R124), "\$([A-Z]+)\$[0-9]+"))</f>
        <v/>
      </c>
      <c r="S124" s="7" t="str" cm="1">
        <f t="array" aca="1" ref="S124" ca="1">IFERROR(IF(OR('Raw Data'!S124="",LEN(TRIM('Raw Data'!S124))=0),"",IF(AND(ISNUMBER('Raw Data'!S124), IFERROR('Raw Data'!S124 = ROUND('Raw Data'!S124, 2),FALSE)),"",_xlfn.REGEXEXTRACT(CELL("address",S124), "\$([A-Z]+)\$[0-9]+"))),_xlfn.REGEXEXTRACT(CELL("address",S124), "\$([A-Z]+)\$[0-9]+"))</f>
        <v/>
      </c>
      <c r="T124" s="7" t="str" cm="1">
        <f t="array" aca="1" ref="T124" ca="1">IFERROR(IF(OR('Raw Data'!T124="",LEN(TRIM('Raw Data'!T124))=0),"",IF(AND(ISNUMBER('Raw Data'!T124), IFERROR('Raw Data'!T124 = ROUND('Raw Data'!T124, 2),FALSE)),"",_xlfn.REGEXEXTRACT(CELL("address",T124), "\$([A-Z]+)\$[0-9]+"))),_xlfn.REGEXEXTRACT(CELL("address",T124), "\$([A-Z]+)\$[0-9]+"))</f>
        <v/>
      </c>
      <c r="U124" s="7" t="str" cm="1">
        <f t="array" aca="1" ref="U124" ca="1">IFERROR(IF(OR('Raw Data'!U124="",LEN(TRIM('Raw Data'!U124))=0),"",IF(AND(LEN('Raw Data'!U124) &lt;= 5,LEN('Raw Data'!U124)&gt; 0),"",_xlfn.REGEXEXTRACT(CELL("address",'Raw Data'!U124),"\$([A-Z]+)\$[0-9]+"))),_xlfn.REGEXEXTRACT(CELL("address",'Raw Data'!U124),"\$([A-Z]+)\$[0-9]+"))</f>
        <v/>
      </c>
      <c r="V124" s="7" t="str" cm="1">
        <f t="array" aca="1" ref="V124" ca="1">IFERROR(IF(OR('Raw Data'!V124="",LEN(TRIM('Raw Data'!V124))=0),"",IF(AND(ISNUMBER('Raw Data'!V124), IFERROR('Raw Data'!V124 = ROUND('Raw Data'!V124, 2),FALSE)),"",_xlfn.REGEXEXTRACT(CELL("address",V124), "\$([A-Z]+)\$[0-9]+"))),_xlfn.REGEXEXTRACT(CELL("address",V124), "\$([A-Z]+)\$[0-9]+"))</f>
        <v/>
      </c>
      <c r="W124" s="7" t="str" cm="1">
        <f t="array" aca="1" ref="W124" ca="1">IFERROR(IF(OR('Raw Data'!W124="",LEN(TRIM('Raw Data'!W124))=0),"",IF(AND(ISNUMBER('Raw Data'!W124), IFERROR('Raw Data'!W124 = ROUND('Raw Data'!W124, 2),FALSE)),"",_xlfn.REGEXEXTRACT(CELL("address",W124), "\$([A-Z]+)\$[0-9]+"))),_xlfn.REGEXEXTRACT(CELL("address",W124), "\$([A-Z]+)\$[0-9]+"))</f>
        <v/>
      </c>
      <c r="X124" s="7" t="str" cm="1">
        <f t="array" aca="1" ref="X124" ca="1">IFERROR(IF(OR('Raw Data'!X124="",LEN(TRIM('Raw Data'!X124))=0),"",IF(AND(ISNUMBER('Raw Data'!X124), IFERROR('Raw Data'!X124 = ROUND('Raw Data'!X124, 2),FALSE)),"",_xlfn.REGEXEXTRACT(CELL("address",X124), "\$([A-Z]+)\$[0-9]+"))),_xlfn.REGEXEXTRACT(CELL("address",X124), "\$([A-Z]+)\$[0-9]+"))</f>
        <v/>
      </c>
    </row>
    <row r="125" spans="2:24" x14ac:dyDescent="0.25">
      <c r="B125" s="7" t="str" cm="1">
        <f t="array" aca="1" ref="B125" ca="1">IFERROR(IF(OR('Raw Data'!B125="",LEN(TRIM('Raw Data'!B125))=0),"",IF(AND(LEN('Raw Data'!B125) &lt;= 50,LEN('Raw Data'!B125)&gt; 0),"",_xlfn.REGEXEXTRACT(CELL("address",'Raw Data'!B125),"\$([A-Z]+)\$[0-9]+"))),_xlfn.REGEXEXTRACT(CELL("address",'Raw Data'!B125),"\$([A-Z]+)\$[0-9]+"))</f>
        <v/>
      </c>
      <c r="C125" s="7" t="str" cm="1">
        <f t="array" aca="1" ref="C125" ca="1">IFERROR(IF(OR('Raw Data'!C125="",LEN(TRIM('Raw Data'!C125))=0),"",IF(AND(LEN('Raw Data'!C125) &lt;= 50,LEN('Raw Data'!C125)&gt; 0),"",_xlfn.REGEXEXTRACT(CELL("address",'Raw Data'!C125),"\$([A-Z]+)\$[0-9]+"))),_xlfn.REGEXEXTRACT(CELL("address",'Raw Data'!C125),"\$([A-Z]+)\$[0-9]+"))</f>
        <v/>
      </c>
      <c r="D125" s="7" t="str" cm="1">
        <f t="array" aca="1" ref="D125" ca="1">IFERROR(IF(OR('Raw Data'!D125="",LEN(TRIM('Raw Data'!D125))=0),"",IF(AND(LEN('Raw Data'!D125) &lt;= 255,LEN('Raw Data'!D125)&gt; 0),"",_xlfn.REGEXEXTRACT(CELL("address",'Raw Data'!D125),"\$([A-Z]+)\$[0-9]+"))),_xlfn.REGEXEXTRACT(CELL("address",'Raw Data'!D125),"\$([A-Z]+)\$[0-9]+"))</f>
        <v/>
      </c>
      <c r="E125" s="7" t="str" cm="1">
        <f t="array" aca="1" ref="E125" ca="1">IFERROR(IF(OR('Raw Data'!E125="",LEN(TRIM('Raw Data'!E125))=0),"",IF(AND(ISNUMBER('Raw Data'!E125),'Raw Data'!E125&gt;=Configuration!$D$2),"",_xlfn.REGEXEXTRACT(CELL("address",'Raw Data'!E125),"\$([A-Z]+)\$[0-9]+"))),_xlfn.REGEXEXTRACT(CELL("address",E125), "\$([A-Z]+)\$[0-9]+"))</f>
        <v/>
      </c>
      <c r="F125" s="7" t="str" cm="1">
        <f t="array" aca="1" ref="F125" ca="1">IFERROR(IF(OR('Raw Data'!F125="",LEN(TRIM('Raw Data'!F125))=0),"",IF(AND(LEN('Raw Data'!F125) &lt;= 20,LEN('Raw Data'!F125)&gt; 0),"",_xlfn.REGEXEXTRACT(CELL("address",'Raw Data'!F125),"\$([A-Z]+)\$[0-9]+"))),_xlfn.REGEXEXTRACT(CELL("address",'Raw Data'!F125),"\$([A-Z]+)\$[0-9]+"))</f>
        <v/>
      </c>
      <c r="G125" s="7" t="str" cm="1">
        <f t="array" aca="1" ref="G125" ca="1">IFERROR(IF(OR('Raw Data'!G125="",LEN(TRIM('Raw Data'!G125))=0),"",IF(AND(ISNUMBER('Raw Data'!G125), IFERROR('Raw Data'!G125 = ROUND('Raw Data'!G125, 2),FALSE)),"",_xlfn.REGEXEXTRACT(CELL("address",G125), "\$([A-Z]+)\$[0-9]+"))),_xlfn.REGEXEXTRACT(CELL("address",G125), "\$([A-Z]+)\$[0-9]+"))</f>
        <v/>
      </c>
      <c r="H125" s="7" t="str" cm="1">
        <f t="array" aca="1" ref="H125" ca="1">IFERROR(IF(OR('Raw Data'!H125="",LEN(TRIM('Raw Data'!H125))=0),"",IF(AND(ISNUMBER('Raw Data'!H125), IFERROR('Raw Data'!H125 = ROUND('Raw Data'!H125, 2),FALSE)),"",_xlfn.REGEXEXTRACT(CELL("address",H125), "\$([A-Z]+)\$[0-9]+"))),_xlfn.REGEXEXTRACT(CELL("address",H125), "\$([A-Z]+)\$[0-9]+"))</f>
        <v/>
      </c>
      <c r="I125" s="7" t="str" cm="1">
        <f t="array" aca="1" ref="I125" ca="1">IFERROR(IF(OR('Raw Data'!I125="",LEN(TRIM('Raw Data'!I125))=0),"",IF(AND(LEN('Raw Data'!I125) &lt;= 50,LEN('Raw Data'!I125)&gt; 0),"",_xlfn.REGEXEXTRACT(CELL("address",'Raw Data'!I125),"\$([A-Z]+)\$[0-9]+"))),_xlfn.REGEXEXTRACT(CELL("address",'Raw Data'!I125),"\$([A-Z]+)\$[0-9]+"))</f>
        <v/>
      </c>
      <c r="J125" s="7" t="str" cm="1">
        <f t="array" aca="1" ref="J125" ca="1">IFERROR(IF(OR('Raw Data'!J125="",LEN(TRIM('Raw Data'!J125))=0),"",IF(AND(ISNUMBER('Raw Data'!J125),'Raw Data'!J125&gt;=Configuration!$D$2),"",_xlfn.REGEXEXTRACT(CELL("address",'Raw Data'!J125),"\$([A-Z]+)\$[0-9]+"))),_xlfn.REGEXEXTRACT(CELL("address",J125), "\$([A-Z]+)\$[0-9]+"))</f>
        <v/>
      </c>
      <c r="K125" s="7" t="str" cm="1">
        <f t="array" aca="1" ref="K125" ca="1">IFERROR(IF(OR('Raw Data'!K125="",LEN(TRIM('Raw Data'!K125))=0),"",IF(AND(ISNUMBER('Raw Data'!K125), IFERROR('Raw Data'!K125 = ROUND('Raw Data'!K125, 2),FALSE)),"",_xlfn.REGEXEXTRACT(CELL("address",K125), "\$([A-Z]+)\$[0-9]+"))),_xlfn.REGEXEXTRACT(CELL("address",K125), "\$([A-Z]+)\$[0-9]+"))</f>
        <v/>
      </c>
      <c r="L125" s="7" t="str" cm="1">
        <f t="array" aca="1" ref="L125" ca="1">IFERROR(IF(OR('Raw Data'!L125="",LEN(TRIM('Raw Data'!L125))=0),"",IF(AND(ISNUMBER('Raw Data'!L125), IFERROR('Raw Data'!L125 = ROUND('Raw Data'!L125, 2),FALSE)),"",_xlfn.REGEXEXTRACT(CELL("address",L125), "\$([A-Z]+)\$[0-9]+"))),_xlfn.REGEXEXTRACT(CELL("address",L125), "\$([A-Z]+)\$[0-9]+"))</f>
        <v/>
      </c>
      <c r="M125" s="7" t="str" cm="1">
        <f t="array" aca="1" ref="M125" ca="1">IFERROR(IF(OR('Raw Data'!M125="",LEN(TRIM('Raw Data'!M125))=0),"",IF(AND(ISNUMBER('Raw Data'!M125), IFERROR('Raw Data'!M125 = ROUND('Raw Data'!M125, 2),FALSE)),"",_xlfn.REGEXEXTRACT(CELL("address",M125), "\$([A-Z]+)\$[0-9]+"))),_xlfn.REGEXEXTRACT(CELL("address",M125), "\$([A-Z]+)\$[0-9]+"))</f>
        <v/>
      </c>
      <c r="N125" s="7" t="str" cm="1">
        <f t="array" aca="1" ref="N125" ca="1">IFERROR(IF(OR('Raw Data'!N125="",LEN(TRIM('Raw Data'!N125))=0),"",IF(AND(ISNUMBER('Raw Data'!N125), IFERROR('Raw Data'!N125 = ROUND('Raw Data'!N125, 2),FALSE)),"",_xlfn.REGEXEXTRACT(CELL("address",N125), "\$([A-Z]+)\$[0-9]+"))),_xlfn.REGEXEXTRACT(CELL("address",N125), "\$([A-Z]+)\$[0-9]+"))</f>
        <v/>
      </c>
      <c r="O125" s="7" t="str" cm="1">
        <f t="array" aca="1" ref="O125" ca="1">IFERROR(IF(OR('Raw Data'!O125="",LEN(TRIM('Raw Data'!O125))=0),"",IF(AND(ISNUMBER('Raw Data'!O125), IFERROR('Raw Data'!O125 = ROUND('Raw Data'!O125, 2),FALSE)),"",_xlfn.REGEXEXTRACT(CELL("address",O125), "\$([A-Z]+)\$[0-9]+"))),_xlfn.REGEXEXTRACT(CELL("address",O125), "\$([A-Z]+)\$[0-9]+"))</f>
        <v/>
      </c>
      <c r="P125" s="7" t="str" cm="1">
        <f t="array" aca="1" ref="P125" ca="1">IFERROR(IF(OR('Raw Data'!P125="",LEN(TRIM('Raw Data'!P125))=0),"",IF(AND(ISNUMBER('Raw Data'!P125),'Raw Data'!P125&gt;=Configuration!$D$2),"",_xlfn.REGEXEXTRACT(CELL("address",'Raw Data'!P125),"\$([A-Z]+)\$[0-9]+"))),_xlfn.REGEXEXTRACT(CELL("address",P125), "\$([A-Z]+)\$[0-9]+"))</f>
        <v/>
      </c>
      <c r="Q125" s="7" t="str" cm="1">
        <f t="array" aca="1" ref="Q125" ca="1">IFERROR(IF(OR('Raw Data'!Q125="",LEN(TRIM('Raw Data'!Q125))=0),"",IF(AND(ISNUMBER('Raw Data'!Q125),'Raw Data'!Q125&gt;=Configuration!$D$2),"",_xlfn.REGEXEXTRACT(CELL("address",'Raw Data'!Q125),"\$([A-Z]+)\$[0-9]+"))),_xlfn.REGEXEXTRACT(CELL("address",Q125), "\$([A-Z]+)\$[0-9]+"))</f>
        <v/>
      </c>
      <c r="R125" s="7" t="str" cm="1">
        <f t="array" aca="1" ref="R125" ca="1">IFERROR(IF(OR('Raw Data'!R125="",LEN(TRIM('Raw Data'!R125))=0),"",IF(AND(ISNUMBER('Raw Data'!R125), IFERROR('Raw Data'!R125 = ROUND('Raw Data'!R125, 2),FALSE)),"",_xlfn.REGEXEXTRACT(CELL("address",R125), "\$([A-Z]+)\$[0-9]+"))),_xlfn.REGEXEXTRACT(CELL("address",R125), "\$([A-Z]+)\$[0-9]+"))</f>
        <v/>
      </c>
      <c r="S125" s="7" t="str" cm="1">
        <f t="array" aca="1" ref="S125" ca="1">IFERROR(IF(OR('Raw Data'!S125="",LEN(TRIM('Raw Data'!S125))=0),"",IF(AND(ISNUMBER('Raw Data'!S125), IFERROR('Raw Data'!S125 = ROUND('Raw Data'!S125, 2),FALSE)),"",_xlfn.REGEXEXTRACT(CELL("address",S125), "\$([A-Z]+)\$[0-9]+"))),_xlfn.REGEXEXTRACT(CELL("address",S125), "\$([A-Z]+)\$[0-9]+"))</f>
        <v/>
      </c>
      <c r="T125" s="7" t="str" cm="1">
        <f t="array" aca="1" ref="T125" ca="1">IFERROR(IF(OR('Raw Data'!T125="",LEN(TRIM('Raw Data'!T125))=0),"",IF(AND(ISNUMBER('Raw Data'!T125), IFERROR('Raw Data'!T125 = ROUND('Raw Data'!T125, 2),FALSE)),"",_xlfn.REGEXEXTRACT(CELL("address",T125), "\$([A-Z]+)\$[0-9]+"))),_xlfn.REGEXEXTRACT(CELL("address",T125), "\$([A-Z]+)\$[0-9]+"))</f>
        <v/>
      </c>
      <c r="U125" s="7" t="str" cm="1">
        <f t="array" aca="1" ref="U125" ca="1">IFERROR(IF(OR('Raw Data'!U125="",LEN(TRIM('Raw Data'!U125))=0),"",IF(AND(LEN('Raw Data'!U125) &lt;= 5,LEN('Raw Data'!U125)&gt; 0),"",_xlfn.REGEXEXTRACT(CELL("address",'Raw Data'!U125),"\$([A-Z]+)\$[0-9]+"))),_xlfn.REGEXEXTRACT(CELL("address",'Raw Data'!U125),"\$([A-Z]+)\$[0-9]+"))</f>
        <v/>
      </c>
      <c r="V125" s="7" t="str" cm="1">
        <f t="array" aca="1" ref="V125" ca="1">IFERROR(IF(OR('Raw Data'!V125="",LEN(TRIM('Raw Data'!V125))=0),"",IF(AND(ISNUMBER('Raw Data'!V125), IFERROR('Raw Data'!V125 = ROUND('Raw Data'!V125, 2),FALSE)),"",_xlfn.REGEXEXTRACT(CELL("address",V125), "\$([A-Z]+)\$[0-9]+"))),_xlfn.REGEXEXTRACT(CELL("address",V125), "\$([A-Z]+)\$[0-9]+"))</f>
        <v/>
      </c>
      <c r="W125" s="7" t="str" cm="1">
        <f t="array" aca="1" ref="W125" ca="1">IFERROR(IF(OR('Raw Data'!W125="",LEN(TRIM('Raw Data'!W125))=0),"",IF(AND(ISNUMBER('Raw Data'!W125), IFERROR('Raw Data'!W125 = ROUND('Raw Data'!W125, 2),FALSE)),"",_xlfn.REGEXEXTRACT(CELL("address",W125), "\$([A-Z]+)\$[0-9]+"))),_xlfn.REGEXEXTRACT(CELL("address",W125), "\$([A-Z]+)\$[0-9]+"))</f>
        <v/>
      </c>
      <c r="X125" s="7" t="str" cm="1">
        <f t="array" aca="1" ref="X125" ca="1">IFERROR(IF(OR('Raw Data'!X125="",LEN(TRIM('Raw Data'!X125))=0),"",IF(AND(ISNUMBER('Raw Data'!X125), IFERROR('Raw Data'!X125 = ROUND('Raw Data'!X125, 2),FALSE)),"",_xlfn.REGEXEXTRACT(CELL("address",X125), "\$([A-Z]+)\$[0-9]+"))),_xlfn.REGEXEXTRACT(CELL("address",X125), "\$([A-Z]+)\$[0-9]+"))</f>
        <v/>
      </c>
    </row>
    <row r="126" spans="2:24" x14ac:dyDescent="0.25">
      <c r="B126" s="7" t="str" cm="1">
        <f t="array" aca="1" ref="B126" ca="1">IFERROR(IF(OR('Raw Data'!B126="",LEN(TRIM('Raw Data'!B126))=0),"",IF(AND(LEN('Raw Data'!B126) &lt;= 50,LEN('Raw Data'!B126)&gt; 0),"",_xlfn.REGEXEXTRACT(CELL("address",'Raw Data'!B126),"\$([A-Z]+)\$[0-9]+"))),_xlfn.REGEXEXTRACT(CELL("address",'Raw Data'!B126),"\$([A-Z]+)\$[0-9]+"))</f>
        <v/>
      </c>
      <c r="C126" s="7" t="str" cm="1">
        <f t="array" aca="1" ref="C126" ca="1">IFERROR(IF(OR('Raw Data'!C126="",LEN(TRIM('Raw Data'!C126))=0),"",IF(AND(LEN('Raw Data'!C126) &lt;= 50,LEN('Raw Data'!C126)&gt; 0),"",_xlfn.REGEXEXTRACT(CELL("address",'Raw Data'!C126),"\$([A-Z]+)\$[0-9]+"))),_xlfn.REGEXEXTRACT(CELL("address",'Raw Data'!C126),"\$([A-Z]+)\$[0-9]+"))</f>
        <v/>
      </c>
      <c r="D126" s="7" t="str" cm="1">
        <f t="array" aca="1" ref="D126" ca="1">IFERROR(IF(OR('Raw Data'!D126="",LEN(TRIM('Raw Data'!D126))=0),"",IF(AND(LEN('Raw Data'!D126) &lt;= 255,LEN('Raw Data'!D126)&gt; 0),"",_xlfn.REGEXEXTRACT(CELL("address",'Raw Data'!D126),"\$([A-Z]+)\$[0-9]+"))),_xlfn.REGEXEXTRACT(CELL("address",'Raw Data'!D126),"\$([A-Z]+)\$[0-9]+"))</f>
        <v/>
      </c>
      <c r="E126" s="7" t="str" cm="1">
        <f t="array" aca="1" ref="E126" ca="1">IFERROR(IF(OR('Raw Data'!E126="",LEN(TRIM('Raw Data'!E126))=0),"",IF(AND(ISNUMBER('Raw Data'!E126),'Raw Data'!E126&gt;=Configuration!$D$2),"",_xlfn.REGEXEXTRACT(CELL("address",'Raw Data'!E126),"\$([A-Z]+)\$[0-9]+"))),_xlfn.REGEXEXTRACT(CELL("address",E126), "\$([A-Z]+)\$[0-9]+"))</f>
        <v/>
      </c>
      <c r="F126" s="7" t="str" cm="1">
        <f t="array" aca="1" ref="F126" ca="1">IFERROR(IF(OR('Raw Data'!F126="",LEN(TRIM('Raw Data'!F126))=0),"",IF(AND(LEN('Raw Data'!F126) &lt;= 20,LEN('Raw Data'!F126)&gt; 0),"",_xlfn.REGEXEXTRACT(CELL("address",'Raw Data'!F126),"\$([A-Z]+)\$[0-9]+"))),_xlfn.REGEXEXTRACT(CELL("address",'Raw Data'!F126),"\$([A-Z]+)\$[0-9]+"))</f>
        <v/>
      </c>
      <c r="G126" s="7" t="str" cm="1">
        <f t="array" aca="1" ref="G126" ca="1">IFERROR(IF(OR('Raw Data'!G126="",LEN(TRIM('Raw Data'!G126))=0),"",IF(AND(ISNUMBER('Raw Data'!G126), IFERROR('Raw Data'!G126 = ROUND('Raw Data'!G126, 2),FALSE)),"",_xlfn.REGEXEXTRACT(CELL("address",G126), "\$([A-Z]+)\$[0-9]+"))),_xlfn.REGEXEXTRACT(CELL("address",G126), "\$([A-Z]+)\$[0-9]+"))</f>
        <v/>
      </c>
      <c r="H126" s="7" t="str" cm="1">
        <f t="array" aca="1" ref="H126" ca="1">IFERROR(IF(OR('Raw Data'!H126="",LEN(TRIM('Raw Data'!H126))=0),"",IF(AND(ISNUMBER('Raw Data'!H126), IFERROR('Raw Data'!H126 = ROUND('Raw Data'!H126, 2),FALSE)),"",_xlfn.REGEXEXTRACT(CELL("address",H126), "\$([A-Z]+)\$[0-9]+"))),_xlfn.REGEXEXTRACT(CELL("address",H126), "\$([A-Z]+)\$[0-9]+"))</f>
        <v/>
      </c>
      <c r="I126" s="7" t="str" cm="1">
        <f t="array" aca="1" ref="I126" ca="1">IFERROR(IF(OR('Raw Data'!I126="",LEN(TRIM('Raw Data'!I126))=0),"",IF(AND(LEN('Raw Data'!I126) &lt;= 50,LEN('Raw Data'!I126)&gt; 0),"",_xlfn.REGEXEXTRACT(CELL("address",'Raw Data'!I126),"\$([A-Z]+)\$[0-9]+"))),_xlfn.REGEXEXTRACT(CELL("address",'Raw Data'!I126),"\$([A-Z]+)\$[0-9]+"))</f>
        <v/>
      </c>
      <c r="J126" s="7" t="str" cm="1">
        <f t="array" aca="1" ref="J126" ca="1">IFERROR(IF(OR('Raw Data'!J126="",LEN(TRIM('Raw Data'!J126))=0),"",IF(AND(ISNUMBER('Raw Data'!J126),'Raw Data'!J126&gt;=Configuration!$D$2),"",_xlfn.REGEXEXTRACT(CELL("address",'Raw Data'!J126),"\$([A-Z]+)\$[0-9]+"))),_xlfn.REGEXEXTRACT(CELL("address",J126), "\$([A-Z]+)\$[0-9]+"))</f>
        <v/>
      </c>
      <c r="K126" s="7" t="str" cm="1">
        <f t="array" aca="1" ref="K126" ca="1">IFERROR(IF(OR('Raw Data'!K126="",LEN(TRIM('Raw Data'!K126))=0),"",IF(AND(ISNUMBER('Raw Data'!K126), IFERROR('Raw Data'!K126 = ROUND('Raw Data'!K126, 2),FALSE)),"",_xlfn.REGEXEXTRACT(CELL("address",K126), "\$([A-Z]+)\$[0-9]+"))),_xlfn.REGEXEXTRACT(CELL("address",K126), "\$([A-Z]+)\$[0-9]+"))</f>
        <v/>
      </c>
      <c r="L126" s="7" t="str" cm="1">
        <f t="array" aca="1" ref="L126" ca="1">IFERROR(IF(OR('Raw Data'!L126="",LEN(TRIM('Raw Data'!L126))=0),"",IF(AND(ISNUMBER('Raw Data'!L126), IFERROR('Raw Data'!L126 = ROUND('Raw Data'!L126, 2),FALSE)),"",_xlfn.REGEXEXTRACT(CELL("address",L126), "\$([A-Z]+)\$[0-9]+"))),_xlfn.REGEXEXTRACT(CELL("address",L126), "\$([A-Z]+)\$[0-9]+"))</f>
        <v/>
      </c>
      <c r="M126" s="7" t="str" cm="1">
        <f t="array" aca="1" ref="M126" ca="1">IFERROR(IF(OR('Raw Data'!M126="",LEN(TRIM('Raw Data'!M126))=0),"",IF(AND(ISNUMBER('Raw Data'!M126), IFERROR('Raw Data'!M126 = ROUND('Raw Data'!M126, 2),FALSE)),"",_xlfn.REGEXEXTRACT(CELL("address",M126), "\$([A-Z]+)\$[0-9]+"))),_xlfn.REGEXEXTRACT(CELL("address",M126), "\$([A-Z]+)\$[0-9]+"))</f>
        <v/>
      </c>
      <c r="N126" s="7" t="str" cm="1">
        <f t="array" aca="1" ref="N126" ca="1">IFERROR(IF(OR('Raw Data'!N126="",LEN(TRIM('Raw Data'!N126))=0),"",IF(AND(ISNUMBER('Raw Data'!N126), IFERROR('Raw Data'!N126 = ROUND('Raw Data'!N126, 2),FALSE)),"",_xlfn.REGEXEXTRACT(CELL("address",N126), "\$([A-Z]+)\$[0-9]+"))),_xlfn.REGEXEXTRACT(CELL("address",N126), "\$([A-Z]+)\$[0-9]+"))</f>
        <v/>
      </c>
      <c r="O126" s="7" t="str" cm="1">
        <f t="array" aca="1" ref="O126" ca="1">IFERROR(IF(OR('Raw Data'!O126="",LEN(TRIM('Raw Data'!O126))=0),"",IF(AND(ISNUMBER('Raw Data'!O126), IFERROR('Raw Data'!O126 = ROUND('Raw Data'!O126, 2),FALSE)),"",_xlfn.REGEXEXTRACT(CELL("address",O126), "\$([A-Z]+)\$[0-9]+"))),_xlfn.REGEXEXTRACT(CELL("address",O126), "\$([A-Z]+)\$[0-9]+"))</f>
        <v/>
      </c>
      <c r="P126" s="7" t="str" cm="1">
        <f t="array" aca="1" ref="P126" ca="1">IFERROR(IF(OR('Raw Data'!P126="",LEN(TRIM('Raw Data'!P126))=0),"",IF(AND(ISNUMBER('Raw Data'!P126),'Raw Data'!P126&gt;=Configuration!$D$2),"",_xlfn.REGEXEXTRACT(CELL("address",'Raw Data'!P126),"\$([A-Z]+)\$[0-9]+"))),_xlfn.REGEXEXTRACT(CELL("address",P126), "\$([A-Z]+)\$[0-9]+"))</f>
        <v/>
      </c>
      <c r="Q126" s="7" t="str" cm="1">
        <f t="array" aca="1" ref="Q126" ca="1">IFERROR(IF(OR('Raw Data'!Q126="",LEN(TRIM('Raw Data'!Q126))=0),"",IF(AND(ISNUMBER('Raw Data'!Q126),'Raw Data'!Q126&gt;=Configuration!$D$2),"",_xlfn.REGEXEXTRACT(CELL("address",'Raw Data'!Q126),"\$([A-Z]+)\$[0-9]+"))),_xlfn.REGEXEXTRACT(CELL("address",Q126), "\$([A-Z]+)\$[0-9]+"))</f>
        <v/>
      </c>
      <c r="R126" s="7" t="str" cm="1">
        <f t="array" aca="1" ref="R126" ca="1">IFERROR(IF(OR('Raw Data'!R126="",LEN(TRIM('Raw Data'!R126))=0),"",IF(AND(ISNUMBER('Raw Data'!R126), IFERROR('Raw Data'!R126 = ROUND('Raw Data'!R126, 2),FALSE)),"",_xlfn.REGEXEXTRACT(CELL("address",R126), "\$([A-Z]+)\$[0-9]+"))),_xlfn.REGEXEXTRACT(CELL("address",R126), "\$([A-Z]+)\$[0-9]+"))</f>
        <v/>
      </c>
      <c r="S126" s="7" t="str" cm="1">
        <f t="array" aca="1" ref="S126" ca="1">IFERROR(IF(OR('Raw Data'!S126="",LEN(TRIM('Raw Data'!S126))=0),"",IF(AND(ISNUMBER('Raw Data'!S126), IFERROR('Raw Data'!S126 = ROUND('Raw Data'!S126, 2),FALSE)),"",_xlfn.REGEXEXTRACT(CELL("address",S126), "\$([A-Z]+)\$[0-9]+"))),_xlfn.REGEXEXTRACT(CELL("address",S126), "\$([A-Z]+)\$[0-9]+"))</f>
        <v/>
      </c>
      <c r="T126" s="7" t="str" cm="1">
        <f t="array" aca="1" ref="T126" ca="1">IFERROR(IF(OR('Raw Data'!T126="",LEN(TRIM('Raw Data'!T126))=0),"",IF(AND(ISNUMBER('Raw Data'!T126), IFERROR('Raw Data'!T126 = ROUND('Raw Data'!T126, 2),FALSE)),"",_xlfn.REGEXEXTRACT(CELL("address",T126), "\$([A-Z]+)\$[0-9]+"))),_xlfn.REGEXEXTRACT(CELL("address",T126), "\$([A-Z]+)\$[0-9]+"))</f>
        <v/>
      </c>
      <c r="U126" s="7" t="str" cm="1">
        <f t="array" aca="1" ref="U126" ca="1">IFERROR(IF(OR('Raw Data'!U126="",LEN(TRIM('Raw Data'!U126))=0),"",IF(AND(LEN('Raw Data'!U126) &lt;= 5,LEN('Raw Data'!U126)&gt; 0),"",_xlfn.REGEXEXTRACT(CELL("address",'Raw Data'!U126),"\$([A-Z]+)\$[0-9]+"))),_xlfn.REGEXEXTRACT(CELL("address",'Raw Data'!U126),"\$([A-Z]+)\$[0-9]+"))</f>
        <v/>
      </c>
      <c r="V126" s="7" t="str" cm="1">
        <f t="array" aca="1" ref="V126" ca="1">IFERROR(IF(OR('Raw Data'!V126="",LEN(TRIM('Raw Data'!V126))=0),"",IF(AND(ISNUMBER('Raw Data'!V126), IFERROR('Raw Data'!V126 = ROUND('Raw Data'!V126, 2),FALSE)),"",_xlfn.REGEXEXTRACT(CELL("address",V126), "\$([A-Z]+)\$[0-9]+"))),_xlfn.REGEXEXTRACT(CELL("address",V126), "\$([A-Z]+)\$[0-9]+"))</f>
        <v/>
      </c>
      <c r="W126" s="7" t="str" cm="1">
        <f t="array" aca="1" ref="W126" ca="1">IFERROR(IF(OR('Raw Data'!W126="",LEN(TRIM('Raw Data'!W126))=0),"",IF(AND(ISNUMBER('Raw Data'!W126), IFERROR('Raw Data'!W126 = ROUND('Raw Data'!W126, 2),FALSE)),"",_xlfn.REGEXEXTRACT(CELL("address",W126), "\$([A-Z]+)\$[0-9]+"))),_xlfn.REGEXEXTRACT(CELL("address",W126), "\$([A-Z]+)\$[0-9]+"))</f>
        <v/>
      </c>
      <c r="X126" s="7" t="str" cm="1">
        <f t="array" aca="1" ref="X126" ca="1">IFERROR(IF(OR('Raw Data'!X126="",LEN(TRIM('Raw Data'!X126))=0),"",IF(AND(ISNUMBER('Raw Data'!X126), IFERROR('Raw Data'!X126 = ROUND('Raw Data'!X126, 2),FALSE)),"",_xlfn.REGEXEXTRACT(CELL("address",X126), "\$([A-Z]+)\$[0-9]+"))),_xlfn.REGEXEXTRACT(CELL("address",X126), "\$([A-Z]+)\$[0-9]+"))</f>
        <v/>
      </c>
    </row>
    <row r="127" spans="2:24" x14ac:dyDescent="0.25">
      <c r="B127" s="7" t="str" cm="1">
        <f t="array" aca="1" ref="B127" ca="1">IFERROR(IF(OR('Raw Data'!B127="",LEN(TRIM('Raw Data'!B127))=0),"",IF(AND(LEN('Raw Data'!B127) &lt;= 50,LEN('Raw Data'!B127)&gt; 0),"",_xlfn.REGEXEXTRACT(CELL("address",'Raw Data'!B127),"\$([A-Z]+)\$[0-9]+"))),_xlfn.REGEXEXTRACT(CELL("address",'Raw Data'!B127),"\$([A-Z]+)\$[0-9]+"))</f>
        <v/>
      </c>
      <c r="C127" s="7" t="str" cm="1">
        <f t="array" aca="1" ref="C127" ca="1">IFERROR(IF(OR('Raw Data'!C127="",LEN(TRIM('Raw Data'!C127))=0),"",IF(AND(LEN('Raw Data'!C127) &lt;= 50,LEN('Raw Data'!C127)&gt; 0),"",_xlfn.REGEXEXTRACT(CELL("address",'Raw Data'!C127),"\$([A-Z]+)\$[0-9]+"))),_xlfn.REGEXEXTRACT(CELL("address",'Raw Data'!C127),"\$([A-Z]+)\$[0-9]+"))</f>
        <v/>
      </c>
      <c r="D127" s="7" t="str" cm="1">
        <f t="array" aca="1" ref="D127" ca="1">IFERROR(IF(OR('Raw Data'!D127="",LEN(TRIM('Raw Data'!D127))=0),"",IF(AND(LEN('Raw Data'!D127) &lt;= 255,LEN('Raw Data'!D127)&gt; 0),"",_xlfn.REGEXEXTRACT(CELL("address",'Raw Data'!D127),"\$([A-Z]+)\$[0-9]+"))),_xlfn.REGEXEXTRACT(CELL("address",'Raw Data'!D127),"\$([A-Z]+)\$[0-9]+"))</f>
        <v/>
      </c>
      <c r="E127" s="7" t="str" cm="1">
        <f t="array" aca="1" ref="E127" ca="1">IFERROR(IF(OR('Raw Data'!E127="",LEN(TRIM('Raw Data'!E127))=0),"",IF(AND(ISNUMBER('Raw Data'!E127),'Raw Data'!E127&gt;=Configuration!$D$2),"",_xlfn.REGEXEXTRACT(CELL("address",'Raw Data'!E127),"\$([A-Z]+)\$[0-9]+"))),_xlfn.REGEXEXTRACT(CELL("address",E127), "\$([A-Z]+)\$[0-9]+"))</f>
        <v/>
      </c>
      <c r="F127" s="7" t="str" cm="1">
        <f t="array" aca="1" ref="F127" ca="1">IFERROR(IF(OR('Raw Data'!F127="",LEN(TRIM('Raw Data'!F127))=0),"",IF(AND(LEN('Raw Data'!F127) &lt;= 20,LEN('Raw Data'!F127)&gt; 0),"",_xlfn.REGEXEXTRACT(CELL("address",'Raw Data'!F127),"\$([A-Z]+)\$[0-9]+"))),_xlfn.REGEXEXTRACT(CELL("address",'Raw Data'!F127),"\$([A-Z]+)\$[0-9]+"))</f>
        <v/>
      </c>
      <c r="G127" s="7" t="str" cm="1">
        <f t="array" aca="1" ref="G127" ca="1">IFERROR(IF(OR('Raw Data'!G127="",LEN(TRIM('Raw Data'!G127))=0),"",IF(AND(ISNUMBER('Raw Data'!G127), IFERROR('Raw Data'!G127 = ROUND('Raw Data'!G127, 2),FALSE)),"",_xlfn.REGEXEXTRACT(CELL("address",G127), "\$([A-Z]+)\$[0-9]+"))),_xlfn.REGEXEXTRACT(CELL("address",G127), "\$([A-Z]+)\$[0-9]+"))</f>
        <v/>
      </c>
      <c r="H127" s="7" t="str" cm="1">
        <f t="array" aca="1" ref="H127" ca="1">IFERROR(IF(OR('Raw Data'!H127="",LEN(TRIM('Raw Data'!H127))=0),"",IF(AND(ISNUMBER('Raw Data'!H127), IFERROR('Raw Data'!H127 = ROUND('Raw Data'!H127, 2),FALSE)),"",_xlfn.REGEXEXTRACT(CELL("address",H127), "\$([A-Z]+)\$[0-9]+"))),_xlfn.REGEXEXTRACT(CELL("address",H127), "\$([A-Z]+)\$[0-9]+"))</f>
        <v/>
      </c>
      <c r="I127" s="7" t="str" cm="1">
        <f t="array" aca="1" ref="I127" ca="1">IFERROR(IF(OR('Raw Data'!I127="",LEN(TRIM('Raw Data'!I127))=0),"",IF(AND(LEN('Raw Data'!I127) &lt;= 50,LEN('Raw Data'!I127)&gt; 0),"",_xlfn.REGEXEXTRACT(CELL("address",'Raw Data'!I127),"\$([A-Z]+)\$[0-9]+"))),_xlfn.REGEXEXTRACT(CELL("address",'Raw Data'!I127),"\$([A-Z]+)\$[0-9]+"))</f>
        <v/>
      </c>
      <c r="J127" s="7" t="str" cm="1">
        <f t="array" aca="1" ref="J127" ca="1">IFERROR(IF(OR('Raw Data'!J127="",LEN(TRIM('Raw Data'!J127))=0),"",IF(AND(ISNUMBER('Raw Data'!J127),'Raw Data'!J127&gt;=Configuration!$D$2),"",_xlfn.REGEXEXTRACT(CELL("address",'Raw Data'!J127),"\$([A-Z]+)\$[0-9]+"))),_xlfn.REGEXEXTRACT(CELL("address",J127), "\$([A-Z]+)\$[0-9]+"))</f>
        <v/>
      </c>
      <c r="K127" s="7" t="str" cm="1">
        <f t="array" aca="1" ref="K127" ca="1">IFERROR(IF(OR('Raw Data'!K127="",LEN(TRIM('Raw Data'!K127))=0),"",IF(AND(ISNUMBER('Raw Data'!K127), IFERROR('Raw Data'!K127 = ROUND('Raw Data'!K127, 2),FALSE)),"",_xlfn.REGEXEXTRACT(CELL("address",K127), "\$([A-Z]+)\$[0-9]+"))),_xlfn.REGEXEXTRACT(CELL("address",K127), "\$([A-Z]+)\$[0-9]+"))</f>
        <v/>
      </c>
      <c r="L127" s="7" t="str" cm="1">
        <f t="array" aca="1" ref="L127" ca="1">IFERROR(IF(OR('Raw Data'!L127="",LEN(TRIM('Raw Data'!L127))=0),"",IF(AND(ISNUMBER('Raw Data'!L127), IFERROR('Raw Data'!L127 = ROUND('Raw Data'!L127, 2),FALSE)),"",_xlfn.REGEXEXTRACT(CELL("address",L127), "\$([A-Z]+)\$[0-9]+"))),_xlfn.REGEXEXTRACT(CELL("address",L127), "\$([A-Z]+)\$[0-9]+"))</f>
        <v/>
      </c>
      <c r="M127" s="7" t="str" cm="1">
        <f t="array" aca="1" ref="M127" ca="1">IFERROR(IF(OR('Raw Data'!M127="",LEN(TRIM('Raw Data'!M127))=0),"",IF(AND(ISNUMBER('Raw Data'!M127), IFERROR('Raw Data'!M127 = ROUND('Raw Data'!M127, 2),FALSE)),"",_xlfn.REGEXEXTRACT(CELL("address",M127), "\$([A-Z]+)\$[0-9]+"))),_xlfn.REGEXEXTRACT(CELL("address",M127), "\$([A-Z]+)\$[0-9]+"))</f>
        <v/>
      </c>
      <c r="N127" s="7" t="str" cm="1">
        <f t="array" aca="1" ref="N127" ca="1">IFERROR(IF(OR('Raw Data'!N127="",LEN(TRIM('Raw Data'!N127))=0),"",IF(AND(ISNUMBER('Raw Data'!N127), IFERROR('Raw Data'!N127 = ROUND('Raw Data'!N127, 2),FALSE)),"",_xlfn.REGEXEXTRACT(CELL("address",N127), "\$([A-Z]+)\$[0-9]+"))),_xlfn.REGEXEXTRACT(CELL("address",N127), "\$([A-Z]+)\$[0-9]+"))</f>
        <v/>
      </c>
      <c r="O127" s="7" t="str" cm="1">
        <f t="array" aca="1" ref="O127" ca="1">IFERROR(IF(OR('Raw Data'!O127="",LEN(TRIM('Raw Data'!O127))=0),"",IF(AND(ISNUMBER('Raw Data'!O127), IFERROR('Raw Data'!O127 = ROUND('Raw Data'!O127, 2),FALSE)),"",_xlfn.REGEXEXTRACT(CELL("address",O127), "\$([A-Z]+)\$[0-9]+"))),_xlfn.REGEXEXTRACT(CELL("address",O127), "\$([A-Z]+)\$[0-9]+"))</f>
        <v/>
      </c>
      <c r="P127" s="7" t="str" cm="1">
        <f t="array" aca="1" ref="P127" ca="1">IFERROR(IF(OR('Raw Data'!P127="",LEN(TRIM('Raw Data'!P127))=0),"",IF(AND(ISNUMBER('Raw Data'!P127),'Raw Data'!P127&gt;=Configuration!$D$2),"",_xlfn.REGEXEXTRACT(CELL("address",'Raw Data'!P127),"\$([A-Z]+)\$[0-9]+"))),_xlfn.REGEXEXTRACT(CELL("address",P127), "\$([A-Z]+)\$[0-9]+"))</f>
        <v/>
      </c>
      <c r="Q127" s="7" t="str" cm="1">
        <f t="array" aca="1" ref="Q127" ca="1">IFERROR(IF(OR('Raw Data'!Q127="",LEN(TRIM('Raw Data'!Q127))=0),"",IF(AND(ISNUMBER('Raw Data'!Q127),'Raw Data'!Q127&gt;=Configuration!$D$2),"",_xlfn.REGEXEXTRACT(CELL("address",'Raw Data'!Q127),"\$([A-Z]+)\$[0-9]+"))),_xlfn.REGEXEXTRACT(CELL("address",Q127), "\$([A-Z]+)\$[0-9]+"))</f>
        <v/>
      </c>
      <c r="R127" s="7" t="str" cm="1">
        <f t="array" aca="1" ref="R127" ca="1">IFERROR(IF(OR('Raw Data'!R127="",LEN(TRIM('Raw Data'!R127))=0),"",IF(AND(ISNUMBER('Raw Data'!R127), IFERROR('Raw Data'!R127 = ROUND('Raw Data'!R127, 2),FALSE)),"",_xlfn.REGEXEXTRACT(CELL("address",R127), "\$([A-Z]+)\$[0-9]+"))),_xlfn.REGEXEXTRACT(CELL("address",R127), "\$([A-Z]+)\$[0-9]+"))</f>
        <v/>
      </c>
      <c r="S127" s="7" t="str" cm="1">
        <f t="array" aca="1" ref="S127" ca="1">IFERROR(IF(OR('Raw Data'!S127="",LEN(TRIM('Raw Data'!S127))=0),"",IF(AND(ISNUMBER('Raw Data'!S127), IFERROR('Raw Data'!S127 = ROUND('Raw Data'!S127, 2),FALSE)),"",_xlfn.REGEXEXTRACT(CELL("address",S127), "\$([A-Z]+)\$[0-9]+"))),_xlfn.REGEXEXTRACT(CELL("address",S127), "\$([A-Z]+)\$[0-9]+"))</f>
        <v/>
      </c>
      <c r="T127" s="7" t="str" cm="1">
        <f t="array" aca="1" ref="T127" ca="1">IFERROR(IF(OR('Raw Data'!T127="",LEN(TRIM('Raw Data'!T127))=0),"",IF(AND(ISNUMBER('Raw Data'!T127), IFERROR('Raw Data'!T127 = ROUND('Raw Data'!T127, 2),FALSE)),"",_xlfn.REGEXEXTRACT(CELL("address",T127), "\$([A-Z]+)\$[0-9]+"))),_xlfn.REGEXEXTRACT(CELL("address",T127), "\$([A-Z]+)\$[0-9]+"))</f>
        <v/>
      </c>
      <c r="U127" s="7" t="str" cm="1">
        <f t="array" aca="1" ref="U127" ca="1">IFERROR(IF(OR('Raw Data'!U127="",LEN(TRIM('Raw Data'!U127))=0),"",IF(AND(LEN('Raw Data'!U127) &lt;= 5,LEN('Raw Data'!U127)&gt; 0),"",_xlfn.REGEXEXTRACT(CELL("address",'Raw Data'!U127),"\$([A-Z]+)\$[0-9]+"))),_xlfn.REGEXEXTRACT(CELL("address",'Raw Data'!U127),"\$([A-Z]+)\$[0-9]+"))</f>
        <v/>
      </c>
      <c r="V127" s="7" t="str" cm="1">
        <f t="array" aca="1" ref="V127" ca="1">IFERROR(IF(OR('Raw Data'!V127="",LEN(TRIM('Raw Data'!V127))=0),"",IF(AND(ISNUMBER('Raw Data'!V127), IFERROR('Raw Data'!V127 = ROUND('Raw Data'!V127, 2),FALSE)),"",_xlfn.REGEXEXTRACT(CELL("address",V127), "\$([A-Z]+)\$[0-9]+"))),_xlfn.REGEXEXTRACT(CELL("address",V127), "\$([A-Z]+)\$[0-9]+"))</f>
        <v/>
      </c>
      <c r="W127" s="7" t="str" cm="1">
        <f t="array" aca="1" ref="W127" ca="1">IFERROR(IF(OR('Raw Data'!W127="",LEN(TRIM('Raw Data'!W127))=0),"",IF(AND(ISNUMBER('Raw Data'!W127), IFERROR('Raw Data'!W127 = ROUND('Raw Data'!W127, 2),FALSE)),"",_xlfn.REGEXEXTRACT(CELL("address",W127), "\$([A-Z]+)\$[0-9]+"))),_xlfn.REGEXEXTRACT(CELL("address",W127), "\$([A-Z]+)\$[0-9]+"))</f>
        <v/>
      </c>
      <c r="X127" s="7" t="str" cm="1">
        <f t="array" aca="1" ref="X127" ca="1">IFERROR(IF(OR('Raw Data'!X127="",LEN(TRIM('Raw Data'!X127))=0),"",IF(AND(ISNUMBER('Raw Data'!X127), IFERROR('Raw Data'!X127 = ROUND('Raw Data'!X127, 2),FALSE)),"",_xlfn.REGEXEXTRACT(CELL("address",X127), "\$([A-Z]+)\$[0-9]+"))),_xlfn.REGEXEXTRACT(CELL("address",X127), "\$([A-Z]+)\$[0-9]+"))</f>
        <v/>
      </c>
    </row>
    <row r="128" spans="2:24" x14ac:dyDescent="0.25">
      <c r="B128" s="7" t="str" cm="1">
        <f t="array" aca="1" ref="B128" ca="1">IFERROR(IF(OR('Raw Data'!B128="",LEN(TRIM('Raw Data'!B128))=0),"",IF(AND(LEN('Raw Data'!B128) &lt;= 50,LEN('Raw Data'!B128)&gt; 0),"",_xlfn.REGEXEXTRACT(CELL("address",'Raw Data'!B128),"\$([A-Z]+)\$[0-9]+"))),_xlfn.REGEXEXTRACT(CELL("address",'Raw Data'!B128),"\$([A-Z]+)\$[0-9]+"))</f>
        <v/>
      </c>
      <c r="C128" s="7" t="str" cm="1">
        <f t="array" aca="1" ref="C128" ca="1">IFERROR(IF(OR('Raw Data'!C128="",LEN(TRIM('Raw Data'!C128))=0),"",IF(AND(LEN('Raw Data'!C128) &lt;= 50,LEN('Raw Data'!C128)&gt; 0),"",_xlfn.REGEXEXTRACT(CELL("address",'Raw Data'!C128),"\$([A-Z]+)\$[0-9]+"))),_xlfn.REGEXEXTRACT(CELL("address",'Raw Data'!C128),"\$([A-Z]+)\$[0-9]+"))</f>
        <v/>
      </c>
      <c r="D128" s="7" t="str" cm="1">
        <f t="array" aca="1" ref="D128" ca="1">IFERROR(IF(OR('Raw Data'!D128="",LEN(TRIM('Raw Data'!D128))=0),"",IF(AND(LEN('Raw Data'!D128) &lt;= 255,LEN('Raw Data'!D128)&gt; 0),"",_xlfn.REGEXEXTRACT(CELL("address",'Raw Data'!D128),"\$([A-Z]+)\$[0-9]+"))),_xlfn.REGEXEXTRACT(CELL("address",'Raw Data'!D128),"\$([A-Z]+)\$[0-9]+"))</f>
        <v/>
      </c>
      <c r="E128" s="7" t="str" cm="1">
        <f t="array" aca="1" ref="E128" ca="1">IFERROR(IF(OR('Raw Data'!E128="",LEN(TRIM('Raw Data'!E128))=0),"",IF(AND(ISNUMBER('Raw Data'!E128),'Raw Data'!E128&gt;=Configuration!$D$2),"",_xlfn.REGEXEXTRACT(CELL("address",'Raw Data'!E128),"\$([A-Z]+)\$[0-9]+"))),_xlfn.REGEXEXTRACT(CELL("address",E128), "\$([A-Z]+)\$[0-9]+"))</f>
        <v/>
      </c>
      <c r="F128" s="7" t="str" cm="1">
        <f t="array" aca="1" ref="F128" ca="1">IFERROR(IF(OR('Raw Data'!F128="",LEN(TRIM('Raw Data'!F128))=0),"",IF(AND(LEN('Raw Data'!F128) &lt;= 20,LEN('Raw Data'!F128)&gt; 0),"",_xlfn.REGEXEXTRACT(CELL("address",'Raw Data'!F128),"\$([A-Z]+)\$[0-9]+"))),_xlfn.REGEXEXTRACT(CELL("address",'Raw Data'!F128),"\$([A-Z]+)\$[0-9]+"))</f>
        <v/>
      </c>
      <c r="G128" s="7" t="str" cm="1">
        <f t="array" aca="1" ref="G128" ca="1">IFERROR(IF(OR('Raw Data'!G128="",LEN(TRIM('Raw Data'!G128))=0),"",IF(AND(ISNUMBER('Raw Data'!G128), IFERROR('Raw Data'!G128 = ROUND('Raw Data'!G128, 2),FALSE)),"",_xlfn.REGEXEXTRACT(CELL("address",G128), "\$([A-Z]+)\$[0-9]+"))),_xlfn.REGEXEXTRACT(CELL("address",G128), "\$([A-Z]+)\$[0-9]+"))</f>
        <v/>
      </c>
      <c r="H128" s="7" t="str" cm="1">
        <f t="array" aca="1" ref="H128" ca="1">IFERROR(IF(OR('Raw Data'!H128="",LEN(TRIM('Raw Data'!H128))=0),"",IF(AND(ISNUMBER('Raw Data'!H128), IFERROR('Raw Data'!H128 = ROUND('Raw Data'!H128, 2),FALSE)),"",_xlfn.REGEXEXTRACT(CELL("address",H128), "\$([A-Z]+)\$[0-9]+"))),_xlfn.REGEXEXTRACT(CELL("address",H128), "\$([A-Z]+)\$[0-9]+"))</f>
        <v/>
      </c>
      <c r="I128" s="7" t="str" cm="1">
        <f t="array" aca="1" ref="I128" ca="1">IFERROR(IF(OR('Raw Data'!I128="",LEN(TRIM('Raw Data'!I128))=0),"",IF(AND(LEN('Raw Data'!I128) &lt;= 50,LEN('Raw Data'!I128)&gt; 0),"",_xlfn.REGEXEXTRACT(CELL("address",'Raw Data'!I128),"\$([A-Z]+)\$[0-9]+"))),_xlfn.REGEXEXTRACT(CELL("address",'Raw Data'!I128),"\$([A-Z]+)\$[0-9]+"))</f>
        <v/>
      </c>
      <c r="J128" s="7" t="str" cm="1">
        <f t="array" aca="1" ref="J128" ca="1">IFERROR(IF(OR('Raw Data'!J128="",LEN(TRIM('Raw Data'!J128))=0),"",IF(AND(ISNUMBER('Raw Data'!J128),'Raw Data'!J128&gt;=Configuration!$D$2),"",_xlfn.REGEXEXTRACT(CELL("address",'Raw Data'!J128),"\$([A-Z]+)\$[0-9]+"))),_xlfn.REGEXEXTRACT(CELL("address",J128), "\$([A-Z]+)\$[0-9]+"))</f>
        <v/>
      </c>
      <c r="K128" s="7" t="str" cm="1">
        <f t="array" aca="1" ref="K128" ca="1">IFERROR(IF(OR('Raw Data'!K128="",LEN(TRIM('Raw Data'!K128))=0),"",IF(AND(ISNUMBER('Raw Data'!K128), IFERROR('Raw Data'!K128 = ROUND('Raw Data'!K128, 2),FALSE)),"",_xlfn.REGEXEXTRACT(CELL("address",K128), "\$([A-Z]+)\$[0-9]+"))),_xlfn.REGEXEXTRACT(CELL("address",K128), "\$([A-Z]+)\$[0-9]+"))</f>
        <v/>
      </c>
      <c r="L128" s="7" t="str" cm="1">
        <f t="array" aca="1" ref="L128" ca="1">IFERROR(IF(OR('Raw Data'!L128="",LEN(TRIM('Raw Data'!L128))=0),"",IF(AND(ISNUMBER('Raw Data'!L128), IFERROR('Raw Data'!L128 = ROUND('Raw Data'!L128, 2),FALSE)),"",_xlfn.REGEXEXTRACT(CELL("address",L128), "\$([A-Z]+)\$[0-9]+"))),_xlfn.REGEXEXTRACT(CELL("address",L128), "\$([A-Z]+)\$[0-9]+"))</f>
        <v/>
      </c>
      <c r="M128" s="7" t="str" cm="1">
        <f t="array" aca="1" ref="M128" ca="1">IFERROR(IF(OR('Raw Data'!M128="",LEN(TRIM('Raw Data'!M128))=0),"",IF(AND(ISNUMBER('Raw Data'!M128), IFERROR('Raw Data'!M128 = ROUND('Raw Data'!M128, 2),FALSE)),"",_xlfn.REGEXEXTRACT(CELL("address",M128), "\$([A-Z]+)\$[0-9]+"))),_xlfn.REGEXEXTRACT(CELL("address",M128), "\$([A-Z]+)\$[0-9]+"))</f>
        <v/>
      </c>
      <c r="N128" s="7" t="str" cm="1">
        <f t="array" aca="1" ref="N128" ca="1">IFERROR(IF(OR('Raw Data'!N128="",LEN(TRIM('Raw Data'!N128))=0),"",IF(AND(ISNUMBER('Raw Data'!N128), IFERROR('Raw Data'!N128 = ROUND('Raw Data'!N128, 2),FALSE)),"",_xlfn.REGEXEXTRACT(CELL("address",N128), "\$([A-Z]+)\$[0-9]+"))),_xlfn.REGEXEXTRACT(CELL("address",N128), "\$([A-Z]+)\$[0-9]+"))</f>
        <v/>
      </c>
      <c r="O128" s="7" t="str" cm="1">
        <f t="array" aca="1" ref="O128" ca="1">IFERROR(IF(OR('Raw Data'!O128="",LEN(TRIM('Raw Data'!O128))=0),"",IF(AND(ISNUMBER('Raw Data'!O128), IFERROR('Raw Data'!O128 = ROUND('Raw Data'!O128, 2),FALSE)),"",_xlfn.REGEXEXTRACT(CELL("address",O128), "\$([A-Z]+)\$[0-9]+"))),_xlfn.REGEXEXTRACT(CELL("address",O128), "\$([A-Z]+)\$[0-9]+"))</f>
        <v/>
      </c>
      <c r="P128" s="7" t="str" cm="1">
        <f t="array" aca="1" ref="P128" ca="1">IFERROR(IF(OR('Raw Data'!P128="",LEN(TRIM('Raw Data'!P128))=0),"",IF(AND(ISNUMBER('Raw Data'!P128),'Raw Data'!P128&gt;=Configuration!$D$2),"",_xlfn.REGEXEXTRACT(CELL("address",'Raw Data'!P128),"\$([A-Z]+)\$[0-9]+"))),_xlfn.REGEXEXTRACT(CELL("address",P128), "\$([A-Z]+)\$[0-9]+"))</f>
        <v/>
      </c>
      <c r="Q128" s="7" t="str" cm="1">
        <f t="array" aca="1" ref="Q128" ca="1">IFERROR(IF(OR('Raw Data'!Q128="",LEN(TRIM('Raw Data'!Q128))=0),"",IF(AND(ISNUMBER('Raw Data'!Q128),'Raw Data'!Q128&gt;=Configuration!$D$2),"",_xlfn.REGEXEXTRACT(CELL("address",'Raw Data'!Q128),"\$([A-Z]+)\$[0-9]+"))),_xlfn.REGEXEXTRACT(CELL("address",Q128), "\$([A-Z]+)\$[0-9]+"))</f>
        <v/>
      </c>
      <c r="R128" s="7" t="str" cm="1">
        <f t="array" aca="1" ref="R128" ca="1">IFERROR(IF(OR('Raw Data'!R128="",LEN(TRIM('Raw Data'!R128))=0),"",IF(AND(ISNUMBER('Raw Data'!R128), IFERROR('Raw Data'!R128 = ROUND('Raw Data'!R128, 2),FALSE)),"",_xlfn.REGEXEXTRACT(CELL("address",R128), "\$([A-Z]+)\$[0-9]+"))),_xlfn.REGEXEXTRACT(CELL("address",R128), "\$([A-Z]+)\$[0-9]+"))</f>
        <v/>
      </c>
      <c r="S128" s="7" t="str" cm="1">
        <f t="array" aca="1" ref="S128" ca="1">IFERROR(IF(OR('Raw Data'!S128="",LEN(TRIM('Raw Data'!S128))=0),"",IF(AND(ISNUMBER('Raw Data'!S128), IFERROR('Raw Data'!S128 = ROUND('Raw Data'!S128, 2),FALSE)),"",_xlfn.REGEXEXTRACT(CELL("address",S128), "\$([A-Z]+)\$[0-9]+"))),_xlfn.REGEXEXTRACT(CELL("address",S128), "\$([A-Z]+)\$[0-9]+"))</f>
        <v/>
      </c>
      <c r="T128" s="7" t="str" cm="1">
        <f t="array" aca="1" ref="T128" ca="1">IFERROR(IF(OR('Raw Data'!T128="",LEN(TRIM('Raw Data'!T128))=0),"",IF(AND(ISNUMBER('Raw Data'!T128), IFERROR('Raw Data'!T128 = ROUND('Raw Data'!T128, 2),FALSE)),"",_xlfn.REGEXEXTRACT(CELL("address",T128), "\$([A-Z]+)\$[0-9]+"))),_xlfn.REGEXEXTRACT(CELL("address",T128), "\$([A-Z]+)\$[0-9]+"))</f>
        <v/>
      </c>
      <c r="U128" s="7" t="str" cm="1">
        <f t="array" aca="1" ref="U128" ca="1">IFERROR(IF(OR('Raw Data'!U128="",LEN(TRIM('Raw Data'!U128))=0),"",IF(AND(LEN('Raw Data'!U128) &lt;= 5,LEN('Raw Data'!U128)&gt; 0),"",_xlfn.REGEXEXTRACT(CELL("address",'Raw Data'!U128),"\$([A-Z]+)\$[0-9]+"))),_xlfn.REGEXEXTRACT(CELL("address",'Raw Data'!U128),"\$([A-Z]+)\$[0-9]+"))</f>
        <v/>
      </c>
      <c r="V128" s="7" t="str" cm="1">
        <f t="array" aca="1" ref="V128" ca="1">IFERROR(IF(OR('Raw Data'!V128="",LEN(TRIM('Raw Data'!V128))=0),"",IF(AND(ISNUMBER('Raw Data'!V128), IFERROR('Raw Data'!V128 = ROUND('Raw Data'!V128, 2),FALSE)),"",_xlfn.REGEXEXTRACT(CELL("address",V128), "\$([A-Z]+)\$[0-9]+"))),_xlfn.REGEXEXTRACT(CELL("address",V128), "\$([A-Z]+)\$[0-9]+"))</f>
        <v/>
      </c>
      <c r="W128" s="7" t="str" cm="1">
        <f t="array" aca="1" ref="W128" ca="1">IFERROR(IF(OR('Raw Data'!W128="",LEN(TRIM('Raw Data'!W128))=0),"",IF(AND(ISNUMBER('Raw Data'!W128), IFERROR('Raw Data'!W128 = ROUND('Raw Data'!W128, 2),FALSE)),"",_xlfn.REGEXEXTRACT(CELL("address",W128), "\$([A-Z]+)\$[0-9]+"))),_xlfn.REGEXEXTRACT(CELL("address",W128), "\$([A-Z]+)\$[0-9]+"))</f>
        <v/>
      </c>
      <c r="X128" s="7" t="str" cm="1">
        <f t="array" aca="1" ref="X128" ca="1">IFERROR(IF(OR('Raw Data'!X128="",LEN(TRIM('Raw Data'!X128))=0),"",IF(AND(ISNUMBER('Raw Data'!X128), IFERROR('Raw Data'!X128 = ROUND('Raw Data'!X128, 2),FALSE)),"",_xlfn.REGEXEXTRACT(CELL("address",X128), "\$([A-Z]+)\$[0-9]+"))),_xlfn.REGEXEXTRACT(CELL("address",X128), "\$([A-Z]+)\$[0-9]+"))</f>
        <v/>
      </c>
    </row>
    <row r="129" spans="2:24" x14ac:dyDescent="0.25">
      <c r="B129" s="7" t="str" cm="1">
        <f t="array" aca="1" ref="B129" ca="1">IFERROR(IF(OR('Raw Data'!B129="",LEN(TRIM('Raw Data'!B129))=0),"",IF(AND(LEN('Raw Data'!B129) &lt;= 50,LEN('Raw Data'!B129)&gt; 0),"",_xlfn.REGEXEXTRACT(CELL("address",'Raw Data'!B129),"\$([A-Z]+)\$[0-9]+"))),_xlfn.REGEXEXTRACT(CELL("address",'Raw Data'!B129),"\$([A-Z]+)\$[0-9]+"))</f>
        <v/>
      </c>
      <c r="C129" s="7" t="str" cm="1">
        <f t="array" aca="1" ref="C129" ca="1">IFERROR(IF(OR('Raw Data'!C129="",LEN(TRIM('Raw Data'!C129))=0),"",IF(AND(LEN('Raw Data'!C129) &lt;= 50,LEN('Raw Data'!C129)&gt; 0),"",_xlfn.REGEXEXTRACT(CELL("address",'Raw Data'!C129),"\$([A-Z]+)\$[0-9]+"))),_xlfn.REGEXEXTRACT(CELL("address",'Raw Data'!C129),"\$([A-Z]+)\$[0-9]+"))</f>
        <v/>
      </c>
      <c r="D129" s="7" t="str" cm="1">
        <f t="array" aca="1" ref="D129" ca="1">IFERROR(IF(OR('Raw Data'!D129="",LEN(TRIM('Raw Data'!D129))=0),"",IF(AND(LEN('Raw Data'!D129) &lt;= 255,LEN('Raw Data'!D129)&gt; 0),"",_xlfn.REGEXEXTRACT(CELL("address",'Raw Data'!D129),"\$([A-Z]+)\$[0-9]+"))),_xlfn.REGEXEXTRACT(CELL("address",'Raw Data'!D129),"\$([A-Z]+)\$[0-9]+"))</f>
        <v/>
      </c>
      <c r="E129" s="7" t="str" cm="1">
        <f t="array" aca="1" ref="E129" ca="1">IFERROR(IF(OR('Raw Data'!E129="",LEN(TRIM('Raw Data'!E129))=0),"",IF(AND(ISNUMBER('Raw Data'!E129),'Raw Data'!E129&gt;=Configuration!$D$2),"",_xlfn.REGEXEXTRACT(CELL("address",'Raw Data'!E129),"\$([A-Z]+)\$[0-9]+"))),_xlfn.REGEXEXTRACT(CELL("address",E129), "\$([A-Z]+)\$[0-9]+"))</f>
        <v/>
      </c>
      <c r="F129" s="7" t="str" cm="1">
        <f t="array" aca="1" ref="F129" ca="1">IFERROR(IF(OR('Raw Data'!F129="",LEN(TRIM('Raw Data'!F129))=0),"",IF(AND(LEN('Raw Data'!F129) &lt;= 20,LEN('Raw Data'!F129)&gt; 0),"",_xlfn.REGEXEXTRACT(CELL("address",'Raw Data'!F129),"\$([A-Z]+)\$[0-9]+"))),_xlfn.REGEXEXTRACT(CELL("address",'Raw Data'!F129),"\$([A-Z]+)\$[0-9]+"))</f>
        <v/>
      </c>
      <c r="G129" s="7" t="str" cm="1">
        <f t="array" aca="1" ref="G129" ca="1">IFERROR(IF(OR('Raw Data'!G129="",LEN(TRIM('Raw Data'!G129))=0),"",IF(AND(ISNUMBER('Raw Data'!G129), IFERROR('Raw Data'!G129 = ROUND('Raw Data'!G129, 2),FALSE)),"",_xlfn.REGEXEXTRACT(CELL("address",G129), "\$([A-Z]+)\$[0-9]+"))),_xlfn.REGEXEXTRACT(CELL("address",G129), "\$([A-Z]+)\$[0-9]+"))</f>
        <v/>
      </c>
      <c r="H129" s="7" t="str" cm="1">
        <f t="array" aca="1" ref="H129" ca="1">IFERROR(IF(OR('Raw Data'!H129="",LEN(TRIM('Raw Data'!H129))=0),"",IF(AND(ISNUMBER('Raw Data'!H129), IFERROR('Raw Data'!H129 = ROUND('Raw Data'!H129, 2),FALSE)),"",_xlfn.REGEXEXTRACT(CELL("address",H129), "\$([A-Z]+)\$[0-9]+"))),_xlfn.REGEXEXTRACT(CELL("address",H129), "\$([A-Z]+)\$[0-9]+"))</f>
        <v/>
      </c>
      <c r="I129" s="7" t="str" cm="1">
        <f t="array" aca="1" ref="I129" ca="1">IFERROR(IF(OR('Raw Data'!I129="",LEN(TRIM('Raw Data'!I129))=0),"",IF(AND(LEN('Raw Data'!I129) &lt;= 50,LEN('Raw Data'!I129)&gt; 0),"",_xlfn.REGEXEXTRACT(CELL("address",'Raw Data'!I129),"\$([A-Z]+)\$[0-9]+"))),_xlfn.REGEXEXTRACT(CELL("address",'Raw Data'!I129),"\$([A-Z]+)\$[0-9]+"))</f>
        <v/>
      </c>
      <c r="J129" s="7" t="str" cm="1">
        <f t="array" aca="1" ref="J129" ca="1">IFERROR(IF(OR('Raw Data'!J129="",LEN(TRIM('Raw Data'!J129))=0),"",IF(AND(ISNUMBER('Raw Data'!J129),'Raw Data'!J129&gt;=Configuration!$D$2),"",_xlfn.REGEXEXTRACT(CELL("address",'Raw Data'!J129),"\$([A-Z]+)\$[0-9]+"))),_xlfn.REGEXEXTRACT(CELL("address",J129), "\$([A-Z]+)\$[0-9]+"))</f>
        <v/>
      </c>
      <c r="K129" s="7" t="str" cm="1">
        <f t="array" aca="1" ref="K129" ca="1">IFERROR(IF(OR('Raw Data'!K129="",LEN(TRIM('Raw Data'!K129))=0),"",IF(AND(ISNUMBER('Raw Data'!K129), IFERROR('Raw Data'!K129 = ROUND('Raw Data'!K129, 2),FALSE)),"",_xlfn.REGEXEXTRACT(CELL("address",K129), "\$([A-Z]+)\$[0-9]+"))),_xlfn.REGEXEXTRACT(CELL("address",K129), "\$([A-Z]+)\$[0-9]+"))</f>
        <v/>
      </c>
      <c r="L129" s="7" t="str" cm="1">
        <f t="array" aca="1" ref="L129" ca="1">IFERROR(IF(OR('Raw Data'!L129="",LEN(TRIM('Raw Data'!L129))=0),"",IF(AND(ISNUMBER('Raw Data'!L129), IFERROR('Raw Data'!L129 = ROUND('Raw Data'!L129, 2),FALSE)),"",_xlfn.REGEXEXTRACT(CELL("address",L129), "\$([A-Z]+)\$[0-9]+"))),_xlfn.REGEXEXTRACT(CELL("address",L129), "\$([A-Z]+)\$[0-9]+"))</f>
        <v/>
      </c>
      <c r="M129" s="7" t="str" cm="1">
        <f t="array" aca="1" ref="M129" ca="1">IFERROR(IF(OR('Raw Data'!M129="",LEN(TRIM('Raw Data'!M129))=0),"",IF(AND(ISNUMBER('Raw Data'!M129), IFERROR('Raw Data'!M129 = ROUND('Raw Data'!M129, 2),FALSE)),"",_xlfn.REGEXEXTRACT(CELL("address",M129), "\$([A-Z]+)\$[0-9]+"))),_xlfn.REGEXEXTRACT(CELL("address",M129), "\$([A-Z]+)\$[0-9]+"))</f>
        <v/>
      </c>
      <c r="N129" s="7" t="str" cm="1">
        <f t="array" aca="1" ref="N129" ca="1">IFERROR(IF(OR('Raw Data'!N129="",LEN(TRIM('Raw Data'!N129))=0),"",IF(AND(ISNUMBER('Raw Data'!N129), IFERROR('Raw Data'!N129 = ROUND('Raw Data'!N129, 2),FALSE)),"",_xlfn.REGEXEXTRACT(CELL("address",N129), "\$([A-Z]+)\$[0-9]+"))),_xlfn.REGEXEXTRACT(CELL("address",N129), "\$([A-Z]+)\$[0-9]+"))</f>
        <v/>
      </c>
      <c r="O129" s="7" t="str" cm="1">
        <f t="array" aca="1" ref="O129" ca="1">IFERROR(IF(OR('Raw Data'!O129="",LEN(TRIM('Raw Data'!O129))=0),"",IF(AND(ISNUMBER('Raw Data'!O129), IFERROR('Raw Data'!O129 = ROUND('Raw Data'!O129, 2),FALSE)),"",_xlfn.REGEXEXTRACT(CELL("address",O129), "\$([A-Z]+)\$[0-9]+"))),_xlfn.REGEXEXTRACT(CELL("address",O129), "\$([A-Z]+)\$[0-9]+"))</f>
        <v/>
      </c>
      <c r="P129" s="7" t="str" cm="1">
        <f t="array" aca="1" ref="P129" ca="1">IFERROR(IF(OR('Raw Data'!P129="",LEN(TRIM('Raw Data'!P129))=0),"",IF(AND(ISNUMBER('Raw Data'!P129),'Raw Data'!P129&gt;=Configuration!$D$2),"",_xlfn.REGEXEXTRACT(CELL("address",'Raw Data'!P129),"\$([A-Z]+)\$[0-9]+"))),_xlfn.REGEXEXTRACT(CELL("address",P129), "\$([A-Z]+)\$[0-9]+"))</f>
        <v/>
      </c>
      <c r="Q129" s="7" t="str" cm="1">
        <f t="array" aca="1" ref="Q129" ca="1">IFERROR(IF(OR('Raw Data'!Q129="",LEN(TRIM('Raw Data'!Q129))=0),"",IF(AND(ISNUMBER('Raw Data'!Q129),'Raw Data'!Q129&gt;=Configuration!$D$2),"",_xlfn.REGEXEXTRACT(CELL("address",'Raw Data'!Q129),"\$([A-Z]+)\$[0-9]+"))),_xlfn.REGEXEXTRACT(CELL("address",Q129), "\$([A-Z]+)\$[0-9]+"))</f>
        <v/>
      </c>
      <c r="R129" s="7" t="str" cm="1">
        <f t="array" aca="1" ref="R129" ca="1">IFERROR(IF(OR('Raw Data'!R129="",LEN(TRIM('Raw Data'!R129))=0),"",IF(AND(ISNUMBER('Raw Data'!R129), IFERROR('Raw Data'!R129 = ROUND('Raw Data'!R129, 2),FALSE)),"",_xlfn.REGEXEXTRACT(CELL("address",R129), "\$([A-Z]+)\$[0-9]+"))),_xlfn.REGEXEXTRACT(CELL("address",R129), "\$([A-Z]+)\$[0-9]+"))</f>
        <v/>
      </c>
      <c r="S129" s="7" t="str" cm="1">
        <f t="array" aca="1" ref="S129" ca="1">IFERROR(IF(OR('Raw Data'!S129="",LEN(TRIM('Raw Data'!S129))=0),"",IF(AND(ISNUMBER('Raw Data'!S129), IFERROR('Raw Data'!S129 = ROUND('Raw Data'!S129, 2),FALSE)),"",_xlfn.REGEXEXTRACT(CELL("address",S129), "\$([A-Z]+)\$[0-9]+"))),_xlfn.REGEXEXTRACT(CELL("address",S129), "\$([A-Z]+)\$[0-9]+"))</f>
        <v/>
      </c>
      <c r="T129" s="7" t="str" cm="1">
        <f t="array" aca="1" ref="T129" ca="1">IFERROR(IF(OR('Raw Data'!T129="",LEN(TRIM('Raw Data'!T129))=0),"",IF(AND(ISNUMBER('Raw Data'!T129), IFERROR('Raw Data'!T129 = ROUND('Raw Data'!T129, 2),FALSE)),"",_xlfn.REGEXEXTRACT(CELL("address",T129), "\$([A-Z]+)\$[0-9]+"))),_xlfn.REGEXEXTRACT(CELL("address",T129), "\$([A-Z]+)\$[0-9]+"))</f>
        <v/>
      </c>
      <c r="U129" s="7" t="str" cm="1">
        <f t="array" aca="1" ref="U129" ca="1">IFERROR(IF(OR('Raw Data'!U129="",LEN(TRIM('Raw Data'!U129))=0),"",IF(AND(LEN('Raw Data'!U129) &lt;= 5,LEN('Raw Data'!U129)&gt; 0),"",_xlfn.REGEXEXTRACT(CELL("address",'Raw Data'!U129),"\$([A-Z]+)\$[0-9]+"))),_xlfn.REGEXEXTRACT(CELL("address",'Raw Data'!U129),"\$([A-Z]+)\$[0-9]+"))</f>
        <v/>
      </c>
      <c r="V129" s="7" t="str" cm="1">
        <f t="array" aca="1" ref="V129" ca="1">IFERROR(IF(OR('Raw Data'!V129="",LEN(TRIM('Raw Data'!V129))=0),"",IF(AND(ISNUMBER('Raw Data'!V129), IFERROR('Raw Data'!V129 = ROUND('Raw Data'!V129, 2),FALSE)),"",_xlfn.REGEXEXTRACT(CELL("address",V129), "\$([A-Z]+)\$[0-9]+"))),_xlfn.REGEXEXTRACT(CELL("address",V129), "\$([A-Z]+)\$[0-9]+"))</f>
        <v/>
      </c>
      <c r="W129" s="7" t="str" cm="1">
        <f t="array" aca="1" ref="W129" ca="1">IFERROR(IF(OR('Raw Data'!W129="",LEN(TRIM('Raw Data'!W129))=0),"",IF(AND(ISNUMBER('Raw Data'!W129), IFERROR('Raw Data'!W129 = ROUND('Raw Data'!W129, 2),FALSE)),"",_xlfn.REGEXEXTRACT(CELL("address",W129), "\$([A-Z]+)\$[0-9]+"))),_xlfn.REGEXEXTRACT(CELL("address",W129), "\$([A-Z]+)\$[0-9]+"))</f>
        <v/>
      </c>
      <c r="X129" s="7" t="str" cm="1">
        <f t="array" aca="1" ref="X129" ca="1">IFERROR(IF(OR('Raw Data'!X129="",LEN(TRIM('Raw Data'!X129))=0),"",IF(AND(ISNUMBER('Raw Data'!X129), IFERROR('Raw Data'!X129 = ROUND('Raw Data'!X129, 2),FALSE)),"",_xlfn.REGEXEXTRACT(CELL("address",X129), "\$([A-Z]+)\$[0-9]+"))),_xlfn.REGEXEXTRACT(CELL("address",X129), "\$([A-Z]+)\$[0-9]+"))</f>
        <v/>
      </c>
    </row>
    <row r="130" spans="2:24" x14ac:dyDescent="0.25">
      <c r="B130" s="7" t="str" cm="1">
        <f t="array" aca="1" ref="B130" ca="1">IFERROR(IF(OR('Raw Data'!B130="",LEN(TRIM('Raw Data'!B130))=0),"",IF(AND(LEN('Raw Data'!B130) &lt;= 50,LEN('Raw Data'!B130)&gt; 0),"",_xlfn.REGEXEXTRACT(CELL("address",'Raw Data'!B130),"\$([A-Z]+)\$[0-9]+"))),_xlfn.REGEXEXTRACT(CELL("address",'Raw Data'!B130),"\$([A-Z]+)\$[0-9]+"))</f>
        <v/>
      </c>
      <c r="C130" s="7" t="str" cm="1">
        <f t="array" aca="1" ref="C130" ca="1">IFERROR(IF(OR('Raw Data'!C130="",LEN(TRIM('Raw Data'!C130))=0),"",IF(AND(LEN('Raw Data'!C130) &lt;= 50,LEN('Raw Data'!C130)&gt; 0),"",_xlfn.REGEXEXTRACT(CELL("address",'Raw Data'!C130),"\$([A-Z]+)\$[0-9]+"))),_xlfn.REGEXEXTRACT(CELL("address",'Raw Data'!C130),"\$([A-Z]+)\$[0-9]+"))</f>
        <v/>
      </c>
      <c r="D130" s="7" t="str" cm="1">
        <f t="array" aca="1" ref="D130" ca="1">IFERROR(IF(OR('Raw Data'!D130="",LEN(TRIM('Raw Data'!D130))=0),"",IF(AND(LEN('Raw Data'!D130) &lt;= 255,LEN('Raw Data'!D130)&gt; 0),"",_xlfn.REGEXEXTRACT(CELL("address",'Raw Data'!D130),"\$([A-Z]+)\$[0-9]+"))),_xlfn.REGEXEXTRACT(CELL("address",'Raw Data'!D130),"\$([A-Z]+)\$[0-9]+"))</f>
        <v/>
      </c>
      <c r="E130" s="7" t="str" cm="1">
        <f t="array" aca="1" ref="E130" ca="1">IFERROR(IF(OR('Raw Data'!E130="",LEN(TRIM('Raw Data'!E130))=0),"",IF(AND(ISNUMBER('Raw Data'!E130),'Raw Data'!E130&gt;=Configuration!$D$2),"",_xlfn.REGEXEXTRACT(CELL("address",'Raw Data'!E130),"\$([A-Z]+)\$[0-9]+"))),_xlfn.REGEXEXTRACT(CELL("address",E130), "\$([A-Z]+)\$[0-9]+"))</f>
        <v/>
      </c>
      <c r="F130" s="7" t="str" cm="1">
        <f t="array" aca="1" ref="F130" ca="1">IFERROR(IF(OR('Raw Data'!F130="",LEN(TRIM('Raw Data'!F130))=0),"",IF(AND(LEN('Raw Data'!F130) &lt;= 20,LEN('Raw Data'!F130)&gt; 0),"",_xlfn.REGEXEXTRACT(CELL("address",'Raw Data'!F130),"\$([A-Z]+)\$[0-9]+"))),_xlfn.REGEXEXTRACT(CELL("address",'Raw Data'!F130),"\$([A-Z]+)\$[0-9]+"))</f>
        <v/>
      </c>
      <c r="G130" s="7" t="str" cm="1">
        <f t="array" aca="1" ref="G130" ca="1">IFERROR(IF(OR('Raw Data'!G130="",LEN(TRIM('Raw Data'!G130))=0),"",IF(AND(ISNUMBER('Raw Data'!G130), IFERROR('Raw Data'!G130 = ROUND('Raw Data'!G130, 2),FALSE)),"",_xlfn.REGEXEXTRACT(CELL("address",G130), "\$([A-Z]+)\$[0-9]+"))),_xlfn.REGEXEXTRACT(CELL("address",G130), "\$([A-Z]+)\$[0-9]+"))</f>
        <v/>
      </c>
      <c r="H130" s="7" t="str" cm="1">
        <f t="array" aca="1" ref="H130" ca="1">IFERROR(IF(OR('Raw Data'!H130="",LEN(TRIM('Raw Data'!H130))=0),"",IF(AND(ISNUMBER('Raw Data'!H130), IFERROR('Raw Data'!H130 = ROUND('Raw Data'!H130, 2),FALSE)),"",_xlfn.REGEXEXTRACT(CELL("address",H130), "\$([A-Z]+)\$[0-9]+"))),_xlfn.REGEXEXTRACT(CELL("address",H130), "\$([A-Z]+)\$[0-9]+"))</f>
        <v/>
      </c>
      <c r="I130" s="7" t="str" cm="1">
        <f t="array" aca="1" ref="I130" ca="1">IFERROR(IF(OR('Raw Data'!I130="",LEN(TRIM('Raw Data'!I130))=0),"",IF(AND(LEN('Raw Data'!I130) &lt;= 50,LEN('Raw Data'!I130)&gt; 0),"",_xlfn.REGEXEXTRACT(CELL("address",'Raw Data'!I130),"\$([A-Z]+)\$[0-9]+"))),_xlfn.REGEXEXTRACT(CELL("address",'Raw Data'!I130),"\$([A-Z]+)\$[0-9]+"))</f>
        <v/>
      </c>
      <c r="J130" s="7" t="str" cm="1">
        <f t="array" aca="1" ref="J130" ca="1">IFERROR(IF(OR('Raw Data'!J130="",LEN(TRIM('Raw Data'!J130))=0),"",IF(AND(ISNUMBER('Raw Data'!J130),'Raw Data'!J130&gt;=Configuration!$D$2),"",_xlfn.REGEXEXTRACT(CELL("address",'Raw Data'!J130),"\$([A-Z]+)\$[0-9]+"))),_xlfn.REGEXEXTRACT(CELL("address",J130), "\$([A-Z]+)\$[0-9]+"))</f>
        <v/>
      </c>
      <c r="K130" s="7" t="str" cm="1">
        <f t="array" aca="1" ref="K130" ca="1">IFERROR(IF(OR('Raw Data'!K130="",LEN(TRIM('Raw Data'!K130))=0),"",IF(AND(ISNUMBER('Raw Data'!K130), IFERROR('Raw Data'!K130 = ROUND('Raw Data'!K130, 2),FALSE)),"",_xlfn.REGEXEXTRACT(CELL("address",K130), "\$([A-Z]+)\$[0-9]+"))),_xlfn.REGEXEXTRACT(CELL("address",K130), "\$([A-Z]+)\$[0-9]+"))</f>
        <v/>
      </c>
      <c r="L130" s="7" t="str" cm="1">
        <f t="array" aca="1" ref="L130" ca="1">IFERROR(IF(OR('Raw Data'!L130="",LEN(TRIM('Raw Data'!L130))=0),"",IF(AND(ISNUMBER('Raw Data'!L130), IFERROR('Raw Data'!L130 = ROUND('Raw Data'!L130, 2),FALSE)),"",_xlfn.REGEXEXTRACT(CELL("address",L130), "\$([A-Z]+)\$[0-9]+"))),_xlfn.REGEXEXTRACT(CELL("address",L130), "\$([A-Z]+)\$[0-9]+"))</f>
        <v/>
      </c>
      <c r="M130" s="7" t="str" cm="1">
        <f t="array" aca="1" ref="M130" ca="1">IFERROR(IF(OR('Raw Data'!M130="",LEN(TRIM('Raw Data'!M130))=0),"",IF(AND(ISNUMBER('Raw Data'!M130), IFERROR('Raw Data'!M130 = ROUND('Raw Data'!M130, 2),FALSE)),"",_xlfn.REGEXEXTRACT(CELL("address",M130), "\$([A-Z]+)\$[0-9]+"))),_xlfn.REGEXEXTRACT(CELL("address",M130), "\$([A-Z]+)\$[0-9]+"))</f>
        <v/>
      </c>
      <c r="N130" s="7" t="str" cm="1">
        <f t="array" aca="1" ref="N130" ca="1">IFERROR(IF(OR('Raw Data'!N130="",LEN(TRIM('Raw Data'!N130))=0),"",IF(AND(ISNUMBER('Raw Data'!N130), IFERROR('Raw Data'!N130 = ROUND('Raw Data'!N130, 2),FALSE)),"",_xlfn.REGEXEXTRACT(CELL("address",N130), "\$([A-Z]+)\$[0-9]+"))),_xlfn.REGEXEXTRACT(CELL("address",N130), "\$([A-Z]+)\$[0-9]+"))</f>
        <v/>
      </c>
      <c r="O130" s="7" t="str" cm="1">
        <f t="array" aca="1" ref="O130" ca="1">IFERROR(IF(OR('Raw Data'!O130="",LEN(TRIM('Raw Data'!O130))=0),"",IF(AND(ISNUMBER('Raw Data'!O130), IFERROR('Raw Data'!O130 = ROUND('Raw Data'!O130, 2),FALSE)),"",_xlfn.REGEXEXTRACT(CELL("address",O130), "\$([A-Z]+)\$[0-9]+"))),_xlfn.REGEXEXTRACT(CELL("address",O130), "\$([A-Z]+)\$[0-9]+"))</f>
        <v/>
      </c>
      <c r="P130" s="7" t="str" cm="1">
        <f t="array" aca="1" ref="P130" ca="1">IFERROR(IF(OR('Raw Data'!P130="",LEN(TRIM('Raw Data'!P130))=0),"",IF(AND(ISNUMBER('Raw Data'!P130),'Raw Data'!P130&gt;=Configuration!$D$2),"",_xlfn.REGEXEXTRACT(CELL("address",'Raw Data'!P130),"\$([A-Z]+)\$[0-9]+"))),_xlfn.REGEXEXTRACT(CELL("address",P130), "\$([A-Z]+)\$[0-9]+"))</f>
        <v/>
      </c>
      <c r="Q130" s="7" t="str" cm="1">
        <f t="array" aca="1" ref="Q130" ca="1">IFERROR(IF(OR('Raw Data'!Q130="",LEN(TRIM('Raw Data'!Q130))=0),"",IF(AND(ISNUMBER('Raw Data'!Q130),'Raw Data'!Q130&gt;=Configuration!$D$2),"",_xlfn.REGEXEXTRACT(CELL("address",'Raw Data'!Q130),"\$([A-Z]+)\$[0-9]+"))),_xlfn.REGEXEXTRACT(CELL("address",Q130), "\$([A-Z]+)\$[0-9]+"))</f>
        <v/>
      </c>
      <c r="R130" s="7" t="str" cm="1">
        <f t="array" aca="1" ref="R130" ca="1">IFERROR(IF(OR('Raw Data'!R130="",LEN(TRIM('Raw Data'!R130))=0),"",IF(AND(ISNUMBER('Raw Data'!R130), IFERROR('Raw Data'!R130 = ROUND('Raw Data'!R130, 2),FALSE)),"",_xlfn.REGEXEXTRACT(CELL("address",R130), "\$([A-Z]+)\$[0-9]+"))),_xlfn.REGEXEXTRACT(CELL("address",R130), "\$([A-Z]+)\$[0-9]+"))</f>
        <v/>
      </c>
      <c r="S130" s="7" t="str" cm="1">
        <f t="array" aca="1" ref="S130" ca="1">IFERROR(IF(OR('Raw Data'!S130="",LEN(TRIM('Raw Data'!S130))=0),"",IF(AND(ISNUMBER('Raw Data'!S130), IFERROR('Raw Data'!S130 = ROUND('Raw Data'!S130, 2),FALSE)),"",_xlfn.REGEXEXTRACT(CELL("address",S130), "\$([A-Z]+)\$[0-9]+"))),_xlfn.REGEXEXTRACT(CELL("address",S130), "\$([A-Z]+)\$[0-9]+"))</f>
        <v/>
      </c>
      <c r="T130" s="7" t="str" cm="1">
        <f t="array" aca="1" ref="T130" ca="1">IFERROR(IF(OR('Raw Data'!T130="",LEN(TRIM('Raw Data'!T130))=0),"",IF(AND(ISNUMBER('Raw Data'!T130), IFERROR('Raw Data'!T130 = ROUND('Raw Data'!T130, 2),FALSE)),"",_xlfn.REGEXEXTRACT(CELL("address",T130), "\$([A-Z]+)\$[0-9]+"))),_xlfn.REGEXEXTRACT(CELL("address",T130), "\$([A-Z]+)\$[0-9]+"))</f>
        <v/>
      </c>
      <c r="U130" s="7" t="str" cm="1">
        <f t="array" aca="1" ref="U130" ca="1">IFERROR(IF(OR('Raw Data'!U130="",LEN(TRIM('Raw Data'!U130))=0),"",IF(AND(LEN('Raw Data'!U130) &lt;= 5,LEN('Raw Data'!U130)&gt; 0),"",_xlfn.REGEXEXTRACT(CELL("address",'Raw Data'!U130),"\$([A-Z]+)\$[0-9]+"))),_xlfn.REGEXEXTRACT(CELL("address",'Raw Data'!U130),"\$([A-Z]+)\$[0-9]+"))</f>
        <v/>
      </c>
      <c r="V130" s="7" t="str" cm="1">
        <f t="array" aca="1" ref="V130" ca="1">IFERROR(IF(OR('Raw Data'!V130="",LEN(TRIM('Raw Data'!V130))=0),"",IF(AND(ISNUMBER('Raw Data'!V130), IFERROR('Raw Data'!V130 = ROUND('Raw Data'!V130, 2),FALSE)),"",_xlfn.REGEXEXTRACT(CELL("address",V130), "\$([A-Z]+)\$[0-9]+"))),_xlfn.REGEXEXTRACT(CELL("address",V130), "\$([A-Z]+)\$[0-9]+"))</f>
        <v/>
      </c>
      <c r="W130" s="7" t="str" cm="1">
        <f t="array" aca="1" ref="W130" ca="1">IFERROR(IF(OR('Raw Data'!W130="",LEN(TRIM('Raw Data'!W130))=0),"",IF(AND(ISNUMBER('Raw Data'!W130), IFERROR('Raw Data'!W130 = ROUND('Raw Data'!W130, 2),FALSE)),"",_xlfn.REGEXEXTRACT(CELL("address",W130), "\$([A-Z]+)\$[0-9]+"))),_xlfn.REGEXEXTRACT(CELL("address",W130), "\$([A-Z]+)\$[0-9]+"))</f>
        <v/>
      </c>
      <c r="X130" s="7" t="str" cm="1">
        <f t="array" aca="1" ref="X130" ca="1">IFERROR(IF(OR('Raw Data'!X130="",LEN(TRIM('Raw Data'!X130))=0),"",IF(AND(ISNUMBER('Raw Data'!X130), IFERROR('Raw Data'!X130 = ROUND('Raw Data'!X130, 2),FALSE)),"",_xlfn.REGEXEXTRACT(CELL("address",X130), "\$([A-Z]+)\$[0-9]+"))),_xlfn.REGEXEXTRACT(CELL("address",X130), "\$([A-Z]+)\$[0-9]+"))</f>
        <v/>
      </c>
    </row>
    <row r="131" spans="2:24" x14ac:dyDescent="0.25">
      <c r="B131" s="7" t="str" cm="1">
        <f t="array" aca="1" ref="B131" ca="1">IFERROR(IF(OR('Raw Data'!B131="",LEN(TRIM('Raw Data'!B131))=0),"",IF(AND(LEN('Raw Data'!B131) &lt;= 50,LEN('Raw Data'!B131)&gt; 0),"",_xlfn.REGEXEXTRACT(CELL("address",'Raw Data'!B131),"\$([A-Z]+)\$[0-9]+"))),_xlfn.REGEXEXTRACT(CELL("address",'Raw Data'!B131),"\$([A-Z]+)\$[0-9]+"))</f>
        <v/>
      </c>
      <c r="C131" s="7" t="str" cm="1">
        <f t="array" aca="1" ref="C131" ca="1">IFERROR(IF(OR('Raw Data'!C131="",LEN(TRIM('Raw Data'!C131))=0),"",IF(AND(LEN('Raw Data'!C131) &lt;= 50,LEN('Raw Data'!C131)&gt; 0),"",_xlfn.REGEXEXTRACT(CELL("address",'Raw Data'!C131),"\$([A-Z]+)\$[0-9]+"))),_xlfn.REGEXEXTRACT(CELL("address",'Raw Data'!C131),"\$([A-Z]+)\$[0-9]+"))</f>
        <v/>
      </c>
      <c r="D131" s="7" t="str" cm="1">
        <f t="array" aca="1" ref="D131" ca="1">IFERROR(IF(OR('Raw Data'!D131="",LEN(TRIM('Raw Data'!D131))=0),"",IF(AND(LEN('Raw Data'!D131) &lt;= 255,LEN('Raw Data'!D131)&gt; 0),"",_xlfn.REGEXEXTRACT(CELL("address",'Raw Data'!D131),"\$([A-Z]+)\$[0-9]+"))),_xlfn.REGEXEXTRACT(CELL("address",'Raw Data'!D131),"\$([A-Z]+)\$[0-9]+"))</f>
        <v/>
      </c>
      <c r="E131" s="7" t="str" cm="1">
        <f t="array" aca="1" ref="E131" ca="1">IFERROR(IF(OR('Raw Data'!E131="",LEN(TRIM('Raw Data'!E131))=0),"",IF(AND(ISNUMBER('Raw Data'!E131),'Raw Data'!E131&gt;=Configuration!$D$2),"",_xlfn.REGEXEXTRACT(CELL("address",'Raw Data'!E131),"\$([A-Z]+)\$[0-9]+"))),_xlfn.REGEXEXTRACT(CELL("address",E131), "\$([A-Z]+)\$[0-9]+"))</f>
        <v/>
      </c>
      <c r="F131" s="7" t="str" cm="1">
        <f t="array" aca="1" ref="F131" ca="1">IFERROR(IF(OR('Raw Data'!F131="",LEN(TRIM('Raw Data'!F131))=0),"",IF(AND(LEN('Raw Data'!F131) &lt;= 20,LEN('Raw Data'!F131)&gt; 0),"",_xlfn.REGEXEXTRACT(CELL("address",'Raw Data'!F131),"\$([A-Z]+)\$[0-9]+"))),_xlfn.REGEXEXTRACT(CELL("address",'Raw Data'!F131),"\$([A-Z]+)\$[0-9]+"))</f>
        <v/>
      </c>
      <c r="G131" s="7" t="str" cm="1">
        <f t="array" aca="1" ref="G131" ca="1">IFERROR(IF(OR('Raw Data'!G131="",LEN(TRIM('Raw Data'!G131))=0),"",IF(AND(ISNUMBER('Raw Data'!G131), IFERROR('Raw Data'!G131 = ROUND('Raw Data'!G131, 2),FALSE)),"",_xlfn.REGEXEXTRACT(CELL("address",G131), "\$([A-Z]+)\$[0-9]+"))),_xlfn.REGEXEXTRACT(CELL("address",G131), "\$([A-Z]+)\$[0-9]+"))</f>
        <v/>
      </c>
      <c r="H131" s="7" t="str" cm="1">
        <f t="array" aca="1" ref="H131" ca="1">IFERROR(IF(OR('Raw Data'!H131="",LEN(TRIM('Raw Data'!H131))=0),"",IF(AND(ISNUMBER('Raw Data'!H131), IFERROR('Raw Data'!H131 = ROUND('Raw Data'!H131, 2),FALSE)),"",_xlfn.REGEXEXTRACT(CELL("address",H131), "\$([A-Z]+)\$[0-9]+"))),_xlfn.REGEXEXTRACT(CELL("address",H131), "\$([A-Z]+)\$[0-9]+"))</f>
        <v/>
      </c>
      <c r="I131" s="7" t="str" cm="1">
        <f t="array" aca="1" ref="I131" ca="1">IFERROR(IF(OR('Raw Data'!I131="",LEN(TRIM('Raw Data'!I131))=0),"",IF(AND(LEN('Raw Data'!I131) &lt;= 50,LEN('Raw Data'!I131)&gt; 0),"",_xlfn.REGEXEXTRACT(CELL("address",'Raw Data'!I131),"\$([A-Z]+)\$[0-9]+"))),_xlfn.REGEXEXTRACT(CELL("address",'Raw Data'!I131),"\$([A-Z]+)\$[0-9]+"))</f>
        <v/>
      </c>
      <c r="J131" s="7" t="str" cm="1">
        <f t="array" aca="1" ref="J131" ca="1">IFERROR(IF(OR('Raw Data'!J131="",LEN(TRIM('Raw Data'!J131))=0),"",IF(AND(ISNUMBER('Raw Data'!J131),'Raw Data'!J131&gt;=Configuration!$D$2),"",_xlfn.REGEXEXTRACT(CELL("address",'Raw Data'!J131),"\$([A-Z]+)\$[0-9]+"))),_xlfn.REGEXEXTRACT(CELL("address",J131), "\$([A-Z]+)\$[0-9]+"))</f>
        <v/>
      </c>
      <c r="K131" s="7" t="str" cm="1">
        <f t="array" aca="1" ref="K131" ca="1">IFERROR(IF(OR('Raw Data'!K131="",LEN(TRIM('Raw Data'!K131))=0),"",IF(AND(ISNUMBER('Raw Data'!K131), IFERROR('Raw Data'!K131 = ROUND('Raw Data'!K131, 2),FALSE)),"",_xlfn.REGEXEXTRACT(CELL("address",K131), "\$([A-Z]+)\$[0-9]+"))),_xlfn.REGEXEXTRACT(CELL("address",K131), "\$([A-Z]+)\$[0-9]+"))</f>
        <v/>
      </c>
      <c r="L131" s="7" t="str" cm="1">
        <f t="array" aca="1" ref="L131" ca="1">IFERROR(IF(OR('Raw Data'!L131="",LEN(TRIM('Raw Data'!L131))=0),"",IF(AND(ISNUMBER('Raw Data'!L131), IFERROR('Raw Data'!L131 = ROUND('Raw Data'!L131, 2),FALSE)),"",_xlfn.REGEXEXTRACT(CELL("address",L131), "\$([A-Z]+)\$[0-9]+"))),_xlfn.REGEXEXTRACT(CELL("address",L131), "\$([A-Z]+)\$[0-9]+"))</f>
        <v/>
      </c>
      <c r="M131" s="7" t="str" cm="1">
        <f t="array" aca="1" ref="M131" ca="1">IFERROR(IF(OR('Raw Data'!M131="",LEN(TRIM('Raw Data'!M131))=0),"",IF(AND(ISNUMBER('Raw Data'!M131), IFERROR('Raw Data'!M131 = ROUND('Raw Data'!M131, 2),FALSE)),"",_xlfn.REGEXEXTRACT(CELL("address",M131), "\$([A-Z]+)\$[0-9]+"))),_xlfn.REGEXEXTRACT(CELL("address",M131), "\$([A-Z]+)\$[0-9]+"))</f>
        <v/>
      </c>
      <c r="N131" s="7" t="str" cm="1">
        <f t="array" aca="1" ref="N131" ca="1">IFERROR(IF(OR('Raw Data'!N131="",LEN(TRIM('Raw Data'!N131))=0),"",IF(AND(ISNUMBER('Raw Data'!N131), IFERROR('Raw Data'!N131 = ROUND('Raw Data'!N131, 2),FALSE)),"",_xlfn.REGEXEXTRACT(CELL("address",N131), "\$([A-Z]+)\$[0-9]+"))),_xlfn.REGEXEXTRACT(CELL("address",N131), "\$([A-Z]+)\$[0-9]+"))</f>
        <v/>
      </c>
      <c r="O131" s="7" t="str" cm="1">
        <f t="array" aca="1" ref="O131" ca="1">IFERROR(IF(OR('Raw Data'!O131="",LEN(TRIM('Raw Data'!O131))=0),"",IF(AND(ISNUMBER('Raw Data'!O131), IFERROR('Raw Data'!O131 = ROUND('Raw Data'!O131, 2),FALSE)),"",_xlfn.REGEXEXTRACT(CELL("address",O131), "\$([A-Z]+)\$[0-9]+"))),_xlfn.REGEXEXTRACT(CELL("address",O131), "\$([A-Z]+)\$[0-9]+"))</f>
        <v/>
      </c>
      <c r="P131" s="7" t="str" cm="1">
        <f t="array" aca="1" ref="P131" ca="1">IFERROR(IF(OR('Raw Data'!P131="",LEN(TRIM('Raw Data'!P131))=0),"",IF(AND(ISNUMBER('Raw Data'!P131),'Raw Data'!P131&gt;=Configuration!$D$2),"",_xlfn.REGEXEXTRACT(CELL("address",'Raw Data'!P131),"\$([A-Z]+)\$[0-9]+"))),_xlfn.REGEXEXTRACT(CELL("address",P131), "\$([A-Z]+)\$[0-9]+"))</f>
        <v/>
      </c>
      <c r="Q131" s="7" t="str" cm="1">
        <f t="array" aca="1" ref="Q131" ca="1">IFERROR(IF(OR('Raw Data'!Q131="",LEN(TRIM('Raw Data'!Q131))=0),"",IF(AND(ISNUMBER('Raw Data'!Q131),'Raw Data'!Q131&gt;=Configuration!$D$2),"",_xlfn.REGEXEXTRACT(CELL("address",'Raw Data'!Q131),"\$([A-Z]+)\$[0-9]+"))),_xlfn.REGEXEXTRACT(CELL("address",Q131), "\$([A-Z]+)\$[0-9]+"))</f>
        <v/>
      </c>
      <c r="R131" s="7" t="str" cm="1">
        <f t="array" aca="1" ref="R131" ca="1">IFERROR(IF(OR('Raw Data'!R131="",LEN(TRIM('Raw Data'!R131))=0),"",IF(AND(ISNUMBER('Raw Data'!R131), IFERROR('Raw Data'!R131 = ROUND('Raw Data'!R131, 2),FALSE)),"",_xlfn.REGEXEXTRACT(CELL("address",R131), "\$([A-Z]+)\$[0-9]+"))),_xlfn.REGEXEXTRACT(CELL("address",R131), "\$([A-Z]+)\$[0-9]+"))</f>
        <v/>
      </c>
      <c r="S131" s="7" t="str" cm="1">
        <f t="array" aca="1" ref="S131" ca="1">IFERROR(IF(OR('Raw Data'!S131="",LEN(TRIM('Raw Data'!S131))=0),"",IF(AND(ISNUMBER('Raw Data'!S131), IFERROR('Raw Data'!S131 = ROUND('Raw Data'!S131, 2),FALSE)),"",_xlfn.REGEXEXTRACT(CELL("address",S131), "\$([A-Z]+)\$[0-9]+"))),_xlfn.REGEXEXTRACT(CELL("address",S131), "\$([A-Z]+)\$[0-9]+"))</f>
        <v/>
      </c>
      <c r="T131" s="7" t="str" cm="1">
        <f t="array" aca="1" ref="T131" ca="1">IFERROR(IF(OR('Raw Data'!T131="",LEN(TRIM('Raw Data'!T131))=0),"",IF(AND(ISNUMBER('Raw Data'!T131), IFERROR('Raw Data'!T131 = ROUND('Raw Data'!T131, 2),FALSE)),"",_xlfn.REGEXEXTRACT(CELL("address",T131), "\$([A-Z]+)\$[0-9]+"))),_xlfn.REGEXEXTRACT(CELL("address",T131), "\$([A-Z]+)\$[0-9]+"))</f>
        <v/>
      </c>
      <c r="U131" s="7" t="str" cm="1">
        <f t="array" aca="1" ref="U131" ca="1">IFERROR(IF(OR('Raw Data'!U131="",LEN(TRIM('Raw Data'!U131))=0),"",IF(AND(LEN('Raw Data'!U131) &lt;= 5,LEN('Raw Data'!U131)&gt; 0),"",_xlfn.REGEXEXTRACT(CELL("address",'Raw Data'!U131),"\$([A-Z]+)\$[0-9]+"))),_xlfn.REGEXEXTRACT(CELL("address",'Raw Data'!U131),"\$([A-Z]+)\$[0-9]+"))</f>
        <v/>
      </c>
      <c r="V131" s="7" t="str" cm="1">
        <f t="array" aca="1" ref="V131" ca="1">IFERROR(IF(OR('Raw Data'!V131="",LEN(TRIM('Raw Data'!V131))=0),"",IF(AND(ISNUMBER('Raw Data'!V131), IFERROR('Raw Data'!V131 = ROUND('Raw Data'!V131, 2),FALSE)),"",_xlfn.REGEXEXTRACT(CELL("address",V131), "\$([A-Z]+)\$[0-9]+"))),_xlfn.REGEXEXTRACT(CELL("address",V131), "\$([A-Z]+)\$[0-9]+"))</f>
        <v/>
      </c>
      <c r="W131" s="7" t="str" cm="1">
        <f t="array" aca="1" ref="W131" ca="1">IFERROR(IF(OR('Raw Data'!W131="",LEN(TRIM('Raw Data'!W131))=0),"",IF(AND(ISNUMBER('Raw Data'!W131), IFERROR('Raw Data'!W131 = ROUND('Raw Data'!W131, 2),FALSE)),"",_xlfn.REGEXEXTRACT(CELL("address",W131), "\$([A-Z]+)\$[0-9]+"))),_xlfn.REGEXEXTRACT(CELL("address",W131), "\$([A-Z]+)\$[0-9]+"))</f>
        <v/>
      </c>
      <c r="X131" s="7" t="str" cm="1">
        <f t="array" aca="1" ref="X131" ca="1">IFERROR(IF(OR('Raw Data'!X131="",LEN(TRIM('Raw Data'!X131))=0),"",IF(AND(ISNUMBER('Raw Data'!X131), IFERROR('Raw Data'!X131 = ROUND('Raw Data'!X131, 2),FALSE)),"",_xlfn.REGEXEXTRACT(CELL("address",X131), "\$([A-Z]+)\$[0-9]+"))),_xlfn.REGEXEXTRACT(CELL("address",X131), "\$([A-Z]+)\$[0-9]+"))</f>
        <v/>
      </c>
    </row>
    <row r="132" spans="2:24" x14ac:dyDescent="0.25">
      <c r="B132" s="7" t="str" cm="1">
        <f t="array" aca="1" ref="B132" ca="1">IFERROR(IF(OR('Raw Data'!B132="",LEN(TRIM('Raw Data'!B132))=0),"",IF(AND(LEN('Raw Data'!B132) &lt;= 50,LEN('Raw Data'!B132)&gt; 0),"",_xlfn.REGEXEXTRACT(CELL("address",'Raw Data'!B132),"\$([A-Z]+)\$[0-9]+"))),_xlfn.REGEXEXTRACT(CELL("address",'Raw Data'!B132),"\$([A-Z]+)\$[0-9]+"))</f>
        <v/>
      </c>
      <c r="C132" s="7" t="str" cm="1">
        <f t="array" aca="1" ref="C132" ca="1">IFERROR(IF(OR('Raw Data'!C132="",LEN(TRIM('Raw Data'!C132))=0),"",IF(AND(LEN('Raw Data'!C132) &lt;= 50,LEN('Raw Data'!C132)&gt; 0),"",_xlfn.REGEXEXTRACT(CELL("address",'Raw Data'!C132),"\$([A-Z]+)\$[0-9]+"))),_xlfn.REGEXEXTRACT(CELL("address",'Raw Data'!C132),"\$([A-Z]+)\$[0-9]+"))</f>
        <v/>
      </c>
      <c r="D132" s="7" t="str" cm="1">
        <f t="array" aca="1" ref="D132" ca="1">IFERROR(IF(OR('Raw Data'!D132="",LEN(TRIM('Raw Data'!D132))=0),"",IF(AND(LEN('Raw Data'!D132) &lt;= 255,LEN('Raw Data'!D132)&gt; 0),"",_xlfn.REGEXEXTRACT(CELL("address",'Raw Data'!D132),"\$([A-Z]+)\$[0-9]+"))),_xlfn.REGEXEXTRACT(CELL("address",'Raw Data'!D132),"\$([A-Z]+)\$[0-9]+"))</f>
        <v/>
      </c>
      <c r="E132" s="7" t="str" cm="1">
        <f t="array" aca="1" ref="E132" ca="1">IFERROR(IF(OR('Raw Data'!E132="",LEN(TRIM('Raw Data'!E132))=0),"",IF(AND(ISNUMBER('Raw Data'!E132),'Raw Data'!E132&gt;=Configuration!$D$2),"",_xlfn.REGEXEXTRACT(CELL("address",'Raw Data'!E132),"\$([A-Z]+)\$[0-9]+"))),_xlfn.REGEXEXTRACT(CELL("address",E132), "\$([A-Z]+)\$[0-9]+"))</f>
        <v/>
      </c>
      <c r="F132" s="7" t="str" cm="1">
        <f t="array" aca="1" ref="F132" ca="1">IFERROR(IF(OR('Raw Data'!F132="",LEN(TRIM('Raw Data'!F132))=0),"",IF(AND(LEN('Raw Data'!F132) &lt;= 20,LEN('Raw Data'!F132)&gt; 0),"",_xlfn.REGEXEXTRACT(CELL("address",'Raw Data'!F132),"\$([A-Z]+)\$[0-9]+"))),_xlfn.REGEXEXTRACT(CELL("address",'Raw Data'!F132),"\$([A-Z]+)\$[0-9]+"))</f>
        <v/>
      </c>
      <c r="G132" s="7" t="str" cm="1">
        <f t="array" aca="1" ref="G132" ca="1">IFERROR(IF(OR('Raw Data'!G132="",LEN(TRIM('Raw Data'!G132))=0),"",IF(AND(ISNUMBER('Raw Data'!G132), IFERROR('Raw Data'!G132 = ROUND('Raw Data'!G132, 2),FALSE)),"",_xlfn.REGEXEXTRACT(CELL("address",G132), "\$([A-Z]+)\$[0-9]+"))),_xlfn.REGEXEXTRACT(CELL("address",G132), "\$([A-Z]+)\$[0-9]+"))</f>
        <v/>
      </c>
      <c r="H132" s="7" t="str" cm="1">
        <f t="array" aca="1" ref="H132" ca="1">IFERROR(IF(OR('Raw Data'!H132="",LEN(TRIM('Raw Data'!H132))=0),"",IF(AND(ISNUMBER('Raw Data'!H132), IFERROR('Raw Data'!H132 = ROUND('Raw Data'!H132, 2),FALSE)),"",_xlfn.REGEXEXTRACT(CELL("address",H132), "\$([A-Z]+)\$[0-9]+"))),_xlfn.REGEXEXTRACT(CELL("address",H132), "\$([A-Z]+)\$[0-9]+"))</f>
        <v/>
      </c>
      <c r="I132" s="7" t="str" cm="1">
        <f t="array" aca="1" ref="I132" ca="1">IFERROR(IF(OR('Raw Data'!I132="",LEN(TRIM('Raw Data'!I132))=0),"",IF(AND(LEN('Raw Data'!I132) &lt;= 50,LEN('Raw Data'!I132)&gt; 0),"",_xlfn.REGEXEXTRACT(CELL("address",'Raw Data'!I132),"\$([A-Z]+)\$[0-9]+"))),_xlfn.REGEXEXTRACT(CELL("address",'Raw Data'!I132),"\$([A-Z]+)\$[0-9]+"))</f>
        <v/>
      </c>
      <c r="J132" s="7" t="str" cm="1">
        <f t="array" aca="1" ref="J132" ca="1">IFERROR(IF(OR('Raw Data'!J132="",LEN(TRIM('Raw Data'!J132))=0),"",IF(AND(ISNUMBER('Raw Data'!J132),'Raw Data'!J132&gt;=Configuration!$D$2),"",_xlfn.REGEXEXTRACT(CELL("address",'Raw Data'!J132),"\$([A-Z]+)\$[0-9]+"))),_xlfn.REGEXEXTRACT(CELL("address",J132), "\$([A-Z]+)\$[0-9]+"))</f>
        <v/>
      </c>
      <c r="K132" s="7" t="str" cm="1">
        <f t="array" aca="1" ref="K132" ca="1">IFERROR(IF(OR('Raw Data'!K132="",LEN(TRIM('Raw Data'!K132))=0),"",IF(AND(ISNUMBER('Raw Data'!K132), IFERROR('Raw Data'!K132 = ROUND('Raw Data'!K132, 2),FALSE)),"",_xlfn.REGEXEXTRACT(CELL("address",K132), "\$([A-Z]+)\$[0-9]+"))),_xlfn.REGEXEXTRACT(CELL("address",K132), "\$([A-Z]+)\$[0-9]+"))</f>
        <v/>
      </c>
      <c r="L132" s="7" t="str" cm="1">
        <f t="array" aca="1" ref="L132" ca="1">IFERROR(IF(OR('Raw Data'!L132="",LEN(TRIM('Raw Data'!L132))=0),"",IF(AND(ISNUMBER('Raw Data'!L132), IFERROR('Raw Data'!L132 = ROUND('Raw Data'!L132, 2),FALSE)),"",_xlfn.REGEXEXTRACT(CELL("address",L132), "\$([A-Z]+)\$[0-9]+"))),_xlfn.REGEXEXTRACT(CELL("address",L132), "\$([A-Z]+)\$[0-9]+"))</f>
        <v/>
      </c>
      <c r="M132" s="7" t="str" cm="1">
        <f t="array" aca="1" ref="M132" ca="1">IFERROR(IF(OR('Raw Data'!M132="",LEN(TRIM('Raw Data'!M132))=0),"",IF(AND(ISNUMBER('Raw Data'!M132), IFERROR('Raw Data'!M132 = ROUND('Raw Data'!M132, 2),FALSE)),"",_xlfn.REGEXEXTRACT(CELL("address",M132), "\$([A-Z]+)\$[0-9]+"))),_xlfn.REGEXEXTRACT(CELL("address",M132), "\$([A-Z]+)\$[0-9]+"))</f>
        <v/>
      </c>
      <c r="N132" s="7" t="str" cm="1">
        <f t="array" aca="1" ref="N132" ca="1">IFERROR(IF(OR('Raw Data'!N132="",LEN(TRIM('Raw Data'!N132))=0),"",IF(AND(ISNUMBER('Raw Data'!N132), IFERROR('Raw Data'!N132 = ROUND('Raw Data'!N132, 2),FALSE)),"",_xlfn.REGEXEXTRACT(CELL("address",N132), "\$([A-Z]+)\$[0-9]+"))),_xlfn.REGEXEXTRACT(CELL("address",N132), "\$([A-Z]+)\$[0-9]+"))</f>
        <v/>
      </c>
      <c r="O132" s="7" t="str" cm="1">
        <f t="array" aca="1" ref="O132" ca="1">IFERROR(IF(OR('Raw Data'!O132="",LEN(TRIM('Raw Data'!O132))=0),"",IF(AND(ISNUMBER('Raw Data'!O132), IFERROR('Raw Data'!O132 = ROUND('Raw Data'!O132, 2),FALSE)),"",_xlfn.REGEXEXTRACT(CELL("address",O132), "\$([A-Z]+)\$[0-9]+"))),_xlfn.REGEXEXTRACT(CELL("address",O132), "\$([A-Z]+)\$[0-9]+"))</f>
        <v/>
      </c>
      <c r="P132" s="7" t="str" cm="1">
        <f t="array" aca="1" ref="P132" ca="1">IFERROR(IF(OR('Raw Data'!P132="",LEN(TRIM('Raw Data'!P132))=0),"",IF(AND(ISNUMBER('Raw Data'!P132),'Raw Data'!P132&gt;=Configuration!$D$2),"",_xlfn.REGEXEXTRACT(CELL("address",'Raw Data'!P132),"\$([A-Z]+)\$[0-9]+"))),_xlfn.REGEXEXTRACT(CELL("address",P132), "\$([A-Z]+)\$[0-9]+"))</f>
        <v/>
      </c>
      <c r="Q132" s="7" t="str" cm="1">
        <f t="array" aca="1" ref="Q132" ca="1">IFERROR(IF(OR('Raw Data'!Q132="",LEN(TRIM('Raw Data'!Q132))=0),"",IF(AND(ISNUMBER('Raw Data'!Q132),'Raw Data'!Q132&gt;=Configuration!$D$2),"",_xlfn.REGEXEXTRACT(CELL("address",'Raw Data'!Q132),"\$([A-Z]+)\$[0-9]+"))),_xlfn.REGEXEXTRACT(CELL("address",Q132), "\$([A-Z]+)\$[0-9]+"))</f>
        <v/>
      </c>
      <c r="R132" s="7" t="str" cm="1">
        <f t="array" aca="1" ref="R132" ca="1">IFERROR(IF(OR('Raw Data'!R132="",LEN(TRIM('Raw Data'!R132))=0),"",IF(AND(ISNUMBER('Raw Data'!R132), IFERROR('Raw Data'!R132 = ROUND('Raw Data'!R132, 2),FALSE)),"",_xlfn.REGEXEXTRACT(CELL("address",R132), "\$([A-Z]+)\$[0-9]+"))),_xlfn.REGEXEXTRACT(CELL("address",R132), "\$([A-Z]+)\$[0-9]+"))</f>
        <v/>
      </c>
      <c r="S132" s="7" t="str" cm="1">
        <f t="array" aca="1" ref="S132" ca="1">IFERROR(IF(OR('Raw Data'!S132="",LEN(TRIM('Raw Data'!S132))=0),"",IF(AND(ISNUMBER('Raw Data'!S132), IFERROR('Raw Data'!S132 = ROUND('Raw Data'!S132, 2),FALSE)),"",_xlfn.REGEXEXTRACT(CELL("address",S132), "\$([A-Z]+)\$[0-9]+"))),_xlfn.REGEXEXTRACT(CELL("address",S132), "\$([A-Z]+)\$[0-9]+"))</f>
        <v/>
      </c>
      <c r="T132" s="7" t="str" cm="1">
        <f t="array" aca="1" ref="T132" ca="1">IFERROR(IF(OR('Raw Data'!T132="",LEN(TRIM('Raw Data'!T132))=0),"",IF(AND(ISNUMBER('Raw Data'!T132), IFERROR('Raw Data'!T132 = ROUND('Raw Data'!T132, 2),FALSE)),"",_xlfn.REGEXEXTRACT(CELL("address",T132), "\$([A-Z]+)\$[0-9]+"))),_xlfn.REGEXEXTRACT(CELL("address",T132), "\$([A-Z]+)\$[0-9]+"))</f>
        <v/>
      </c>
      <c r="U132" s="7" t="str" cm="1">
        <f t="array" aca="1" ref="U132" ca="1">IFERROR(IF(OR('Raw Data'!U132="",LEN(TRIM('Raw Data'!U132))=0),"",IF(AND(LEN('Raw Data'!U132) &lt;= 5,LEN('Raw Data'!U132)&gt; 0),"",_xlfn.REGEXEXTRACT(CELL("address",'Raw Data'!U132),"\$([A-Z]+)\$[0-9]+"))),_xlfn.REGEXEXTRACT(CELL("address",'Raw Data'!U132),"\$([A-Z]+)\$[0-9]+"))</f>
        <v/>
      </c>
      <c r="V132" s="7" t="str" cm="1">
        <f t="array" aca="1" ref="V132" ca="1">IFERROR(IF(OR('Raw Data'!V132="",LEN(TRIM('Raw Data'!V132))=0),"",IF(AND(ISNUMBER('Raw Data'!V132), IFERROR('Raw Data'!V132 = ROUND('Raw Data'!V132, 2),FALSE)),"",_xlfn.REGEXEXTRACT(CELL("address",V132), "\$([A-Z]+)\$[0-9]+"))),_xlfn.REGEXEXTRACT(CELL("address",V132), "\$([A-Z]+)\$[0-9]+"))</f>
        <v/>
      </c>
      <c r="W132" s="7" t="str" cm="1">
        <f t="array" aca="1" ref="W132" ca="1">IFERROR(IF(OR('Raw Data'!W132="",LEN(TRIM('Raw Data'!W132))=0),"",IF(AND(ISNUMBER('Raw Data'!W132), IFERROR('Raw Data'!W132 = ROUND('Raw Data'!W132, 2),FALSE)),"",_xlfn.REGEXEXTRACT(CELL("address",W132), "\$([A-Z]+)\$[0-9]+"))),_xlfn.REGEXEXTRACT(CELL("address",W132), "\$([A-Z]+)\$[0-9]+"))</f>
        <v/>
      </c>
      <c r="X132" s="7" t="str" cm="1">
        <f t="array" aca="1" ref="X132" ca="1">IFERROR(IF(OR('Raw Data'!X132="",LEN(TRIM('Raw Data'!X132))=0),"",IF(AND(ISNUMBER('Raw Data'!X132), IFERROR('Raw Data'!X132 = ROUND('Raw Data'!X132, 2),FALSE)),"",_xlfn.REGEXEXTRACT(CELL("address",X132), "\$([A-Z]+)\$[0-9]+"))),_xlfn.REGEXEXTRACT(CELL("address",X132), "\$([A-Z]+)\$[0-9]+"))</f>
        <v/>
      </c>
    </row>
    <row r="133" spans="2:24" x14ac:dyDescent="0.25">
      <c r="B133" s="7" t="str" cm="1">
        <f t="array" aca="1" ref="B133" ca="1">IFERROR(IF(OR('Raw Data'!B133="",LEN(TRIM('Raw Data'!B133))=0),"",IF(AND(LEN('Raw Data'!B133) &lt;= 50,LEN('Raw Data'!B133)&gt; 0),"",_xlfn.REGEXEXTRACT(CELL("address",'Raw Data'!B133),"\$([A-Z]+)\$[0-9]+"))),_xlfn.REGEXEXTRACT(CELL("address",'Raw Data'!B133),"\$([A-Z]+)\$[0-9]+"))</f>
        <v/>
      </c>
      <c r="C133" s="7" t="str" cm="1">
        <f t="array" aca="1" ref="C133" ca="1">IFERROR(IF(OR('Raw Data'!C133="",LEN(TRIM('Raw Data'!C133))=0),"",IF(AND(LEN('Raw Data'!C133) &lt;= 50,LEN('Raw Data'!C133)&gt; 0),"",_xlfn.REGEXEXTRACT(CELL("address",'Raw Data'!C133),"\$([A-Z]+)\$[0-9]+"))),_xlfn.REGEXEXTRACT(CELL("address",'Raw Data'!C133),"\$([A-Z]+)\$[0-9]+"))</f>
        <v/>
      </c>
      <c r="D133" s="7" t="str" cm="1">
        <f t="array" aca="1" ref="D133" ca="1">IFERROR(IF(OR('Raw Data'!D133="",LEN(TRIM('Raw Data'!D133))=0),"",IF(AND(LEN('Raw Data'!D133) &lt;= 255,LEN('Raw Data'!D133)&gt; 0),"",_xlfn.REGEXEXTRACT(CELL("address",'Raw Data'!D133),"\$([A-Z]+)\$[0-9]+"))),_xlfn.REGEXEXTRACT(CELL("address",'Raw Data'!D133),"\$([A-Z]+)\$[0-9]+"))</f>
        <v/>
      </c>
      <c r="E133" s="7" t="str" cm="1">
        <f t="array" aca="1" ref="E133" ca="1">IFERROR(IF(OR('Raw Data'!E133="",LEN(TRIM('Raw Data'!E133))=0),"",IF(AND(ISNUMBER('Raw Data'!E133),'Raw Data'!E133&gt;=Configuration!$D$2),"",_xlfn.REGEXEXTRACT(CELL("address",'Raw Data'!E133),"\$([A-Z]+)\$[0-9]+"))),_xlfn.REGEXEXTRACT(CELL("address",E133), "\$([A-Z]+)\$[0-9]+"))</f>
        <v/>
      </c>
      <c r="F133" s="7" t="str" cm="1">
        <f t="array" aca="1" ref="F133" ca="1">IFERROR(IF(OR('Raw Data'!F133="",LEN(TRIM('Raw Data'!F133))=0),"",IF(AND(LEN('Raw Data'!F133) &lt;= 20,LEN('Raw Data'!F133)&gt; 0),"",_xlfn.REGEXEXTRACT(CELL("address",'Raw Data'!F133),"\$([A-Z]+)\$[0-9]+"))),_xlfn.REGEXEXTRACT(CELL("address",'Raw Data'!F133),"\$([A-Z]+)\$[0-9]+"))</f>
        <v/>
      </c>
      <c r="G133" s="7" t="str" cm="1">
        <f t="array" aca="1" ref="G133" ca="1">IFERROR(IF(OR('Raw Data'!G133="",LEN(TRIM('Raw Data'!G133))=0),"",IF(AND(ISNUMBER('Raw Data'!G133), IFERROR('Raw Data'!G133 = ROUND('Raw Data'!G133, 2),FALSE)),"",_xlfn.REGEXEXTRACT(CELL("address",G133), "\$([A-Z]+)\$[0-9]+"))),_xlfn.REGEXEXTRACT(CELL("address",G133), "\$([A-Z]+)\$[0-9]+"))</f>
        <v/>
      </c>
      <c r="H133" s="7" t="str" cm="1">
        <f t="array" aca="1" ref="H133" ca="1">IFERROR(IF(OR('Raw Data'!H133="",LEN(TRIM('Raw Data'!H133))=0),"",IF(AND(ISNUMBER('Raw Data'!H133), IFERROR('Raw Data'!H133 = ROUND('Raw Data'!H133, 2),FALSE)),"",_xlfn.REGEXEXTRACT(CELL("address",H133), "\$([A-Z]+)\$[0-9]+"))),_xlfn.REGEXEXTRACT(CELL("address",H133), "\$([A-Z]+)\$[0-9]+"))</f>
        <v/>
      </c>
      <c r="I133" s="7" t="str" cm="1">
        <f t="array" aca="1" ref="I133" ca="1">IFERROR(IF(OR('Raw Data'!I133="",LEN(TRIM('Raw Data'!I133))=0),"",IF(AND(LEN('Raw Data'!I133) &lt;= 50,LEN('Raw Data'!I133)&gt; 0),"",_xlfn.REGEXEXTRACT(CELL("address",'Raw Data'!I133),"\$([A-Z]+)\$[0-9]+"))),_xlfn.REGEXEXTRACT(CELL("address",'Raw Data'!I133),"\$([A-Z]+)\$[0-9]+"))</f>
        <v/>
      </c>
      <c r="J133" s="7" t="str" cm="1">
        <f t="array" aca="1" ref="J133" ca="1">IFERROR(IF(OR('Raw Data'!J133="",LEN(TRIM('Raw Data'!J133))=0),"",IF(AND(ISNUMBER('Raw Data'!J133),'Raw Data'!J133&gt;=Configuration!$D$2),"",_xlfn.REGEXEXTRACT(CELL("address",'Raw Data'!J133),"\$([A-Z]+)\$[0-9]+"))),_xlfn.REGEXEXTRACT(CELL("address",J133), "\$([A-Z]+)\$[0-9]+"))</f>
        <v/>
      </c>
      <c r="K133" s="7" t="str" cm="1">
        <f t="array" aca="1" ref="K133" ca="1">IFERROR(IF(OR('Raw Data'!K133="",LEN(TRIM('Raw Data'!K133))=0),"",IF(AND(ISNUMBER('Raw Data'!K133), IFERROR('Raw Data'!K133 = ROUND('Raw Data'!K133, 2),FALSE)),"",_xlfn.REGEXEXTRACT(CELL("address",K133), "\$([A-Z]+)\$[0-9]+"))),_xlfn.REGEXEXTRACT(CELL("address",K133), "\$([A-Z]+)\$[0-9]+"))</f>
        <v/>
      </c>
      <c r="L133" s="7" t="str" cm="1">
        <f t="array" aca="1" ref="L133" ca="1">IFERROR(IF(OR('Raw Data'!L133="",LEN(TRIM('Raw Data'!L133))=0),"",IF(AND(ISNUMBER('Raw Data'!L133), IFERROR('Raw Data'!L133 = ROUND('Raw Data'!L133, 2),FALSE)),"",_xlfn.REGEXEXTRACT(CELL("address",L133), "\$([A-Z]+)\$[0-9]+"))),_xlfn.REGEXEXTRACT(CELL("address",L133), "\$([A-Z]+)\$[0-9]+"))</f>
        <v/>
      </c>
      <c r="M133" s="7" t="str" cm="1">
        <f t="array" aca="1" ref="M133" ca="1">IFERROR(IF(OR('Raw Data'!M133="",LEN(TRIM('Raw Data'!M133))=0),"",IF(AND(ISNUMBER('Raw Data'!M133), IFERROR('Raw Data'!M133 = ROUND('Raw Data'!M133, 2),FALSE)),"",_xlfn.REGEXEXTRACT(CELL("address",M133), "\$([A-Z]+)\$[0-9]+"))),_xlfn.REGEXEXTRACT(CELL("address",M133), "\$([A-Z]+)\$[0-9]+"))</f>
        <v/>
      </c>
      <c r="N133" s="7" t="str" cm="1">
        <f t="array" aca="1" ref="N133" ca="1">IFERROR(IF(OR('Raw Data'!N133="",LEN(TRIM('Raw Data'!N133))=0),"",IF(AND(ISNUMBER('Raw Data'!N133), IFERROR('Raw Data'!N133 = ROUND('Raw Data'!N133, 2),FALSE)),"",_xlfn.REGEXEXTRACT(CELL("address",N133), "\$([A-Z]+)\$[0-9]+"))),_xlfn.REGEXEXTRACT(CELL("address",N133), "\$([A-Z]+)\$[0-9]+"))</f>
        <v/>
      </c>
      <c r="O133" s="7" t="str" cm="1">
        <f t="array" aca="1" ref="O133" ca="1">IFERROR(IF(OR('Raw Data'!O133="",LEN(TRIM('Raw Data'!O133))=0),"",IF(AND(ISNUMBER('Raw Data'!O133), IFERROR('Raw Data'!O133 = ROUND('Raw Data'!O133, 2),FALSE)),"",_xlfn.REGEXEXTRACT(CELL("address",O133), "\$([A-Z]+)\$[0-9]+"))),_xlfn.REGEXEXTRACT(CELL("address",O133), "\$([A-Z]+)\$[0-9]+"))</f>
        <v/>
      </c>
      <c r="P133" s="7" t="str" cm="1">
        <f t="array" aca="1" ref="P133" ca="1">IFERROR(IF(OR('Raw Data'!P133="",LEN(TRIM('Raw Data'!P133))=0),"",IF(AND(ISNUMBER('Raw Data'!P133),'Raw Data'!P133&gt;=Configuration!$D$2),"",_xlfn.REGEXEXTRACT(CELL("address",'Raw Data'!P133),"\$([A-Z]+)\$[0-9]+"))),_xlfn.REGEXEXTRACT(CELL("address",P133), "\$([A-Z]+)\$[0-9]+"))</f>
        <v/>
      </c>
      <c r="Q133" s="7" t="str" cm="1">
        <f t="array" aca="1" ref="Q133" ca="1">IFERROR(IF(OR('Raw Data'!Q133="",LEN(TRIM('Raw Data'!Q133))=0),"",IF(AND(ISNUMBER('Raw Data'!Q133),'Raw Data'!Q133&gt;=Configuration!$D$2),"",_xlfn.REGEXEXTRACT(CELL("address",'Raw Data'!Q133),"\$([A-Z]+)\$[0-9]+"))),_xlfn.REGEXEXTRACT(CELL("address",Q133), "\$([A-Z]+)\$[0-9]+"))</f>
        <v/>
      </c>
      <c r="R133" s="7" t="str" cm="1">
        <f t="array" aca="1" ref="R133" ca="1">IFERROR(IF(OR('Raw Data'!R133="",LEN(TRIM('Raw Data'!R133))=0),"",IF(AND(ISNUMBER('Raw Data'!R133), IFERROR('Raw Data'!R133 = ROUND('Raw Data'!R133, 2),FALSE)),"",_xlfn.REGEXEXTRACT(CELL("address",R133), "\$([A-Z]+)\$[0-9]+"))),_xlfn.REGEXEXTRACT(CELL("address",R133), "\$([A-Z]+)\$[0-9]+"))</f>
        <v/>
      </c>
      <c r="S133" s="7" t="str" cm="1">
        <f t="array" aca="1" ref="S133" ca="1">IFERROR(IF(OR('Raw Data'!S133="",LEN(TRIM('Raw Data'!S133))=0),"",IF(AND(ISNUMBER('Raw Data'!S133), IFERROR('Raw Data'!S133 = ROUND('Raw Data'!S133, 2),FALSE)),"",_xlfn.REGEXEXTRACT(CELL("address",S133), "\$([A-Z]+)\$[0-9]+"))),_xlfn.REGEXEXTRACT(CELL("address",S133), "\$([A-Z]+)\$[0-9]+"))</f>
        <v/>
      </c>
      <c r="T133" s="7" t="str" cm="1">
        <f t="array" aca="1" ref="T133" ca="1">IFERROR(IF(OR('Raw Data'!T133="",LEN(TRIM('Raw Data'!T133))=0),"",IF(AND(ISNUMBER('Raw Data'!T133), IFERROR('Raw Data'!T133 = ROUND('Raw Data'!T133, 2),FALSE)),"",_xlfn.REGEXEXTRACT(CELL("address",T133), "\$([A-Z]+)\$[0-9]+"))),_xlfn.REGEXEXTRACT(CELL("address",T133), "\$([A-Z]+)\$[0-9]+"))</f>
        <v/>
      </c>
      <c r="U133" s="7" t="str" cm="1">
        <f t="array" aca="1" ref="U133" ca="1">IFERROR(IF(OR('Raw Data'!U133="",LEN(TRIM('Raw Data'!U133))=0),"",IF(AND(LEN('Raw Data'!U133) &lt;= 5,LEN('Raw Data'!U133)&gt; 0),"",_xlfn.REGEXEXTRACT(CELL("address",'Raw Data'!U133),"\$([A-Z]+)\$[0-9]+"))),_xlfn.REGEXEXTRACT(CELL("address",'Raw Data'!U133),"\$([A-Z]+)\$[0-9]+"))</f>
        <v/>
      </c>
      <c r="V133" s="7" t="str" cm="1">
        <f t="array" aca="1" ref="V133" ca="1">IFERROR(IF(OR('Raw Data'!V133="",LEN(TRIM('Raw Data'!V133))=0),"",IF(AND(ISNUMBER('Raw Data'!V133), IFERROR('Raw Data'!V133 = ROUND('Raw Data'!V133, 2),FALSE)),"",_xlfn.REGEXEXTRACT(CELL("address",V133), "\$([A-Z]+)\$[0-9]+"))),_xlfn.REGEXEXTRACT(CELL("address",V133), "\$([A-Z]+)\$[0-9]+"))</f>
        <v/>
      </c>
      <c r="W133" s="7" t="str" cm="1">
        <f t="array" aca="1" ref="W133" ca="1">IFERROR(IF(OR('Raw Data'!W133="",LEN(TRIM('Raw Data'!W133))=0),"",IF(AND(ISNUMBER('Raw Data'!W133), IFERROR('Raw Data'!W133 = ROUND('Raw Data'!W133, 2),FALSE)),"",_xlfn.REGEXEXTRACT(CELL("address",W133), "\$([A-Z]+)\$[0-9]+"))),_xlfn.REGEXEXTRACT(CELL("address",W133), "\$([A-Z]+)\$[0-9]+"))</f>
        <v/>
      </c>
      <c r="X133" s="7" t="str" cm="1">
        <f t="array" aca="1" ref="X133" ca="1">IFERROR(IF(OR('Raw Data'!X133="",LEN(TRIM('Raw Data'!X133))=0),"",IF(AND(ISNUMBER('Raw Data'!X133), IFERROR('Raw Data'!X133 = ROUND('Raw Data'!X133, 2),FALSE)),"",_xlfn.REGEXEXTRACT(CELL("address",X133), "\$([A-Z]+)\$[0-9]+"))),_xlfn.REGEXEXTRACT(CELL("address",X133), "\$([A-Z]+)\$[0-9]+"))</f>
        <v/>
      </c>
    </row>
    <row r="134" spans="2:24" x14ac:dyDescent="0.25">
      <c r="B134" s="7" t="str" cm="1">
        <f t="array" aca="1" ref="B134" ca="1">IFERROR(IF(OR('Raw Data'!B134="",LEN(TRIM('Raw Data'!B134))=0),"",IF(AND(LEN('Raw Data'!B134) &lt;= 50,LEN('Raw Data'!B134)&gt; 0),"",_xlfn.REGEXEXTRACT(CELL("address",'Raw Data'!B134),"\$([A-Z]+)\$[0-9]+"))),_xlfn.REGEXEXTRACT(CELL("address",'Raw Data'!B134),"\$([A-Z]+)\$[0-9]+"))</f>
        <v/>
      </c>
      <c r="C134" s="7" t="str" cm="1">
        <f t="array" aca="1" ref="C134" ca="1">IFERROR(IF(OR('Raw Data'!C134="",LEN(TRIM('Raw Data'!C134))=0),"",IF(AND(LEN('Raw Data'!C134) &lt;= 50,LEN('Raw Data'!C134)&gt; 0),"",_xlfn.REGEXEXTRACT(CELL("address",'Raw Data'!C134),"\$([A-Z]+)\$[0-9]+"))),_xlfn.REGEXEXTRACT(CELL("address",'Raw Data'!C134),"\$([A-Z]+)\$[0-9]+"))</f>
        <v/>
      </c>
      <c r="D134" s="7" t="str" cm="1">
        <f t="array" aca="1" ref="D134" ca="1">IFERROR(IF(OR('Raw Data'!D134="",LEN(TRIM('Raw Data'!D134))=0),"",IF(AND(LEN('Raw Data'!D134) &lt;= 255,LEN('Raw Data'!D134)&gt; 0),"",_xlfn.REGEXEXTRACT(CELL("address",'Raw Data'!D134),"\$([A-Z]+)\$[0-9]+"))),_xlfn.REGEXEXTRACT(CELL("address",'Raw Data'!D134),"\$([A-Z]+)\$[0-9]+"))</f>
        <v/>
      </c>
      <c r="E134" s="7" t="str" cm="1">
        <f t="array" aca="1" ref="E134" ca="1">IFERROR(IF(OR('Raw Data'!E134="",LEN(TRIM('Raw Data'!E134))=0),"",IF(AND(ISNUMBER('Raw Data'!E134),'Raw Data'!E134&gt;=Configuration!$D$2),"",_xlfn.REGEXEXTRACT(CELL("address",'Raw Data'!E134),"\$([A-Z]+)\$[0-9]+"))),_xlfn.REGEXEXTRACT(CELL("address",E134), "\$([A-Z]+)\$[0-9]+"))</f>
        <v/>
      </c>
      <c r="F134" s="7" t="str" cm="1">
        <f t="array" aca="1" ref="F134" ca="1">IFERROR(IF(OR('Raw Data'!F134="",LEN(TRIM('Raw Data'!F134))=0),"",IF(AND(LEN('Raw Data'!F134) &lt;= 20,LEN('Raw Data'!F134)&gt; 0),"",_xlfn.REGEXEXTRACT(CELL("address",'Raw Data'!F134),"\$([A-Z]+)\$[0-9]+"))),_xlfn.REGEXEXTRACT(CELL("address",'Raw Data'!F134),"\$([A-Z]+)\$[0-9]+"))</f>
        <v/>
      </c>
      <c r="G134" s="7" t="str" cm="1">
        <f t="array" aca="1" ref="G134" ca="1">IFERROR(IF(OR('Raw Data'!G134="",LEN(TRIM('Raw Data'!G134))=0),"",IF(AND(ISNUMBER('Raw Data'!G134), IFERROR('Raw Data'!G134 = ROUND('Raw Data'!G134, 2),FALSE)),"",_xlfn.REGEXEXTRACT(CELL("address",G134), "\$([A-Z]+)\$[0-9]+"))),_xlfn.REGEXEXTRACT(CELL("address",G134), "\$([A-Z]+)\$[0-9]+"))</f>
        <v/>
      </c>
      <c r="H134" s="7" t="str" cm="1">
        <f t="array" aca="1" ref="H134" ca="1">IFERROR(IF(OR('Raw Data'!H134="",LEN(TRIM('Raw Data'!H134))=0),"",IF(AND(ISNUMBER('Raw Data'!H134), IFERROR('Raw Data'!H134 = ROUND('Raw Data'!H134, 2),FALSE)),"",_xlfn.REGEXEXTRACT(CELL("address",H134), "\$([A-Z]+)\$[0-9]+"))),_xlfn.REGEXEXTRACT(CELL("address",H134), "\$([A-Z]+)\$[0-9]+"))</f>
        <v/>
      </c>
      <c r="I134" s="7" t="str" cm="1">
        <f t="array" aca="1" ref="I134" ca="1">IFERROR(IF(OR('Raw Data'!I134="",LEN(TRIM('Raw Data'!I134))=0),"",IF(AND(LEN('Raw Data'!I134) &lt;= 50,LEN('Raw Data'!I134)&gt; 0),"",_xlfn.REGEXEXTRACT(CELL("address",'Raw Data'!I134),"\$([A-Z]+)\$[0-9]+"))),_xlfn.REGEXEXTRACT(CELL("address",'Raw Data'!I134),"\$([A-Z]+)\$[0-9]+"))</f>
        <v/>
      </c>
      <c r="J134" s="7" t="str" cm="1">
        <f t="array" aca="1" ref="J134" ca="1">IFERROR(IF(OR('Raw Data'!J134="",LEN(TRIM('Raw Data'!J134))=0),"",IF(AND(ISNUMBER('Raw Data'!J134),'Raw Data'!J134&gt;=Configuration!$D$2),"",_xlfn.REGEXEXTRACT(CELL("address",'Raw Data'!J134),"\$([A-Z]+)\$[0-9]+"))),_xlfn.REGEXEXTRACT(CELL("address",J134), "\$([A-Z]+)\$[0-9]+"))</f>
        <v/>
      </c>
      <c r="K134" s="7" t="str" cm="1">
        <f t="array" aca="1" ref="K134" ca="1">IFERROR(IF(OR('Raw Data'!K134="",LEN(TRIM('Raw Data'!K134))=0),"",IF(AND(ISNUMBER('Raw Data'!K134), IFERROR('Raw Data'!K134 = ROUND('Raw Data'!K134, 2),FALSE)),"",_xlfn.REGEXEXTRACT(CELL("address",K134), "\$([A-Z]+)\$[0-9]+"))),_xlfn.REGEXEXTRACT(CELL("address",K134), "\$([A-Z]+)\$[0-9]+"))</f>
        <v/>
      </c>
      <c r="L134" s="7" t="str" cm="1">
        <f t="array" aca="1" ref="L134" ca="1">IFERROR(IF(OR('Raw Data'!L134="",LEN(TRIM('Raw Data'!L134))=0),"",IF(AND(ISNUMBER('Raw Data'!L134), IFERROR('Raw Data'!L134 = ROUND('Raw Data'!L134, 2),FALSE)),"",_xlfn.REGEXEXTRACT(CELL("address",L134), "\$([A-Z]+)\$[0-9]+"))),_xlfn.REGEXEXTRACT(CELL("address",L134), "\$([A-Z]+)\$[0-9]+"))</f>
        <v/>
      </c>
      <c r="M134" s="7" t="str" cm="1">
        <f t="array" aca="1" ref="M134" ca="1">IFERROR(IF(OR('Raw Data'!M134="",LEN(TRIM('Raw Data'!M134))=0),"",IF(AND(ISNUMBER('Raw Data'!M134), IFERROR('Raw Data'!M134 = ROUND('Raw Data'!M134, 2),FALSE)),"",_xlfn.REGEXEXTRACT(CELL("address",M134), "\$([A-Z]+)\$[0-9]+"))),_xlfn.REGEXEXTRACT(CELL("address",M134), "\$([A-Z]+)\$[0-9]+"))</f>
        <v/>
      </c>
      <c r="N134" s="7" t="str" cm="1">
        <f t="array" aca="1" ref="N134" ca="1">IFERROR(IF(OR('Raw Data'!N134="",LEN(TRIM('Raw Data'!N134))=0),"",IF(AND(ISNUMBER('Raw Data'!N134), IFERROR('Raw Data'!N134 = ROUND('Raw Data'!N134, 2),FALSE)),"",_xlfn.REGEXEXTRACT(CELL("address",N134), "\$([A-Z]+)\$[0-9]+"))),_xlfn.REGEXEXTRACT(CELL("address",N134), "\$([A-Z]+)\$[0-9]+"))</f>
        <v/>
      </c>
      <c r="O134" s="7" t="str" cm="1">
        <f t="array" aca="1" ref="O134" ca="1">IFERROR(IF(OR('Raw Data'!O134="",LEN(TRIM('Raw Data'!O134))=0),"",IF(AND(ISNUMBER('Raw Data'!O134), IFERROR('Raw Data'!O134 = ROUND('Raw Data'!O134, 2),FALSE)),"",_xlfn.REGEXEXTRACT(CELL("address",O134), "\$([A-Z]+)\$[0-9]+"))),_xlfn.REGEXEXTRACT(CELL("address",O134), "\$([A-Z]+)\$[0-9]+"))</f>
        <v/>
      </c>
      <c r="P134" s="7" t="str" cm="1">
        <f t="array" aca="1" ref="P134" ca="1">IFERROR(IF(OR('Raw Data'!P134="",LEN(TRIM('Raw Data'!P134))=0),"",IF(AND(ISNUMBER('Raw Data'!P134),'Raw Data'!P134&gt;=Configuration!$D$2),"",_xlfn.REGEXEXTRACT(CELL("address",'Raw Data'!P134),"\$([A-Z]+)\$[0-9]+"))),_xlfn.REGEXEXTRACT(CELL("address",P134), "\$([A-Z]+)\$[0-9]+"))</f>
        <v/>
      </c>
      <c r="Q134" s="7" t="str" cm="1">
        <f t="array" aca="1" ref="Q134" ca="1">IFERROR(IF(OR('Raw Data'!Q134="",LEN(TRIM('Raw Data'!Q134))=0),"",IF(AND(ISNUMBER('Raw Data'!Q134),'Raw Data'!Q134&gt;=Configuration!$D$2),"",_xlfn.REGEXEXTRACT(CELL("address",'Raw Data'!Q134),"\$([A-Z]+)\$[0-9]+"))),_xlfn.REGEXEXTRACT(CELL("address",Q134), "\$([A-Z]+)\$[0-9]+"))</f>
        <v/>
      </c>
      <c r="R134" s="7" t="str" cm="1">
        <f t="array" aca="1" ref="R134" ca="1">IFERROR(IF(OR('Raw Data'!R134="",LEN(TRIM('Raw Data'!R134))=0),"",IF(AND(ISNUMBER('Raw Data'!R134), IFERROR('Raw Data'!R134 = ROUND('Raw Data'!R134, 2),FALSE)),"",_xlfn.REGEXEXTRACT(CELL("address",R134), "\$([A-Z]+)\$[0-9]+"))),_xlfn.REGEXEXTRACT(CELL("address",R134), "\$([A-Z]+)\$[0-9]+"))</f>
        <v/>
      </c>
      <c r="S134" s="7" t="str" cm="1">
        <f t="array" aca="1" ref="S134" ca="1">IFERROR(IF(OR('Raw Data'!S134="",LEN(TRIM('Raw Data'!S134))=0),"",IF(AND(ISNUMBER('Raw Data'!S134), IFERROR('Raw Data'!S134 = ROUND('Raw Data'!S134, 2),FALSE)),"",_xlfn.REGEXEXTRACT(CELL("address",S134), "\$([A-Z]+)\$[0-9]+"))),_xlfn.REGEXEXTRACT(CELL("address",S134), "\$([A-Z]+)\$[0-9]+"))</f>
        <v/>
      </c>
      <c r="T134" s="7" t="str" cm="1">
        <f t="array" aca="1" ref="T134" ca="1">IFERROR(IF(OR('Raw Data'!T134="",LEN(TRIM('Raw Data'!T134))=0),"",IF(AND(ISNUMBER('Raw Data'!T134), IFERROR('Raw Data'!T134 = ROUND('Raw Data'!T134, 2),FALSE)),"",_xlfn.REGEXEXTRACT(CELL("address",T134), "\$([A-Z]+)\$[0-9]+"))),_xlfn.REGEXEXTRACT(CELL("address",T134), "\$([A-Z]+)\$[0-9]+"))</f>
        <v/>
      </c>
      <c r="U134" s="7" t="str" cm="1">
        <f t="array" aca="1" ref="U134" ca="1">IFERROR(IF(OR('Raw Data'!U134="",LEN(TRIM('Raw Data'!U134))=0),"",IF(AND(LEN('Raw Data'!U134) &lt;= 5,LEN('Raw Data'!U134)&gt; 0),"",_xlfn.REGEXEXTRACT(CELL("address",'Raw Data'!U134),"\$([A-Z]+)\$[0-9]+"))),_xlfn.REGEXEXTRACT(CELL("address",'Raw Data'!U134),"\$([A-Z]+)\$[0-9]+"))</f>
        <v/>
      </c>
      <c r="V134" s="7" t="str" cm="1">
        <f t="array" aca="1" ref="V134" ca="1">IFERROR(IF(OR('Raw Data'!V134="",LEN(TRIM('Raw Data'!V134))=0),"",IF(AND(ISNUMBER('Raw Data'!V134), IFERROR('Raw Data'!V134 = ROUND('Raw Data'!V134, 2),FALSE)),"",_xlfn.REGEXEXTRACT(CELL("address",V134), "\$([A-Z]+)\$[0-9]+"))),_xlfn.REGEXEXTRACT(CELL("address",V134), "\$([A-Z]+)\$[0-9]+"))</f>
        <v/>
      </c>
      <c r="W134" s="7" t="str" cm="1">
        <f t="array" aca="1" ref="W134" ca="1">IFERROR(IF(OR('Raw Data'!W134="",LEN(TRIM('Raw Data'!W134))=0),"",IF(AND(ISNUMBER('Raw Data'!W134), IFERROR('Raw Data'!W134 = ROUND('Raw Data'!W134, 2),FALSE)),"",_xlfn.REGEXEXTRACT(CELL("address",W134), "\$([A-Z]+)\$[0-9]+"))),_xlfn.REGEXEXTRACT(CELL("address",W134), "\$([A-Z]+)\$[0-9]+"))</f>
        <v/>
      </c>
      <c r="X134" s="7" t="str" cm="1">
        <f t="array" aca="1" ref="X134" ca="1">IFERROR(IF(OR('Raw Data'!X134="",LEN(TRIM('Raw Data'!X134))=0),"",IF(AND(ISNUMBER('Raw Data'!X134), IFERROR('Raw Data'!X134 = ROUND('Raw Data'!X134, 2),FALSE)),"",_xlfn.REGEXEXTRACT(CELL("address",X134), "\$([A-Z]+)\$[0-9]+"))),_xlfn.REGEXEXTRACT(CELL("address",X134), "\$([A-Z]+)\$[0-9]+"))</f>
        <v/>
      </c>
    </row>
    <row r="135" spans="2:24" x14ac:dyDescent="0.25">
      <c r="B135" s="7" t="str" cm="1">
        <f t="array" aca="1" ref="B135" ca="1">IFERROR(IF(OR('Raw Data'!B135="",LEN(TRIM('Raw Data'!B135))=0),"",IF(AND(LEN('Raw Data'!B135) &lt;= 50,LEN('Raw Data'!B135)&gt; 0),"",_xlfn.REGEXEXTRACT(CELL("address",'Raw Data'!B135),"\$([A-Z]+)\$[0-9]+"))),_xlfn.REGEXEXTRACT(CELL("address",'Raw Data'!B135),"\$([A-Z]+)\$[0-9]+"))</f>
        <v/>
      </c>
      <c r="C135" s="7" t="str" cm="1">
        <f t="array" aca="1" ref="C135" ca="1">IFERROR(IF(OR('Raw Data'!C135="",LEN(TRIM('Raw Data'!C135))=0),"",IF(AND(LEN('Raw Data'!C135) &lt;= 50,LEN('Raw Data'!C135)&gt; 0),"",_xlfn.REGEXEXTRACT(CELL("address",'Raw Data'!C135),"\$([A-Z]+)\$[0-9]+"))),_xlfn.REGEXEXTRACT(CELL("address",'Raw Data'!C135),"\$([A-Z]+)\$[0-9]+"))</f>
        <v/>
      </c>
      <c r="D135" s="7" t="str" cm="1">
        <f t="array" aca="1" ref="D135" ca="1">IFERROR(IF(OR('Raw Data'!D135="",LEN(TRIM('Raw Data'!D135))=0),"",IF(AND(LEN('Raw Data'!D135) &lt;= 255,LEN('Raw Data'!D135)&gt; 0),"",_xlfn.REGEXEXTRACT(CELL("address",'Raw Data'!D135),"\$([A-Z]+)\$[0-9]+"))),_xlfn.REGEXEXTRACT(CELL("address",'Raw Data'!D135),"\$([A-Z]+)\$[0-9]+"))</f>
        <v/>
      </c>
      <c r="E135" s="7" t="str" cm="1">
        <f t="array" aca="1" ref="E135" ca="1">IFERROR(IF(OR('Raw Data'!E135="",LEN(TRIM('Raw Data'!E135))=0),"",IF(AND(ISNUMBER('Raw Data'!E135),'Raw Data'!E135&gt;=Configuration!$D$2),"",_xlfn.REGEXEXTRACT(CELL("address",'Raw Data'!E135),"\$([A-Z]+)\$[0-9]+"))),_xlfn.REGEXEXTRACT(CELL("address",E135), "\$([A-Z]+)\$[0-9]+"))</f>
        <v/>
      </c>
      <c r="F135" s="7" t="str" cm="1">
        <f t="array" aca="1" ref="F135" ca="1">IFERROR(IF(OR('Raw Data'!F135="",LEN(TRIM('Raw Data'!F135))=0),"",IF(AND(LEN('Raw Data'!F135) &lt;= 20,LEN('Raw Data'!F135)&gt; 0),"",_xlfn.REGEXEXTRACT(CELL("address",'Raw Data'!F135),"\$([A-Z]+)\$[0-9]+"))),_xlfn.REGEXEXTRACT(CELL("address",'Raw Data'!F135),"\$([A-Z]+)\$[0-9]+"))</f>
        <v/>
      </c>
      <c r="G135" s="7" t="str" cm="1">
        <f t="array" aca="1" ref="G135" ca="1">IFERROR(IF(OR('Raw Data'!G135="",LEN(TRIM('Raw Data'!G135))=0),"",IF(AND(ISNUMBER('Raw Data'!G135), IFERROR('Raw Data'!G135 = ROUND('Raw Data'!G135, 2),FALSE)),"",_xlfn.REGEXEXTRACT(CELL("address",G135), "\$([A-Z]+)\$[0-9]+"))),_xlfn.REGEXEXTRACT(CELL("address",G135), "\$([A-Z]+)\$[0-9]+"))</f>
        <v/>
      </c>
      <c r="H135" s="7" t="str" cm="1">
        <f t="array" aca="1" ref="H135" ca="1">IFERROR(IF(OR('Raw Data'!H135="",LEN(TRIM('Raw Data'!H135))=0),"",IF(AND(ISNUMBER('Raw Data'!H135), IFERROR('Raw Data'!H135 = ROUND('Raw Data'!H135, 2),FALSE)),"",_xlfn.REGEXEXTRACT(CELL("address",H135), "\$([A-Z]+)\$[0-9]+"))),_xlfn.REGEXEXTRACT(CELL("address",H135), "\$([A-Z]+)\$[0-9]+"))</f>
        <v/>
      </c>
      <c r="I135" s="7" t="str" cm="1">
        <f t="array" aca="1" ref="I135" ca="1">IFERROR(IF(OR('Raw Data'!I135="",LEN(TRIM('Raw Data'!I135))=0),"",IF(AND(LEN('Raw Data'!I135) &lt;= 50,LEN('Raw Data'!I135)&gt; 0),"",_xlfn.REGEXEXTRACT(CELL("address",'Raw Data'!I135),"\$([A-Z]+)\$[0-9]+"))),_xlfn.REGEXEXTRACT(CELL("address",'Raw Data'!I135),"\$([A-Z]+)\$[0-9]+"))</f>
        <v/>
      </c>
      <c r="J135" s="7" t="str" cm="1">
        <f t="array" aca="1" ref="J135" ca="1">IFERROR(IF(OR('Raw Data'!J135="",LEN(TRIM('Raw Data'!J135))=0),"",IF(AND(ISNUMBER('Raw Data'!J135),'Raw Data'!J135&gt;=Configuration!$D$2),"",_xlfn.REGEXEXTRACT(CELL("address",'Raw Data'!J135),"\$([A-Z]+)\$[0-9]+"))),_xlfn.REGEXEXTRACT(CELL("address",J135), "\$([A-Z]+)\$[0-9]+"))</f>
        <v/>
      </c>
      <c r="K135" s="7" t="str" cm="1">
        <f t="array" aca="1" ref="K135" ca="1">IFERROR(IF(OR('Raw Data'!K135="",LEN(TRIM('Raw Data'!K135))=0),"",IF(AND(ISNUMBER('Raw Data'!K135), IFERROR('Raw Data'!K135 = ROUND('Raw Data'!K135, 2),FALSE)),"",_xlfn.REGEXEXTRACT(CELL("address",K135), "\$([A-Z]+)\$[0-9]+"))),_xlfn.REGEXEXTRACT(CELL("address",K135), "\$([A-Z]+)\$[0-9]+"))</f>
        <v/>
      </c>
      <c r="L135" s="7" t="str" cm="1">
        <f t="array" aca="1" ref="L135" ca="1">IFERROR(IF(OR('Raw Data'!L135="",LEN(TRIM('Raw Data'!L135))=0),"",IF(AND(ISNUMBER('Raw Data'!L135), IFERROR('Raw Data'!L135 = ROUND('Raw Data'!L135, 2),FALSE)),"",_xlfn.REGEXEXTRACT(CELL("address",L135), "\$([A-Z]+)\$[0-9]+"))),_xlfn.REGEXEXTRACT(CELL("address",L135), "\$([A-Z]+)\$[0-9]+"))</f>
        <v/>
      </c>
      <c r="M135" s="7" t="str" cm="1">
        <f t="array" aca="1" ref="M135" ca="1">IFERROR(IF(OR('Raw Data'!M135="",LEN(TRIM('Raw Data'!M135))=0),"",IF(AND(ISNUMBER('Raw Data'!M135), IFERROR('Raw Data'!M135 = ROUND('Raw Data'!M135, 2),FALSE)),"",_xlfn.REGEXEXTRACT(CELL("address",M135), "\$([A-Z]+)\$[0-9]+"))),_xlfn.REGEXEXTRACT(CELL("address",M135), "\$([A-Z]+)\$[0-9]+"))</f>
        <v/>
      </c>
      <c r="N135" s="7" t="str" cm="1">
        <f t="array" aca="1" ref="N135" ca="1">IFERROR(IF(OR('Raw Data'!N135="",LEN(TRIM('Raw Data'!N135))=0),"",IF(AND(ISNUMBER('Raw Data'!N135), IFERROR('Raw Data'!N135 = ROUND('Raw Data'!N135, 2),FALSE)),"",_xlfn.REGEXEXTRACT(CELL("address",N135), "\$([A-Z]+)\$[0-9]+"))),_xlfn.REGEXEXTRACT(CELL("address",N135), "\$([A-Z]+)\$[0-9]+"))</f>
        <v/>
      </c>
      <c r="O135" s="7" t="str" cm="1">
        <f t="array" aca="1" ref="O135" ca="1">IFERROR(IF(OR('Raw Data'!O135="",LEN(TRIM('Raw Data'!O135))=0),"",IF(AND(ISNUMBER('Raw Data'!O135), IFERROR('Raw Data'!O135 = ROUND('Raw Data'!O135, 2),FALSE)),"",_xlfn.REGEXEXTRACT(CELL("address",O135), "\$([A-Z]+)\$[0-9]+"))),_xlfn.REGEXEXTRACT(CELL("address",O135), "\$([A-Z]+)\$[0-9]+"))</f>
        <v/>
      </c>
      <c r="P135" s="7" t="str" cm="1">
        <f t="array" aca="1" ref="P135" ca="1">IFERROR(IF(OR('Raw Data'!P135="",LEN(TRIM('Raw Data'!P135))=0),"",IF(AND(ISNUMBER('Raw Data'!P135),'Raw Data'!P135&gt;=Configuration!$D$2),"",_xlfn.REGEXEXTRACT(CELL("address",'Raw Data'!P135),"\$([A-Z]+)\$[0-9]+"))),_xlfn.REGEXEXTRACT(CELL("address",P135), "\$([A-Z]+)\$[0-9]+"))</f>
        <v/>
      </c>
      <c r="Q135" s="7" t="str" cm="1">
        <f t="array" aca="1" ref="Q135" ca="1">IFERROR(IF(OR('Raw Data'!Q135="",LEN(TRIM('Raw Data'!Q135))=0),"",IF(AND(ISNUMBER('Raw Data'!Q135),'Raw Data'!Q135&gt;=Configuration!$D$2),"",_xlfn.REGEXEXTRACT(CELL("address",'Raw Data'!Q135),"\$([A-Z]+)\$[0-9]+"))),_xlfn.REGEXEXTRACT(CELL("address",Q135), "\$([A-Z]+)\$[0-9]+"))</f>
        <v/>
      </c>
      <c r="R135" s="7" t="str" cm="1">
        <f t="array" aca="1" ref="R135" ca="1">IFERROR(IF(OR('Raw Data'!R135="",LEN(TRIM('Raw Data'!R135))=0),"",IF(AND(ISNUMBER('Raw Data'!R135), IFERROR('Raw Data'!R135 = ROUND('Raw Data'!R135, 2),FALSE)),"",_xlfn.REGEXEXTRACT(CELL("address",R135), "\$([A-Z]+)\$[0-9]+"))),_xlfn.REGEXEXTRACT(CELL("address",R135), "\$([A-Z]+)\$[0-9]+"))</f>
        <v/>
      </c>
      <c r="S135" s="7" t="str" cm="1">
        <f t="array" aca="1" ref="S135" ca="1">IFERROR(IF(OR('Raw Data'!S135="",LEN(TRIM('Raw Data'!S135))=0),"",IF(AND(ISNUMBER('Raw Data'!S135), IFERROR('Raw Data'!S135 = ROUND('Raw Data'!S135, 2),FALSE)),"",_xlfn.REGEXEXTRACT(CELL("address",S135), "\$([A-Z]+)\$[0-9]+"))),_xlfn.REGEXEXTRACT(CELL("address",S135), "\$([A-Z]+)\$[0-9]+"))</f>
        <v/>
      </c>
      <c r="T135" s="7" t="str" cm="1">
        <f t="array" aca="1" ref="T135" ca="1">IFERROR(IF(OR('Raw Data'!T135="",LEN(TRIM('Raw Data'!T135))=0),"",IF(AND(ISNUMBER('Raw Data'!T135), IFERROR('Raw Data'!T135 = ROUND('Raw Data'!T135, 2),FALSE)),"",_xlfn.REGEXEXTRACT(CELL("address",T135), "\$([A-Z]+)\$[0-9]+"))),_xlfn.REGEXEXTRACT(CELL("address",T135), "\$([A-Z]+)\$[0-9]+"))</f>
        <v/>
      </c>
      <c r="U135" s="7" t="str" cm="1">
        <f t="array" aca="1" ref="U135" ca="1">IFERROR(IF(OR('Raw Data'!U135="",LEN(TRIM('Raw Data'!U135))=0),"",IF(AND(LEN('Raw Data'!U135) &lt;= 5,LEN('Raw Data'!U135)&gt; 0),"",_xlfn.REGEXEXTRACT(CELL("address",'Raw Data'!U135),"\$([A-Z]+)\$[0-9]+"))),_xlfn.REGEXEXTRACT(CELL("address",'Raw Data'!U135),"\$([A-Z]+)\$[0-9]+"))</f>
        <v/>
      </c>
      <c r="V135" s="7" t="str" cm="1">
        <f t="array" aca="1" ref="V135" ca="1">IFERROR(IF(OR('Raw Data'!V135="",LEN(TRIM('Raw Data'!V135))=0),"",IF(AND(ISNUMBER('Raw Data'!V135), IFERROR('Raw Data'!V135 = ROUND('Raw Data'!V135, 2),FALSE)),"",_xlfn.REGEXEXTRACT(CELL("address",V135), "\$([A-Z]+)\$[0-9]+"))),_xlfn.REGEXEXTRACT(CELL("address",V135), "\$([A-Z]+)\$[0-9]+"))</f>
        <v/>
      </c>
      <c r="W135" s="7" t="str" cm="1">
        <f t="array" aca="1" ref="W135" ca="1">IFERROR(IF(OR('Raw Data'!W135="",LEN(TRIM('Raw Data'!W135))=0),"",IF(AND(ISNUMBER('Raw Data'!W135), IFERROR('Raw Data'!W135 = ROUND('Raw Data'!W135, 2),FALSE)),"",_xlfn.REGEXEXTRACT(CELL("address",W135), "\$([A-Z]+)\$[0-9]+"))),_xlfn.REGEXEXTRACT(CELL("address",W135), "\$([A-Z]+)\$[0-9]+"))</f>
        <v/>
      </c>
      <c r="X135" s="7" t="str" cm="1">
        <f t="array" aca="1" ref="X135" ca="1">IFERROR(IF(OR('Raw Data'!X135="",LEN(TRIM('Raw Data'!X135))=0),"",IF(AND(ISNUMBER('Raw Data'!X135), IFERROR('Raw Data'!X135 = ROUND('Raw Data'!X135, 2),FALSE)),"",_xlfn.REGEXEXTRACT(CELL("address",X135), "\$([A-Z]+)\$[0-9]+"))),_xlfn.REGEXEXTRACT(CELL("address",X135), "\$([A-Z]+)\$[0-9]+"))</f>
        <v/>
      </c>
    </row>
    <row r="136" spans="2:24" x14ac:dyDescent="0.25">
      <c r="B136" s="7" t="str" cm="1">
        <f t="array" aca="1" ref="B136" ca="1">IFERROR(IF(OR('Raw Data'!B136="",LEN(TRIM('Raw Data'!B136))=0),"",IF(AND(LEN('Raw Data'!B136) &lt;= 50,LEN('Raw Data'!B136)&gt; 0),"",_xlfn.REGEXEXTRACT(CELL("address",'Raw Data'!B136),"\$([A-Z]+)\$[0-9]+"))),_xlfn.REGEXEXTRACT(CELL("address",'Raw Data'!B136),"\$([A-Z]+)\$[0-9]+"))</f>
        <v/>
      </c>
      <c r="C136" s="7" t="str" cm="1">
        <f t="array" aca="1" ref="C136" ca="1">IFERROR(IF(OR('Raw Data'!C136="",LEN(TRIM('Raw Data'!C136))=0),"",IF(AND(LEN('Raw Data'!C136) &lt;= 50,LEN('Raw Data'!C136)&gt; 0),"",_xlfn.REGEXEXTRACT(CELL("address",'Raw Data'!C136),"\$([A-Z]+)\$[0-9]+"))),_xlfn.REGEXEXTRACT(CELL("address",'Raw Data'!C136),"\$([A-Z]+)\$[0-9]+"))</f>
        <v/>
      </c>
      <c r="D136" s="7" t="str" cm="1">
        <f t="array" aca="1" ref="D136" ca="1">IFERROR(IF(OR('Raw Data'!D136="",LEN(TRIM('Raw Data'!D136))=0),"",IF(AND(LEN('Raw Data'!D136) &lt;= 255,LEN('Raw Data'!D136)&gt; 0),"",_xlfn.REGEXEXTRACT(CELL("address",'Raw Data'!D136),"\$([A-Z]+)\$[0-9]+"))),_xlfn.REGEXEXTRACT(CELL("address",'Raw Data'!D136),"\$([A-Z]+)\$[0-9]+"))</f>
        <v/>
      </c>
      <c r="E136" s="7" t="str" cm="1">
        <f t="array" aca="1" ref="E136" ca="1">IFERROR(IF(OR('Raw Data'!E136="",LEN(TRIM('Raw Data'!E136))=0),"",IF(AND(ISNUMBER('Raw Data'!E136),'Raw Data'!E136&gt;=Configuration!$D$2),"",_xlfn.REGEXEXTRACT(CELL("address",'Raw Data'!E136),"\$([A-Z]+)\$[0-9]+"))),_xlfn.REGEXEXTRACT(CELL("address",E136), "\$([A-Z]+)\$[0-9]+"))</f>
        <v/>
      </c>
      <c r="F136" s="7" t="str" cm="1">
        <f t="array" aca="1" ref="F136" ca="1">IFERROR(IF(OR('Raw Data'!F136="",LEN(TRIM('Raw Data'!F136))=0),"",IF(AND(LEN('Raw Data'!F136) &lt;= 20,LEN('Raw Data'!F136)&gt; 0),"",_xlfn.REGEXEXTRACT(CELL("address",'Raw Data'!F136),"\$([A-Z]+)\$[0-9]+"))),_xlfn.REGEXEXTRACT(CELL("address",'Raw Data'!F136),"\$([A-Z]+)\$[0-9]+"))</f>
        <v/>
      </c>
      <c r="G136" s="7" t="str" cm="1">
        <f t="array" aca="1" ref="G136" ca="1">IFERROR(IF(OR('Raw Data'!G136="",LEN(TRIM('Raw Data'!G136))=0),"",IF(AND(ISNUMBER('Raw Data'!G136), IFERROR('Raw Data'!G136 = ROUND('Raw Data'!G136, 2),FALSE)),"",_xlfn.REGEXEXTRACT(CELL("address",G136), "\$([A-Z]+)\$[0-9]+"))),_xlfn.REGEXEXTRACT(CELL("address",G136), "\$([A-Z]+)\$[0-9]+"))</f>
        <v/>
      </c>
      <c r="H136" s="7" t="str" cm="1">
        <f t="array" aca="1" ref="H136" ca="1">IFERROR(IF(OR('Raw Data'!H136="",LEN(TRIM('Raw Data'!H136))=0),"",IF(AND(ISNUMBER('Raw Data'!H136), IFERROR('Raw Data'!H136 = ROUND('Raw Data'!H136, 2),FALSE)),"",_xlfn.REGEXEXTRACT(CELL("address",H136), "\$([A-Z]+)\$[0-9]+"))),_xlfn.REGEXEXTRACT(CELL("address",H136), "\$([A-Z]+)\$[0-9]+"))</f>
        <v/>
      </c>
      <c r="I136" s="7" t="str" cm="1">
        <f t="array" aca="1" ref="I136" ca="1">IFERROR(IF(OR('Raw Data'!I136="",LEN(TRIM('Raw Data'!I136))=0),"",IF(AND(LEN('Raw Data'!I136) &lt;= 50,LEN('Raw Data'!I136)&gt; 0),"",_xlfn.REGEXEXTRACT(CELL("address",'Raw Data'!I136),"\$([A-Z]+)\$[0-9]+"))),_xlfn.REGEXEXTRACT(CELL("address",'Raw Data'!I136),"\$([A-Z]+)\$[0-9]+"))</f>
        <v/>
      </c>
      <c r="J136" s="7" t="str" cm="1">
        <f t="array" aca="1" ref="J136" ca="1">IFERROR(IF(OR('Raw Data'!J136="",LEN(TRIM('Raw Data'!J136))=0),"",IF(AND(ISNUMBER('Raw Data'!J136),'Raw Data'!J136&gt;=Configuration!$D$2),"",_xlfn.REGEXEXTRACT(CELL("address",'Raw Data'!J136),"\$([A-Z]+)\$[0-9]+"))),_xlfn.REGEXEXTRACT(CELL("address",J136), "\$([A-Z]+)\$[0-9]+"))</f>
        <v/>
      </c>
      <c r="K136" s="7" t="str" cm="1">
        <f t="array" aca="1" ref="K136" ca="1">IFERROR(IF(OR('Raw Data'!K136="",LEN(TRIM('Raw Data'!K136))=0),"",IF(AND(ISNUMBER('Raw Data'!K136), IFERROR('Raw Data'!K136 = ROUND('Raw Data'!K136, 2),FALSE)),"",_xlfn.REGEXEXTRACT(CELL("address",K136), "\$([A-Z]+)\$[0-9]+"))),_xlfn.REGEXEXTRACT(CELL("address",K136), "\$([A-Z]+)\$[0-9]+"))</f>
        <v/>
      </c>
      <c r="L136" s="7" t="str" cm="1">
        <f t="array" aca="1" ref="L136" ca="1">IFERROR(IF(OR('Raw Data'!L136="",LEN(TRIM('Raw Data'!L136))=0),"",IF(AND(ISNUMBER('Raw Data'!L136), IFERROR('Raw Data'!L136 = ROUND('Raw Data'!L136, 2),FALSE)),"",_xlfn.REGEXEXTRACT(CELL("address",L136), "\$([A-Z]+)\$[0-9]+"))),_xlfn.REGEXEXTRACT(CELL("address",L136), "\$([A-Z]+)\$[0-9]+"))</f>
        <v/>
      </c>
      <c r="M136" s="7" t="str" cm="1">
        <f t="array" aca="1" ref="M136" ca="1">IFERROR(IF(OR('Raw Data'!M136="",LEN(TRIM('Raw Data'!M136))=0),"",IF(AND(ISNUMBER('Raw Data'!M136), IFERROR('Raw Data'!M136 = ROUND('Raw Data'!M136, 2),FALSE)),"",_xlfn.REGEXEXTRACT(CELL("address",M136), "\$([A-Z]+)\$[0-9]+"))),_xlfn.REGEXEXTRACT(CELL("address",M136), "\$([A-Z]+)\$[0-9]+"))</f>
        <v/>
      </c>
      <c r="N136" s="7" t="str" cm="1">
        <f t="array" aca="1" ref="N136" ca="1">IFERROR(IF(OR('Raw Data'!N136="",LEN(TRIM('Raw Data'!N136))=0),"",IF(AND(ISNUMBER('Raw Data'!N136), IFERROR('Raw Data'!N136 = ROUND('Raw Data'!N136, 2),FALSE)),"",_xlfn.REGEXEXTRACT(CELL("address",N136), "\$([A-Z]+)\$[0-9]+"))),_xlfn.REGEXEXTRACT(CELL("address",N136), "\$([A-Z]+)\$[0-9]+"))</f>
        <v/>
      </c>
      <c r="O136" s="7" t="str" cm="1">
        <f t="array" aca="1" ref="O136" ca="1">IFERROR(IF(OR('Raw Data'!O136="",LEN(TRIM('Raw Data'!O136))=0),"",IF(AND(ISNUMBER('Raw Data'!O136), IFERROR('Raw Data'!O136 = ROUND('Raw Data'!O136, 2),FALSE)),"",_xlfn.REGEXEXTRACT(CELL("address",O136), "\$([A-Z]+)\$[0-9]+"))),_xlfn.REGEXEXTRACT(CELL("address",O136), "\$([A-Z]+)\$[0-9]+"))</f>
        <v/>
      </c>
      <c r="P136" s="7" t="str" cm="1">
        <f t="array" aca="1" ref="P136" ca="1">IFERROR(IF(OR('Raw Data'!P136="",LEN(TRIM('Raw Data'!P136))=0),"",IF(AND(ISNUMBER('Raw Data'!P136),'Raw Data'!P136&gt;=Configuration!$D$2),"",_xlfn.REGEXEXTRACT(CELL("address",'Raw Data'!P136),"\$([A-Z]+)\$[0-9]+"))),_xlfn.REGEXEXTRACT(CELL("address",P136), "\$([A-Z]+)\$[0-9]+"))</f>
        <v/>
      </c>
      <c r="Q136" s="7" t="str" cm="1">
        <f t="array" aca="1" ref="Q136" ca="1">IFERROR(IF(OR('Raw Data'!Q136="",LEN(TRIM('Raw Data'!Q136))=0),"",IF(AND(ISNUMBER('Raw Data'!Q136),'Raw Data'!Q136&gt;=Configuration!$D$2),"",_xlfn.REGEXEXTRACT(CELL("address",'Raw Data'!Q136),"\$([A-Z]+)\$[0-9]+"))),_xlfn.REGEXEXTRACT(CELL("address",Q136), "\$([A-Z]+)\$[0-9]+"))</f>
        <v/>
      </c>
      <c r="R136" s="7" t="str" cm="1">
        <f t="array" aca="1" ref="R136" ca="1">IFERROR(IF(OR('Raw Data'!R136="",LEN(TRIM('Raw Data'!R136))=0),"",IF(AND(ISNUMBER('Raw Data'!R136), IFERROR('Raw Data'!R136 = ROUND('Raw Data'!R136, 2),FALSE)),"",_xlfn.REGEXEXTRACT(CELL("address",R136), "\$([A-Z]+)\$[0-9]+"))),_xlfn.REGEXEXTRACT(CELL("address",R136), "\$([A-Z]+)\$[0-9]+"))</f>
        <v/>
      </c>
      <c r="S136" s="7" t="str" cm="1">
        <f t="array" aca="1" ref="S136" ca="1">IFERROR(IF(OR('Raw Data'!S136="",LEN(TRIM('Raw Data'!S136))=0),"",IF(AND(ISNUMBER('Raw Data'!S136), IFERROR('Raw Data'!S136 = ROUND('Raw Data'!S136, 2),FALSE)),"",_xlfn.REGEXEXTRACT(CELL("address",S136), "\$([A-Z]+)\$[0-9]+"))),_xlfn.REGEXEXTRACT(CELL("address",S136), "\$([A-Z]+)\$[0-9]+"))</f>
        <v/>
      </c>
      <c r="T136" s="7" t="str" cm="1">
        <f t="array" aca="1" ref="T136" ca="1">IFERROR(IF(OR('Raw Data'!T136="",LEN(TRIM('Raw Data'!T136))=0),"",IF(AND(ISNUMBER('Raw Data'!T136), IFERROR('Raw Data'!T136 = ROUND('Raw Data'!T136, 2),FALSE)),"",_xlfn.REGEXEXTRACT(CELL("address",T136), "\$([A-Z]+)\$[0-9]+"))),_xlfn.REGEXEXTRACT(CELL("address",T136), "\$([A-Z]+)\$[0-9]+"))</f>
        <v/>
      </c>
      <c r="U136" s="7" t="str" cm="1">
        <f t="array" aca="1" ref="U136" ca="1">IFERROR(IF(OR('Raw Data'!U136="",LEN(TRIM('Raw Data'!U136))=0),"",IF(AND(LEN('Raw Data'!U136) &lt;= 5,LEN('Raw Data'!U136)&gt; 0),"",_xlfn.REGEXEXTRACT(CELL("address",'Raw Data'!U136),"\$([A-Z]+)\$[0-9]+"))),_xlfn.REGEXEXTRACT(CELL("address",'Raw Data'!U136),"\$([A-Z]+)\$[0-9]+"))</f>
        <v/>
      </c>
      <c r="V136" s="7" t="str" cm="1">
        <f t="array" aca="1" ref="V136" ca="1">IFERROR(IF(OR('Raw Data'!V136="",LEN(TRIM('Raw Data'!V136))=0),"",IF(AND(ISNUMBER('Raw Data'!V136), IFERROR('Raw Data'!V136 = ROUND('Raw Data'!V136, 2),FALSE)),"",_xlfn.REGEXEXTRACT(CELL("address",V136), "\$([A-Z]+)\$[0-9]+"))),_xlfn.REGEXEXTRACT(CELL("address",V136), "\$([A-Z]+)\$[0-9]+"))</f>
        <v/>
      </c>
      <c r="W136" s="7" t="str" cm="1">
        <f t="array" aca="1" ref="W136" ca="1">IFERROR(IF(OR('Raw Data'!W136="",LEN(TRIM('Raw Data'!W136))=0),"",IF(AND(ISNUMBER('Raw Data'!W136), IFERROR('Raw Data'!W136 = ROUND('Raw Data'!W136, 2),FALSE)),"",_xlfn.REGEXEXTRACT(CELL("address",W136), "\$([A-Z]+)\$[0-9]+"))),_xlfn.REGEXEXTRACT(CELL("address",W136), "\$([A-Z]+)\$[0-9]+"))</f>
        <v/>
      </c>
      <c r="X136" s="7" t="str" cm="1">
        <f t="array" aca="1" ref="X136" ca="1">IFERROR(IF(OR('Raw Data'!X136="",LEN(TRIM('Raw Data'!X136))=0),"",IF(AND(ISNUMBER('Raw Data'!X136), IFERROR('Raw Data'!X136 = ROUND('Raw Data'!X136, 2),FALSE)),"",_xlfn.REGEXEXTRACT(CELL("address",X136), "\$([A-Z]+)\$[0-9]+"))),_xlfn.REGEXEXTRACT(CELL("address",X136), "\$([A-Z]+)\$[0-9]+"))</f>
        <v/>
      </c>
    </row>
    <row r="137" spans="2:24" x14ac:dyDescent="0.25">
      <c r="B137" s="7" t="str" cm="1">
        <f t="array" aca="1" ref="B137" ca="1">IFERROR(IF(OR('Raw Data'!B137="",LEN(TRIM('Raw Data'!B137))=0),"",IF(AND(LEN('Raw Data'!B137) &lt;= 50,LEN('Raw Data'!B137)&gt; 0),"",_xlfn.REGEXEXTRACT(CELL("address",'Raw Data'!B137),"\$([A-Z]+)\$[0-9]+"))),_xlfn.REGEXEXTRACT(CELL("address",'Raw Data'!B137),"\$([A-Z]+)\$[0-9]+"))</f>
        <v/>
      </c>
      <c r="C137" s="7" t="str" cm="1">
        <f t="array" aca="1" ref="C137" ca="1">IFERROR(IF(OR('Raw Data'!C137="",LEN(TRIM('Raw Data'!C137))=0),"",IF(AND(LEN('Raw Data'!C137) &lt;= 50,LEN('Raw Data'!C137)&gt; 0),"",_xlfn.REGEXEXTRACT(CELL("address",'Raw Data'!C137),"\$([A-Z]+)\$[0-9]+"))),_xlfn.REGEXEXTRACT(CELL("address",'Raw Data'!C137),"\$([A-Z]+)\$[0-9]+"))</f>
        <v/>
      </c>
      <c r="D137" s="7" t="str" cm="1">
        <f t="array" aca="1" ref="D137" ca="1">IFERROR(IF(OR('Raw Data'!D137="",LEN(TRIM('Raw Data'!D137))=0),"",IF(AND(LEN('Raw Data'!D137) &lt;= 255,LEN('Raw Data'!D137)&gt; 0),"",_xlfn.REGEXEXTRACT(CELL("address",'Raw Data'!D137),"\$([A-Z]+)\$[0-9]+"))),_xlfn.REGEXEXTRACT(CELL("address",'Raw Data'!D137),"\$([A-Z]+)\$[0-9]+"))</f>
        <v/>
      </c>
      <c r="E137" s="7" t="str" cm="1">
        <f t="array" aca="1" ref="E137" ca="1">IFERROR(IF(OR('Raw Data'!E137="",LEN(TRIM('Raw Data'!E137))=0),"",IF(AND(ISNUMBER('Raw Data'!E137),'Raw Data'!E137&gt;=Configuration!$D$2),"",_xlfn.REGEXEXTRACT(CELL("address",'Raw Data'!E137),"\$([A-Z]+)\$[0-9]+"))),_xlfn.REGEXEXTRACT(CELL("address",E137), "\$([A-Z]+)\$[0-9]+"))</f>
        <v/>
      </c>
      <c r="F137" s="7" t="str" cm="1">
        <f t="array" aca="1" ref="F137" ca="1">IFERROR(IF(OR('Raw Data'!F137="",LEN(TRIM('Raw Data'!F137))=0),"",IF(AND(LEN('Raw Data'!F137) &lt;= 20,LEN('Raw Data'!F137)&gt; 0),"",_xlfn.REGEXEXTRACT(CELL("address",'Raw Data'!F137),"\$([A-Z]+)\$[0-9]+"))),_xlfn.REGEXEXTRACT(CELL("address",'Raw Data'!F137),"\$([A-Z]+)\$[0-9]+"))</f>
        <v/>
      </c>
      <c r="G137" s="7" t="str" cm="1">
        <f t="array" aca="1" ref="G137" ca="1">IFERROR(IF(OR('Raw Data'!G137="",LEN(TRIM('Raw Data'!G137))=0),"",IF(AND(ISNUMBER('Raw Data'!G137), IFERROR('Raw Data'!G137 = ROUND('Raw Data'!G137, 2),FALSE)),"",_xlfn.REGEXEXTRACT(CELL("address",G137), "\$([A-Z]+)\$[0-9]+"))),_xlfn.REGEXEXTRACT(CELL("address",G137), "\$([A-Z]+)\$[0-9]+"))</f>
        <v/>
      </c>
      <c r="H137" s="7" t="str" cm="1">
        <f t="array" aca="1" ref="H137" ca="1">IFERROR(IF(OR('Raw Data'!H137="",LEN(TRIM('Raw Data'!H137))=0),"",IF(AND(ISNUMBER('Raw Data'!H137), IFERROR('Raw Data'!H137 = ROUND('Raw Data'!H137, 2),FALSE)),"",_xlfn.REGEXEXTRACT(CELL("address",H137), "\$([A-Z]+)\$[0-9]+"))),_xlfn.REGEXEXTRACT(CELL("address",H137), "\$([A-Z]+)\$[0-9]+"))</f>
        <v/>
      </c>
      <c r="I137" s="7" t="str" cm="1">
        <f t="array" aca="1" ref="I137" ca="1">IFERROR(IF(OR('Raw Data'!I137="",LEN(TRIM('Raw Data'!I137))=0),"",IF(AND(LEN('Raw Data'!I137) &lt;= 50,LEN('Raw Data'!I137)&gt; 0),"",_xlfn.REGEXEXTRACT(CELL("address",'Raw Data'!I137),"\$([A-Z]+)\$[0-9]+"))),_xlfn.REGEXEXTRACT(CELL("address",'Raw Data'!I137),"\$([A-Z]+)\$[0-9]+"))</f>
        <v/>
      </c>
      <c r="J137" s="7" t="str" cm="1">
        <f t="array" aca="1" ref="J137" ca="1">IFERROR(IF(OR('Raw Data'!J137="",LEN(TRIM('Raw Data'!J137))=0),"",IF(AND(ISNUMBER('Raw Data'!J137),'Raw Data'!J137&gt;=Configuration!$D$2),"",_xlfn.REGEXEXTRACT(CELL("address",'Raw Data'!J137),"\$([A-Z]+)\$[0-9]+"))),_xlfn.REGEXEXTRACT(CELL("address",J137), "\$([A-Z]+)\$[0-9]+"))</f>
        <v/>
      </c>
      <c r="K137" s="7" t="str" cm="1">
        <f t="array" aca="1" ref="K137" ca="1">IFERROR(IF(OR('Raw Data'!K137="",LEN(TRIM('Raw Data'!K137))=0),"",IF(AND(ISNUMBER('Raw Data'!K137), IFERROR('Raw Data'!K137 = ROUND('Raw Data'!K137, 2),FALSE)),"",_xlfn.REGEXEXTRACT(CELL("address",K137), "\$([A-Z]+)\$[0-9]+"))),_xlfn.REGEXEXTRACT(CELL("address",K137), "\$([A-Z]+)\$[0-9]+"))</f>
        <v/>
      </c>
      <c r="L137" s="7" t="str" cm="1">
        <f t="array" aca="1" ref="L137" ca="1">IFERROR(IF(OR('Raw Data'!L137="",LEN(TRIM('Raw Data'!L137))=0),"",IF(AND(ISNUMBER('Raw Data'!L137), IFERROR('Raw Data'!L137 = ROUND('Raw Data'!L137, 2),FALSE)),"",_xlfn.REGEXEXTRACT(CELL("address",L137), "\$([A-Z]+)\$[0-9]+"))),_xlfn.REGEXEXTRACT(CELL("address",L137), "\$([A-Z]+)\$[0-9]+"))</f>
        <v/>
      </c>
      <c r="M137" s="7" t="str" cm="1">
        <f t="array" aca="1" ref="M137" ca="1">IFERROR(IF(OR('Raw Data'!M137="",LEN(TRIM('Raw Data'!M137))=0),"",IF(AND(ISNUMBER('Raw Data'!M137), IFERROR('Raw Data'!M137 = ROUND('Raw Data'!M137, 2),FALSE)),"",_xlfn.REGEXEXTRACT(CELL("address",M137), "\$([A-Z]+)\$[0-9]+"))),_xlfn.REGEXEXTRACT(CELL("address",M137), "\$([A-Z]+)\$[0-9]+"))</f>
        <v/>
      </c>
      <c r="N137" s="7" t="str" cm="1">
        <f t="array" aca="1" ref="N137" ca="1">IFERROR(IF(OR('Raw Data'!N137="",LEN(TRIM('Raw Data'!N137))=0),"",IF(AND(ISNUMBER('Raw Data'!N137), IFERROR('Raw Data'!N137 = ROUND('Raw Data'!N137, 2),FALSE)),"",_xlfn.REGEXEXTRACT(CELL("address",N137), "\$([A-Z]+)\$[0-9]+"))),_xlfn.REGEXEXTRACT(CELL("address",N137), "\$([A-Z]+)\$[0-9]+"))</f>
        <v/>
      </c>
      <c r="O137" s="7" t="str" cm="1">
        <f t="array" aca="1" ref="O137" ca="1">IFERROR(IF(OR('Raw Data'!O137="",LEN(TRIM('Raw Data'!O137))=0),"",IF(AND(ISNUMBER('Raw Data'!O137), IFERROR('Raw Data'!O137 = ROUND('Raw Data'!O137, 2),FALSE)),"",_xlfn.REGEXEXTRACT(CELL("address",O137), "\$([A-Z]+)\$[0-9]+"))),_xlfn.REGEXEXTRACT(CELL("address",O137), "\$([A-Z]+)\$[0-9]+"))</f>
        <v/>
      </c>
      <c r="P137" s="7" t="str" cm="1">
        <f t="array" aca="1" ref="P137" ca="1">IFERROR(IF(OR('Raw Data'!P137="",LEN(TRIM('Raw Data'!P137))=0),"",IF(AND(ISNUMBER('Raw Data'!P137),'Raw Data'!P137&gt;=Configuration!$D$2),"",_xlfn.REGEXEXTRACT(CELL("address",'Raw Data'!P137),"\$([A-Z]+)\$[0-9]+"))),_xlfn.REGEXEXTRACT(CELL("address",P137), "\$([A-Z]+)\$[0-9]+"))</f>
        <v/>
      </c>
      <c r="Q137" s="7" t="str" cm="1">
        <f t="array" aca="1" ref="Q137" ca="1">IFERROR(IF(OR('Raw Data'!Q137="",LEN(TRIM('Raw Data'!Q137))=0),"",IF(AND(ISNUMBER('Raw Data'!Q137),'Raw Data'!Q137&gt;=Configuration!$D$2),"",_xlfn.REGEXEXTRACT(CELL("address",'Raw Data'!Q137),"\$([A-Z]+)\$[0-9]+"))),_xlfn.REGEXEXTRACT(CELL("address",Q137), "\$([A-Z]+)\$[0-9]+"))</f>
        <v/>
      </c>
      <c r="R137" s="7" t="str" cm="1">
        <f t="array" aca="1" ref="R137" ca="1">IFERROR(IF(OR('Raw Data'!R137="",LEN(TRIM('Raw Data'!R137))=0),"",IF(AND(ISNUMBER('Raw Data'!R137), IFERROR('Raw Data'!R137 = ROUND('Raw Data'!R137, 2),FALSE)),"",_xlfn.REGEXEXTRACT(CELL("address",R137), "\$([A-Z]+)\$[0-9]+"))),_xlfn.REGEXEXTRACT(CELL("address",R137), "\$([A-Z]+)\$[0-9]+"))</f>
        <v/>
      </c>
      <c r="S137" s="7" t="str" cm="1">
        <f t="array" aca="1" ref="S137" ca="1">IFERROR(IF(OR('Raw Data'!S137="",LEN(TRIM('Raw Data'!S137))=0),"",IF(AND(ISNUMBER('Raw Data'!S137), IFERROR('Raw Data'!S137 = ROUND('Raw Data'!S137, 2),FALSE)),"",_xlfn.REGEXEXTRACT(CELL("address",S137), "\$([A-Z]+)\$[0-9]+"))),_xlfn.REGEXEXTRACT(CELL("address",S137), "\$([A-Z]+)\$[0-9]+"))</f>
        <v/>
      </c>
      <c r="T137" s="7" t="str" cm="1">
        <f t="array" aca="1" ref="T137" ca="1">IFERROR(IF(OR('Raw Data'!T137="",LEN(TRIM('Raw Data'!T137))=0),"",IF(AND(ISNUMBER('Raw Data'!T137), IFERROR('Raw Data'!T137 = ROUND('Raw Data'!T137, 2),FALSE)),"",_xlfn.REGEXEXTRACT(CELL("address",T137), "\$([A-Z]+)\$[0-9]+"))),_xlfn.REGEXEXTRACT(CELL("address",T137), "\$([A-Z]+)\$[0-9]+"))</f>
        <v/>
      </c>
      <c r="U137" s="7" t="str" cm="1">
        <f t="array" aca="1" ref="U137" ca="1">IFERROR(IF(OR('Raw Data'!U137="",LEN(TRIM('Raw Data'!U137))=0),"",IF(AND(LEN('Raw Data'!U137) &lt;= 5,LEN('Raw Data'!U137)&gt; 0),"",_xlfn.REGEXEXTRACT(CELL("address",'Raw Data'!U137),"\$([A-Z]+)\$[0-9]+"))),_xlfn.REGEXEXTRACT(CELL("address",'Raw Data'!U137),"\$([A-Z]+)\$[0-9]+"))</f>
        <v/>
      </c>
      <c r="V137" s="7" t="str" cm="1">
        <f t="array" aca="1" ref="V137" ca="1">IFERROR(IF(OR('Raw Data'!V137="",LEN(TRIM('Raw Data'!V137))=0),"",IF(AND(ISNUMBER('Raw Data'!V137), IFERROR('Raw Data'!V137 = ROUND('Raw Data'!V137, 2),FALSE)),"",_xlfn.REGEXEXTRACT(CELL("address",V137), "\$([A-Z]+)\$[0-9]+"))),_xlfn.REGEXEXTRACT(CELL("address",V137), "\$([A-Z]+)\$[0-9]+"))</f>
        <v/>
      </c>
      <c r="W137" s="7" t="str" cm="1">
        <f t="array" aca="1" ref="W137" ca="1">IFERROR(IF(OR('Raw Data'!W137="",LEN(TRIM('Raw Data'!W137))=0),"",IF(AND(ISNUMBER('Raw Data'!W137), IFERROR('Raw Data'!W137 = ROUND('Raw Data'!W137, 2),FALSE)),"",_xlfn.REGEXEXTRACT(CELL("address",W137), "\$([A-Z]+)\$[0-9]+"))),_xlfn.REGEXEXTRACT(CELL("address",W137), "\$([A-Z]+)\$[0-9]+"))</f>
        <v/>
      </c>
      <c r="X137" s="7" t="str" cm="1">
        <f t="array" aca="1" ref="X137" ca="1">IFERROR(IF(OR('Raw Data'!X137="",LEN(TRIM('Raw Data'!X137))=0),"",IF(AND(ISNUMBER('Raw Data'!X137), IFERROR('Raw Data'!X137 = ROUND('Raw Data'!X137, 2),FALSE)),"",_xlfn.REGEXEXTRACT(CELL("address",X137), "\$([A-Z]+)\$[0-9]+"))),_xlfn.REGEXEXTRACT(CELL("address",X137), "\$([A-Z]+)\$[0-9]+"))</f>
        <v/>
      </c>
    </row>
    <row r="138" spans="2:24" x14ac:dyDescent="0.25">
      <c r="B138" s="7" t="str" cm="1">
        <f t="array" aca="1" ref="B138" ca="1">IFERROR(IF(OR('Raw Data'!B138="",LEN(TRIM('Raw Data'!B138))=0),"",IF(AND(LEN('Raw Data'!B138) &lt;= 50,LEN('Raw Data'!B138)&gt; 0),"",_xlfn.REGEXEXTRACT(CELL("address",'Raw Data'!B138),"\$([A-Z]+)\$[0-9]+"))),_xlfn.REGEXEXTRACT(CELL("address",'Raw Data'!B138),"\$([A-Z]+)\$[0-9]+"))</f>
        <v/>
      </c>
      <c r="C138" s="7" t="str" cm="1">
        <f t="array" aca="1" ref="C138" ca="1">IFERROR(IF(OR('Raw Data'!C138="",LEN(TRIM('Raw Data'!C138))=0),"",IF(AND(LEN('Raw Data'!C138) &lt;= 50,LEN('Raw Data'!C138)&gt; 0),"",_xlfn.REGEXEXTRACT(CELL("address",'Raw Data'!C138),"\$([A-Z]+)\$[0-9]+"))),_xlfn.REGEXEXTRACT(CELL("address",'Raw Data'!C138),"\$([A-Z]+)\$[0-9]+"))</f>
        <v/>
      </c>
      <c r="D138" s="7" t="str" cm="1">
        <f t="array" aca="1" ref="D138" ca="1">IFERROR(IF(OR('Raw Data'!D138="",LEN(TRIM('Raw Data'!D138))=0),"",IF(AND(LEN('Raw Data'!D138) &lt;= 255,LEN('Raw Data'!D138)&gt; 0),"",_xlfn.REGEXEXTRACT(CELL("address",'Raw Data'!D138),"\$([A-Z]+)\$[0-9]+"))),_xlfn.REGEXEXTRACT(CELL("address",'Raw Data'!D138),"\$([A-Z]+)\$[0-9]+"))</f>
        <v/>
      </c>
      <c r="E138" s="7" t="str" cm="1">
        <f t="array" aca="1" ref="E138" ca="1">IFERROR(IF(OR('Raw Data'!E138="",LEN(TRIM('Raw Data'!E138))=0),"",IF(AND(ISNUMBER('Raw Data'!E138),'Raw Data'!E138&gt;=Configuration!$D$2),"",_xlfn.REGEXEXTRACT(CELL("address",'Raw Data'!E138),"\$([A-Z]+)\$[0-9]+"))),_xlfn.REGEXEXTRACT(CELL("address",E138), "\$([A-Z]+)\$[0-9]+"))</f>
        <v/>
      </c>
      <c r="F138" s="7" t="str" cm="1">
        <f t="array" aca="1" ref="F138" ca="1">IFERROR(IF(OR('Raw Data'!F138="",LEN(TRIM('Raw Data'!F138))=0),"",IF(AND(LEN('Raw Data'!F138) &lt;= 20,LEN('Raw Data'!F138)&gt; 0),"",_xlfn.REGEXEXTRACT(CELL("address",'Raw Data'!F138),"\$([A-Z]+)\$[0-9]+"))),_xlfn.REGEXEXTRACT(CELL("address",'Raw Data'!F138),"\$([A-Z]+)\$[0-9]+"))</f>
        <v/>
      </c>
      <c r="G138" s="7" t="str" cm="1">
        <f t="array" aca="1" ref="G138" ca="1">IFERROR(IF(OR('Raw Data'!G138="",LEN(TRIM('Raw Data'!G138))=0),"",IF(AND(ISNUMBER('Raw Data'!G138), IFERROR('Raw Data'!G138 = ROUND('Raw Data'!G138, 2),FALSE)),"",_xlfn.REGEXEXTRACT(CELL("address",G138), "\$([A-Z]+)\$[0-9]+"))),_xlfn.REGEXEXTRACT(CELL("address",G138), "\$([A-Z]+)\$[0-9]+"))</f>
        <v/>
      </c>
      <c r="H138" s="7" t="str" cm="1">
        <f t="array" aca="1" ref="H138" ca="1">IFERROR(IF(OR('Raw Data'!H138="",LEN(TRIM('Raw Data'!H138))=0),"",IF(AND(ISNUMBER('Raw Data'!H138), IFERROR('Raw Data'!H138 = ROUND('Raw Data'!H138, 2),FALSE)),"",_xlfn.REGEXEXTRACT(CELL("address",H138), "\$([A-Z]+)\$[0-9]+"))),_xlfn.REGEXEXTRACT(CELL("address",H138), "\$([A-Z]+)\$[0-9]+"))</f>
        <v/>
      </c>
      <c r="I138" s="7" t="str" cm="1">
        <f t="array" aca="1" ref="I138" ca="1">IFERROR(IF(OR('Raw Data'!I138="",LEN(TRIM('Raw Data'!I138))=0),"",IF(AND(LEN('Raw Data'!I138) &lt;= 50,LEN('Raw Data'!I138)&gt; 0),"",_xlfn.REGEXEXTRACT(CELL("address",'Raw Data'!I138),"\$([A-Z]+)\$[0-9]+"))),_xlfn.REGEXEXTRACT(CELL("address",'Raw Data'!I138),"\$([A-Z]+)\$[0-9]+"))</f>
        <v/>
      </c>
      <c r="J138" s="7" t="str" cm="1">
        <f t="array" aca="1" ref="J138" ca="1">IFERROR(IF(OR('Raw Data'!J138="",LEN(TRIM('Raw Data'!J138))=0),"",IF(AND(ISNUMBER('Raw Data'!J138),'Raw Data'!J138&gt;=Configuration!$D$2),"",_xlfn.REGEXEXTRACT(CELL("address",'Raw Data'!J138),"\$([A-Z]+)\$[0-9]+"))),_xlfn.REGEXEXTRACT(CELL("address",J138), "\$([A-Z]+)\$[0-9]+"))</f>
        <v/>
      </c>
      <c r="K138" s="7" t="str" cm="1">
        <f t="array" aca="1" ref="K138" ca="1">IFERROR(IF(OR('Raw Data'!K138="",LEN(TRIM('Raw Data'!K138))=0),"",IF(AND(ISNUMBER('Raw Data'!K138), IFERROR('Raw Data'!K138 = ROUND('Raw Data'!K138, 2),FALSE)),"",_xlfn.REGEXEXTRACT(CELL("address",K138), "\$([A-Z]+)\$[0-9]+"))),_xlfn.REGEXEXTRACT(CELL("address",K138), "\$([A-Z]+)\$[0-9]+"))</f>
        <v/>
      </c>
      <c r="L138" s="7" t="str" cm="1">
        <f t="array" aca="1" ref="L138" ca="1">IFERROR(IF(OR('Raw Data'!L138="",LEN(TRIM('Raw Data'!L138))=0),"",IF(AND(ISNUMBER('Raw Data'!L138), IFERROR('Raw Data'!L138 = ROUND('Raw Data'!L138, 2),FALSE)),"",_xlfn.REGEXEXTRACT(CELL("address",L138), "\$([A-Z]+)\$[0-9]+"))),_xlfn.REGEXEXTRACT(CELL("address",L138), "\$([A-Z]+)\$[0-9]+"))</f>
        <v/>
      </c>
      <c r="M138" s="7" t="str" cm="1">
        <f t="array" aca="1" ref="M138" ca="1">IFERROR(IF(OR('Raw Data'!M138="",LEN(TRIM('Raw Data'!M138))=0),"",IF(AND(ISNUMBER('Raw Data'!M138), IFERROR('Raw Data'!M138 = ROUND('Raw Data'!M138, 2),FALSE)),"",_xlfn.REGEXEXTRACT(CELL("address",M138), "\$([A-Z]+)\$[0-9]+"))),_xlfn.REGEXEXTRACT(CELL("address",M138), "\$([A-Z]+)\$[0-9]+"))</f>
        <v/>
      </c>
      <c r="N138" s="7" t="str" cm="1">
        <f t="array" aca="1" ref="N138" ca="1">IFERROR(IF(OR('Raw Data'!N138="",LEN(TRIM('Raw Data'!N138))=0),"",IF(AND(ISNUMBER('Raw Data'!N138), IFERROR('Raw Data'!N138 = ROUND('Raw Data'!N138, 2),FALSE)),"",_xlfn.REGEXEXTRACT(CELL("address",N138), "\$([A-Z]+)\$[0-9]+"))),_xlfn.REGEXEXTRACT(CELL("address",N138), "\$([A-Z]+)\$[0-9]+"))</f>
        <v/>
      </c>
      <c r="O138" s="7" t="str" cm="1">
        <f t="array" aca="1" ref="O138" ca="1">IFERROR(IF(OR('Raw Data'!O138="",LEN(TRIM('Raw Data'!O138))=0),"",IF(AND(ISNUMBER('Raw Data'!O138), IFERROR('Raw Data'!O138 = ROUND('Raw Data'!O138, 2),FALSE)),"",_xlfn.REGEXEXTRACT(CELL("address",O138), "\$([A-Z]+)\$[0-9]+"))),_xlfn.REGEXEXTRACT(CELL("address",O138), "\$([A-Z]+)\$[0-9]+"))</f>
        <v/>
      </c>
      <c r="P138" s="7" t="str" cm="1">
        <f t="array" aca="1" ref="P138" ca="1">IFERROR(IF(OR('Raw Data'!P138="",LEN(TRIM('Raw Data'!P138))=0),"",IF(AND(ISNUMBER('Raw Data'!P138),'Raw Data'!P138&gt;=Configuration!$D$2),"",_xlfn.REGEXEXTRACT(CELL("address",'Raw Data'!P138),"\$([A-Z]+)\$[0-9]+"))),_xlfn.REGEXEXTRACT(CELL("address",P138), "\$([A-Z]+)\$[0-9]+"))</f>
        <v/>
      </c>
      <c r="Q138" s="7" t="str" cm="1">
        <f t="array" aca="1" ref="Q138" ca="1">IFERROR(IF(OR('Raw Data'!Q138="",LEN(TRIM('Raw Data'!Q138))=0),"",IF(AND(ISNUMBER('Raw Data'!Q138),'Raw Data'!Q138&gt;=Configuration!$D$2),"",_xlfn.REGEXEXTRACT(CELL("address",'Raw Data'!Q138),"\$([A-Z]+)\$[0-9]+"))),_xlfn.REGEXEXTRACT(CELL("address",Q138), "\$([A-Z]+)\$[0-9]+"))</f>
        <v/>
      </c>
      <c r="R138" s="7" t="str" cm="1">
        <f t="array" aca="1" ref="R138" ca="1">IFERROR(IF(OR('Raw Data'!R138="",LEN(TRIM('Raw Data'!R138))=0),"",IF(AND(ISNUMBER('Raw Data'!R138), IFERROR('Raw Data'!R138 = ROUND('Raw Data'!R138, 2),FALSE)),"",_xlfn.REGEXEXTRACT(CELL("address",R138), "\$([A-Z]+)\$[0-9]+"))),_xlfn.REGEXEXTRACT(CELL("address",R138), "\$([A-Z]+)\$[0-9]+"))</f>
        <v/>
      </c>
      <c r="S138" s="7" t="str" cm="1">
        <f t="array" aca="1" ref="S138" ca="1">IFERROR(IF(OR('Raw Data'!S138="",LEN(TRIM('Raw Data'!S138))=0),"",IF(AND(ISNUMBER('Raw Data'!S138), IFERROR('Raw Data'!S138 = ROUND('Raw Data'!S138, 2),FALSE)),"",_xlfn.REGEXEXTRACT(CELL("address",S138), "\$([A-Z]+)\$[0-9]+"))),_xlfn.REGEXEXTRACT(CELL("address",S138), "\$([A-Z]+)\$[0-9]+"))</f>
        <v/>
      </c>
      <c r="T138" s="7" t="str" cm="1">
        <f t="array" aca="1" ref="T138" ca="1">IFERROR(IF(OR('Raw Data'!T138="",LEN(TRIM('Raw Data'!T138))=0),"",IF(AND(ISNUMBER('Raw Data'!T138), IFERROR('Raw Data'!T138 = ROUND('Raw Data'!T138, 2),FALSE)),"",_xlfn.REGEXEXTRACT(CELL("address",T138), "\$([A-Z]+)\$[0-9]+"))),_xlfn.REGEXEXTRACT(CELL("address",T138), "\$([A-Z]+)\$[0-9]+"))</f>
        <v/>
      </c>
      <c r="U138" s="7" t="str" cm="1">
        <f t="array" aca="1" ref="U138" ca="1">IFERROR(IF(OR('Raw Data'!U138="",LEN(TRIM('Raw Data'!U138))=0),"",IF(AND(LEN('Raw Data'!U138) &lt;= 5,LEN('Raw Data'!U138)&gt; 0),"",_xlfn.REGEXEXTRACT(CELL("address",'Raw Data'!U138),"\$([A-Z]+)\$[0-9]+"))),_xlfn.REGEXEXTRACT(CELL("address",'Raw Data'!U138),"\$([A-Z]+)\$[0-9]+"))</f>
        <v/>
      </c>
      <c r="V138" s="7" t="str" cm="1">
        <f t="array" aca="1" ref="V138" ca="1">IFERROR(IF(OR('Raw Data'!V138="",LEN(TRIM('Raw Data'!V138))=0),"",IF(AND(ISNUMBER('Raw Data'!V138), IFERROR('Raw Data'!V138 = ROUND('Raw Data'!V138, 2),FALSE)),"",_xlfn.REGEXEXTRACT(CELL("address",V138), "\$([A-Z]+)\$[0-9]+"))),_xlfn.REGEXEXTRACT(CELL("address",V138), "\$([A-Z]+)\$[0-9]+"))</f>
        <v/>
      </c>
      <c r="W138" s="7" t="str" cm="1">
        <f t="array" aca="1" ref="W138" ca="1">IFERROR(IF(OR('Raw Data'!W138="",LEN(TRIM('Raw Data'!W138))=0),"",IF(AND(ISNUMBER('Raw Data'!W138), IFERROR('Raw Data'!W138 = ROUND('Raw Data'!W138, 2),FALSE)),"",_xlfn.REGEXEXTRACT(CELL("address",W138), "\$([A-Z]+)\$[0-9]+"))),_xlfn.REGEXEXTRACT(CELL("address",W138), "\$([A-Z]+)\$[0-9]+"))</f>
        <v/>
      </c>
      <c r="X138" s="7" t="str" cm="1">
        <f t="array" aca="1" ref="X138" ca="1">IFERROR(IF(OR('Raw Data'!X138="",LEN(TRIM('Raw Data'!X138))=0),"",IF(AND(ISNUMBER('Raw Data'!X138), IFERROR('Raw Data'!X138 = ROUND('Raw Data'!X138, 2),FALSE)),"",_xlfn.REGEXEXTRACT(CELL("address",X138), "\$([A-Z]+)\$[0-9]+"))),_xlfn.REGEXEXTRACT(CELL("address",X138), "\$([A-Z]+)\$[0-9]+"))</f>
        <v/>
      </c>
    </row>
    <row r="139" spans="2:24" x14ac:dyDescent="0.25">
      <c r="B139" s="7" t="str" cm="1">
        <f t="array" aca="1" ref="B139" ca="1">IFERROR(IF(OR('Raw Data'!B139="",LEN(TRIM('Raw Data'!B139))=0),"",IF(AND(LEN('Raw Data'!B139) &lt;= 50,LEN('Raw Data'!B139)&gt; 0),"",_xlfn.REGEXEXTRACT(CELL("address",'Raw Data'!B139),"\$([A-Z]+)\$[0-9]+"))),_xlfn.REGEXEXTRACT(CELL("address",'Raw Data'!B139),"\$([A-Z]+)\$[0-9]+"))</f>
        <v/>
      </c>
      <c r="C139" s="7" t="str" cm="1">
        <f t="array" aca="1" ref="C139" ca="1">IFERROR(IF(OR('Raw Data'!C139="",LEN(TRIM('Raw Data'!C139))=0),"",IF(AND(LEN('Raw Data'!C139) &lt;= 50,LEN('Raw Data'!C139)&gt; 0),"",_xlfn.REGEXEXTRACT(CELL("address",'Raw Data'!C139),"\$([A-Z]+)\$[0-9]+"))),_xlfn.REGEXEXTRACT(CELL("address",'Raw Data'!C139),"\$([A-Z]+)\$[0-9]+"))</f>
        <v/>
      </c>
      <c r="D139" s="7" t="str" cm="1">
        <f t="array" aca="1" ref="D139" ca="1">IFERROR(IF(OR('Raw Data'!D139="",LEN(TRIM('Raw Data'!D139))=0),"",IF(AND(LEN('Raw Data'!D139) &lt;= 255,LEN('Raw Data'!D139)&gt; 0),"",_xlfn.REGEXEXTRACT(CELL("address",'Raw Data'!D139),"\$([A-Z]+)\$[0-9]+"))),_xlfn.REGEXEXTRACT(CELL("address",'Raw Data'!D139),"\$([A-Z]+)\$[0-9]+"))</f>
        <v/>
      </c>
      <c r="E139" s="7" t="str" cm="1">
        <f t="array" aca="1" ref="E139" ca="1">IFERROR(IF(OR('Raw Data'!E139="",LEN(TRIM('Raw Data'!E139))=0),"",IF(AND(ISNUMBER('Raw Data'!E139),'Raw Data'!E139&gt;=Configuration!$D$2),"",_xlfn.REGEXEXTRACT(CELL("address",'Raw Data'!E139),"\$([A-Z]+)\$[0-9]+"))),_xlfn.REGEXEXTRACT(CELL("address",E139), "\$([A-Z]+)\$[0-9]+"))</f>
        <v/>
      </c>
      <c r="F139" s="7" t="str" cm="1">
        <f t="array" aca="1" ref="F139" ca="1">IFERROR(IF(OR('Raw Data'!F139="",LEN(TRIM('Raw Data'!F139))=0),"",IF(AND(LEN('Raw Data'!F139) &lt;= 20,LEN('Raw Data'!F139)&gt; 0),"",_xlfn.REGEXEXTRACT(CELL("address",'Raw Data'!F139),"\$([A-Z]+)\$[0-9]+"))),_xlfn.REGEXEXTRACT(CELL("address",'Raw Data'!F139),"\$([A-Z]+)\$[0-9]+"))</f>
        <v/>
      </c>
      <c r="G139" s="7" t="str" cm="1">
        <f t="array" aca="1" ref="G139" ca="1">IFERROR(IF(OR('Raw Data'!G139="",LEN(TRIM('Raw Data'!G139))=0),"",IF(AND(ISNUMBER('Raw Data'!G139), IFERROR('Raw Data'!G139 = ROUND('Raw Data'!G139, 2),FALSE)),"",_xlfn.REGEXEXTRACT(CELL("address",G139), "\$([A-Z]+)\$[0-9]+"))),_xlfn.REGEXEXTRACT(CELL("address",G139), "\$([A-Z]+)\$[0-9]+"))</f>
        <v/>
      </c>
      <c r="H139" s="7" t="str" cm="1">
        <f t="array" aca="1" ref="H139" ca="1">IFERROR(IF(OR('Raw Data'!H139="",LEN(TRIM('Raw Data'!H139))=0),"",IF(AND(ISNUMBER('Raw Data'!H139), IFERROR('Raw Data'!H139 = ROUND('Raw Data'!H139, 2),FALSE)),"",_xlfn.REGEXEXTRACT(CELL("address",H139), "\$([A-Z]+)\$[0-9]+"))),_xlfn.REGEXEXTRACT(CELL("address",H139), "\$([A-Z]+)\$[0-9]+"))</f>
        <v/>
      </c>
      <c r="I139" s="7" t="str" cm="1">
        <f t="array" aca="1" ref="I139" ca="1">IFERROR(IF(OR('Raw Data'!I139="",LEN(TRIM('Raw Data'!I139))=0),"",IF(AND(LEN('Raw Data'!I139) &lt;= 50,LEN('Raw Data'!I139)&gt; 0),"",_xlfn.REGEXEXTRACT(CELL("address",'Raw Data'!I139),"\$([A-Z]+)\$[0-9]+"))),_xlfn.REGEXEXTRACT(CELL("address",'Raw Data'!I139),"\$([A-Z]+)\$[0-9]+"))</f>
        <v/>
      </c>
      <c r="J139" s="7" t="str" cm="1">
        <f t="array" aca="1" ref="J139" ca="1">IFERROR(IF(OR('Raw Data'!J139="",LEN(TRIM('Raw Data'!J139))=0),"",IF(AND(ISNUMBER('Raw Data'!J139),'Raw Data'!J139&gt;=Configuration!$D$2),"",_xlfn.REGEXEXTRACT(CELL("address",'Raw Data'!J139),"\$([A-Z]+)\$[0-9]+"))),_xlfn.REGEXEXTRACT(CELL("address",J139), "\$([A-Z]+)\$[0-9]+"))</f>
        <v/>
      </c>
      <c r="K139" s="7" t="str" cm="1">
        <f t="array" aca="1" ref="K139" ca="1">IFERROR(IF(OR('Raw Data'!K139="",LEN(TRIM('Raw Data'!K139))=0),"",IF(AND(ISNUMBER('Raw Data'!K139), IFERROR('Raw Data'!K139 = ROUND('Raw Data'!K139, 2),FALSE)),"",_xlfn.REGEXEXTRACT(CELL("address",K139), "\$([A-Z]+)\$[0-9]+"))),_xlfn.REGEXEXTRACT(CELL("address",K139), "\$([A-Z]+)\$[0-9]+"))</f>
        <v/>
      </c>
      <c r="L139" s="7" t="str" cm="1">
        <f t="array" aca="1" ref="L139" ca="1">IFERROR(IF(OR('Raw Data'!L139="",LEN(TRIM('Raw Data'!L139))=0),"",IF(AND(ISNUMBER('Raw Data'!L139), IFERROR('Raw Data'!L139 = ROUND('Raw Data'!L139, 2),FALSE)),"",_xlfn.REGEXEXTRACT(CELL("address",L139), "\$([A-Z]+)\$[0-9]+"))),_xlfn.REGEXEXTRACT(CELL("address",L139), "\$([A-Z]+)\$[0-9]+"))</f>
        <v/>
      </c>
      <c r="M139" s="7" t="str" cm="1">
        <f t="array" aca="1" ref="M139" ca="1">IFERROR(IF(OR('Raw Data'!M139="",LEN(TRIM('Raw Data'!M139))=0),"",IF(AND(ISNUMBER('Raw Data'!M139), IFERROR('Raw Data'!M139 = ROUND('Raw Data'!M139, 2),FALSE)),"",_xlfn.REGEXEXTRACT(CELL("address",M139), "\$([A-Z]+)\$[0-9]+"))),_xlfn.REGEXEXTRACT(CELL("address",M139), "\$([A-Z]+)\$[0-9]+"))</f>
        <v/>
      </c>
      <c r="N139" s="7" t="str" cm="1">
        <f t="array" aca="1" ref="N139" ca="1">IFERROR(IF(OR('Raw Data'!N139="",LEN(TRIM('Raw Data'!N139))=0),"",IF(AND(ISNUMBER('Raw Data'!N139), IFERROR('Raw Data'!N139 = ROUND('Raw Data'!N139, 2),FALSE)),"",_xlfn.REGEXEXTRACT(CELL("address",N139), "\$([A-Z]+)\$[0-9]+"))),_xlfn.REGEXEXTRACT(CELL("address",N139), "\$([A-Z]+)\$[0-9]+"))</f>
        <v/>
      </c>
      <c r="O139" s="7" t="str" cm="1">
        <f t="array" aca="1" ref="O139" ca="1">IFERROR(IF(OR('Raw Data'!O139="",LEN(TRIM('Raw Data'!O139))=0),"",IF(AND(ISNUMBER('Raw Data'!O139), IFERROR('Raw Data'!O139 = ROUND('Raw Data'!O139, 2),FALSE)),"",_xlfn.REGEXEXTRACT(CELL("address",O139), "\$([A-Z]+)\$[0-9]+"))),_xlfn.REGEXEXTRACT(CELL("address",O139), "\$([A-Z]+)\$[0-9]+"))</f>
        <v/>
      </c>
      <c r="P139" s="7" t="str" cm="1">
        <f t="array" aca="1" ref="P139" ca="1">IFERROR(IF(OR('Raw Data'!P139="",LEN(TRIM('Raw Data'!P139))=0),"",IF(AND(ISNUMBER('Raw Data'!P139),'Raw Data'!P139&gt;=Configuration!$D$2),"",_xlfn.REGEXEXTRACT(CELL("address",'Raw Data'!P139),"\$([A-Z]+)\$[0-9]+"))),_xlfn.REGEXEXTRACT(CELL("address",P139), "\$([A-Z]+)\$[0-9]+"))</f>
        <v/>
      </c>
      <c r="Q139" s="7" t="str" cm="1">
        <f t="array" aca="1" ref="Q139" ca="1">IFERROR(IF(OR('Raw Data'!Q139="",LEN(TRIM('Raw Data'!Q139))=0),"",IF(AND(ISNUMBER('Raw Data'!Q139),'Raw Data'!Q139&gt;=Configuration!$D$2),"",_xlfn.REGEXEXTRACT(CELL("address",'Raw Data'!Q139),"\$([A-Z]+)\$[0-9]+"))),_xlfn.REGEXEXTRACT(CELL("address",Q139), "\$([A-Z]+)\$[0-9]+"))</f>
        <v/>
      </c>
      <c r="R139" s="7" t="str" cm="1">
        <f t="array" aca="1" ref="R139" ca="1">IFERROR(IF(OR('Raw Data'!R139="",LEN(TRIM('Raw Data'!R139))=0),"",IF(AND(ISNUMBER('Raw Data'!R139), IFERROR('Raw Data'!R139 = ROUND('Raw Data'!R139, 2),FALSE)),"",_xlfn.REGEXEXTRACT(CELL("address",R139), "\$([A-Z]+)\$[0-9]+"))),_xlfn.REGEXEXTRACT(CELL("address",R139), "\$([A-Z]+)\$[0-9]+"))</f>
        <v/>
      </c>
      <c r="S139" s="7" t="str" cm="1">
        <f t="array" aca="1" ref="S139" ca="1">IFERROR(IF(OR('Raw Data'!S139="",LEN(TRIM('Raw Data'!S139))=0),"",IF(AND(ISNUMBER('Raw Data'!S139), IFERROR('Raw Data'!S139 = ROUND('Raw Data'!S139, 2),FALSE)),"",_xlfn.REGEXEXTRACT(CELL("address",S139), "\$([A-Z]+)\$[0-9]+"))),_xlfn.REGEXEXTRACT(CELL("address",S139), "\$([A-Z]+)\$[0-9]+"))</f>
        <v/>
      </c>
      <c r="T139" s="7" t="str" cm="1">
        <f t="array" aca="1" ref="T139" ca="1">IFERROR(IF(OR('Raw Data'!T139="",LEN(TRIM('Raw Data'!T139))=0),"",IF(AND(ISNUMBER('Raw Data'!T139), IFERROR('Raw Data'!T139 = ROUND('Raw Data'!T139, 2),FALSE)),"",_xlfn.REGEXEXTRACT(CELL("address",T139), "\$([A-Z]+)\$[0-9]+"))),_xlfn.REGEXEXTRACT(CELL("address",T139), "\$([A-Z]+)\$[0-9]+"))</f>
        <v/>
      </c>
      <c r="U139" s="7" t="str" cm="1">
        <f t="array" aca="1" ref="U139" ca="1">IFERROR(IF(OR('Raw Data'!U139="",LEN(TRIM('Raw Data'!U139))=0),"",IF(AND(LEN('Raw Data'!U139) &lt;= 5,LEN('Raw Data'!U139)&gt; 0),"",_xlfn.REGEXEXTRACT(CELL("address",'Raw Data'!U139),"\$([A-Z]+)\$[0-9]+"))),_xlfn.REGEXEXTRACT(CELL("address",'Raw Data'!U139),"\$([A-Z]+)\$[0-9]+"))</f>
        <v/>
      </c>
      <c r="V139" s="7" t="str" cm="1">
        <f t="array" aca="1" ref="V139" ca="1">IFERROR(IF(OR('Raw Data'!V139="",LEN(TRIM('Raw Data'!V139))=0),"",IF(AND(ISNUMBER('Raw Data'!V139), IFERROR('Raw Data'!V139 = ROUND('Raw Data'!V139, 2),FALSE)),"",_xlfn.REGEXEXTRACT(CELL("address",V139), "\$([A-Z]+)\$[0-9]+"))),_xlfn.REGEXEXTRACT(CELL("address",V139), "\$([A-Z]+)\$[0-9]+"))</f>
        <v/>
      </c>
      <c r="W139" s="7" t="str" cm="1">
        <f t="array" aca="1" ref="W139" ca="1">IFERROR(IF(OR('Raw Data'!W139="",LEN(TRIM('Raw Data'!W139))=0),"",IF(AND(ISNUMBER('Raw Data'!W139), IFERROR('Raw Data'!W139 = ROUND('Raw Data'!W139, 2),FALSE)),"",_xlfn.REGEXEXTRACT(CELL("address",W139), "\$([A-Z]+)\$[0-9]+"))),_xlfn.REGEXEXTRACT(CELL("address",W139), "\$([A-Z]+)\$[0-9]+"))</f>
        <v/>
      </c>
      <c r="X139" s="7" t="str" cm="1">
        <f t="array" aca="1" ref="X139" ca="1">IFERROR(IF(OR('Raw Data'!X139="",LEN(TRIM('Raw Data'!X139))=0),"",IF(AND(ISNUMBER('Raw Data'!X139), IFERROR('Raw Data'!X139 = ROUND('Raw Data'!X139, 2),FALSE)),"",_xlfn.REGEXEXTRACT(CELL("address",X139), "\$([A-Z]+)\$[0-9]+"))),_xlfn.REGEXEXTRACT(CELL("address",X139), "\$([A-Z]+)\$[0-9]+"))</f>
        <v/>
      </c>
    </row>
    <row r="140" spans="2:24" x14ac:dyDescent="0.25">
      <c r="B140" s="7" t="str" cm="1">
        <f t="array" aca="1" ref="B140" ca="1">IFERROR(IF(OR('Raw Data'!B140="",LEN(TRIM('Raw Data'!B140))=0),"",IF(AND(LEN('Raw Data'!B140) &lt;= 50,LEN('Raw Data'!B140)&gt; 0),"",_xlfn.REGEXEXTRACT(CELL("address",'Raw Data'!B140),"\$([A-Z]+)\$[0-9]+"))),_xlfn.REGEXEXTRACT(CELL("address",'Raw Data'!B140),"\$([A-Z]+)\$[0-9]+"))</f>
        <v/>
      </c>
      <c r="C140" s="7" t="str" cm="1">
        <f t="array" aca="1" ref="C140" ca="1">IFERROR(IF(OR('Raw Data'!C140="",LEN(TRIM('Raw Data'!C140))=0),"",IF(AND(LEN('Raw Data'!C140) &lt;= 50,LEN('Raw Data'!C140)&gt; 0),"",_xlfn.REGEXEXTRACT(CELL("address",'Raw Data'!C140),"\$([A-Z]+)\$[0-9]+"))),_xlfn.REGEXEXTRACT(CELL("address",'Raw Data'!C140),"\$([A-Z]+)\$[0-9]+"))</f>
        <v/>
      </c>
      <c r="D140" s="7" t="str" cm="1">
        <f t="array" aca="1" ref="D140" ca="1">IFERROR(IF(OR('Raw Data'!D140="",LEN(TRIM('Raw Data'!D140))=0),"",IF(AND(LEN('Raw Data'!D140) &lt;= 255,LEN('Raw Data'!D140)&gt; 0),"",_xlfn.REGEXEXTRACT(CELL("address",'Raw Data'!D140),"\$([A-Z]+)\$[0-9]+"))),_xlfn.REGEXEXTRACT(CELL("address",'Raw Data'!D140),"\$([A-Z]+)\$[0-9]+"))</f>
        <v/>
      </c>
      <c r="E140" s="7" t="str" cm="1">
        <f t="array" aca="1" ref="E140" ca="1">IFERROR(IF(OR('Raw Data'!E140="",LEN(TRIM('Raw Data'!E140))=0),"",IF(AND(ISNUMBER('Raw Data'!E140),'Raw Data'!E140&gt;=Configuration!$D$2),"",_xlfn.REGEXEXTRACT(CELL("address",'Raw Data'!E140),"\$([A-Z]+)\$[0-9]+"))),_xlfn.REGEXEXTRACT(CELL("address",E140), "\$([A-Z]+)\$[0-9]+"))</f>
        <v/>
      </c>
      <c r="F140" s="7" t="str" cm="1">
        <f t="array" aca="1" ref="F140" ca="1">IFERROR(IF(OR('Raw Data'!F140="",LEN(TRIM('Raw Data'!F140))=0),"",IF(AND(LEN('Raw Data'!F140) &lt;= 20,LEN('Raw Data'!F140)&gt; 0),"",_xlfn.REGEXEXTRACT(CELL("address",'Raw Data'!F140),"\$([A-Z]+)\$[0-9]+"))),_xlfn.REGEXEXTRACT(CELL("address",'Raw Data'!F140),"\$([A-Z]+)\$[0-9]+"))</f>
        <v/>
      </c>
      <c r="G140" s="7" t="str" cm="1">
        <f t="array" aca="1" ref="G140" ca="1">IFERROR(IF(OR('Raw Data'!G140="",LEN(TRIM('Raw Data'!G140))=0),"",IF(AND(ISNUMBER('Raw Data'!G140), IFERROR('Raw Data'!G140 = ROUND('Raw Data'!G140, 2),FALSE)),"",_xlfn.REGEXEXTRACT(CELL("address",G140), "\$([A-Z]+)\$[0-9]+"))),_xlfn.REGEXEXTRACT(CELL("address",G140), "\$([A-Z]+)\$[0-9]+"))</f>
        <v/>
      </c>
      <c r="H140" s="7" t="str" cm="1">
        <f t="array" aca="1" ref="H140" ca="1">IFERROR(IF(OR('Raw Data'!H140="",LEN(TRIM('Raw Data'!H140))=0),"",IF(AND(ISNUMBER('Raw Data'!H140), IFERROR('Raw Data'!H140 = ROUND('Raw Data'!H140, 2),FALSE)),"",_xlfn.REGEXEXTRACT(CELL("address",H140), "\$([A-Z]+)\$[0-9]+"))),_xlfn.REGEXEXTRACT(CELL("address",H140), "\$([A-Z]+)\$[0-9]+"))</f>
        <v/>
      </c>
      <c r="I140" s="7" t="str" cm="1">
        <f t="array" aca="1" ref="I140" ca="1">IFERROR(IF(OR('Raw Data'!I140="",LEN(TRIM('Raw Data'!I140))=0),"",IF(AND(LEN('Raw Data'!I140) &lt;= 50,LEN('Raw Data'!I140)&gt; 0),"",_xlfn.REGEXEXTRACT(CELL("address",'Raw Data'!I140),"\$([A-Z]+)\$[0-9]+"))),_xlfn.REGEXEXTRACT(CELL("address",'Raw Data'!I140),"\$([A-Z]+)\$[0-9]+"))</f>
        <v/>
      </c>
      <c r="J140" s="7" t="str" cm="1">
        <f t="array" aca="1" ref="J140" ca="1">IFERROR(IF(OR('Raw Data'!J140="",LEN(TRIM('Raw Data'!J140))=0),"",IF(AND(ISNUMBER('Raw Data'!J140),'Raw Data'!J140&gt;=Configuration!$D$2),"",_xlfn.REGEXEXTRACT(CELL("address",'Raw Data'!J140),"\$([A-Z]+)\$[0-9]+"))),_xlfn.REGEXEXTRACT(CELL("address",J140), "\$([A-Z]+)\$[0-9]+"))</f>
        <v/>
      </c>
      <c r="K140" s="7" t="str" cm="1">
        <f t="array" aca="1" ref="K140" ca="1">IFERROR(IF(OR('Raw Data'!K140="",LEN(TRIM('Raw Data'!K140))=0),"",IF(AND(ISNUMBER('Raw Data'!K140), IFERROR('Raw Data'!K140 = ROUND('Raw Data'!K140, 2),FALSE)),"",_xlfn.REGEXEXTRACT(CELL("address",K140), "\$([A-Z]+)\$[0-9]+"))),_xlfn.REGEXEXTRACT(CELL("address",K140), "\$([A-Z]+)\$[0-9]+"))</f>
        <v/>
      </c>
      <c r="L140" s="7" t="str" cm="1">
        <f t="array" aca="1" ref="L140" ca="1">IFERROR(IF(OR('Raw Data'!L140="",LEN(TRIM('Raw Data'!L140))=0),"",IF(AND(ISNUMBER('Raw Data'!L140), IFERROR('Raw Data'!L140 = ROUND('Raw Data'!L140, 2),FALSE)),"",_xlfn.REGEXEXTRACT(CELL("address",L140), "\$([A-Z]+)\$[0-9]+"))),_xlfn.REGEXEXTRACT(CELL("address",L140), "\$([A-Z]+)\$[0-9]+"))</f>
        <v/>
      </c>
      <c r="M140" s="7" t="str" cm="1">
        <f t="array" aca="1" ref="M140" ca="1">IFERROR(IF(OR('Raw Data'!M140="",LEN(TRIM('Raw Data'!M140))=0),"",IF(AND(ISNUMBER('Raw Data'!M140), IFERROR('Raw Data'!M140 = ROUND('Raw Data'!M140, 2),FALSE)),"",_xlfn.REGEXEXTRACT(CELL("address",M140), "\$([A-Z]+)\$[0-9]+"))),_xlfn.REGEXEXTRACT(CELL("address",M140), "\$([A-Z]+)\$[0-9]+"))</f>
        <v/>
      </c>
      <c r="N140" s="7" t="str" cm="1">
        <f t="array" aca="1" ref="N140" ca="1">IFERROR(IF(OR('Raw Data'!N140="",LEN(TRIM('Raw Data'!N140))=0),"",IF(AND(ISNUMBER('Raw Data'!N140), IFERROR('Raw Data'!N140 = ROUND('Raw Data'!N140, 2),FALSE)),"",_xlfn.REGEXEXTRACT(CELL("address",N140), "\$([A-Z]+)\$[0-9]+"))),_xlfn.REGEXEXTRACT(CELL("address",N140), "\$([A-Z]+)\$[0-9]+"))</f>
        <v/>
      </c>
      <c r="O140" s="7" t="str" cm="1">
        <f t="array" aca="1" ref="O140" ca="1">IFERROR(IF(OR('Raw Data'!O140="",LEN(TRIM('Raw Data'!O140))=0),"",IF(AND(ISNUMBER('Raw Data'!O140), IFERROR('Raw Data'!O140 = ROUND('Raw Data'!O140, 2),FALSE)),"",_xlfn.REGEXEXTRACT(CELL("address",O140), "\$([A-Z]+)\$[0-9]+"))),_xlfn.REGEXEXTRACT(CELL("address",O140), "\$([A-Z]+)\$[0-9]+"))</f>
        <v/>
      </c>
      <c r="P140" s="7" t="str" cm="1">
        <f t="array" aca="1" ref="P140" ca="1">IFERROR(IF(OR('Raw Data'!P140="",LEN(TRIM('Raw Data'!P140))=0),"",IF(AND(ISNUMBER('Raw Data'!P140),'Raw Data'!P140&gt;=Configuration!$D$2),"",_xlfn.REGEXEXTRACT(CELL("address",'Raw Data'!P140),"\$([A-Z]+)\$[0-9]+"))),_xlfn.REGEXEXTRACT(CELL("address",P140), "\$([A-Z]+)\$[0-9]+"))</f>
        <v/>
      </c>
      <c r="Q140" s="7" t="str" cm="1">
        <f t="array" aca="1" ref="Q140" ca="1">IFERROR(IF(OR('Raw Data'!Q140="",LEN(TRIM('Raw Data'!Q140))=0),"",IF(AND(ISNUMBER('Raw Data'!Q140),'Raw Data'!Q140&gt;=Configuration!$D$2),"",_xlfn.REGEXEXTRACT(CELL("address",'Raw Data'!Q140),"\$([A-Z]+)\$[0-9]+"))),_xlfn.REGEXEXTRACT(CELL("address",Q140), "\$([A-Z]+)\$[0-9]+"))</f>
        <v/>
      </c>
      <c r="R140" s="7" t="str" cm="1">
        <f t="array" aca="1" ref="R140" ca="1">IFERROR(IF(OR('Raw Data'!R140="",LEN(TRIM('Raw Data'!R140))=0),"",IF(AND(ISNUMBER('Raw Data'!R140), IFERROR('Raw Data'!R140 = ROUND('Raw Data'!R140, 2),FALSE)),"",_xlfn.REGEXEXTRACT(CELL("address",R140), "\$([A-Z]+)\$[0-9]+"))),_xlfn.REGEXEXTRACT(CELL("address",R140), "\$([A-Z]+)\$[0-9]+"))</f>
        <v/>
      </c>
      <c r="S140" s="7" t="str" cm="1">
        <f t="array" aca="1" ref="S140" ca="1">IFERROR(IF(OR('Raw Data'!S140="",LEN(TRIM('Raw Data'!S140))=0),"",IF(AND(ISNUMBER('Raw Data'!S140), IFERROR('Raw Data'!S140 = ROUND('Raw Data'!S140, 2),FALSE)),"",_xlfn.REGEXEXTRACT(CELL("address",S140), "\$([A-Z]+)\$[0-9]+"))),_xlfn.REGEXEXTRACT(CELL("address",S140), "\$([A-Z]+)\$[0-9]+"))</f>
        <v/>
      </c>
      <c r="T140" s="7" t="str" cm="1">
        <f t="array" aca="1" ref="T140" ca="1">IFERROR(IF(OR('Raw Data'!T140="",LEN(TRIM('Raw Data'!T140))=0),"",IF(AND(ISNUMBER('Raw Data'!T140), IFERROR('Raw Data'!T140 = ROUND('Raw Data'!T140, 2),FALSE)),"",_xlfn.REGEXEXTRACT(CELL("address",T140), "\$([A-Z]+)\$[0-9]+"))),_xlfn.REGEXEXTRACT(CELL("address",T140), "\$([A-Z]+)\$[0-9]+"))</f>
        <v/>
      </c>
      <c r="U140" s="7" t="str" cm="1">
        <f t="array" aca="1" ref="U140" ca="1">IFERROR(IF(OR('Raw Data'!U140="",LEN(TRIM('Raw Data'!U140))=0),"",IF(AND(LEN('Raw Data'!U140) &lt;= 5,LEN('Raw Data'!U140)&gt; 0),"",_xlfn.REGEXEXTRACT(CELL("address",'Raw Data'!U140),"\$([A-Z]+)\$[0-9]+"))),_xlfn.REGEXEXTRACT(CELL("address",'Raw Data'!U140),"\$([A-Z]+)\$[0-9]+"))</f>
        <v/>
      </c>
      <c r="V140" s="7" t="str" cm="1">
        <f t="array" aca="1" ref="V140" ca="1">IFERROR(IF(OR('Raw Data'!V140="",LEN(TRIM('Raw Data'!V140))=0),"",IF(AND(ISNUMBER('Raw Data'!V140), IFERROR('Raw Data'!V140 = ROUND('Raw Data'!V140, 2),FALSE)),"",_xlfn.REGEXEXTRACT(CELL("address",V140), "\$([A-Z]+)\$[0-9]+"))),_xlfn.REGEXEXTRACT(CELL("address",V140), "\$([A-Z]+)\$[0-9]+"))</f>
        <v/>
      </c>
      <c r="W140" s="7" t="str" cm="1">
        <f t="array" aca="1" ref="W140" ca="1">IFERROR(IF(OR('Raw Data'!W140="",LEN(TRIM('Raw Data'!W140))=0),"",IF(AND(ISNUMBER('Raw Data'!W140), IFERROR('Raw Data'!W140 = ROUND('Raw Data'!W140, 2),FALSE)),"",_xlfn.REGEXEXTRACT(CELL("address",W140), "\$([A-Z]+)\$[0-9]+"))),_xlfn.REGEXEXTRACT(CELL("address",W140), "\$([A-Z]+)\$[0-9]+"))</f>
        <v/>
      </c>
      <c r="X140" s="7" t="str" cm="1">
        <f t="array" aca="1" ref="X140" ca="1">IFERROR(IF(OR('Raw Data'!X140="",LEN(TRIM('Raw Data'!X140))=0),"",IF(AND(ISNUMBER('Raw Data'!X140), IFERROR('Raw Data'!X140 = ROUND('Raw Data'!X140, 2),FALSE)),"",_xlfn.REGEXEXTRACT(CELL("address",X140), "\$([A-Z]+)\$[0-9]+"))),_xlfn.REGEXEXTRACT(CELL("address",X140), "\$([A-Z]+)\$[0-9]+"))</f>
        <v/>
      </c>
    </row>
    <row r="141" spans="2:24" x14ac:dyDescent="0.25">
      <c r="B141" s="7" t="str" cm="1">
        <f t="array" aca="1" ref="B141" ca="1">IFERROR(IF(OR('Raw Data'!B141="",LEN(TRIM('Raw Data'!B141))=0),"",IF(AND(LEN('Raw Data'!B141) &lt;= 50,LEN('Raw Data'!B141)&gt; 0),"",_xlfn.REGEXEXTRACT(CELL("address",'Raw Data'!B141),"\$([A-Z]+)\$[0-9]+"))),_xlfn.REGEXEXTRACT(CELL("address",'Raw Data'!B141),"\$([A-Z]+)\$[0-9]+"))</f>
        <v/>
      </c>
      <c r="C141" s="7" t="str" cm="1">
        <f t="array" aca="1" ref="C141" ca="1">IFERROR(IF(OR('Raw Data'!C141="",LEN(TRIM('Raw Data'!C141))=0),"",IF(AND(LEN('Raw Data'!C141) &lt;= 50,LEN('Raw Data'!C141)&gt; 0),"",_xlfn.REGEXEXTRACT(CELL("address",'Raw Data'!C141),"\$([A-Z]+)\$[0-9]+"))),_xlfn.REGEXEXTRACT(CELL("address",'Raw Data'!C141),"\$([A-Z]+)\$[0-9]+"))</f>
        <v/>
      </c>
      <c r="D141" s="7" t="str" cm="1">
        <f t="array" aca="1" ref="D141" ca="1">IFERROR(IF(OR('Raw Data'!D141="",LEN(TRIM('Raw Data'!D141))=0),"",IF(AND(LEN('Raw Data'!D141) &lt;= 255,LEN('Raw Data'!D141)&gt; 0),"",_xlfn.REGEXEXTRACT(CELL("address",'Raw Data'!D141),"\$([A-Z]+)\$[0-9]+"))),_xlfn.REGEXEXTRACT(CELL("address",'Raw Data'!D141),"\$([A-Z]+)\$[0-9]+"))</f>
        <v/>
      </c>
      <c r="E141" s="7" t="str" cm="1">
        <f t="array" aca="1" ref="E141" ca="1">IFERROR(IF(OR('Raw Data'!E141="",LEN(TRIM('Raw Data'!E141))=0),"",IF(AND(ISNUMBER('Raw Data'!E141),'Raw Data'!E141&gt;=Configuration!$D$2),"",_xlfn.REGEXEXTRACT(CELL("address",'Raw Data'!E141),"\$([A-Z]+)\$[0-9]+"))),_xlfn.REGEXEXTRACT(CELL("address",E141), "\$([A-Z]+)\$[0-9]+"))</f>
        <v/>
      </c>
      <c r="F141" s="7" t="str" cm="1">
        <f t="array" aca="1" ref="F141" ca="1">IFERROR(IF(OR('Raw Data'!F141="",LEN(TRIM('Raw Data'!F141))=0),"",IF(AND(LEN('Raw Data'!F141) &lt;= 20,LEN('Raw Data'!F141)&gt; 0),"",_xlfn.REGEXEXTRACT(CELL("address",'Raw Data'!F141),"\$([A-Z]+)\$[0-9]+"))),_xlfn.REGEXEXTRACT(CELL("address",'Raw Data'!F141),"\$([A-Z]+)\$[0-9]+"))</f>
        <v/>
      </c>
      <c r="G141" s="7" t="str" cm="1">
        <f t="array" aca="1" ref="G141" ca="1">IFERROR(IF(OR('Raw Data'!G141="",LEN(TRIM('Raw Data'!G141))=0),"",IF(AND(ISNUMBER('Raw Data'!G141), IFERROR('Raw Data'!G141 = ROUND('Raw Data'!G141, 2),FALSE)),"",_xlfn.REGEXEXTRACT(CELL("address",G141), "\$([A-Z]+)\$[0-9]+"))),_xlfn.REGEXEXTRACT(CELL("address",G141), "\$([A-Z]+)\$[0-9]+"))</f>
        <v/>
      </c>
      <c r="H141" s="7" t="str" cm="1">
        <f t="array" aca="1" ref="H141" ca="1">IFERROR(IF(OR('Raw Data'!H141="",LEN(TRIM('Raw Data'!H141))=0),"",IF(AND(ISNUMBER('Raw Data'!H141), IFERROR('Raw Data'!H141 = ROUND('Raw Data'!H141, 2),FALSE)),"",_xlfn.REGEXEXTRACT(CELL("address",H141), "\$([A-Z]+)\$[0-9]+"))),_xlfn.REGEXEXTRACT(CELL("address",H141), "\$([A-Z]+)\$[0-9]+"))</f>
        <v/>
      </c>
      <c r="I141" s="7" t="str" cm="1">
        <f t="array" aca="1" ref="I141" ca="1">IFERROR(IF(OR('Raw Data'!I141="",LEN(TRIM('Raw Data'!I141))=0),"",IF(AND(LEN('Raw Data'!I141) &lt;= 50,LEN('Raw Data'!I141)&gt; 0),"",_xlfn.REGEXEXTRACT(CELL("address",'Raw Data'!I141),"\$([A-Z]+)\$[0-9]+"))),_xlfn.REGEXEXTRACT(CELL("address",'Raw Data'!I141),"\$([A-Z]+)\$[0-9]+"))</f>
        <v/>
      </c>
      <c r="J141" s="7" t="str" cm="1">
        <f t="array" aca="1" ref="J141" ca="1">IFERROR(IF(OR('Raw Data'!J141="",LEN(TRIM('Raw Data'!J141))=0),"",IF(AND(ISNUMBER('Raw Data'!J141),'Raw Data'!J141&gt;=Configuration!$D$2),"",_xlfn.REGEXEXTRACT(CELL("address",'Raw Data'!J141),"\$([A-Z]+)\$[0-9]+"))),_xlfn.REGEXEXTRACT(CELL("address",J141), "\$([A-Z]+)\$[0-9]+"))</f>
        <v/>
      </c>
      <c r="K141" s="7" t="str" cm="1">
        <f t="array" aca="1" ref="K141" ca="1">IFERROR(IF(OR('Raw Data'!K141="",LEN(TRIM('Raw Data'!K141))=0),"",IF(AND(ISNUMBER('Raw Data'!K141), IFERROR('Raw Data'!K141 = ROUND('Raw Data'!K141, 2),FALSE)),"",_xlfn.REGEXEXTRACT(CELL("address",K141), "\$([A-Z]+)\$[0-9]+"))),_xlfn.REGEXEXTRACT(CELL("address",K141), "\$([A-Z]+)\$[0-9]+"))</f>
        <v/>
      </c>
      <c r="L141" s="7" t="str" cm="1">
        <f t="array" aca="1" ref="L141" ca="1">IFERROR(IF(OR('Raw Data'!L141="",LEN(TRIM('Raw Data'!L141))=0),"",IF(AND(ISNUMBER('Raw Data'!L141), IFERROR('Raw Data'!L141 = ROUND('Raw Data'!L141, 2),FALSE)),"",_xlfn.REGEXEXTRACT(CELL("address",L141), "\$([A-Z]+)\$[0-9]+"))),_xlfn.REGEXEXTRACT(CELL("address",L141), "\$([A-Z]+)\$[0-9]+"))</f>
        <v/>
      </c>
      <c r="M141" s="7" t="str" cm="1">
        <f t="array" aca="1" ref="M141" ca="1">IFERROR(IF(OR('Raw Data'!M141="",LEN(TRIM('Raw Data'!M141))=0),"",IF(AND(ISNUMBER('Raw Data'!M141), IFERROR('Raw Data'!M141 = ROUND('Raw Data'!M141, 2),FALSE)),"",_xlfn.REGEXEXTRACT(CELL("address",M141), "\$([A-Z]+)\$[0-9]+"))),_xlfn.REGEXEXTRACT(CELL("address",M141), "\$([A-Z]+)\$[0-9]+"))</f>
        <v/>
      </c>
      <c r="N141" s="7" t="str" cm="1">
        <f t="array" aca="1" ref="N141" ca="1">IFERROR(IF(OR('Raw Data'!N141="",LEN(TRIM('Raw Data'!N141))=0),"",IF(AND(ISNUMBER('Raw Data'!N141), IFERROR('Raw Data'!N141 = ROUND('Raw Data'!N141, 2),FALSE)),"",_xlfn.REGEXEXTRACT(CELL("address",N141), "\$([A-Z]+)\$[0-9]+"))),_xlfn.REGEXEXTRACT(CELL("address",N141), "\$([A-Z]+)\$[0-9]+"))</f>
        <v/>
      </c>
      <c r="O141" s="7" t="str" cm="1">
        <f t="array" aca="1" ref="O141" ca="1">IFERROR(IF(OR('Raw Data'!O141="",LEN(TRIM('Raw Data'!O141))=0),"",IF(AND(ISNUMBER('Raw Data'!O141), IFERROR('Raw Data'!O141 = ROUND('Raw Data'!O141, 2),FALSE)),"",_xlfn.REGEXEXTRACT(CELL("address",O141), "\$([A-Z]+)\$[0-9]+"))),_xlfn.REGEXEXTRACT(CELL("address",O141), "\$([A-Z]+)\$[0-9]+"))</f>
        <v/>
      </c>
      <c r="P141" s="7" t="str" cm="1">
        <f t="array" aca="1" ref="P141" ca="1">IFERROR(IF(OR('Raw Data'!P141="",LEN(TRIM('Raw Data'!P141))=0),"",IF(AND(ISNUMBER('Raw Data'!P141),'Raw Data'!P141&gt;=Configuration!$D$2),"",_xlfn.REGEXEXTRACT(CELL("address",'Raw Data'!P141),"\$([A-Z]+)\$[0-9]+"))),_xlfn.REGEXEXTRACT(CELL("address",P141), "\$([A-Z]+)\$[0-9]+"))</f>
        <v/>
      </c>
      <c r="Q141" s="7" t="str" cm="1">
        <f t="array" aca="1" ref="Q141" ca="1">IFERROR(IF(OR('Raw Data'!Q141="",LEN(TRIM('Raw Data'!Q141))=0),"",IF(AND(ISNUMBER('Raw Data'!Q141),'Raw Data'!Q141&gt;=Configuration!$D$2),"",_xlfn.REGEXEXTRACT(CELL("address",'Raw Data'!Q141),"\$([A-Z]+)\$[0-9]+"))),_xlfn.REGEXEXTRACT(CELL("address",Q141), "\$([A-Z]+)\$[0-9]+"))</f>
        <v/>
      </c>
      <c r="R141" s="7" t="str" cm="1">
        <f t="array" aca="1" ref="R141" ca="1">IFERROR(IF(OR('Raw Data'!R141="",LEN(TRIM('Raw Data'!R141))=0),"",IF(AND(ISNUMBER('Raw Data'!R141), IFERROR('Raw Data'!R141 = ROUND('Raw Data'!R141, 2),FALSE)),"",_xlfn.REGEXEXTRACT(CELL("address",R141), "\$([A-Z]+)\$[0-9]+"))),_xlfn.REGEXEXTRACT(CELL("address",R141), "\$([A-Z]+)\$[0-9]+"))</f>
        <v/>
      </c>
      <c r="S141" s="7" t="str" cm="1">
        <f t="array" aca="1" ref="S141" ca="1">IFERROR(IF(OR('Raw Data'!S141="",LEN(TRIM('Raw Data'!S141))=0),"",IF(AND(ISNUMBER('Raw Data'!S141), IFERROR('Raw Data'!S141 = ROUND('Raw Data'!S141, 2),FALSE)),"",_xlfn.REGEXEXTRACT(CELL("address",S141), "\$([A-Z]+)\$[0-9]+"))),_xlfn.REGEXEXTRACT(CELL("address",S141), "\$([A-Z]+)\$[0-9]+"))</f>
        <v/>
      </c>
      <c r="T141" s="7" t="str" cm="1">
        <f t="array" aca="1" ref="T141" ca="1">IFERROR(IF(OR('Raw Data'!T141="",LEN(TRIM('Raw Data'!T141))=0),"",IF(AND(ISNUMBER('Raw Data'!T141), IFERROR('Raw Data'!T141 = ROUND('Raw Data'!T141, 2),FALSE)),"",_xlfn.REGEXEXTRACT(CELL("address",T141), "\$([A-Z]+)\$[0-9]+"))),_xlfn.REGEXEXTRACT(CELL("address",T141), "\$([A-Z]+)\$[0-9]+"))</f>
        <v/>
      </c>
      <c r="U141" s="7" t="str" cm="1">
        <f t="array" aca="1" ref="U141" ca="1">IFERROR(IF(OR('Raw Data'!U141="",LEN(TRIM('Raw Data'!U141))=0),"",IF(AND(LEN('Raw Data'!U141) &lt;= 5,LEN('Raw Data'!U141)&gt; 0),"",_xlfn.REGEXEXTRACT(CELL("address",'Raw Data'!U141),"\$([A-Z]+)\$[0-9]+"))),_xlfn.REGEXEXTRACT(CELL("address",'Raw Data'!U141),"\$([A-Z]+)\$[0-9]+"))</f>
        <v/>
      </c>
      <c r="V141" s="7" t="str" cm="1">
        <f t="array" aca="1" ref="V141" ca="1">IFERROR(IF(OR('Raw Data'!V141="",LEN(TRIM('Raw Data'!V141))=0),"",IF(AND(ISNUMBER('Raw Data'!V141), IFERROR('Raw Data'!V141 = ROUND('Raw Data'!V141, 2),FALSE)),"",_xlfn.REGEXEXTRACT(CELL("address",V141), "\$([A-Z]+)\$[0-9]+"))),_xlfn.REGEXEXTRACT(CELL("address",V141), "\$([A-Z]+)\$[0-9]+"))</f>
        <v/>
      </c>
      <c r="W141" s="7" t="str" cm="1">
        <f t="array" aca="1" ref="W141" ca="1">IFERROR(IF(OR('Raw Data'!W141="",LEN(TRIM('Raw Data'!W141))=0),"",IF(AND(ISNUMBER('Raw Data'!W141), IFERROR('Raw Data'!W141 = ROUND('Raw Data'!W141, 2),FALSE)),"",_xlfn.REGEXEXTRACT(CELL("address",W141), "\$([A-Z]+)\$[0-9]+"))),_xlfn.REGEXEXTRACT(CELL("address",W141), "\$([A-Z]+)\$[0-9]+"))</f>
        <v/>
      </c>
      <c r="X141" s="7" t="str" cm="1">
        <f t="array" aca="1" ref="X141" ca="1">IFERROR(IF(OR('Raw Data'!X141="",LEN(TRIM('Raw Data'!X141))=0),"",IF(AND(ISNUMBER('Raw Data'!X141), IFERROR('Raw Data'!X141 = ROUND('Raw Data'!X141, 2),FALSE)),"",_xlfn.REGEXEXTRACT(CELL("address",X141), "\$([A-Z]+)\$[0-9]+"))),_xlfn.REGEXEXTRACT(CELL("address",X141), "\$([A-Z]+)\$[0-9]+"))</f>
        <v/>
      </c>
    </row>
    <row r="142" spans="2:24" x14ac:dyDescent="0.25">
      <c r="B142" s="7" t="str" cm="1">
        <f t="array" aca="1" ref="B142" ca="1">IFERROR(IF(OR('Raw Data'!B142="",LEN(TRIM('Raw Data'!B142))=0),"",IF(AND(LEN('Raw Data'!B142) &lt;= 50,LEN('Raw Data'!B142)&gt; 0),"",_xlfn.REGEXEXTRACT(CELL("address",'Raw Data'!B142),"\$([A-Z]+)\$[0-9]+"))),_xlfn.REGEXEXTRACT(CELL("address",'Raw Data'!B142),"\$([A-Z]+)\$[0-9]+"))</f>
        <v/>
      </c>
      <c r="C142" s="7" t="str" cm="1">
        <f t="array" aca="1" ref="C142" ca="1">IFERROR(IF(OR('Raw Data'!C142="",LEN(TRIM('Raw Data'!C142))=0),"",IF(AND(LEN('Raw Data'!C142) &lt;= 50,LEN('Raw Data'!C142)&gt; 0),"",_xlfn.REGEXEXTRACT(CELL("address",'Raw Data'!C142),"\$([A-Z]+)\$[0-9]+"))),_xlfn.REGEXEXTRACT(CELL("address",'Raw Data'!C142),"\$([A-Z]+)\$[0-9]+"))</f>
        <v/>
      </c>
      <c r="D142" s="7" t="str" cm="1">
        <f t="array" aca="1" ref="D142" ca="1">IFERROR(IF(OR('Raw Data'!D142="",LEN(TRIM('Raw Data'!D142))=0),"",IF(AND(LEN('Raw Data'!D142) &lt;= 255,LEN('Raw Data'!D142)&gt; 0),"",_xlfn.REGEXEXTRACT(CELL("address",'Raw Data'!D142),"\$([A-Z]+)\$[0-9]+"))),_xlfn.REGEXEXTRACT(CELL("address",'Raw Data'!D142),"\$([A-Z]+)\$[0-9]+"))</f>
        <v/>
      </c>
      <c r="E142" s="7" t="str" cm="1">
        <f t="array" aca="1" ref="E142" ca="1">IFERROR(IF(OR('Raw Data'!E142="",LEN(TRIM('Raw Data'!E142))=0),"",IF(AND(ISNUMBER('Raw Data'!E142),'Raw Data'!E142&gt;=Configuration!$D$2),"",_xlfn.REGEXEXTRACT(CELL("address",'Raw Data'!E142),"\$([A-Z]+)\$[0-9]+"))),_xlfn.REGEXEXTRACT(CELL("address",E142), "\$([A-Z]+)\$[0-9]+"))</f>
        <v/>
      </c>
      <c r="F142" s="7" t="str" cm="1">
        <f t="array" aca="1" ref="F142" ca="1">IFERROR(IF(OR('Raw Data'!F142="",LEN(TRIM('Raw Data'!F142))=0),"",IF(AND(LEN('Raw Data'!F142) &lt;= 20,LEN('Raw Data'!F142)&gt; 0),"",_xlfn.REGEXEXTRACT(CELL("address",'Raw Data'!F142),"\$([A-Z]+)\$[0-9]+"))),_xlfn.REGEXEXTRACT(CELL("address",'Raw Data'!F142),"\$([A-Z]+)\$[0-9]+"))</f>
        <v/>
      </c>
      <c r="G142" s="7" t="str" cm="1">
        <f t="array" aca="1" ref="G142" ca="1">IFERROR(IF(OR('Raw Data'!G142="",LEN(TRIM('Raw Data'!G142))=0),"",IF(AND(ISNUMBER('Raw Data'!G142), IFERROR('Raw Data'!G142 = ROUND('Raw Data'!G142, 2),FALSE)),"",_xlfn.REGEXEXTRACT(CELL("address",G142), "\$([A-Z]+)\$[0-9]+"))),_xlfn.REGEXEXTRACT(CELL("address",G142), "\$([A-Z]+)\$[0-9]+"))</f>
        <v/>
      </c>
      <c r="H142" s="7" t="str" cm="1">
        <f t="array" aca="1" ref="H142" ca="1">IFERROR(IF(OR('Raw Data'!H142="",LEN(TRIM('Raw Data'!H142))=0),"",IF(AND(ISNUMBER('Raw Data'!H142), IFERROR('Raw Data'!H142 = ROUND('Raw Data'!H142, 2),FALSE)),"",_xlfn.REGEXEXTRACT(CELL("address",H142), "\$([A-Z]+)\$[0-9]+"))),_xlfn.REGEXEXTRACT(CELL("address",H142), "\$([A-Z]+)\$[0-9]+"))</f>
        <v/>
      </c>
      <c r="I142" s="7" t="str" cm="1">
        <f t="array" aca="1" ref="I142" ca="1">IFERROR(IF(OR('Raw Data'!I142="",LEN(TRIM('Raw Data'!I142))=0),"",IF(AND(LEN('Raw Data'!I142) &lt;= 50,LEN('Raw Data'!I142)&gt; 0),"",_xlfn.REGEXEXTRACT(CELL("address",'Raw Data'!I142),"\$([A-Z]+)\$[0-9]+"))),_xlfn.REGEXEXTRACT(CELL("address",'Raw Data'!I142),"\$([A-Z]+)\$[0-9]+"))</f>
        <v/>
      </c>
      <c r="J142" s="7" t="str" cm="1">
        <f t="array" aca="1" ref="J142" ca="1">IFERROR(IF(OR('Raw Data'!J142="",LEN(TRIM('Raw Data'!J142))=0),"",IF(AND(ISNUMBER('Raw Data'!J142),'Raw Data'!J142&gt;=Configuration!$D$2),"",_xlfn.REGEXEXTRACT(CELL("address",'Raw Data'!J142),"\$([A-Z]+)\$[0-9]+"))),_xlfn.REGEXEXTRACT(CELL("address",J142), "\$([A-Z]+)\$[0-9]+"))</f>
        <v/>
      </c>
      <c r="K142" s="7" t="str" cm="1">
        <f t="array" aca="1" ref="K142" ca="1">IFERROR(IF(OR('Raw Data'!K142="",LEN(TRIM('Raw Data'!K142))=0),"",IF(AND(ISNUMBER('Raw Data'!K142), IFERROR('Raw Data'!K142 = ROUND('Raw Data'!K142, 2),FALSE)),"",_xlfn.REGEXEXTRACT(CELL("address",K142), "\$([A-Z]+)\$[0-9]+"))),_xlfn.REGEXEXTRACT(CELL("address",K142), "\$([A-Z]+)\$[0-9]+"))</f>
        <v/>
      </c>
      <c r="L142" s="7" t="str" cm="1">
        <f t="array" aca="1" ref="L142" ca="1">IFERROR(IF(OR('Raw Data'!L142="",LEN(TRIM('Raw Data'!L142))=0),"",IF(AND(ISNUMBER('Raw Data'!L142), IFERROR('Raw Data'!L142 = ROUND('Raw Data'!L142, 2),FALSE)),"",_xlfn.REGEXEXTRACT(CELL("address",L142), "\$([A-Z]+)\$[0-9]+"))),_xlfn.REGEXEXTRACT(CELL("address",L142), "\$([A-Z]+)\$[0-9]+"))</f>
        <v/>
      </c>
      <c r="M142" s="7" t="str" cm="1">
        <f t="array" aca="1" ref="M142" ca="1">IFERROR(IF(OR('Raw Data'!M142="",LEN(TRIM('Raw Data'!M142))=0),"",IF(AND(ISNUMBER('Raw Data'!M142), IFERROR('Raw Data'!M142 = ROUND('Raw Data'!M142, 2),FALSE)),"",_xlfn.REGEXEXTRACT(CELL("address",M142), "\$([A-Z]+)\$[0-9]+"))),_xlfn.REGEXEXTRACT(CELL("address",M142), "\$([A-Z]+)\$[0-9]+"))</f>
        <v/>
      </c>
      <c r="N142" s="7" t="str" cm="1">
        <f t="array" aca="1" ref="N142" ca="1">IFERROR(IF(OR('Raw Data'!N142="",LEN(TRIM('Raw Data'!N142))=0),"",IF(AND(ISNUMBER('Raw Data'!N142), IFERROR('Raw Data'!N142 = ROUND('Raw Data'!N142, 2),FALSE)),"",_xlfn.REGEXEXTRACT(CELL("address",N142), "\$([A-Z]+)\$[0-9]+"))),_xlfn.REGEXEXTRACT(CELL("address",N142), "\$([A-Z]+)\$[0-9]+"))</f>
        <v/>
      </c>
      <c r="O142" s="7" t="str" cm="1">
        <f t="array" aca="1" ref="O142" ca="1">IFERROR(IF(OR('Raw Data'!O142="",LEN(TRIM('Raw Data'!O142))=0),"",IF(AND(ISNUMBER('Raw Data'!O142), IFERROR('Raw Data'!O142 = ROUND('Raw Data'!O142, 2),FALSE)),"",_xlfn.REGEXEXTRACT(CELL("address",O142), "\$([A-Z]+)\$[0-9]+"))),_xlfn.REGEXEXTRACT(CELL("address",O142), "\$([A-Z]+)\$[0-9]+"))</f>
        <v/>
      </c>
      <c r="P142" s="7" t="str" cm="1">
        <f t="array" aca="1" ref="P142" ca="1">IFERROR(IF(OR('Raw Data'!P142="",LEN(TRIM('Raw Data'!P142))=0),"",IF(AND(ISNUMBER('Raw Data'!P142),'Raw Data'!P142&gt;=Configuration!$D$2),"",_xlfn.REGEXEXTRACT(CELL("address",'Raw Data'!P142),"\$([A-Z]+)\$[0-9]+"))),_xlfn.REGEXEXTRACT(CELL("address",P142), "\$([A-Z]+)\$[0-9]+"))</f>
        <v/>
      </c>
      <c r="Q142" s="7" t="str" cm="1">
        <f t="array" aca="1" ref="Q142" ca="1">IFERROR(IF(OR('Raw Data'!Q142="",LEN(TRIM('Raw Data'!Q142))=0),"",IF(AND(ISNUMBER('Raw Data'!Q142),'Raw Data'!Q142&gt;=Configuration!$D$2),"",_xlfn.REGEXEXTRACT(CELL("address",'Raw Data'!Q142),"\$([A-Z]+)\$[0-9]+"))),_xlfn.REGEXEXTRACT(CELL("address",Q142), "\$([A-Z]+)\$[0-9]+"))</f>
        <v/>
      </c>
      <c r="R142" s="7" t="str" cm="1">
        <f t="array" aca="1" ref="R142" ca="1">IFERROR(IF(OR('Raw Data'!R142="",LEN(TRIM('Raw Data'!R142))=0),"",IF(AND(ISNUMBER('Raw Data'!R142), IFERROR('Raw Data'!R142 = ROUND('Raw Data'!R142, 2),FALSE)),"",_xlfn.REGEXEXTRACT(CELL("address",R142), "\$([A-Z]+)\$[0-9]+"))),_xlfn.REGEXEXTRACT(CELL("address",R142), "\$([A-Z]+)\$[0-9]+"))</f>
        <v/>
      </c>
      <c r="S142" s="7" t="str" cm="1">
        <f t="array" aca="1" ref="S142" ca="1">IFERROR(IF(OR('Raw Data'!S142="",LEN(TRIM('Raw Data'!S142))=0),"",IF(AND(ISNUMBER('Raw Data'!S142), IFERROR('Raw Data'!S142 = ROUND('Raw Data'!S142, 2),FALSE)),"",_xlfn.REGEXEXTRACT(CELL("address",S142), "\$([A-Z]+)\$[0-9]+"))),_xlfn.REGEXEXTRACT(CELL("address",S142), "\$([A-Z]+)\$[0-9]+"))</f>
        <v/>
      </c>
      <c r="T142" s="7" t="str" cm="1">
        <f t="array" aca="1" ref="T142" ca="1">IFERROR(IF(OR('Raw Data'!T142="",LEN(TRIM('Raw Data'!T142))=0),"",IF(AND(ISNUMBER('Raw Data'!T142), IFERROR('Raw Data'!T142 = ROUND('Raw Data'!T142, 2),FALSE)),"",_xlfn.REGEXEXTRACT(CELL("address",T142), "\$([A-Z]+)\$[0-9]+"))),_xlfn.REGEXEXTRACT(CELL("address",T142), "\$([A-Z]+)\$[0-9]+"))</f>
        <v/>
      </c>
      <c r="U142" s="7" t="str" cm="1">
        <f t="array" aca="1" ref="U142" ca="1">IFERROR(IF(OR('Raw Data'!U142="",LEN(TRIM('Raw Data'!U142))=0),"",IF(AND(LEN('Raw Data'!U142) &lt;= 5,LEN('Raw Data'!U142)&gt; 0),"",_xlfn.REGEXEXTRACT(CELL("address",'Raw Data'!U142),"\$([A-Z]+)\$[0-9]+"))),_xlfn.REGEXEXTRACT(CELL("address",'Raw Data'!U142),"\$([A-Z]+)\$[0-9]+"))</f>
        <v/>
      </c>
      <c r="V142" s="7" t="str" cm="1">
        <f t="array" aca="1" ref="V142" ca="1">IFERROR(IF(OR('Raw Data'!V142="",LEN(TRIM('Raw Data'!V142))=0),"",IF(AND(ISNUMBER('Raw Data'!V142), IFERROR('Raw Data'!V142 = ROUND('Raw Data'!V142, 2),FALSE)),"",_xlfn.REGEXEXTRACT(CELL("address",V142), "\$([A-Z]+)\$[0-9]+"))),_xlfn.REGEXEXTRACT(CELL("address",V142), "\$([A-Z]+)\$[0-9]+"))</f>
        <v/>
      </c>
      <c r="W142" s="7" t="str" cm="1">
        <f t="array" aca="1" ref="W142" ca="1">IFERROR(IF(OR('Raw Data'!W142="",LEN(TRIM('Raw Data'!W142))=0),"",IF(AND(ISNUMBER('Raw Data'!W142), IFERROR('Raw Data'!W142 = ROUND('Raw Data'!W142, 2),FALSE)),"",_xlfn.REGEXEXTRACT(CELL("address",W142), "\$([A-Z]+)\$[0-9]+"))),_xlfn.REGEXEXTRACT(CELL("address",W142), "\$([A-Z]+)\$[0-9]+"))</f>
        <v/>
      </c>
      <c r="X142" s="7" t="str" cm="1">
        <f t="array" aca="1" ref="X142" ca="1">IFERROR(IF(OR('Raw Data'!X142="",LEN(TRIM('Raw Data'!X142))=0),"",IF(AND(ISNUMBER('Raw Data'!X142), IFERROR('Raw Data'!X142 = ROUND('Raw Data'!X142, 2),FALSE)),"",_xlfn.REGEXEXTRACT(CELL("address",X142), "\$([A-Z]+)\$[0-9]+"))),_xlfn.REGEXEXTRACT(CELL("address",X142), "\$([A-Z]+)\$[0-9]+"))</f>
        <v/>
      </c>
    </row>
    <row r="143" spans="2:24" x14ac:dyDescent="0.25">
      <c r="B143" s="7" t="str" cm="1">
        <f t="array" aca="1" ref="B143" ca="1">IFERROR(IF(OR('Raw Data'!B143="",LEN(TRIM('Raw Data'!B143))=0),"",IF(AND(LEN('Raw Data'!B143) &lt;= 50,LEN('Raw Data'!B143)&gt; 0),"",_xlfn.REGEXEXTRACT(CELL("address",'Raw Data'!B143),"\$([A-Z]+)\$[0-9]+"))),_xlfn.REGEXEXTRACT(CELL("address",'Raw Data'!B143),"\$([A-Z]+)\$[0-9]+"))</f>
        <v/>
      </c>
      <c r="C143" s="7" t="str" cm="1">
        <f t="array" aca="1" ref="C143" ca="1">IFERROR(IF(OR('Raw Data'!C143="",LEN(TRIM('Raw Data'!C143))=0),"",IF(AND(LEN('Raw Data'!C143) &lt;= 50,LEN('Raw Data'!C143)&gt; 0),"",_xlfn.REGEXEXTRACT(CELL("address",'Raw Data'!C143),"\$([A-Z]+)\$[0-9]+"))),_xlfn.REGEXEXTRACT(CELL("address",'Raw Data'!C143),"\$([A-Z]+)\$[0-9]+"))</f>
        <v/>
      </c>
      <c r="D143" s="7" t="str" cm="1">
        <f t="array" aca="1" ref="D143" ca="1">IFERROR(IF(OR('Raw Data'!D143="",LEN(TRIM('Raw Data'!D143))=0),"",IF(AND(LEN('Raw Data'!D143) &lt;= 255,LEN('Raw Data'!D143)&gt; 0),"",_xlfn.REGEXEXTRACT(CELL("address",'Raw Data'!D143),"\$([A-Z]+)\$[0-9]+"))),_xlfn.REGEXEXTRACT(CELL("address",'Raw Data'!D143),"\$([A-Z]+)\$[0-9]+"))</f>
        <v/>
      </c>
      <c r="E143" s="7" t="str" cm="1">
        <f t="array" aca="1" ref="E143" ca="1">IFERROR(IF(OR('Raw Data'!E143="",LEN(TRIM('Raw Data'!E143))=0),"",IF(AND(ISNUMBER('Raw Data'!E143),'Raw Data'!E143&gt;=Configuration!$D$2),"",_xlfn.REGEXEXTRACT(CELL("address",'Raw Data'!E143),"\$([A-Z]+)\$[0-9]+"))),_xlfn.REGEXEXTRACT(CELL("address",E143), "\$([A-Z]+)\$[0-9]+"))</f>
        <v/>
      </c>
      <c r="F143" s="7" t="str" cm="1">
        <f t="array" aca="1" ref="F143" ca="1">IFERROR(IF(OR('Raw Data'!F143="",LEN(TRIM('Raw Data'!F143))=0),"",IF(AND(LEN('Raw Data'!F143) &lt;= 20,LEN('Raw Data'!F143)&gt; 0),"",_xlfn.REGEXEXTRACT(CELL("address",'Raw Data'!F143),"\$([A-Z]+)\$[0-9]+"))),_xlfn.REGEXEXTRACT(CELL("address",'Raw Data'!F143),"\$([A-Z]+)\$[0-9]+"))</f>
        <v/>
      </c>
      <c r="G143" s="7" t="str" cm="1">
        <f t="array" aca="1" ref="G143" ca="1">IFERROR(IF(OR('Raw Data'!G143="",LEN(TRIM('Raw Data'!G143))=0),"",IF(AND(ISNUMBER('Raw Data'!G143), IFERROR('Raw Data'!G143 = ROUND('Raw Data'!G143, 2),FALSE)),"",_xlfn.REGEXEXTRACT(CELL("address",G143), "\$([A-Z]+)\$[0-9]+"))),_xlfn.REGEXEXTRACT(CELL("address",G143), "\$([A-Z]+)\$[0-9]+"))</f>
        <v/>
      </c>
      <c r="H143" s="7" t="str" cm="1">
        <f t="array" aca="1" ref="H143" ca="1">IFERROR(IF(OR('Raw Data'!H143="",LEN(TRIM('Raw Data'!H143))=0),"",IF(AND(ISNUMBER('Raw Data'!H143), IFERROR('Raw Data'!H143 = ROUND('Raw Data'!H143, 2),FALSE)),"",_xlfn.REGEXEXTRACT(CELL("address",H143), "\$([A-Z]+)\$[0-9]+"))),_xlfn.REGEXEXTRACT(CELL("address",H143), "\$([A-Z]+)\$[0-9]+"))</f>
        <v/>
      </c>
      <c r="I143" s="7" t="str" cm="1">
        <f t="array" aca="1" ref="I143" ca="1">IFERROR(IF(OR('Raw Data'!I143="",LEN(TRIM('Raw Data'!I143))=0),"",IF(AND(LEN('Raw Data'!I143) &lt;= 50,LEN('Raw Data'!I143)&gt; 0),"",_xlfn.REGEXEXTRACT(CELL("address",'Raw Data'!I143),"\$([A-Z]+)\$[0-9]+"))),_xlfn.REGEXEXTRACT(CELL("address",'Raw Data'!I143),"\$([A-Z]+)\$[0-9]+"))</f>
        <v/>
      </c>
      <c r="J143" s="7" t="str" cm="1">
        <f t="array" aca="1" ref="J143" ca="1">IFERROR(IF(OR('Raw Data'!J143="",LEN(TRIM('Raw Data'!J143))=0),"",IF(AND(ISNUMBER('Raw Data'!J143),'Raw Data'!J143&gt;=Configuration!$D$2),"",_xlfn.REGEXEXTRACT(CELL("address",'Raw Data'!J143),"\$([A-Z]+)\$[0-9]+"))),_xlfn.REGEXEXTRACT(CELL("address",J143), "\$([A-Z]+)\$[0-9]+"))</f>
        <v/>
      </c>
      <c r="K143" s="7" t="str" cm="1">
        <f t="array" aca="1" ref="K143" ca="1">IFERROR(IF(OR('Raw Data'!K143="",LEN(TRIM('Raw Data'!K143))=0),"",IF(AND(ISNUMBER('Raw Data'!K143), IFERROR('Raw Data'!K143 = ROUND('Raw Data'!K143, 2),FALSE)),"",_xlfn.REGEXEXTRACT(CELL("address",K143), "\$([A-Z]+)\$[0-9]+"))),_xlfn.REGEXEXTRACT(CELL("address",K143), "\$([A-Z]+)\$[0-9]+"))</f>
        <v/>
      </c>
      <c r="L143" s="7" t="str" cm="1">
        <f t="array" aca="1" ref="L143" ca="1">IFERROR(IF(OR('Raw Data'!L143="",LEN(TRIM('Raw Data'!L143))=0),"",IF(AND(ISNUMBER('Raw Data'!L143), IFERROR('Raw Data'!L143 = ROUND('Raw Data'!L143, 2),FALSE)),"",_xlfn.REGEXEXTRACT(CELL("address",L143), "\$([A-Z]+)\$[0-9]+"))),_xlfn.REGEXEXTRACT(CELL("address",L143), "\$([A-Z]+)\$[0-9]+"))</f>
        <v/>
      </c>
      <c r="M143" s="7" t="str" cm="1">
        <f t="array" aca="1" ref="M143" ca="1">IFERROR(IF(OR('Raw Data'!M143="",LEN(TRIM('Raw Data'!M143))=0),"",IF(AND(ISNUMBER('Raw Data'!M143), IFERROR('Raw Data'!M143 = ROUND('Raw Data'!M143, 2),FALSE)),"",_xlfn.REGEXEXTRACT(CELL("address",M143), "\$([A-Z]+)\$[0-9]+"))),_xlfn.REGEXEXTRACT(CELL("address",M143), "\$([A-Z]+)\$[0-9]+"))</f>
        <v/>
      </c>
      <c r="N143" s="7" t="str" cm="1">
        <f t="array" aca="1" ref="N143" ca="1">IFERROR(IF(OR('Raw Data'!N143="",LEN(TRIM('Raw Data'!N143))=0),"",IF(AND(ISNUMBER('Raw Data'!N143), IFERROR('Raw Data'!N143 = ROUND('Raw Data'!N143, 2),FALSE)),"",_xlfn.REGEXEXTRACT(CELL("address",N143), "\$([A-Z]+)\$[0-9]+"))),_xlfn.REGEXEXTRACT(CELL("address",N143), "\$([A-Z]+)\$[0-9]+"))</f>
        <v/>
      </c>
      <c r="O143" s="7" t="str" cm="1">
        <f t="array" aca="1" ref="O143" ca="1">IFERROR(IF(OR('Raw Data'!O143="",LEN(TRIM('Raw Data'!O143))=0),"",IF(AND(ISNUMBER('Raw Data'!O143), IFERROR('Raw Data'!O143 = ROUND('Raw Data'!O143, 2),FALSE)),"",_xlfn.REGEXEXTRACT(CELL("address",O143), "\$([A-Z]+)\$[0-9]+"))),_xlfn.REGEXEXTRACT(CELL("address",O143), "\$([A-Z]+)\$[0-9]+"))</f>
        <v/>
      </c>
      <c r="P143" s="7" t="str" cm="1">
        <f t="array" aca="1" ref="P143" ca="1">IFERROR(IF(OR('Raw Data'!P143="",LEN(TRIM('Raw Data'!P143))=0),"",IF(AND(ISNUMBER('Raw Data'!P143),'Raw Data'!P143&gt;=Configuration!$D$2),"",_xlfn.REGEXEXTRACT(CELL("address",'Raw Data'!P143),"\$([A-Z]+)\$[0-9]+"))),_xlfn.REGEXEXTRACT(CELL("address",P143), "\$([A-Z]+)\$[0-9]+"))</f>
        <v/>
      </c>
      <c r="Q143" s="7" t="str" cm="1">
        <f t="array" aca="1" ref="Q143" ca="1">IFERROR(IF(OR('Raw Data'!Q143="",LEN(TRIM('Raw Data'!Q143))=0),"",IF(AND(ISNUMBER('Raw Data'!Q143),'Raw Data'!Q143&gt;=Configuration!$D$2),"",_xlfn.REGEXEXTRACT(CELL("address",'Raw Data'!Q143),"\$([A-Z]+)\$[0-9]+"))),_xlfn.REGEXEXTRACT(CELL("address",Q143), "\$([A-Z]+)\$[0-9]+"))</f>
        <v/>
      </c>
      <c r="R143" s="7" t="str" cm="1">
        <f t="array" aca="1" ref="R143" ca="1">IFERROR(IF(OR('Raw Data'!R143="",LEN(TRIM('Raw Data'!R143))=0),"",IF(AND(ISNUMBER('Raw Data'!R143), IFERROR('Raw Data'!R143 = ROUND('Raw Data'!R143, 2),FALSE)),"",_xlfn.REGEXEXTRACT(CELL("address",R143), "\$([A-Z]+)\$[0-9]+"))),_xlfn.REGEXEXTRACT(CELL("address",R143), "\$([A-Z]+)\$[0-9]+"))</f>
        <v/>
      </c>
      <c r="S143" s="7" t="str" cm="1">
        <f t="array" aca="1" ref="S143" ca="1">IFERROR(IF(OR('Raw Data'!S143="",LEN(TRIM('Raw Data'!S143))=0),"",IF(AND(ISNUMBER('Raw Data'!S143), IFERROR('Raw Data'!S143 = ROUND('Raw Data'!S143, 2),FALSE)),"",_xlfn.REGEXEXTRACT(CELL("address",S143), "\$([A-Z]+)\$[0-9]+"))),_xlfn.REGEXEXTRACT(CELL("address",S143), "\$([A-Z]+)\$[0-9]+"))</f>
        <v/>
      </c>
      <c r="T143" s="7" t="str" cm="1">
        <f t="array" aca="1" ref="T143" ca="1">IFERROR(IF(OR('Raw Data'!T143="",LEN(TRIM('Raw Data'!T143))=0),"",IF(AND(ISNUMBER('Raw Data'!T143), IFERROR('Raw Data'!T143 = ROUND('Raw Data'!T143, 2),FALSE)),"",_xlfn.REGEXEXTRACT(CELL("address",T143), "\$([A-Z]+)\$[0-9]+"))),_xlfn.REGEXEXTRACT(CELL("address",T143), "\$([A-Z]+)\$[0-9]+"))</f>
        <v/>
      </c>
      <c r="U143" s="7" t="str" cm="1">
        <f t="array" aca="1" ref="U143" ca="1">IFERROR(IF(OR('Raw Data'!U143="",LEN(TRIM('Raw Data'!U143))=0),"",IF(AND(LEN('Raw Data'!U143) &lt;= 5,LEN('Raw Data'!U143)&gt; 0),"",_xlfn.REGEXEXTRACT(CELL("address",'Raw Data'!U143),"\$([A-Z]+)\$[0-9]+"))),_xlfn.REGEXEXTRACT(CELL("address",'Raw Data'!U143),"\$([A-Z]+)\$[0-9]+"))</f>
        <v/>
      </c>
      <c r="V143" s="7" t="str" cm="1">
        <f t="array" aca="1" ref="V143" ca="1">IFERROR(IF(OR('Raw Data'!V143="",LEN(TRIM('Raw Data'!V143))=0),"",IF(AND(ISNUMBER('Raw Data'!V143), IFERROR('Raw Data'!V143 = ROUND('Raw Data'!V143, 2),FALSE)),"",_xlfn.REGEXEXTRACT(CELL("address",V143), "\$([A-Z]+)\$[0-9]+"))),_xlfn.REGEXEXTRACT(CELL("address",V143), "\$([A-Z]+)\$[0-9]+"))</f>
        <v/>
      </c>
      <c r="W143" s="7" t="str" cm="1">
        <f t="array" aca="1" ref="W143" ca="1">IFERROR(IF(OR('Raw Data'!W143="",LEN(TRIM('Raw Data'!W143))=0),"",IF(AND(ISNUMBER('Raw Data'!W143), IFERROR('Raw Data'!W143 = ROUND('Raw Data'!W143, 2),FALSE)),"",_xlfn.REGEXEXTRACT(CELL("address",W143), "\$([A-Z]+)\$[0-9]+"))),_xlfn.REGEXEXTRACT(CELL("address",W143), "\$([A-Z]+)\$[0-9]+"))</f>
        <v/>
      </c>
      <c r="X143" s="7" t="str" cm="1">
        <f t="array" aca="1" ref="X143" ca="1">IFERROR(IF(OR('Raw Data'!X143="",LEN(TRIM('Raw Data'!X143))=0),"",IF(AND(ISNUMBER('Raw Data'!X143), IFERROR('Raw Data'!X143 = ROUND('Raw Data'!X143, 2),FALSE)),"",_xlfn.REGEXEXTRACT(CELL("address",X143), "\$([A-Z]+)\$[0-9]+"))),_xlfn.REGEXEXTRACT(CELL("address",X143), "\$([A-Z]+)\$[0-9]+"))</f>
        <v/>
      </c>
    </row>
    <row r="144" spans="2:24" x14ac:dyDescent="0.25">
      <c r="B144" s="7" t="str" cm="1">
        <f t="array" aca="1" ref="B144" ca="1">IFERROR(IF(OR('Raw Data'!B144="",LEN(TRIM('Raw Data'!B144))=0),"",IF(AND(LEN('Raw Data'!B144) &lt;= 50,LEN('Raw Data'!B144)&gt; 0),"",_xlfn.REGEXEXTRACT(CELL("address",'Raw Data'!B144),"\$([A-Z]+)\$[0-9]+"))),_xlfn.REGEXEXTRACT(CELL("address",'Raw Data'!B144),"\$([A-Z]+)\$[0-9]+"))</f>
        <v/>
      </c>
      <c r="C144" s="7" t="str" cm="1">
        <f t="array" aca="1" ref="C144" ca="1">IFERROR(IF(OR('Raw Data'!C144="",LEN(TRIM('Raw Data'!C144))=0),"",IF(AND(LEN('Raw Data'!C144) &lt;= 50,LEN('Raw Data'!C144)&gt; 0),"",_xlfn.REGEXEXTRACT(CELL("address",'Raw Data'!C144),"\$([A-Z]+)\$[0-9]+"))),_xlfn.REGEXEXTRACT(CELL("address",'Raw Data'!C144),"\$([A-Z]+)\$[0-9]+"))</f>
        <v/>
      </c>
      <c r="D144" s="7" t="str" cm="1">
        <f t="array" aca="1" ref="D144" ca="1">IFERROR(IF(OR('Raw Data'!D144="",LEN(TRIM('Raw Data'!D144))=0),"",IF(AND(LEN('Raw Data'!D144) &lt;= 255,LEN('Raw Data'!D144)&gt; 0),"",_xlfn.REGEXEXTRACT(CELL("address",'Raw Data'!D144),"\$([A-Z]+)\$[0-9]+"))),_xlfn.REGEXEXTRACT(CELL("address",'Raw Data'!D144),"\$([A-Z]+)\$[0-9]+"))</f>
        <v/>
      </c>
      <c r="E144" s="7" t="str" cm="1">
        <f t="array" aca="1" ref="E144" ca="1">IFERROR(IF(OR('Raw Data'!E144="",LEN(TRIM('Raw Data'!E144))=0),"",IF(AND(ISNUMBER('Raw Data'!E144),'Raw Data'!E144&gt;=Configuration!$D$2),"",_xlfn.REGEXEXTRACT(CELL("address",'Raw Data'!E144),"\$([A-Z]+)\$[0-9]+"))),_xlfn.REGEXEXTRACT(CELL("address",E144), "\$([A-Z]+)\$[0-9]+"))</f>
        <v/>
      </c>
      <c r="F144" s="7" t="str" cm="1">
        <f t="array" aca="1" ref="F144" ca="1">IFERROR(IF(OR('Raw Data'!F144="",LEN(TRIM('Raw Data'!F144))=0),"",IF(AND(LEN('Raw Data'!F144) &lt;= 20,LEN('Raw Data'!F144)&gt; 0),"",_xlfn.REGEXEXTRACT(CELL("address",'Raw Data'!F144),"\$([A-Z]+)\$[0-9]+"))),_xlfn.REGEXEXTRACT(CELL("address",'Raw Data'!F144),"\$([A-Z]+)\$[0-9]+"))</f>
        <v/>
      </c>
      <c r="G144" s="7" t="str" cm="1">
        <f t="array" aca="1" ref="G144" ca="1">IFERROR(IF(OR('Raw Data'!G144="",LEN(TRIM('Raw Data'!G144))=0),"",IF(AND(ISNUMBER('Raw Data'!G144), IFERROR('Raw Data'!G144 = ROUND('Raw Data'!G144, 2),FALSE)),"",_xlfn.REGEXEXTRACT(CELL("address",G144), "\$([A-Z]+)\$[0-9]+"))),_xlfn.REGEXEXTRACT(CELL("address",G144), "\$([A-Z]+)\$[0-9]+"))</f>
        <v/>
      </c>
      <c r="H144" s="7" t="str" cm="1">
        <f t="array" aca="1" ref="H144" ca="1">IFERROR(IF(OR('Raw Data'!H144="",LEN(TRIM('Raw Data'!H144))=0),"",IF(AND(ISNUMBER('Raw Data'!H144), IFERROR('Raw Data'!H144 = ROUND('Raw Data'!H144, 2),FALSE)),"",_xlfn.REGEXEXTRACT(CELL("address",H144), "\$([A-Z]+)\$[0-9]+"))),_xlfn.REGEXEXTRACT(CELL("address",H144), "\$([A-Z]+)\$[0-9]+"))</f>
        <v/>
      </c>
      <c r="I144" s="7" t="str" cm="1">
        <f t="array" aca="1" ref="I144" ca="1">IFERROR(IF(OR('Raw Data'!I144="",LEN(TRIM('Raw Data'!I144))=0),"",IF(AND(LEN('Raw Data'!I144) &lt;= 50,LEN('Raw Data'!I144)&gt; 0),"",_xlfn.REGEXEXTRACT(CELL("address",'Raw Data'!I144),"\$([A-Z]+)\$[0-9]+"))),_xlfn.REGEXEXTRACT(CELL("address",'Raw Data'!I144),"\$([A-Z]+)\$[0-9]+"))</f>
        <v/>
      </c>
      <c r="J144" s="7" t="str" cm="1">
        <f t="array" aca="1" ref="J144" ca="1">IFERROR(IF(OR('Raw Data'!J144="",LEN(TRIM('Raw Data'!J144))=0),"",IF(AND(ISNUMBER('Raw Data'!J144),'Raw Data'!J144&gt;=Configuration!$D$2),"",_xlfn.REGEXEXTRACT(CELL("address",'Raw Data'!J144),"\$([A-Z]+)\$[0-9]+"))),_xlfn.REGEXEXTRACT(CELL("address",J144), "\$([A-Z]+)\$[0-9]+"))</f>
        <v/>
      </c>
      <c r="K144" s="7" t="str" cm="1">
        <f t="array" aca="1" ref="K144" ca="1">IFERROR(IF(OR('Raw Data'!K144="",LEN(TRIM('Raw Data'!K144))=0),"",IF(AND(ISNUMBER('Raw Data'!K144), IFERROR('Raw Data'!K144 = ROUND('Raw Data'!K144, 2),FALSE)),"",_xlfn.REGEXEXTRACT(CELL("address",K144), "\$([A-Z]+)\$[0-9]+"))),_xlfn.REGEXEXTRACT(CELL("address",K144), "\$([A-Z]+)\$[0-9]+"))</f>
        <v/>
      </c>
      <c r="L144" s="7" t="str" cm="1">
        <f t="array" aca="1" ref="L144" ca="1">IFERROR(IF(OR('Raw Data'!L144="",LEN(TRIM('Raw Data'!L144))=0),"",IF(AND(ISNUMBER('Raw Data'!L144), IFERROR('Raw Data'!L144 = ROUND('Raw Data'!L144, 2),FALSE)),"",_xlfn.REGEXEXTRACT(CELL("address",L144), "\$([A-Z]+)\$[0-9]+"))),_xlfn.REGEXEXTRACT(CELL("address",L144), "\$([A-Z]+)\$[0-9]+"))</f>
        <v/>
      </c>
      <c r="M144" s="7" t="str" cm="1">
        <f t="array" aca="1" ref="M144" ca="1">IFERROR(IF(OR('Raw Data'!M144="",LEN(TRIM('Raw Data'!M144))=0),"",IF(AND(ISNUMBER('Raw Data'!M144), IFERROR('Raw Data'!M144 = ROUND('Raw Data'!M144, 2),FALSE)),"",_xlfn.REGEXEXTRACT(CELL("address",M144), "\$([A-Z]+)\$[0-9]+"))),_xlfn.REGEXEXTRACT(CELL("address",M144), "\$([A-Z]+)\$[0-9]+"))</f>
        <v/>
      </c>
      <c r="N144" s="7" t="str" cm="1">
        <f t="array" aca="1" ref="N144" ca="1">IFERROR(IF(OR('Raw Data'!N144="",LEN(TRIM('Raw Data'!N144))=0),"",IF(AND(ISNUMBER('Raw Data'!N144), IFERROR('Raw Data'!N144 = ROUND('Raw Data'!N144, 2),FALSE)),"",_xlfn.REGEXEXTRACT(CELL("address",N144), "\$([A-Z]+)\$[0-9]+"))),_xlfn.REGEXEXTRACT(CELL("address",N144), "\$([A-Z]+)\$[0-9]+"))</f>
        <v/>
      </c>
      <c r="O144" s="7" t="str" cm="1">
        <f t="array" aca="1" ref="O144" ca="1">IFERROR(IF(OR('Raw Data'!O144="",LEN(TRIM('Raw Data'!O144))=0),"",IF(AND(ISNUMBER('Raw Data'!O144), IFERROR('Raw Data'!O144 = ROUND('Raw Data'!O144, 2),FALSE)),"",_xlfn.REGEXEXTRACT(CELL("address",O144), "\$([A-Z]+)\$[0-9]+"))),_xlfn.REGEXEXTRACT(CELL("address",O144), "\$([A-Z]+)\$[0-9]+"))</f>
        <v/>
      </c>
      <c r="P144" s="7" t="str" cm="1">
        <f t="array" aca="1" ref="P144" ca="1">IFERROR(IF(OR('Raw Data'!P144="",LEN(TRIM('Raw Data'!P144))=0),"",IF(AND(ISNUMBER('Raw Data'!P144),'Raw Data'!P144&gt;=Configuration!$D$2),"",_xlfn.REGEXEXTRACT(CELL("address",'Raw Data'!P144),"\$([A-Z]+)\$[0-9]+"))),_xlfn.REGEXEXTRACT(CELL("address",P144), "\$([A-Z]+)\$[0-9]+"))</f>
        <v/>
      </c>
      <c r="Q144" s="7" t="str" cm="1">
        <f t="array" aca="1" ref="Q144" ca="1">IFERROR(IF(OR('Raw Data'!Q144="",LEN(TRIM('Raw Data'!Q144))=0),"",IF(AND(ISNUMBER('Raw Data'!Q144),'Raw Data'!Q144&gt;=Configuration!$D$2),"",_xlfn.REGEXEXTRACT(CELL("address",'Raw Data'!Q144),"\$([A-Z]+)\$[0-9]+"))),_xlfn.REGEXEXTRACT(CELL("address",Q144), "\$([A-Z]+)\$[0-9]+"))</f>
        <v/>
      </c>
      <c r="R144" s="7" t="str" cm="1">
        <f t="array" aca="1" ref="R144" ca="1">IFERROR(IF(OR('Raw Data'!R144="",LEN(TRIM('Raw Data'!R144))=0),"",IF(AND(ISNUMBER('Raw Data'!R144), IFERROR('Raw Data'!R144 = ROUND('Raw Data'!R144, 2),FALSE)),"",_xlfn.REGEXEXTRACT(CELL("address",R144), "\$([A-Z]+)\$[0-9]+"))),_xlfn.REGEXEXTRACT(CELL("address",R144), "\$([A-Z]+)\$[0-9]+"))</f>
        <v/>
      </c>
      <c r="S144" s="7" t="str" cm="1">
        <f t="array" aca="1" ref="S144" ca="1">IFERROR(IF(OR('Raw Data'!S144="",LEN(TRIM('Raw Data'!S144))=0),"",IF(AND(ISNUMBER('Raw Data'!S144), IFERROR('Raw Data'!S144 = ROUND('Raw Data'!S144, 2),FALSE)),"",_xlfn.REGEXEXTRACT(CELL("address",S144), "\$([A-Z]+)\$[0-9]+"))),_xlfn.REGEXEXTRACT(CELL("address",S144), "\$([A-Z]+)\$[0-9]+"))</f>
        <v/>
      </c>
      <c r="T144" s="7" t="str" cm="1">
        <f t="array" aca="1" ref="T144" ca="1">IFERROR(IF(OR('Raw Data'!T144="",LEN(TRIM('Raw Data'!T144))=0),"",IF(AND(ISNUMBER('Raw Data'!T144), IFERROR('Raw Data'!T144 = ROUND('Raw Data'!T144, 2),FALSE)),"",_xlfn.REGEXEXTRACT(CELL("address",T144), "\$([A-Z]+)\$[0-9]+"))),_xlfn.REGEXEXTRACT(CELL("address",T144), "\$([A-Z]+)\$[0-9]+"))</f>
        <v/>
      </c>
      <c r="U144" s="7" t="str" cm="1">
        <f t="array" aca="1" ref="U144" ca="1">IFERROR(IF(OR('Raw Data'!U144="",LEN(TRIM('Raw Data'!U144))=0),"",IF(AND(LEN('Raw Data'!U144) &lt;= 5,LEN('Raw Data'!U144)&gt; 0),"",_xlfn.REGEXEXTRACT(CELL("address",'Raw Data'!U144),"\$([A-Z]+)\$[0-9]+"))),_xlfn.REGEXEXTRACT(CELL("address",'Raw Data'!U144),"\$([A-Z]+)\$[0-9]+"))</f>
        <v/>
      </c>
      <c r="V144" s="7" t="str" cm="1">
        <f t="array" aca="1" ref="V144" ca="1">IFERROR(IF(OR('Raw Data'!V144="",LEN(TRIM('Raw Data'!V144))=0),"",IF(AND(ISNUMBER('Raw Data'!V144), IFERROR('Raw Data'!V144 = ROUND('Raw Data'!V144, 2),FALSE)),"",_xlfn.REGEXEXTRACT(CELL("address",V144), "\$([A-Z]+)\$[0-9]+"))),_xlfn.REGEXEXTRACT(CELL("address",V144), "\$([A-Z]+)\$[0-9]+"))</f>
        <v/>
      </c>
      <c r="W144" s="7" t="str" cm="1">
        <f t="array" aca="1" ref="W144" ca="1">IFERROR(IF(OR('Raw Data'!W144="",LEN(TRIM('Raw Data'!W144))=0),"",IF(AND(ISNUMBER('Raw Data'!W144), IFERROR('Raw Data'!W144 = ROUND('Raw Data'!W144, 2),FALSE)),"",_xlfn.REGEXEXTRACT(CELL("address",W144), "\$([A-Z]+)\$[0-9]+"))),_xlfn.REGEXEXTRACT(CELL("address",W144), "\$([A-Z]+)\$[0-9]+"))</f>
        <v/>
      </c>
      <c r="X144" s="7" t="str" cm="1">
        <f t="array" aca="1" ref="X144" ca="1">IFERROR(IF(OR('Raw Data'!X144="",LEN(TRIM('Raw Data'!X144))=0),"",IF(AND(ISNUMBER('Raw Data'!X144), IFERROR('Raw Data'!X144 = ROUND('Raw Data'!X144, 2),FALSE)),"",_xlfn.REGEXEXTRACT(CELL("address",X144), "\$([A-Z]+)\$[0-9]+"))),_xlfn.REGEXEXTRACT(CELL("address",X144), "\$([A-Z]+)\$[0-9]+"))</f>
        <v/>
      </c>
    </row>
    <row r="145" spans="2:24" x14ac:dyDescent="0.25">
      <c r="B145" s="7" t="str" cm="1">
        <f t="array" aca="1" ref="B145" ca="1">IFERROR(IF(OR('Raw Data'!B145="",LEN(TRIM('Raw Data'!B145))=0),"",IF(AND(LEN('Raw Data'!B145) &lt;= 50,LEN('Raw Data'!B145)&gt; 0),"",_xlfn.REGEXEXTRACT(CELL("address",'Raw Data'!B145),"\$([A-Z]+)\$[0-9]+"))),_xlfn.REGEXEXTRACT(CELL("address",'Raw Data'!B145),"\$([A-Z]+)\$[0-9]+"))</f>
        <v/>
      </c>
      <c r="C145" s="7" t="str" cm="1">
        <f t="array" aca="1" ref="C145" ca="1">IFERROR(IF(OR('Raw Data'!C145="",LEN(TRIM('Raw Data'!C145))=0),"",IF(AND(LEN('Raw Data'!C145) &lt;= 50,LEN('Raw Data'!C145)&gt; 0),"",_xlfn.REGEXEXTRACT(CELL("address",'Raw Data'!C145),"\$([A-Z]+)\$[0-9]+"))),_xlfn.REGEXEXTRACT(CELL("address",'Raw Data'!C145),"\$([A-Z]+)\$[0-9]+"))</f>
        <v/>
      </c>
      <c r="D145" s="7" t="str" cm="1">
        <f t="array" aca="1" ref="D145" ca="1">IFERROR(IF(OR('Raw Data'!D145="",LEN(TRIM('Raw Data'!D145))=0),"",IF(AND(LEN('Raw Data'!D145) &lt;= 255,LEN('Raw Data'!D145)&gt; 0),"",_xlfn.REGEXEXTRACT(CELL("address",'Raw Data'!D145),"\$([A-Z]+)\$[0-9]+"))),_xlfn.REGEXEXTRACT(CELL("address",'Raw Data'!D145),"\$([A-Z]+)\$[0-9]+"))</f>
        <v/>
      </c>
      <c r="E145" s="7" t="str" cm="1">
        <f t="array" aca="1" ref="E145" ca="1">IFERROR(IF(OR('Raw Data'!E145="",LEN(TRIM('Raw Data'!E145))=0),"",IF(AND(ISNUMBER('Raw Data'!E145),'Raw Data'!E145&gt;=Configuration!$D$2),"",_xlfn.REGEXEXTRACT(CELL("address",'Raw Data'!E145),"\$([A-Z]+)\$[0-9]+"))),_xlfn.REGEXEXTRACT(CELL("address",E145), "\$([A-Z]+)\$[0-9]+"))</f>
        <v/>
      </c>
      <c r="F145" s="7" t="str" cm="1">
        <f t="array" aca="1" ref="F145" ca="1">IFERROR(IF(OR('Raw Data'!F145="",LEN(TRIM('Raw Data'!F145))=0),"",IF(AND(LEN('Raw Data'!F145) &lt;= 20,LEN('Raw Data'!F145)&gt; 0),"",_xlfn.REGEXEXTRACT(CELL("address",'Raw Data'!F145),"\$([A-Z]+)\$[0-9]+"))),_xlfn.REGEXEXTRACT(CELL("address",'Raw Data'!F145),"\$([A-Z]+)\$[0-9]+"))</f>
        <v/>
      </c>
      <c r="G145" s="7" t="str" cm="1">
        <f t="array" aca="1" ref="G145" ca="1">IFERROR(IF(OR('Raw Data'!G145="",LEN(TRIM('Raw Data'!G145))=0),"",IF(AND(ISNUMBER('Raw Data'!G145), IFERROR('Raw Data'!G145 = ROUND('Raw Data'!G145, 2),FALSE)),"",_xlfn.REGEXEXTRACT(CELL("address",G145), "\$([A-Z]+)\$[0-9]+"))),_xlfn.REGEXEXTRACT(CELL("address",G145), "\$([A-Z]+)\$[0-9]+"))</f>
        <v/>
      </c>
      <c r="H145" s="7" t="str" cm="1">
        <f t="array" aca="1" ref="H145" ca="1">IFERROR(IF(OR('Raw Data'!H145="",LEN(TRIM('Raw Data'!H145))=0),"",IF(AND(ISNUMBER('Raw Data'!H145), IFERROR('Raw Data'!H145 = ROUND('Raw Data'!H145, 2),FALSE)),"",_xlfn.REGEXEXTRACT(CELL("address",H145), "\$([A-Z]+)\$[0-9]+"))),_xlfn.REGEXEXTRACT(CELL("address",H145), "\$([A-Z]+)\$[0-9]+"))</f>
        <v/>
      </c>
      <c r="I145" s="7" t="str" cm="1">
        <f t="array" aca="1" ref="I145" ca="1">IFERROR(IF(OR('Raw Data'!I145="",LEN(TRIM('Raw Data'!I145))=0),"",IF(AND(LEN('Raw Data'!I145) &lt;= 50,LEN('Raw Data'!I145)&gt; 0),"",_xlfn.REGEXEXTRACT(CELL("address",'Raw Data'!I145),"\$([A-Z]+)\$[0-9]+"))),_xlfn.REGEXEXTRACT(CELL("address",'Raw Data'!I145),"\$([A-Z]+)\$[0-9]+"))</f>
        <v/>
      </c>
      <c r="J145" s="7" t="str" cm="1">
        <f t="array" aca="1" ref="J145" ca="1">IFERROR(IF(OR('Raw Data'!J145="",LEN(TRIM('Raw Data'!J145))=0),"",IF(AND(ISNUMBER('Raw Data'!J145),'Raw Data'!J145&gt;=Configuration!$D$2),"",_xlfn.REGEXEXTRACT(CELL("address",'Raw Data'!J145),"\$([A-Z]+)\$[0-9]+"))),_xlfn.REGEXEXTRACT(CELL("address",J145), "\$([A-Z]+)\$[0-9]+"))</f>
        <v/>
      </c>
      <c r="K145" s="7" t="str" cm="1">
        <f t="array" aca="1" ref="K145" ca="1">IFERROR(IF(OR('Raw Data'!K145="",LEN(TRIM('Raw Data'!K145))=0),"",IF(AND(ISNUMBER('Raw Data'!K145), IFERROR('Raw Data'!K145 = ROUND('Raw Data'!K145, 2),FALSE)),"",_xlfn.REGEXEXTRACT(CELL("address",K145), "\$([A-Z]+)\$[0-9]+"))),_xlfn.REGEXEXTRACT(CELL("address",K145), "\$([A-Z]+)\$[0-9]+"))</f>
        <v/>
      </c>
      <c r="L145" s="7" t="str" cm="1">
        <f t="array" aca="1" ref="L145" ca="1">IFERROR(IF(OR('Raw Data'!L145="",LEN(TRIM('Raw Data'!L145))=0),"",IF(AND(ISNUMBER('Raw Data'!L145), IFERROR('Raw Data'!L145 = ROUND('Raw Data'!L145, 2),FALSE)),"",_xlfn.REGEXEXTRACT(CELL("address",L145), "\$([A-Z]+)\$[0-9]+"))),_xlfn.REGEXEXTRACT(CELL("address",L145), "\$([A-Z]+)\$[0-9]+"))</f>
        <v/>
      </c>
      <c r="M145" s="7" t="str" cm="1">
        <f t="array" aca="1" ref="M145" ca="1">IFERROR(IF(OR('Raw Data'!M145="",LEN(TRIM('Raw Data'!M145))=0),"",IF(AND(ISNUMBER('Raw Data'!M145), IFERROR('Raw Data'!M145 = ROUND('Raw Data'!M145, 2),FALSE)),"",_xlfn.REGEXEXTRACT(CELL("address",M145), "\$([A-Z]+)\$[0-9]+"))),_xlfn.REGEXEXTRACT(CELL("address",M145), "\$([A-Z]+)\$[0-9]+"))</f>
        <v/>
      </c>
      <c r="N145" s="7" t="str" cm="1">
        <f t="array" aca="1" ref="N145" ca="1">IFERROR(IF(OR('Raw Data'!N145="",LEN(TRIM('Raw Data'!N145))=0),"",IF(AND(ISNUMBER('Raw Data'!N145), IFERROR('Raw Data'!N145 = ROUND('Raw Data'!N145, 2),FALSE)),"",_xlfn.REGEXEXTRACT(CELL("address",N145), "\$([A-Z]+)\$[0-9]+"))),_xlfn.REGEXEXTRACT(CELL("address",N145), "\$([A-Z]+)\$[0-9]+"))</f>
        <v/>
      </c>
      <c r="O145" s="7" t="str" cm="1">
        <f t="array" aca="1" ref="O145" ca="1">IFERROR(IF(OR('Raw Data'!O145="",LEN(TRIM('Raw Data'!O145))=0),"",IF(AND(ISNUMBER('Raw Data'!O145), IFERROR('Raw Data'!O145 = ROUND('Raw Data'!O145, 2),FALSE)),"",_xlfn.REGEXEXTRACT(CELL("address",O145), "\$([A-Z]+)\$[0-9]+"))),_xlfn.REGEXEXTRACT(CELL("address",O145), "\$([A-Z]+)\$[0-9]+"))</f>
        <v/>
      </c>
      <c r="P145" s="7" t="str" cm="1">
        <f t="array" aca="1" ref="P145" ca="1">IFERROR(IF(OR('Raw Data'!P145="",LEN(TRIM('Raw Data'!P145))=0),"",IF(AND(ISNUMBER('Raw Data'!P145),'Raw Data'!P145&gt;=Configuration!$D$2),"",_xlfn.REGEXEXTRACT(CELL("address",'Raw Data'!P145),"\$([A-Z]+)\$[0-9]+"))),_xlfn.REGEXEXTRACT(CELL("address",P145), "\$([A-Z]+)\$[0-9]+"))</f>
        <v/>
      </c>
      <c r="Q145" s="7" t="str" cm="1">
        <f t="array" aca="1" ref="Q145" ca="1">IFERROR(IF(OR('Raw Data'!Q145="",LEN(TRIM('Raw Data'!Q145))=0),"",IF(AND(ISNUMBER('Raw Data'!Q145),'Raw Data'!Q145&gt;=Configuration!$D$2),"",_xlfn.REGEXEXTRACT(CELL("address",'Raw Data'!Q145),"\$([A-Z]+)\$[0-9]+"))),_xlfn.REGEXEXTRACT(CELL("address",Q145), "\$([A-Z]+)\$[0-9]+"))</f>
        <v/>
      </c>
      <c r="R145" s="7" t="str" cm="1">
        <f t="array" aca="1" ref="R145" ca="1">IFERROR(IF(OR('Raw Data'!R145="",LEN(TRIM('Raw Data'!R145))=0),"",IF(AND(ISNUMBER('Raw Data'!R145), IFERROR('Raw Data'!R145 = ROUND('Raw Data'!R145, 2),FALSE)),"",_xlfn.REGEXEXTRACT(CELL("address",R145), "\$([A-Z]+)\$[0-9]+"))),_xlfn.REGEXEXTRACT(CELL("address",R145), "\$([A-Z]+)\$[0-9]+"))</f>
        <v/>
      </c>
      <c r="S145" s="7" t="str" cm="1">
        <f t="array" aca="1" ref="S145" ca="1">IFERROR(IF(OR('Raw Data'!S145="",LEN(TRIM('Raw Data'!S145))=0),"",IF(AND(ISNUMBER('Raw Data'!S145), IFERROR('Raw Data'!S145 = ROUND('Raw Data'!S145, 2),FALSE)),"",_xlfn.REGEXEXTRACT(CELL("address",S145), "\$([A-Z]+)\$[0-9]+"))),_xlfn.REGEXEXTRACT(CELL("address",S145), "\$([A-Z]+)\$[0-9]+"))</f>
        <v/>
      </c>
      <c r="T145" s="7" t="str" cm="1">
        <f t="array" aca="1" ref="T145" ca="1">IFERROR(IF(OR('Raw Data'!T145="",LEN(TRIM('Raw Data'!T145))=0),"",IF(AND(ISNUMBER('Raw Data'!T145), IFERROR('Raw Data'!T145 = ROUND('Raw Data'!T145, 2),FALSE)),"",_xlfn.REGEXEXTRACT(CELL("address",T145), "\$([A-Z]+)\$[0-9]+"))),_xlfn.REGEXEXTRACT(CELL("address",T145), "\$([A-Z]+)\$[0-9]+"))</f>
        <v/>
      </c>
      <c r="U145" s="7" t="str" cm="1">
        <f t="array" aca="1" ref="U145" ca="1">IFERROR(IF(OR('Raw Data'!U145="",LEN(TRIM('Raw Data'!U145))=0),"",IF(AND(LEN('Raw Data'!U145) &lt;= 5,LEN('Raw Data'!U145)&gt; 0),"",_xlfn.REGEXEXTRACT(CELL("address",'Raw Data'!U145),"\$([A-Z]+)\$[0-9]+"))),_xlfn.REGEXEXTRACT(CELL("address",'Raw Data'!U145),"\$([A-Z]+)\$[0-9]+"))</f>
        <v/>
      </c>
      <c r="V145" s="7" t="str" cm="1">
        <f t="array" aca="1" ref="V145" ca="1">IFERROR(IF(OR('Raw Data'!V145="",LEN(TRIM('Raw Data'!V145))=0),"",IF(AND(ISNUMBER('Raw Data'!V145), IFERROR('Raw Data'!V145 = ROUND('Raw Data'!V145, 2),FALSE)),"",_xlfn.REGEXEXTRACT(CELL("address",V145), "\$([A-Z]+)\$[0-9]+"))),_xlfn.REGEXEXTRACT(CELL("address",V145), "\$([A-Z]+)\$[0-9]+"))</f>
        <v/>
      </c>
      <c r="W145" s="7" t="str" cm="1">
        <f t="array" aca="1" ref="W145" ca="1">IFERROR(IF(OR('Raw Data'!W145="",LEN(TRIM('Raw Data'!W145))=0),"",IF(AND(ISNUMBER('Raw Data'!W145), IFERROR('Raw Data'!W145 = ROUND('Raw Data'!W145, 2),FALSE)),"",_xlfn.REGEXEXTRACT(CELL("address",W145), "\$([A-Z]+)\$[0-9]+"))),_xlfn.REGEXEXTRACT(CELL("address",W145), "\$([A-Z]+)\$[0-9]+"))</f>
        <v/>
      </c>
      <c r="X145" s="7" t="str" cm="1">
        <f t="array" aca="1" ref="X145" ca="1">IFERROR(IF(OR('Raw Data'!X145="",LEN(TRIM('Raw Data'!X145))=0),"",IF(AND(ISNUMBER('Raw Data'!X145), IFERROR('Raw Data'!X145 = ROUND('Raw Data'!X145, 2),FALSE)),"",_xlfn.REGEXEXTRACT(CELL("address",X145), "\$([A-Z]+)\$[0-9]+"))),_xlfn.REGEXEXTRACT(CELL("address",X145), "\$([A-Z]+)\$[0-9]+"))</f>
        <v/>
      </c>
    </row>
    <row r="146" spans="2:24" x14ac:dyDescent="0.25">
      <c r="B146" s="7" t="str" cm="1">
        <f t="array" aca="1" ref="B146" ca="1">IFERROR(IF(OR('Raw Data'!B146="",LEN(TRIM('Raw Data'!B146))=0),"",IF(AND(LEN('Raw Data'!B146) &lt;= 50,LEN('Raw Data'!B146)&gt; 0),"",_xlfn.REGEXEXTRACT(CELL("address",'Raw Data'!B146),"\$([A-Z]+)\$[0-9]+"))),_xlfn.REGEXEXTRACT(CELL("address",'Raw Data'!B146),"\$([A-Z]+)\$[0-9]+"))</f>
        <v/>
      </c>
      <c r="C146" s="7" t="str" cm="1">
        <f t="array" aca="1" ref="C146" ca="1">IFERROR(IF(OR('Raw Data'!C146="",LEN(TRIM('Raw Data'!C146))=0),"",IF(AND(LEN('Raw Data'!C146) &lt;= 50,LEN('Raw Data'!C146)&gt; 0),"",_xlfn.REGEXEXTRACT(CELL("address",'Raw Data'!C146),"\$([A-Z]+)\$[0-9]+"))),_xlfn.REGEXEXTRACT(CELL("address",'Raw Data'!C146),"\$([A-Z]+)\$[0-9]+"))</f>
        <v/>
      </c>
      <c r="D146" s="7" t="str" cm="1">
        <f t="array" aca="1" ref="D146" ca="1">IFERROR(IF(OR('Raw Data'!D146="",LEN(TRIM('Raw Data'!D146))=0),"",IF(AND(LEN('Raw Data'!D146) &lt;= 255,LEN('Raw Data'!D146)&gt; 0),"",_xlfn.REGEXEXTRACT(CELL("address",'Raw Data'!D146),"\$([A-Z]+)\$[0-9]+"))),_xlfn.REGEXEXTRACT(CELL("address",'Raw Data'!D146),"\$([A-Z]+)\$[0-9]+"))</f>
        <v/>
      </c>
      <c r="E146" s="7" t="str" cm="1">
        <f t="array" aca="1" ref="E146" ca="1">IFERROR(IF(OR('Raw Data'!E146="",LEN(TRIM('Raw Data'!E146))=0),"",IF(AND(ISNUMBER('Raw Data'!E146),'Raw Data'!E146&gt;=Configuration!$D$2),"",_xlfn.REGEXEXTRACT(CELL("address",'Raw Data'!E146),"\$([A-Z]+)\$[0-9]+"))),_xlfn.REGEXEXTRACT(CELL("address",E146), "\$([A-Z]+)\$[0-9]+"))</f>
        <v/>
      </c>
      <c r="F146" s="7" t="str" cm="1">
        <f t="array" aca="1" ref="F146" ca="1">IFERROR(IF(OR('Raw Data'!F146="",LEN(TRIM('Raw Data'!F146))=0),"",IF(AND(LEN('Raw Data'!F146) &lt;= 20,LEN('Raw Data'!F146)&gt; 0),"",_xlfn.REGEXEXTRACT(CELL("address",'Raw Data'!F146),"\$([A-Z]+)\$[0-9]+"))),_xlfn.REGEXEXTRACT(CELL("address",'Raw Data'!F146),"\$([A-Z]+)\$[0-9]+"))</f>
        <v/>
      </c>
      <c r="G146" s="7" t="str" cm="1">
        <f t="array" aca="1" ref="G146" ca="1">IFERROR(IF(OR('Raw Data'!G146="",LEN(TRIM('Raw Data'!G146))=0),"",IF(AND(ISNUMBER('Raw Data'!G146), IFERROR('Raw Data'!G146 = ROUND('Raw Data'!G146, 2),FALSE)),"",_xlfn.REGEXEXTRACT(CELL("address",G146), "\$([A-Z]+)\$[0-9]+"))),_xlfn.REGEXEXTRACT(CELL("address",G146), "\$([A-Z]+)\$[0-9]+"))</f>
        <v/>
      </c>
      <c r="H146" s="7" t="str" cm="1">
        <f t="array" aca="1" ref="H146" ca="1">IFERROR(IF(OR('Raw Data'!H146="",LEN(TRIM('Raw Data'!H146))=0),"",IF(AND(ISNUMBER('Raw Data'!H146), IFERROR('Raw Data'!H146 = ROUND('Raw Data'!H146, 2),FALSE)),"",_xlfn.REGEXEXTRACT(CELL("address",H146), "\$([A-Z]+)\$[0-9]+"))),_xlfn.REGEXEXTRACT(CELL("address",H146), "\$([A-Z]+)\$[0-9]+"))</f>
        <v/>
      </c>
      <c r="I146" s="7" t="str" cm="1">
        <f t="array" aca="1" ref="I146" ca="1">IFERROR(IF(OR('Raw Data'!I146="",LEN(TRIM('Raw Data'!I146))=0),"",IF(AND(LEN('Raw Data'!I146) &lt;= 50,LEN('Raw Data'!I146)&gt; 0),"",_xlfn.REGEXEXTRACT(CELL("address",'Raw Data'!I146),"\$([A-Z]+)\$[0-9]+"))),_xlfn.REGEXEXTRACT(CELL("address",'Raw Data'!I146),"\$([A-Z]+)\$[0-9]+"))</f>
        <v/>
      </c>
      <c r="J146" s="7" t="str" cm="1">
        <f t="array" aca="1" ref="J146" ca="1">IFERROR(IF(OR('Raw Data'!J146="",LEN(TRIM('Raw Data'!J146))=0),"",IF(AND(ISNUMBER('Raw Data'!J146),'Raw Data'!J146&gt;=Configuration!$D$2),"",_xlfn.REGEXEXTRACT(CELL("address",'Raw Data'!J146),"\$([A-Z]+)\$[0-9]+"))),_xlfn.REGEXEXTRACT(CELL("address",J146), "\$([A-Z]+)\$[0-9]+"))</f>
        <v/>
      </c>
      <c r="K146" s="7" t="str" cm="1">
        <f t="array" aca="1" ref="K146" ca="1">IFERROR(IF(OR('Raw Data'!K146="",LEN(TRIM('Raw Data'!K146))=0),"",IF(AND(ISNUMBER('Raw Data'!K146), IFERROR('Raw Data'!K146 = ROUND('Raw Data'!K146, 2),FALSE)),"",_xlfn.REGEXEXTRACT(CELL("address",K146), "\$([A-Z]+)\$[0-9]+"))),_xlfn.REGEXEXTRACT(CELL("address",K146), "\$([A-Z]+)\$[0-9]+"))</f>
        <v/>
      </c>
      <c r="L146" s="7" t="str" cm="1">
        <f t="array" aca="1" ref="L146" ca="1">IFERROR(IF(OR('Raw Data'!L146="",LEN(TRIM('Raw Data'!L146))=0),"",IF(AND(ISNUMBER('Raw Data'!L146), IFERROR('Raw Data'!L146 = ROUND('Raw Data'!L146, 2),FALSE)),"",_xlfn.REGEXEXTRACT(CELL("address",L146), "\$([A-Z]+)\$[0-9]+"))),_xlfn.REGEXEXTRACT(CELL("address",L146), "\$([A-Z]+)\$[0-9]+"))</f>
        <v/>
      </c>
      <c r="M146" s="7" t="str" cm="1">
        <f t="array" aca="1" ref="M146" ca="1">IFERROR(IF(OR('Raw Data'!M146="",LEN(TRIM('Raw Data'!M146))=0),"",IF(AND(ISNUMBER('Raw Data'!M146), IFERROR('Raw Data'!M146 = ROUND('Raw Data'!M146, 2),FALSE)),"",_xlfn.REGEXEXTRACT(CELL("address",M146), "\$([A-Z]+)\$[0-9]+"))),_xlfn.REGEXEXTRACT(CELL("address",M146), "\$([A-Z]+)\$[0-9]+"))</f>
        <v/>
      </c>
      <c r="N146" s="7" t="str" cm="1">
        <f t="array" aca="1" ref="N146" ca="1">IFERROR(IF(OR('Raw Data'!N146="",LEN(TRIM('Raw Data'!N146))=0),"",IF(AND(ISNUMBER('Raw Data'!N146), IFERROR('Raw Data'!N146 = ROUND('Raw Data'!N146, 2),FALSE)),"",_xlfn.REGEXEXTRACT(CELL("address",N146), "\$([A-Z]+)\$[0-9]+"))),_xlfn.REGEXEXTRACT(CELL("address",N146), "\$([A-Z]+)\$[0-9]+"))</f>
        <v/>
      </c>
      <c r="O146" s="7" t="str" cm="1">
        <f t="array" aca="1" ref="O146" ca="1">IFERROR(IF(OR('Raw Data'!O146="",LEN(TRIM('Raw Data'!O146))=0),"",IF(AND(ISNUMBER('Raw Data'!O146), IFERROR('Raw Data'!O146 = ROUND('Raw Data'!O146, 2),FALSE)),"",_xlfn.REGEXEXTRACT(CELL("address",O146), "\$([A-Z]+)\$[0-9]+"))),_xlfn.REGEXEXTRACT(CELL("address",O146), "\$([A-Z]+)\$[0-9]+"))</f>
        <v/>
      </c>
      <c r="P146" s="7" t="str" cm="1">
        <f t="array" aca="1" ref="P146" ca="1">IFERROR(IF(OR('Raw Data'!P146="",LEN(TRIM('Raw Data'!P146))=0),"",IF(AND(ISNUMBER('Raw Data'!P146),'Raw Data'!P146&gt;=Configuration!$D$2),"",_xlfn.REGEXEXTRACT(CELL("address",'Raw Data'!P146),"\$([A-Z]+)\$[0-9]+"))),_xlfn.REGEXEXTRACT(CELL("address",P146), "\$([A-Z]+)\$[0-9]+"))</f>
        <v/>
      </c>
      <c r="Q146" s="7" t="str" cm="1">
        <f t="array" aca="1" ref="Q146" ca="1">IFERROR(IF(OR('Raw Data'!Q146="",LEN(TRIM('Raw Data'!Q146))=0),"",IF(AND(ISNUMBER('Raw Data'!Q146),'Raw Data'!Q146&gt;=Configuration!$D$2),"",_xlfn.REGEXEXTRACT(CELL("address",'Raw Data'!Q146),"\$([A-Z]+)\$[0-9]+"))),_xlfn.REGEXEXTRACT(CELL("address",Q146), "\$([A-Z]+)\$[0-9]+"))</f>
        <v/>
      </c>
      <c r="R146" s="7" t="str" cm="1">
        <f t="array" aca="1" ref="R146" ca="1">IFERROR(IF(OR('Raw Data'!R146="",LEN(TRIM('Raw Data'!R146))=0),"",IF(AND(ISNUMBER('Raw Data'!R146), IFERROR('Raw Data'!R146 = ROUND('Raw Data'!R146, 2),FALSE)),"",_xlfn.REGEXEXTRACT(CELL("address",R146), "\$([A-Z]+)\$[0-9]+"))),_xlfn.REGEXEXTRACT(CELL("address",R146), "\$([A-Z]+)\$[0-9]+"))</f>
        <v/>
      </c>
      <c r="S146" s="7" t="str" cm="1">
        <f t="array" aca="1" ref="S146" ca="1">IFERROR(IF(OR('Raw Data'!S146="",LEN(TRIM('Raw Data'!S146))=0),"",IF(AND(ISNUMBER('Raw Data'!S146), IFERROR('Raw Data'!S146 = ROUND('Raw Data'!S146, 2),FALSE)),"",_xlfn.REGEXEXTRACT(CELL("address",S146), "\$([A-Z]+)\$[0-9]+"))),_xlfn.REGEXEXTRACT(CELL("address",S146), "\$([A-Z]+)\$[0-9]+"))</f>
        <v/>
      </c>
      <c r="T146" s="7" t="str" cm="1">
        <f t="array" aca="1" ref="T146" ca="1">IFERROR(IF(OR('Raw Data'!T146="",LEN(TRIM('Raw Data'!T146))=0),"",IF(AND(ISNUMBER('Raw Data'!T146), IFERROR('Raw Data'!T146 = ROUND('Raw Data'!T146, 2),FALSE)),"",_xlfn.REGEXEXTRACT(CELL("address",T146), "\$([A-Z]+)\$[0-9]+"))),_xlfn.REGEXEXTRACT(CELL("address",T146), "\$([A-Z]+)\$[0-9]+"))</f>
        <v/>
      </c>
      <c r="U146" s="7" t="str" cm="1">
        <f t="array" aca="1" ref="U146" ca="1">IFERROR(IF(OR('Raw Data'!U146="",LEN(TRIM('Raw Data'!U146))=0),"",IF(AND(LEN('Raw Data'!U146) &lt;= 5,LEN('Raw Data'!U146)&gt; 0),"",_xlfn.REGEXEXTRACT(CELL("address",'Raw Data'!U146),"\$([A-Z]+)\$[0-9]+"))),_xlfn.REGEXEXTRACT(CELL("address",'Raw Data'!U146),"\$([A-Z]+)\$[0-9]+"))</f>
        <v/>
      </c>
      <c r="V146" s="7" t="str" cm="1">
        <f t="array" aca="1" ref="V146" ca="1">IFERROR(IF(OR('Raw Data'!V146="",LEN(TRIM('Raw Data'!V146))=0),"",IF(AND(ISNUMBER('Raw Data'!V146), IFERROR('Raw Data'!V146 = ROUND('Raw Data'!V146, 2),FALSE)),"",_xlfn.REGEXEXTRACT(CELL("address",V146), "\$([A-Z]+)\$[0-9]+"))),_xlfn.REGEXEXTRACT(CELL("address",V146), "\$([A-Z]+)\$[0-9]+"))</f>
        <v/>
      </c>
      <c r="W146" s="7" t="str" cm="1">
        <f t="array" aca="1" ref="W146" ca="1">IFERROR(IF(OR('Raw Data'!W146="",LEN(TRIM('Raw Data'!W146))=0),"",IF(AND(ISNUMBER('Raw Data'!W146), IFERROR('Raw Data'!W146 = ROUND('Raw Data'!W146, 2),FALSE)),"",_xlfn.REGEXEXTRACT(CELL("address",W146), "\$([A-Z]+)\$[0-9]+"))),_xlfn.REGEXEXTRACT(CELL("address",W146), "\$([A-Z]+)\$[0-9]+"))</f>
        <v/>
      </c>
      <c r="X146" s="7" t="str" cm="1">
        <f t="array" aca="1" ref="X146" ca="1">IFERROR(IF(OR('Raw Data'!X146="",LEN(TRIM('Raw Data'!X146))=0),"",IF(AND(ISNUMBER('Raw Data'!X146), IFERROR('Raw Data'!X146 = ROUND('Raw Data'!X146, 2),FALSE)),"",_xlfn.REGEXEXTRACT(CELL("address",X146), "\$([A-Z]+)\$[0-9]+"))),_xlfn.REGEXEXTRACT(CELL("address",X146), "\$([A-Z]+)\$[0-9]+"))</f>
        <v/>
      </c>
    </row>
    <row r="147" spans="2:24" x14ac:dyDescent="0.25">
      <c r="B147" s="7" t="str" cm="1">
        <f t="array" aca="1" ref="B147" ca="1">IFERROR(IF(OR('Raw Data'!B147="",LEN(TRIM('Raw Data'!B147))=0),"",IF(AND(LEN('Raw Data'!B147) &lt;= 50,LEN('Raw Data'!B147)&gt; 0),"",_xlfn.REGEXEXTRACT(CELL("address",'Raw Data'!B147),"\$([A-Z]+)\$[0-9]+"))),_xlfn.REGEXEXTRACT(CELL("address",'Raw Data'!B147),"\$([A-Z]+)\$[0-9]+"))</f>
        <v/>
      </c>
      <c r="C147" s="7" t="str" cm="1">
        <f t="array" aca="1" ref="C147" ca="1">IFERROR(IF(OR('Raw Data'!C147="",LEN(TRIM('Raw Data'!C147))=0),"",IF(AND(LEN('Raw Data'!C147) &lt;= 50,LEN('Raw Data'!C147)&gt; 0),"",_xlfn.REGEXEXTRACT(CELL("address",'Raw Data'!C147),"\$([A-Z]+)\$[0-9]+"))),_xlfn.REGEXEXTRACT(CELL("address",'Raw Data'!C147),"\$([A-Z]+)\$[0-9]+"))</f>
        <v/>
      </c>
      <c r="D147" s="7" t="str" cm="1">
        <f t="array" aca="1" ref="D147" ca="1">IFERROR(IF(OR('Raw Data'!D147="",LEN(TRIM('Raw Data'!D147))=0),"",IF(AND(LEN('Raw Data'!D147) &lt;= 255,LEN('Raw Data'!D147)&gt; 0),"",_xlfn.REGEXEXTRACT(CELL("address",'Raw Data'!D147),"\$([A-Z]+)\$[0-9]+"))),_xlfn.REGEXEXTRACT(CELL("address",'Raw Data'!D147),"\$([A-Z]+)\$[0-9]+"))</f>
        <v/>
      </c>
      <c r="E147" s="7" t="str" cm="1">
        <f t="array" aca="1" ref="E147" ca="1">IFERROR(IF(OR('Raw Data'!E147="",LEN(TRIM('Raw Data'!E147))=0),"",IF(AND(ISNUMBER('Raw Data'!E147),'Raw Data'!E147&gt;=Configuration!$D$2),"",_xlfn.REGEXEXTRACT(CELL("address",'Raw Data'!E147),"\$([A-Z]+)\$[0-9]+"))),_xlfn.REGEXEXTRACT(CELL("address",E147), "\$([A-Z]+)\$[0-9]+"))</f>
        <v/>
      </c>
      <c r="F147" s="7" t="str" cm="1">
        <f t="array" aca="1" ref="F147" ca="1">IFERROR(IF(OR('Raw Data'!F147="",LEN(TRIM('Raw Data'!F147))=0),"",IF(AND(LEN('Raw Data'!F147) &lt;= 20,LEN('Raw Data'!F147)&gt; 0),"",_xlfn.REGEXEXTRACT(CELL("address",'Raw Data'!F147),"\$([A-Z]+)\$[0-9]+"))),_xlfn.REGEXEXTRACT(CELL("address",'Raw Data'!F147),"\$([A-Z]+)\$[0-9]+"))</f>
        <v/>
      </c>
      <c r="G147" s="7" t="str" cm="1">
        <f t="array" aca="1" ref="G147" ca="1">IFERROR(IF(OR('Raw Data'!G147="",LEN(TRIM('Raw Data'!G147))=0),"",IF(AND(ISNUMBER('Raw Data'!G147), IFERROR('Raw Data'!G147 = ROUND('Raw Data'!G147, 2),FALSE)),"",_xlfn.REGEXEXTRACT(CELL("address",G147), "\$([A-Z]+)\$[0-9]+"))),_xlfn.REGEXEXTRACT(CELL("address",G147), "\$([A-Z]+)\$[0-9]+"))</f>
        <v/>
      </c>
      <c r="H147" s="7" t="str" cm="1">
        <f t="array" aca="1" ref="H147" ca="1">IFERROR(IF(OR('Raw Data'!H147="",LEN(TRIM('Raw Data'!H147))=0),"",IF(AND(ISNUMBER('Raw Data'!H147), IFERROR('Raw Data'!H147 = ROUND('Raw Data'!H147, 2),FALSE)),"",_xlfn.REGEXEXTRACT(CELL("address",H147), "\$([A-Z]+)\$[0-9]+"))),_xlfn.REGEXEXTRACT(CELL("address",H147), "\$([A-Z]+)\$[0-9]+"))</f>
        <v/>
      </c>
      <c r="I147" s="7" t="str" cm="1">
        <f t="array" aca="1" ref="I147" ca="1">IFERROR(IF(OR('Raw Data'!I147="",LEN(TRIM('Raw Data'!I147))=0),"",IF(AND(LEN('Raw Data'!I147) &lt;= 50,LEN('Raw Data'!I147)&gt; 0),"",_xlfn.REGEXEXTRACT(CELL("address",'Raw Data'!I147),"\$([A-Z]+)\$[0-9]+"))),_xlfn.REGEXEXTRACT(CELL("address",'Raw Data'!I147),"\$([A-Z]+)\$[0-9]+"))</f>
        <v/>
      </c>
      <c r="J147" s="7" t="str" cm="1">
        <f t="array" aca="1" ref="J147" ca="1">IFERROR(IF(OR('Raw Data'!J147="",LEN(TRIM('Raw Data'!J147))=0),"",IF(AND(ISNUMBER('Raw Data'!J147),'Raw Data'!J147&gt;=Configuration!$D$2),"",_xlfn.REGEXEXTRACT(CELL("address",'Raw Data'!J147),"\$([A-Z]+)\$[0-9]+"))),_xlfn.REGEXEXTRACT(CELL("address",J147), "\$([A-Z]+)\$[0-9]+"))</f>
        <v/>
      </c>
      <c r="K147" s="7" t="str" cm="1">
        <f t="array" aca="1" ref="K147" ca="1">IFERROR(IF(OR('Raw Data'!K147="",LEN(TRIM('Raw Data'!K147))=0),"",IF(AND(ISNUMBER('Raw Data'!K147), IFERROR('Raw Data'!K147 = ROUND('Raw Data'!K147, 2),FALSE)),"",_xlfn.REGEXEXTRACT(CELL("address",K147), "\$([A-Z]+)\$[0-9]+"))),_xlfn.REGEXEXTRACT(CELL("address",K147), "\$([A-Z]+)\$[0-9]+"))</f>
        <v/>
      </c>
      <c r="L147" s="7" t="str" cm="1">
        <f t="array" aca="1" ref="L147" ca="1">IFERROR(IF(OR('Raw Data'!L147="",LEN(TRIM('Raw Data'!L147))=0),"",IF(AND(ISNUMBER('Raw Data'!L147), IFERROR('Raw Data'!L147 = ROUND('Raw Data'!L147, 2),FALSE)),"",_xlfn.REGEXEXTRACT(CELL("address",L147), "\$([A-Z]+)\$[0-9]+"))),_xlfn.REGEXEXTRACT(CELL("address",L147), "\$([A-Z]+)\$[0-9]+"))</f>
        <v/>
      </c>
      <c r="M147" s="7" t="str" cm="1">
        <f t="array" aca="1" ref="M147" ca="1">IFERROR(IF(OR('Raw Data'!M147="",LEN(TRIM('Raw Data'!M147))=0),"",IF(AND(ISNUMBER('Raw Data'!M147), IFERROR('Raw Data'!M147 = ROUND('Raw Data'!M147, 2),FALSE)),"",_xlfn.REGEXEXTRACT(CELL("address",M147), "\$([A-Z]+)\$[0-9]+"))),_xlfn.REGEXEXTRACT(CELL("address",M147), "\$([A-Z]+)\$[0-9]+"))</f>
        <v/>
      </c>
      <c r="N147" s="7" t="str" cm="1">
        <f t="array" aca="1" ref="N147" ca="1">IFERROR(IF(OR('Raw Data'!N147="",LEN(TRIM('Raw Data'!N147))=0),"",IF(AND(ISNUMBER('Raw Data'!N147), IFERROR('Raw Data'!N147 = ROUND('Raw Data'!N147, 2),FALSE)),"",_xlfn.REGEXEXTRACT(CELL("address",N147), "\$([A-Z]+)\$[0-9]+"))),_xlfn.REGEXEXTRACT(CELL("address",N147), "\$([A-Z]+)\$[0-9]+"))</f>
        <v/>
      </c>
      <c r="O147" s="7" t="str" cm="1">
        <f t="array" aca="1" ref="O147" ca="1">IFERROR(IF(OR('Raw Data'!O147="",LEN(TRIM('Raw Data'!O147))=0),"",IF(AND(ISNUMBER('Raw Data'!O147), IFERROR('Raw Data'!O147 = ROUND('Raw Data'!O147, 2),FALSE)),"",_xlfn.REGEXEXTRACT(CELL("address",O147), "\$([A-Z]+)\$[0-9]+"))),_xlfn.REGEXEXTRACT(CELL("address",O147), "\$([A-Z]+)\$[0-9]+"))</f>
        <v/>
      </c>
      <c r="P147" s="7" t="str" cm="1">
        <f t="array" aca="1" ref="P147" ca="1">IFERROR(IF(OR('Raw Data'!P147="",LEN(TRIM('Raw Data'!P147))=0),"",IF(AND(ISNUMBER('Raw Data'!P147),'Raw Data'!P147&gt;=Configuration!$D$2),"",_xlfn.REGEXEXTRACT(CELL("address",'Raw Data'!P147),"\$([A-Z]+)\$[0-9]+"))),_xlfn.REGEXEXTRACT(CELL("address",P147), "\$([A-Z]+)\$[0-9]+"))</f>
        <v/>
      </c>
      <c r="Q147" s="7" t="str" cm="1">
        <f t="array" aca="1" ref="Q147" ca="1">IFERROR(IF(OR('Raw Data'!Q147="",LEN(TRIM('Raw Data'!Q147))=0),"",IF(AND(ISNUMBER('Raw Data'!Q147),'Raw Data'!Q147&gt;=Configuration!$D$2),"",_xlfn.REGEXEXTRACT(CELL("address",'Raw Data'!Q147),"\$([A-Z]+)\$[0-9]+"))),_xlfn.REGEXEXTRACT(CELL("address",Q147), "\$([A-Z]+)\$[0-9]+"))</f>
        <v/>
      </c>
      <c r="R147" s="7" t="str" cm="1">
        <f t="array" aca="1" ref="R147" ca="1">IFERROR(IF(OR('Raw Data'!R147="",LEN(TRIM('Raw Data'!R147))=0),"",IF(AND(ISNUMBER('Raw Data'!R147), IFERROR('Raw Data'!R147 = ROUND('Raw Data'!R147, 2),FALSE)),"",_xlfn.REGEXEXTRACT(CELL("address",R147), "\$([A-Z]+)\$[0-9]+"))),_xlfn.REGEXEXTRACT(CELL("address",R147), "\$([A-Z]+)\$[0-9]+"))</f>
        <v/>
      </c>
      <c r="S147" s="7" t="str" cm="1">
        <f t="array" aca="1" ref="S147" ca="1">IFERROR(IF(OR('Raw Data'!S147="",LEN(TRIM('Raw Data'!S147))=0),"",IF(AND(ISNUMBER('Raw Data'!S147), IFERROR('Raw Data'!S147 = ROUND('Raw Data'!S147, 2),FALSE)),"",_xlfn.REGEXEXTRACT(CELL("address",S147), "\$([A-Z]+)\$[0-9]+"))),_xlfn.REGEXEXTRACT(CELL("address",S147), "\$([A-Z]+)\$[0-9]+"))</f>
        <v/>
      </c>
      <c r="T147" s="7" t="str" cm="1">
        <f t="array" aca="1" ref="T147" ca="1">IFERROR(IF(OR('Raw Data'!T147="",LEN(TRIM('Raw Data'!T147))=0),"",IF(AND(ISNUMBER('Raw Data'!T147), IFERROR('Raw Data'!T147 = ROUND('Raw Data'!T147, 2),FALSE)),"",_xlfn.REGEXEXTRACT(CELL("address",T147), "\$([A-Z]+)\$[0-9]+"))),_xlfn.REGEXEXTRACT(CELL("address",T147), "\$([A-Z]+)\$[0-9]+"))</f>
        <v/>
      </c>
      <c r="U147" s="7" t="str" cm="1">
        <f t="array" aca="1" ref="U147" ca="1">IFERROR(IF(OR('Raw Data'!U147="",LEN(TRIM('Raw Data'!U147))=0),"",IF(AND(LEN('Raw Data'!U147) &lt;= 5,LEN('Raw Data'!U147)&gt; 0),"",_xlfn.REGEXEXTRACT(CELL("address",'Raw Data'!U147),"\$([A-Z]+)\$[0-9]+"))),_xlfn.REGEXEXTRACT(CELL("address",'Raw Data'!U147),"\$([A-Z]+)\$[0-9]+"))</f>
        <v/>
      </c>
      <c r="V147" s="7" t="str" cm="1">
        <f t="array" aca="1" ref="V147" ca="1">IFERROR(IF(OR('Raw Data'!V147="",LEN(TRIM('Raw Data'!V147))=0),"",IF(AND(ISNUMBER('Raw Data'!V147), IFERROR('Raw Data'!V147 = ROUND('Raw Data'!V147, 2),FALSE)),"",_xlfn.REGEXEXTRACT(CELL("address",V147), "\$([A-Z]+)\$[0-9]+"))),_xlfn.REGEXEXTRACT(CELL("address",V147), "\$([A-Z]+)\$[0-9]+"))</f>
        <v/>
      </c>
      <c r="W147" s="7" t="str" cm="1">
        <f t="array" aca="1" ref="W147" ca="1">IFERROR(IF(OR('Raw Data'!W147="",LEN(TRIM('Raw Data'!W147))=0),"",IF(AND(ISNUMBER('Raw Data'!W147), IFERROR('Raw Data'!W147 = ROUND('Raw Data'!W147, 2),FALSE)),"",_xlfn.REGEXEXTRACT(CELL("address",W147), "\$([A-Z]+)\$[0-9]+"))),_xlfn.REGEXEXTRACT(CELL("address",W147), "\$([A-Z]+)\$[0-9]+"))</f>
        <v/>
      </c>
      <c r="X147" s="7" t="str" cm="1">
        <f t="array" aca="1" ref="X147" ca="1">IFERROR(IF(OR('Raw Data'!X147="",LEN(TRIM('Raw Data'!X147))=0),"",IF(AND(ISNUMBER('Raw Data'!X147), IFERROR('Raw Data'!X147 = ROUND('Raw Data'!X147, 2),FALSE)),"",_xlfn.REGEXEXTRACT(CELL("address",X147), "\$([A-Z]+)\$[0-9]+"))),_xlfn.REGEXEXTRACT(CELL("address",X147), "\$([A-Z]+)\$[0-9]+"))</f>
        <v/>
      </c>
    </row>
    <row r="148" spans="2:24" x14ac:dyDescent="0.25">
      <c r="B148" s="7" t="str" cm="1">
        <f t="array" aca="1" ref="B148" ca="1">IFERROR(IF(OR('Raw Data'!B148="",LEN(TRIM('Raw Data'!B148))=0),"",IF(AND(LEN('Raw Data'!B148) &lt;= 50,LEN('Raw Data'!B148)&gt; 0),"",_xlfn.REGEXEXTRACT(CELL("address",'Raw Data'!B148),"\$([A-Z]+)\$[0-9]+"))),_xlfn.REGEXEXTRACT(CELL("address",'Raw Data'!B148),"\$([A-Z]+)\$[0-9]+"))</f>
        <v/>
      </c>
      <c r="C148" s="7" t="str" cm="1">
        <f t="array" aca="1" ref="C148" ca="1">IFERROR(IF(OR('Raw Data'!C148="",LEN(TRIM('Raw Data'!C148))=0),"",IF(AND(LEN('Raw Data'!C148) &lt;= 50,LEN('Raw Data'!C148)&gt; 0),"",_xlfn.REGEXEXTRACT(CELL("address",'Raw Data'!C148),"\$([A-Z]+)\$[0-9]+"))),_xlfn.REGEXEXTRACT(CELL("address",'Raw Data'!C148),"\$([A-Z]+)\$[0-9]+"))</f>
        <v/>
      </c>
      <c r="D148" s="7" t="str" cm="1">
        <f t="array" aca="1" ref="D148" ca="1">IFERROR(IF(OR('Raw Data'!D148="",LEN(TRIM('Raw Data'!D148))=0),"",IF(AND(LEN('Raw Data'!D148) &lt;= 255,LEN('Raw Data'!D148)&gt; 0),"",_xlfn.REGEXEXTRACT(CELL("address",'Raw Data'!D148),"\$([A-Z]+)\$[0-9]+"))),_xlfn.REGEXEXTRACT(CELL("address",'Raw Data'!D148),"\$([A-Z]+)\$[0-9]+"))</f>
        <v/>
      </c>
      <c r="E148" s="7" t="str" cm="1">
        <f t="array" aca="1" ref="E148" ca="1">IFERROR(IF(OR('Raw Data'!E148="",LEN(TRIM('Raw Data'!E148))=0),"",IF(AND(ISNUMBER('Raw Data'!E148),'Raw Data'!E148&gt;=Configuration!$D$2),"",_xlfn.REGEXEXTRACT(CELL("address",'Raw Data'!E148),"\$([A-Z]+)\$[0-9]+"))),_xlfn.REGEXEXTRACT(CELL("address",E148), "\$([A-Z]+)\$[0-9]+"))</f>
        <v/>
      </c>
      <c r="F148" s="7" t="str" cm="1">
        <f t="array" aca="1" ref="F148" ca="1">IFERROR(IF(OR('Raw Data'!F148="",LEN(TRIM('Raw Data'!F148))=0),"",IF(AND(LEN('Raw Data'!F148) &lt;= 20,LEN('Raw Data'!F148)&gt; 0),"",_xlfn.REGEXEXTRACT(CELL("address",'Raw Data'!F148),"\$([A-Z]+)\$[0-9]+"))),_xlfn.REGEXEXTRACT(CELL("address",'Raw Data'!F148),"\$([A-Z]+)\$[0-9]+"))</f>
        <v/>
      </c>
      <c r="G148" s="7" t="str" cm="1">
        <f t="array" aca="1" ref="G148" ca="1">IFERROR(IF(OR('Raw Data'!G148="",LEN(TRIM('Raw Data'!G148))=0),"",IF(AND(ISNUMBER('Raw Data'!G148), IFERROR('Raw Data'!G148 = ROUND('Raw Data'!G148, 2),FALSE)),"",_xlfn.REGEXEXTRACT(CELL("address",G148), "\$([A-Z]+)\$[0-9]+"))),_xlfn.REGEXEXTRACT(CELL("address",G148), "\$([A-Z]+)\$[0-9]+"))</f>
        <v/>
      </c>
      <c r="H148" s="7" t="str" cm="1">
        <f t="array" aca="1" ref="H148" ca="1">IFERROR(IF(OR('Raw Data'!H148="",LEN(TRIM('Raw Data'!H148))=0),"",IF(AND(ISNUMBER('Raw Data'!H148), IFERROR('Raw Data'!H148 = ROUND('Raw Data'!H148, 2),FALSE)),"",_xlfn.REGEXEXTRACT(CELL("address",H148), "\$([A-Z]+)\$[0-9]+"))),_xlfn.REGEXEXTRACT(CELL("address",H148), "\$([A-Z]+)\$[0-9]+"))</f>
        <v/>
      </c>
      <c r="I148" s="7" t="str" cm="1">
        <f t="array" aca="1" ref="I148" ca="1">IFERROR(IF(OR('Raw Data'!I148="",LEN(TRIM('Raw Data'!I148))=0),"",IF(AND(LEN('Raw Data'!I148) &lt;= 50,LEN('Raw Data'!I148)&gt; 0),"",_xlfn.REGEXEXTRACT(CELL("address",'Raw Data'!I148),"\$([A-Z]+)\$[0-9]+"))),_xlfn.REGEXEXTRACT(CELL("address",'Raw Data'!I148),"\$([A-Z]+)\$[0-9]+"))</f>
        <v/>
      </c>
      <c r="J148" s="7" t="str" cm="1">
        <f t="array" aca="1" ref="J148" ca="1">IFERROR(IF(OR('Raw Data'!J148="",LEN(TRIM('Raw Data'!J148))=0),"",IF(AND(ISNUMBER('Raw Data'!J148),'Raw Data'!J148&gt;=Configuration!$D$2),"",_xlfn.REGEXEXTRACT(CELL("address",'Raw Data'!J148),"\$([A-Z]+)\$[0-9]+"))),_xlfn.REGEXEXTRACT(CELL("address",J148), "\$([A-Z]+)\$[0-9]+"))</f>
        <v/>
      </c>
      <c r="K148" s="7" t="str" cm="1">
        <f t="array" aca="1" ref="K148" ca="1">IFERROR(IF(OR('Raw Data'!K148="",LEN(TRIM('Raw Data'!K148))=0),"",IF(AND(ISNUMBER('Raw Data'!K148), IFERROR('Raw Data'!K148 = ROUND('Raw Data'!K148, 2),FALSE)),"",_xlfn.REGEXEXTRACT(CELL("address",K148), "\$([A-Z]+)\$[0-9]+"))),_xlfn.REGEXEXTRACT(CELL("address",K148), "\$([A-Z]+)\$[0-9]+"))</f>
        <v/>
      </c>
      <c r="L148" s="7" t="str" cm="1">
        <f t="array" aca="1" ref="L148" ca="1">IFERROR(IF(OR('Raw Data'!L148="",LEN(TRIM('Raw Data'!L148))=0),"",IF(AND(ISNUMBER('Raw Data'!L148), IFERROR('Raw Data'!L148 = ROUND('Raw Data'!L148, 2),FALSE)),"",_xlfn.REGEXEXTRACT(CELL("address",L148), "\$([A-Z]+)\$[0-9]+"))),_xlfn.REGEXEXTRACT(CELL("address",L148), "\$([A-Z]+)\$[0-9]+"))</f>
        <v/>
      </c>
      <c r="M148" s="7" t="str" cm="1">
        <f t="array" aca="1" ref="M148" ca="1">IFERROR(IF(OR('Raw Data'!M148="",LEN(TRIM('Raw Data'!M148))=0),"",IF(AND(ISNUMBER('Raw Data'!M148), IFERROR('Raw Data'!M148 = ROUND('Raw Data'!M148, 2),FALSE)),"",_xlfn.REGEXEXTRACT(CELL("address",M148), "\$([A-Z]+)\$[0-9]+"))),_xlfn.REGEXEXTRACT(CELL("address",M148), "\$([A-Z]+)\$[0-9]+"))</f>
        <v/>
      </c>
      <c r="N148" s="7" t="str" cm="1">
        <f t="array" aca="1" ref="N148" ca="1">IFERROR(IF(OR('Raw Data'!N148="",LEN(TRIM('Raw Data'!N148))=0),"",IF(AND(ISNUMBER('Raw Data'!N148), IFERROR('Raw Data'!N148 = ROUND('Raw Data'!N148, 2),FALSE)),"",_xlfn.REGEXEXTRACT(CELL("address",N148), "\$([A-Z]+)\$[0-9]+"))),_xlfn.REGEXEXTRACT(CELL("address",N148), "\$([A-Z]+)\$[0-9]+"))</f>
        <v/>
      </c>
      <c r="O148" s="7" t="str" cm="1">
        <f t="array" aca="1" ref="O148" ca="1">IFERROR(IF(OR('Raw Data'!O148="",LEN(TRIM('Raw Data'!O148))=0),"",IF(AND(ISNUMBER('Raw Data'!O148), IFERROR('Raw Data'!O148 = ROUND('Raw Data'!O148, 2),FALSE)),"",_xlfn.REGEXEXTRACT(CELL("address",O148), "\$([A-Z]+)\$[0-9]+"))),_xlfn.REGEXEXTRACT(CELL("address",O148), "\$([A-Z]+)\$[0-9]+"))</f>
        <v/>
      </c>
      <c r="P148" s="7" t="str" cm="1">
        <f t="array" aca="1" ref="P148" ca="1">IFERROR(IF(OR('Raw Data'!P148="",LEN(TRIM('Raw Data'!P148))=0),"",IF(AND(ISNUMBER('Raw Data'!P148),'Raw Data'!P148&gt;=Configuration!$D$2),"",_xlfn.REGEXEXTRACT(CELL("address",'Raw Data'!P148),"\$([A-Z]+)\$[0-9]+"))),_xlfn.REGEXEXTRACT(CELL("address",P148), "\$([A-Z]+)\$[0-9]+"))</f>
        <v/>
      </c>
      <c r="Q148" s="7" t="str" cm="1">
        <f t="array" aca="1" ref="Q148" ca="1">IFERROR(IF(OR('Raw Data'!Q148="",LEN(TRIM('Raw Data'!Q148))=0),"",IF(AND(ISNUMBER('Raw Data'!Q148),'Raw Data'!Q148&gt;=Configuration!$D$2),"",_xlfn.REGEXEXTRACT(CELL("address",'Raw Data'!Q148),"\$([A-Z]+)\$[0-9]+"))),_xlfn.REGEXEXTRACT(CELL("address",Q148), "\$([A-Z]+)\$[0-9]+"))</f>
        <v/>
      </c>
      <c r="R148" s="7" t="str" cm="1">
        <f t="array" aca="1" ref="R148" ca="1">IFERROR(IF(OR('Raw Data'!R148="",LEN(TRIM('Raw Data'!R148))=0),"",IF(AND(ISNUMBER('Raw Data'!R148), IFERROR('Raw Data'!R148 = ROUND('Raw Data'!R148, 2),FALSE)),"",_xlfn.REGEXEXTRACT(CELL("address",R148), "\$([A-Z]+)\$[0-9]+"))),_xlfn.REGEXEXTRACT(CELL("address",R148), "\$([A-Z]+)\$[0-9]+"))</f>
        <v/>
      </c>
      <c r="S148" s="7" t="str" cm="1">
        <f t="array" aca="1" ref="S148" ca="1">IFERROR(IF(OR('Raw Data'!S148="",LEN(TRIM('Raw Data'!S148))=0),"",IF(AND(ISNUMBER('Raw Data'!S148), IFERROR('Raw Data'!S148 = ROUND('Raw Data'!S148, 2),FALSE)),"",_xlfn.REGEXEXTRACT(CELL("address",S148), "\$([A-Z]+)\$[0-9]+"))),_xlfn.REGEXEXTRACT(CELL("address",S148), "\$([A-Z]+)\$[0-9]+"))</f>
        <v/>
      </c>
      <c r="T148" s="7" t="str" cm="1">
        <f t="array" aca="1" ref="T148" ca="1">IFERROR(IF(OR('Raw Data'!T148="",LEN(TRIM('Raw Data'!T148))=0),"",IF(AND(ISNUMBER('Raw Data'!T148), IFERROR('Raw Data'!T148 = ROUND('Raw Data'!T148, 2),FALSE)),"",_xlfn.REGEXEXTRACT(CELL("address",T148), "\$([A-Z]+)\$[0-9]+"))),_xlfn.REGEXEXTRACT(CELL("address",T148), "\$([A-Z]+)\$[0-9]+"))</f>
        <v/>
      </c>
      <c r="U148" s="7" t="str" cm="1">
        <f t="array" aca="1" ref="U148" ca="1">IFERROR(IF(OR('Raw Data'!U148="",LEN(TRIM('Raw Data'!U148))=0),"",IF(AND(LEN('Raw Data'!U148) &lt;= 5,LEN('Raw Data'!U148)&gt; 0),"",_xlfn.REGEXEXTRACT(CELL("address",'Raw Data'!U148),"\$([A-Z]+)\$[0-9]+"))),_xlfn.REGEXEXTRACT(CELL("address",'Raw Data'!U148),"\$([A-Z]+)\$[0-9]+"))</f>
        <v/>
      </c>
      <c r="V148" s="7" t="str" cm="1">
        <f t="array" aca="1" ref="V148" ca="1">IFERROR(IF(OR('Raw Data'!V148="",LEN(TRIM('Raw Data'!V148))=0),"",IF(AND(ISNUMBER('Raw Data'!V148), IFERROR('Raw Data'!V148 = ROUND('Raw Data'!V148, 2),FALSE)),"",_xlfn.REGEXEXTRACT(CELL("address",V148), "\$([A-Z]+)\$[0-9]+"))),_xlfn.REGEXEXTRACT(CELL("address",V148), "\$([A-Z]+)\$[0-9]+"))</f>
        <v/>
      </c>
      <c r="W148" s="7" t="str" cm="1">
        <f t="array" aca="1" ref="W148" ca="1">IFERROR(IF(OR('Raw Data'!W148="",LEN(TRIM('Raw Data'!W148))=0),"",IF(AND(ISNUMBER('Raw Data'!W148), IFERROR('Raw Data'!W148 = ROUND('Raw Data'!W148, 2),FALSE)),"",_xlfn.REGEXEXTRACT(CELL("address",W148), "\$([A-Z]+)\$[0-9]+"))),_xlfn.REGEXEXTRACT(CELL("address",W148), "\$([A-Z]+)\$[0-9]+"))</f>
        <v/>
      </c>
      <c r="X148" s="7" t="str" cm="1">
        <f t="array" aca="1" ref="X148" ca="1">IFERROR(IF(OR('Raw Data'!X148="",LEN(TRIM('Raw Data'!X148))=0),"",IF(AND(ISNUMBER('Raw Data'!X148), IFERROR('Raw Data'!X148 = ROUND('Raw Data'!X148, 2),FALSE)),"",_xlfn.REGEXEXTRACT(CELL("address",X148), "\$([A-Z]+)\$[0-9]+"))),_xlfn.REGEXEXTRACT(CELL("address",X148), "\$([A-Z]+)\$[0-9]+"))</f>
        <v/>
      </c>
    </row>
    <row r="149" spans="2:24" x14ac:dyDescent="0.25">
      <c r="B149" s="7" t="str" cm="1">
        <f t="array" aca="1" ref="B149" ca="1">IFERROR(IF(OR('Raw Data'!B149="",LEN(TRIM('Raw Data'!B149))=0),"",IF(AND(LEN('Raw Data'!B149) &lt;= 50,LEN('Raw Data'!B149)&gt; 0),"",_xlfn.REGEXEXTRACT(CELL("address",'Raw Data'!B149),"\$([A-Z]+)\$[0-9]+"))),_xlfn.REGEXEXTRACT(CELL("address",'Raw Data'!B149),"\$([A-Z]+)\$[0-9]+"))</f>
        <v/>
      </c>
      <c r="C149" s="7" t="str" cm="1">
        <f t="array" aca="1" ref="C149" ca="1">IFERROR(IF(OR('Raw Data'!C149="",LEN(TRIM('Raw Data'!C149))=0),"",IF(AND(LEN('Raw Data'!C149) &lt;= 50,LEN('Raw Data'!C149)&gt; 0),"",_xlfn.REGEXEXTRACT(CELL("address",'Raw Data'!C149),"\$([A-Z]+)\$[0-9]+"))),_xlfn.REGEXEXTRACT(CELL("address",'Raw Data'!C149),"\$([A-Z]+)\$[0-9]+"))</f>
        <v/>
      </c>
      <c r="D149" s="7" t="str" cm="1">
        <f t="array" aca="1" ref="D149" ca="1">IFERROR(IF(OR('Raw Data'!D149="",LEN(TRIM('Raw Data'!D149))=0),"",IF(AND(LEN('Raw Data'!D149) &lt;= 255,LEN('Raw Data'!D149)&gt; 0),"",_xlfn.REGEXEXTRACT(CELL("address",'Raw Data'!D149),"\$([A-Z]+)\$[0-9]+"))),_xlfn.REGEXEXTRACT(CELL("address",'Raw Data'!D149),"\$([A-Z]+)\$[0-9]+"))</f>
        <v/>
      </c>
      <c r="E149" s="7" t="str" cm="1">
        <f t="array" aca="1" ref="E149" ca="1">IFERROR(IF(OR('Raw Data'!E149="",LEN(TRIM('Raw Data'!E149))=0),"",IF(AND(ISNUMBER('Raw Data'!E149),'Raw Data'!E149&gt;=Configuration!$D$2),"",_xlfn.REGEXEXTRACT(CELL("address",'Raw Data'!E149),"\$([A-Z]+)\$[0-9]+"))),_xlfn.REGEXEXTRACT(CELL("address",E149), "\$([A-Z]+)\$[0-9]+"))</f>
        <v/>
      </c>
      <c r="F149" s="7" t="str" cm="1">
        <f t="array" aca="1" ref="F149" ca="1">IFERROR(IF(OR('Raw Data'!F149="",LEN(TRIM('Raw Data'!F149))=0),"",IF(AND(LEN('Raw Data'!F149) &lt;= 20,LEN('Raw Data'!F149)&gt; 0),"",_xlfn.REGEXEXTRACT(CELL("address",'Raw Data'!F149),"\$([A-Z]+)\$[0-9]+"))),_xlfn.REGEXEXTRACT(CELL("address",'Raw Data'!F149),"\$([A-Z]+)\$[0-9]+"))</f>
        <v/>
      </c>
      <c r="G149" s="7" t="str" cm="1">
        <f t="array" aca="1" ref="G149" ca="1">IFERROR(IF(OR('Raw Data'!G149="",LEN(TRIM('Raw Data'!G149))=0),"",IF(AND(ISNUMBER('Raw Data'!G149), IFERROR('Raw Data'!G149 = ROUND('Raw Data'!G149, 2),FALSE)),"",_xlfn.REGEXEXTRACT(CELL("address",G149), "\$([A-Z]+)\$[0-9]+"))),_xlfn.REGEXEXTRACT(CELL("address",G149), "\$([A-Z]+)\$[0-9]+"))</f>
        <v/>
      </c>
      <c r="H149" s="7" t="str" cm="1">
        <f t="array" aca="1" ref="H149" ca="1">IFERROR(IF(OR('Raw Data'!H149="",LEN(TRIM('Raw Data'!H149))=0),"",IF(AND(ISNUMBER('Raw Data'!H149), IFERROR('Raw Data'!H149 = ROUND('Raw Data'!H149, 2),FALSE)),"",_xlfn.REGEXEXTRACT(CELL("address",H149), "\$([A-Z]+)\$[0-9]+"))),_xlfn.REGEXEXTRACT(CELL("address",H149), "\$([A-Z]+)\$[0-9]+"))</f>
        <v/>
      </c>
      <c r="I149" s="7" t="str" cm="1">
        <f t="array" aca="1" ref="I149" ca="1">IFERROR(IF(OR('Raw Data'!I149="",LEN(TRIM('Raw Data'!I149))=0),"",IF(AND(LEN('Raw Data'!I149) &lt;= 50,LEN('Raw Data'!I149)&gt; 0),"",_xlfn.REGEXEXTRACT(CELL("address",'Raw Data'!I149),"\$([A-Z]+)\$[0-9]+"))),_xlfn.REGEXEXTRACT(CELL("address",'Raw Data'!I149),"\$([A-Z]+)\$[0-9]+"))</f>
        <v/>
      </c>
      <c r="J149" s="7" t="str" cm="1">
        <f t="array" aca="1" ref="J149" ca="1">IFERROR(IF(OR('Raw Data'!J149="",LEN(TRIM('Raw Data'!J149))=0),"",IF(AND(ISNUMBER('Raw Data'!J149),'Raw Data'!J149&gt;=Configuration!$D$2),"",_xlfn.REGEXEXTRACT(CELL("address",'Raw Data'!J149),"\$([A-Z]+)\$[0-9]+"))),_xlfn.REGEXEXTRACT(CELL("address",J149), "\$([A-Z]+)\$[0-9]+"))</f>
        <v/>
      </c>
      <c r="K149" s="7" t="str" cm="1">
        <f t="array" aca="1" ref="K149" ca="1">IFERROR(IF(OR('Raw Data'!K149="",LEN(TRIM('Raw Data'!K149))=0),"",IF(AND(ISNUMBER('Raw Data'!K149), IFERROR('Raw Data'!K149 = ROUND('Raw Data'!K149, 2),FALSE)),"",_xlfn.REGEXEXTRACT(CELL("address",K149), "\$([A-Z]+)\$[0-9]+"))),_xlfn.REGEXEXTRACT(CELL("address",K149), "\$([A-Z]+)\$[0-9]+"))</f>
        <v/>
      </c>
      <c r="L149" s="7" t="str" cm="1">
        <f t="array" aca="1" ref="L149" ca="1">IFERROR(IF(OR('Raw Data'!L149="",LEN(TRIM('Raw Data'!L149))=0),"",IF(AND(ISNUMBER('Raw Data'!L149), IFERROR('Raw Data'!L149 = ROUND('Raw Data'!L149, 2),FALSE)),"",_xlfn.REGEXEXTRACT(CELL("address",L149), "\$([A-Z]+)\$[0-9]+"))),_xlfn.REGEXEXTRACT(CELL("address",L149), "\$([A-Z]+)\$[0-9]+"))</f>
        <v/>
      </c>
      <c r="M149" s="7" t="str" cm="1">
        <f t="array" aca="1" ref="M149" ca="1">IFERROR(IF(OR('Raw Data'!M149="",LEN(TRIM('Raw Data'!M149))=0),"",IF(AND(ISNUMBER('Raw Data'!M149), IFERROR('Raw Data'!M149 = ROUND('Raw Data'!M149, 2),FALSE)),"",_xlfn.REGEXEXTRACT(CELL("address",M149), "\$([A-Z]+)\$[0-9]+"))),_xlfn.REGEXEXTRACT(CELL("address",M149), "\$([A-Z]+)\$[0-9]+"))</f>
        <v/>
      </c>
      <c r="N149" s="7" t="str" cm="1">
        <f t="array" aca="1" ref="N149" ca="1">IFERROR(IF(OR('Raw Data'!N149="",LEN(TRIM('Raw Data'!N149))=0),"",IF(AND(ISNUMBER('Raw Data'!N149), IFERROR('Raw Data'!N149 = ROUND('Raw Data'!N149, 2),FALSE)),"",_xlfn.REGEXEXTRACT(CELL("address",N149), "\$([A-Z]+)\$[0-9]+"))),_xlfn.REGEXEXTRACT(CELL("address",N149), "\$([A-Z]+)\$[0-9]+"))</f>
        <v/>
      </c>
      <c r="O149" s="7" t="str" cm="1">
        <f t="array" aca="1" ref="O149" ca="1">IFERROR(IF(OR('Raw Data'!O149="",LEN(TRIM('Raw Data'!O149))=0),"",IF(AND(ISNUMBER('Raw Data'!O149), IFERROR('Raw Data'!O149 = ROUND('Raw Data'!O149, 2),FALSE)),"",_xlfn.REGEXEXTRACT(CELL("address",O149), "\$([A-Z]+)\$[0-9]+"))),_xlfn.REGEXEXTRACT(CELL("address",O149), "\$([A-Z]+)\$[0-9]+"))</f>
        <v/>
      </c>
      <c r="P149" s="7" t="str" cm="1">
        <f t="array" aca="1" ref="P149" ca="1">IFERROR(IF(OR('Raw Data'!P149="",LEN(TRIM('Raw Data'!P149))=0),"",IF(AND(ISNUMBER('Raw Data'!P149),'Raw Data'!P149&gt;=Configuration!$D$2),"",_xlfn.REGEXEXTRACT(CELL("address",'Raw Data'!P149),"\$([A-Z]+)\$[0-9]+"))),_xlfn.REGEXEXTRACT(CELL("address",P149), "\$([A-Z]+)\$[0-9]+"))</f>
        <v/>
      </c>
      <c r="Q149" s="7" t="str" cm="1">
        <f t="array" aca="1" ref="Q149" ca="1">IFERROR(IF(OR('Raw Data'!Q149="",LEN(TRIM('Raw Data'!Q149))=0),"",IF(AND(ISNUMBER('Raw Data'!Q149),'Raw Data'!Q149&gt;=Configuration!$D$2),"",_xlfn.REGEXEXTRACT(CELL("address",'Raw Data'!Q149),"\$([A-Z]+)\$[0-9]+"))),_xlfn.REGEXEXTRACT(CELL("address",Q149), "\$([A-Z]+)\$[0-9]+"))</f>
        <v/>
      </c>
      <c r="R149" s="7" t="str" cm="1">
        <f t="array" aca="1" ref="R149" ca="1">IFERROR(IF(OR('Raw Data'!R149="",LEN(TRIM('Raw Data'!R149))=0),"",IF(AND(ISNUMBER('Raw Data'!R149), IFERROR('Raw Data'!R149 = ROUND('Raw Data'!R149, 2),FALSE)),"",_xlfn.REGEXEXTRACT(CELL("address",R149), "\$([A-Z]+)\$[0-9]+"))),_xlfn.REGEXEXTRACT(CELL("address",R149), "\$([A-Z]+)\$[0-9]+"))</f>
        <v/>
      </c>
      <c r="S149" s="7" t="str" cm="1">
        <f t="array" aca="1" ref="S149" ca="1">IFERROR(IF(OR('Raw Data'!S149="",LEN(TRIM('Raw Data'!S149))=0),"",IF(AND(ISNUMBER('Raw Data'!S149), IFERROR('Raw Data'!S149 = ROUND('Raw Data'!S149, 2),FALSE)),"",_xlfn.REGEXEXTRACT(CELL("address",S149), "\$([A-Z]+)\$[0-9]+"))),_xlfn.REGEXEXTRACT(CELL("address",S149), "\$([A-Z]+)\$[0-9]+"))</f>
        <v/>
      </c>
      <c r="T149" s="7" t="str" cm="1">
        <f t="array" aca="1" ref="T149" ca="1">IFERROR(IF(OR('Raw Data'!T149="",LEN(TRIM('Raw Data'!T149))=0),"",IF(AND(ISNUMBER('Raw Data'!T149), IFERROR('Raw Data'!T149 = ROUND('Raw Data'!T149, 2),FALSE)),"",_xlfn.REGEXEXTRACT(CELL("address",T149), "\$([A-Z]+)\$[0-9]+"))),_xlfn.REGEXEXTRACT(CELL("address",T149), "\$([A-Z]+)\$[0-9]+"))</f>
        <v/>
      </c>
      <c r="U149" s="7" t="str" cm="1">
        <f t="array" aca="1" ref="U149" ca="1">IFERROR(IF(OR('Raw Data'!U149="",LEN(TRIM('Raw Data'!U149))=0),"",IF(AND(LEN('Raw Data'!U149) &lt;= 5,LEN('Raw Data'!U149)&gt; 0),"",_xlfn.REGEXEXTRACT(CELL("address",'Raw Data'!U149),"\$([A-Z]+)\$[0-9]+"))),_xlfn.REGEXEXTRACT(CELL("address",'Raw Data'!U149),"\$([A-Z]+)\$[0-9]+"))</f>
        <v/>
      </c>
      <c r="V149" s="7" t="str" cm="1">
        <f t="array" aca="1" ref="V149" ca="1">IFERROR(IF(OR('Raw Data'!V149="",LEN(TRIM('Raw Data'!V149))=0),"",IF(AND(ISNUMBER('Raw Data'!V149), IFERROR('Raw Data'!V149 = ROUND('Raw Data'!V149, 2),FALSE)),"",_xlfn.REGEXEXTRACT(CELL("address",V149), "\$([A-Z]+)\$[0-9]+"))),_xlfn.REGEXEXTRACT(CELL("address",V149), "\$([A-Z]+)\$[0-9]+"))</f>
        <v/>
      </c>
      <c r="W149" s="7" t="str" cm="1">
        <f t="array" aca="1" ref="W149" ca="1">IFERROR(IF(OR('Raw Data'!W149="",LEN(TRIM('Raw Data'!W149))=0),"",IF(AND(ISNUMBER('Raw Data'!W149), IFERROR('Raw Data'!W149 = ROUND('Raw Data'!W149, 2),FALSE)),"",_xlfn.REGEXEXTRACT(CELL("address",W149), "\$([A-Z]+)\$[0-9]+"))),_xlfn.REGEXEXTRACT(CELL("address",W149), "\$([A-Z]+)\$[0-9]+"))</f>
        <v/>
      </c>
      <c r="X149" s="7" t="str" cm="1">
        <f t="array" aca="1" ref="X149" ca="1">IFERROR(IF(OR('Raw Data'!X149="",LEN(TRIM('Raw Data'!X149))=0),"",IF(AND(ISNUMBER('Raw Data'!X149), IFERROR('Raw Data'!X149 = ROUND('Raw Data'!X149, 2),FALSE)),"",_xlfn.REGEXEXTRACT(CELL("address",X149), "\$([A-Z]+)\$[0-9]+"))),_xlfn.REGEXEXTRACT(CELL("address",X149), "\$([A-Z]+)\$[0-9]+"))</f>
        <v/>
      </c>
    </row>
    <row r="150" spans="2:24" x14ac:dyDescent="0.25">
      <c r="B150" s="7" t="str" cm="1">
        <f t="array" aca="1" ref="B150" ca="1">IFERROR(IF(OR('Raw Data'!B150="",LEN(TRIM('Raw Data'!B150))=0),"",IF(AND(LEN('Raw Data'!B150) &lt;= 50,LEN('Raw Data'!B150)&gt; 0),"",_xlfn.REGEXEXTRACT(CELL("address",'Raw Data'!B150),"\$([A-Z]+)\$[0-9]+"))),_xlfn.REGEXEXTRACT(CELL("address",'Raw Data'!B150),"\$([A-Z]+)\$[0-9]+"))</f>
        <v/>
      </c>
      <c r="C150" s="7" t="str" cm="1">
        <f t="array" aca="1" ref="C150" ca="1">IFERROR(IF(OR('Raw Data'!C150="",LEN(TRIM('Raw Data'!C150))=0),"",IF(AND(LEN('Raw Data'!C150) &lt;= 50,LEN('Raw Data'!C150)&gt; 0),"",_xlfn.REGEXEXTRACT(CELL("address",'Raw Data'!C150),"\$([A-Z]+)\$[0-9]+"))),_xlfn.REGEXEXTRACT(CELL("address",'Raw Data'!C150),"\$([A-Z]+)\$[0-9]+"))</f>
        <v/>
      </c>
      <c r="D150" s="7" t="str" cm="1">
        <f t="array" aca="1" ref="D150" ca="1">IFERROR(IF(OR('Raw Data'!D150="",LEN(TRIM('Raw Data'!D150))=0),"",IF(AND(LEN('Raw Data'!D150) &lt;= 255,LEN('Raw Data'!D150)&gt; 0),"",_xlfn.REGEXEXTRACT(CELL("address",'Raw Data'!D150),"\$([A-Z]+)\$[0-9]+"))),_xlfn.REGEXEXTRACT(CELL("address",'Raw Data'!D150),"\$([A-Z]+)\$[0-9]+"))</f>
        <v/>
      </c>
      <c r="E150" s="7" t="str" cm="1">
        <f t="array" aca="1" ref="E150" ca="1">IFERROR(IF(OR('Raw Data'!E150="",LEN(TRIM('Raw Data'!E150))=0),"",IF(AND(ISNUMBER('Raw Data'!E150),'Raw Data'!E150&gt;=Configuration!$D$2),"",_xlfn.REGEXEXTRACT(CELL("address",'Raw Data'!E150),"\$([A-Z]+)\$[0-9]+"))),_xlfn.REGEXEXTRACT(CELL("address",E150), "\$([A-Z]+)\$[0-9]+"))</f>
        <v/>
      </c>
      <c r="F150" s="7" t="str" cm="1">
        <f t="array" aca="1" ref="F150" ca="1">IFERROR(IF(OR('Raw Data'!F150="",LEN(TRIM('Raw Data'!F150))=0),"",IF(AND(LEN('Raw Data'!F150) &lt;= 20,LEN('Raw Data'!F150)&gt; 0),"",_xlfn.REGEXEXTRACT(CELL("address",'Raw Data'!F150),"\$([A-Z]+)\$[0-9]+"))),_xlfn.REGEXEXTRACT(CELL("address",'Raw Data'!F150),"\$([A-Z]+)\$[0-9]+"))</f>
        <v/>
      </c>
      <c r="G150" s="7" t="str" cm="1">
        <f t="array" aca="1" ref="G150" ca="1">IFERROR(IF(OR('Raw Data'!G150="",LEN(TRIM('Raw Data'!G150))=0),"",IF(AND(ISNUMBER('Raw Data'!G150), IFERROR('Raw Data'!G150 = ROUND('Raw Data'!G150, 2),FALSE)),"",_xlfn.REGEXEXTRACT(CELL("address",G150), "\$([A-Z]+)\$[0-9]+"))),_xlfn.REGEXEXTRACT(CELL("address",G150), "\$([A-Z]+)\$[0-9]+"))</f>
        <v/>
      </c>
      <c r="H150" s="7" t="str" cm="1">
        <f t="array" aca="1" ref="H150" ca="1">IFERROR(IF(OR('Raw Data'!H150="",LEN(TRIM('Raw Data'!H150))=0),"",IF(AND(ISNUMBER('Raw Data'!H150), IFERROR('Raw Data'!H150 = ROUND('Raw Data'!H150, 2),FALSE)),"",_xlfn.REGEXEXTRACT(CELL("address",H150), "\$([A-Z]+)\$[0-9]+"))),_xlfn.REGEXEXTRACT(CELL("address",H150), "\$([A-Z]+)\$[0-9]+"))</f>
        <v/>
      </c>
      <c r="I150" s="7" t="str" cm="1">
        <f t="array" aca="1" ref="I150" ca="1">IFERROR(IF(OR('Raw Data'!I150="",LEN(TRIM('Raw Data'!I150))=0),"",IF(AND(LEN('Raw Data'!I150) &lt;= 50,LEN('Raw Data'!I150)&gt; 0),"",_xlfn.REGEXEXTRACT(CELL("address",'Raw Data'!I150),"\$([A-Z]+)\$[0-9]+"))),_xlfn.REGEXEXTRACT(CELL("address",'Raw Data'!I150),"\$([A-Z]+)\$[0-9]+"))</f>
        <v/>
      </c>
      <c r="J150" s="7" t="str" cm="1">
        <f t="array" aca="1" ref="J150" ca="1">IFERROR(IF(OR('Raw Data'!J150="",LEN(TRIM('Raw Data'!J150))=0),"",IF(AND(ISNUMBER('Raw Data'!J150),'Raw Data'!J150&gt;=Configuration!$D$2),"",_xlfn.REGEXEXTRACT(CELL("address",'Raw Data'!J150),"\$([A-Z]+)\$[0-9]+"))),_xlfn.REGEXEXTRACT(CELL("address",J150), "\$([A-Z]+)\$[0-9]+"))</f>
        <v/>
      </c>
      <c r="K150" s="7" t="str" cm="1">
        <f t="array" aca="1" ref="K150" ca="1">IFERROR(IF(OR('Raw Data'!K150="",LEN(TRIM('Raw Data'!K150))=0),"",IF(AND(ISNUMBER('Raw Data'!K150), IFERROR('Raw Data'!K150 = ROUND('Raw Data'!K150, 2),FALSE)),"",_xlfn.REGEXEXTRACT(CELL("address",K150), "\$([A-Z]+)\$[0-9]+"))),_xlfn.REGEXEXTRACT(CELL("address",K150), "\$([A-Z]+)\$[0-9]+"))</f>
        <v/>
      </c>
      <c r="L150" s="7" t="str" cm="1">
        <f t="array" aca="1" ref="L150" ca="1">IFERROR(IF(OR('Raw Data'!L150="",LEN(TRIM('Raw Data'!L150))=0),"",IF(AND(ISNUMBER('Raw Data'!L150), IFERROR('Raw Data'!L150 = ROUND('Raw Data'!L150, 2),FALSE)),"",_xlfn.REGEXEXTRACT(CELL("address",L150), "\$([A-Z]+)\$[0-9]+"))),_xlfn.REGEXEXTRACT(CELL("address",L150), "\$([A-Z]+)\$[0-9]+"))</f>
        <v/>
      </c>
      <c r="M150" s="7" t="str" cm="1">
        <f t="array" aca="1" ref="M150" ca="1">IFERROR(IF(OR('Raw Data'!M150="",LEN(TRIM('Raw Data'!M150))=0),"",IF(AND(ISNUMBER('Raw Data'!M150), IFERROR('Raw Data'!M150 = ROUND('Raw Data'!M150, 2),FALSE)),"",_xlfn.REGEXEXTRACT(CELL("address",M150), "\$([A-Z]+)\$[0-9]+"))),_xlfn.REGEXEXTRACT(CELL("address",M150), "\$([A-Z]+)\$[0-9]+"))</f>
        <v/>
      </c>
      <c r="N150" s="7" t="str" cm="1">
        <f t="array" aca="1" ref="N150" ca="1">IFERROR(IF(OR('Raw Data'!N150="",LEN(TRIM('Raw Data'!N150))=0),"",IF(AND(ISNUMBER('Raw Data'!N150), IFERROR('Raw Data'!N150 = ROUND('Raw Data'!N150, 2),FALSE)),"",_xlfn.REGEXEXTRACT(CELL("address",N150), "\$([A-Z]+)\$[0-9]+"))),_xlfn.REGEXEXTRACT(CELL("address",N150), "\$([A-Z]+)\$[0-9]+"))</f>
        <v/>
      </c>
      <c r="O150" s="7" t="str" cm="1">
        <f t="array" aca="1" ref="O150" ca="1">IFERROR(IF(OR('Raw Data'!O150="",LEN(TRIM('Raw Data'!O150))=0),"",IF(AND(ISNUMBER('Raw Data'!O150), IFERROR('Raw Data'!O150 = ROUND('Raw Data'!O150, 2),FALSE)),"",_xlfn.REGEXEXTRACT(CELL("address",O150), "\$([A-Z]+)\$[0-9]+"))),_xlfn.REGEXEXTRACT(CELL("address",O150), "\$([A-Z]+)\$[0-9]+"))</f>
        <v/>
      </c>
      <c r="P150" s="7" t="str" cm="1">
        <f t="array" aca="1" ref="P150" ca="1">IFERROR(IF(OR('Raw Data'!P150="",LEN(TRIM('Raw Data'!P150))=0),"",IF(AND(ISNUMBER('Raw Data'!P150),'Raw Data'!P150&gt;=Configuration!$D$2),"",_xlfn.REGEXEXTRACT(CELL("address",'Raw Data'!P150),"\$([A-Z]+)\$[0-9]+"))),_xlfn.REGEXEXTRACT(CELL("address",P150), "\$([A-Z]+)\$[0-9]+"))</f>
        <v/>
      </c>
      <c r="Q150" s="7" t="str" cm="1">
        <f t="array" aca="1" ref="Q150" ca="1">IFERROR(IF(OR('Raw Data'!Q150="",LEN(TRIM('Raw Data'!Q150))=0),"",IF(AND(ISNUMBER('Raw Data'!Q150),'Raw Data'!Q150&gt;=Configuration!$D$2),"",_xlfn.REGEXEXTRACT(CELL("address",'Raw Data'!Q150),"\$([A-Z]+)\$[0-9]+"))),_xlfn.REGEXEXTRACT(CELL("address",Q150), "\$([A-Z]+)\$[0-9]+"))</f>
        <v/>
      </c>
      <c r="R150" s="7" t="str" cm="1">
        <f t="array" aca="1" ref="R150" ca="1">IFERROR(IF(OR('Raw Data'!R150="",LEN(TRIM('Raw Data'!R150))=0),"",IF(AND(ISNUMBER('Raw Data'!R150), IFERROR('Raw Data'!R150 = ROUND('Raw Data'!R150, 2),FALSE)),"",_xlfn.REGEXEXTRACT(CELL("address",R150), "\$([A-Z]+)\$[0-9]+"))),_xlfn.REGEXEXTRACT(CELL("address",R150), "\$([A-Z]+)\$[0-9]+"))</f>
        <v/>
      </c>
      <c r="S150" s="7" t="str" cm="1">
        <f t="array" aca="1" ref="S150" ca="1">IFERROR(IF(OR('Raw Data'!S150="",LEN(TRIM('Raw Data'!S150))=0),"",IF(AND(ISNUMBER('Raw Data'!S150), IFERROR('Raw Data'!S150 = ROUND('Raw Data'!S150, 2),FALSE)),"",_xlfn.REGEXEXTRACT(CELL("address",S150), "\$([A-Z]+)\$[0-9]+"))),_xlfn.REGEXEXTRACT(CELL("address",S150), "\$([A-Z]+)\$[0-9]+"))</f>
        <v/>
      </c>
      <c r="T150" s="7" t="str" cm="1">
        <f t="array" aca="1" ref="T150" ca="1">IFERROR(IF(OR('Raw Data'!T150="",LEN(TRIM('Raw Data'!T150))=0),"",IF(AND(ISNUMBER('Raw Data'!T150), IFERROR('Raw Data'!T150 = ROUND('Raw Data'!T150, 2),FALSE)),"",_xlfn.REGEXEXTRACT(CELL("address",T150), "\$([A-Z]+)\$[0-9]+"))),_xlfn.REGEXEXTRACT(CELL("address",T150), "\$([A-Z]+)\$[0-9]+"))</f>
        <v/>
      </c>
      <c r="U150" s="7" t="str" cm="1">
        <f t="array" aca="1" ref="U150" ca="1">IFERROR(IF(OR('Raw Data'!U150="",LEN(TRIM('Raw Data'!U150))=0),"",IF(AND(LEN('Raw Data'!U150) &lt;= 5,LEN('Raw Data'!U150)&gt; 0),"",_xlfn.REGEXEXTRACT(CELL("address",'Raw Data'!U150),"\$([A-Z]+)\$[0-9]+"))),_xlfn.REGEXEXTRACT(CELL("address",'Raw Data'!U150),"\$([A-Z]+)\$[0-9]+"))</f>
        <v/>
      </c>
      <c r="V150" s="7" t="str" cm="1">
        <f t="array" aca="1" ref="V150" ca="1">IFERROR(IF(OR('Raw Data'!V150="",LEN(TRIM('Raw Data'!V150))=0),"",IF(AND(ISNUMBER('Raw Data'!V150), IFERROR('Raw Data'!V150 = ROUND('Raw Data'!V150, 2),FALSE)),"",_xlfn.REGEXEXTRACT(CELL("address",V150), "\$([A-Z]+)\$[0-9]+"))),_xlfn.REGEXEXTRACT(CELL("address",V150), "\$([A-Z]+)\$[0-9]+"))</f>
        <v/>
      </c>
      <c r="W150" s="7" t="str" cm="1">
        <f t="array" aca="1" ref="W150" ca="1">IFERROR(IF(OR('Raw Data'!W150="",LEN(TRIM('Raw Data'!W150))=0),"",IF(AND(ISNUMBER('Raw Data'!W150), IFERROR('Raw Data'!W150 = ROUND('Raw Data'!W150, 2),FALSE)),"",_xlfn.REGEXEXTRACT(CELL("address",W150), "\$([A-Z]+)\$[0-9]+"))),_xlfn.REGEXEXTRACT(CELL("address",W150), "\$([A-Z]+)\$[0-9]+"))</f>
        <v/>
      </c>
      <c r="X150" s="7" t="str" cm="1">
        <f t="array" aca="1" ref="X150" ca="1">IFERROR(IF(OR('Raw Data'!X150="",LEN(TRIM('Raw Data'!X150))=0),"",IF(AND(ISNUMBER('Raw Data'!X150), IFERROR('Raw Data'!X150 = ROUND('Raw Data'!X150, 2),FALSE)),"",_xlfn.REGEXEXTRACT(CELL("address",X150), "\$([A-Z]+)\$[0-9]+"))),_xlfn.REGEXEXTRACT(CELL("address",X150), "\$([A-Z]+)\$[0-9]+"))</f>
        <v/>
      </c>
    </row>
    <row r="151" spans="2:24" x14ac:dyDescent="0.25">
      <c r="B151" s="7" t="str" cm="1">
        <f t="array" aca="1" ref="B151" ca="1">IFERROR(IF(OR('Raw Data'!B151="",LEN(TRIM('Raw Data'!B151))=0),"",IF(AND(LEN('Raw Data'!B151) &lt;= 50,LEN('Raw Data'!B151)&gt; 0),"",_xlfn.REGEXEXTRACT(CELL("address",'Raw Data'!B151),"\$([A-Z]+)\$[0-9]+"))),_xlfn.REGEXEXTRACT(CELL("address",'Raw Data'!B151),"\$([A-Z]+)\$[0-9]+"))</f>
        <v/>
      </c>
      <c r="C151" s="7" t="str" cm="1">
        <f t="array" aca="1" ref="C151" ca="1">IFERROR(IF(OR('Raw Data'!C151="",LEN(TRIM('Raw Data'!C151))=0),"",IF(AND(LEN('Raw Data'!C151) &lt;= 50,LEN('Raw Data'!C151)&gt; 0),"",_xlfn.REGEXEXTRACT(CELL("address",'Raw Data'!C151),"\$([A-Z]+)\$[0-9]+"))),_xlfn.REGEXEXTRACT(CELL("address",'Raw Data'!C151),"\$([A-Z]+)\$[0-9]+"))</f>
        <v/>
      </c>
      <c r="D151" s="7" t="str" cm="1">
        <f t="array" aca="1" ref="D151" ca="1">IFERROR(IF(OR('Raw Data'!D151="",LEN(TRIM('Raw Data'!D151))=0),"",IF(AND(LEN('Raw Data'!D151) &lt;= 255,LEN('Raw Data'!D151)&gt; 0),"",_xlfn.REGEXEXTRACT(CELL("address",'Raw Data'!D151),"\$([A-Z]+)\$[0-9]+"))),_xlfn.REGEXEXTRACT(CELL("address",'Raw Data'!D151),"\$([A-Z]+)\$[0-9]+"))</f>
        <v/>
      </c>
      <c r="E151" s="7" t="str" cm="1">
        <f t="array" aca="1" ref="E151" ca="1">IFERROR(IF(OR('Raw Data'!E151="",LEN(TRIM('Raw Data'!E151))=0),"",IF(AND(ISNUMBER('Raw Data'!E151),'Raw Data'!E151&gt;=Configuration!$D$2),"",_xlfn.REGEXEXTRACT(CELL("address",'Raw Data'!E151),"\$([A-Z]+)\$[0-9]+"))),_xlfn.REGEXEXTRACT(CELL("address",E151), "\$([A-Z]+)\$[0-9]+"))</f>
        <v/>
      </c>
      <c r="F151" s="7" t="str" cm="1">
        <f t="array" aca="1" ref="F151" ca="1">IFERROR(IF(OR('Raw Data'!F151="",LEN(TRIM('Raw Data'!F151))=0),"",IF(AND(LEN('Raw Data'!F151) &lt;= 20,LEN('Raw Data'!F151)&gt; 0),"",_xlfn.REGEXEXTRACT(CELL("address",'Raw Data'!F151),"\$([A-Z]+)\$[0-9]+"))),_xlfn.REGEXEXTRACT(CELL("address",'Raw Data'!F151),"\$([A-Z]+)\$[0-9]+"))</f>
        <v/>
      </c>
      <c r="G151" s="7" t="str" cm="1">
        <f t="array" aca="1" ref="G151" ca="1">IFERROR(IF(OR('Raw Data'!G151="",LEN(TRIM('Raw Data'!G151))=0),"",IF(AND(ISNUMBER('Raw Data'!G151), IFERROR('Raw Data'!G151 = ROUND('Raw Data'!G151, 2),FALSE)),"",_xlfn.REGEXEXTRACT(CELL("address",G151), "\$([A-Z]+)\$[0-9]+"))),_xlfn.REGEXEXTRACT(CELL("address",G151), "\$([A-Z]+)\$[0-9]+"))</f>
        <v/>
      </c>
      <c r="H151" s="7" t="str" cm="1">
        <f t="array" aca="1" ref="H151" ca="1">IFERROR(IF(OR('Raw Data'!H151="",LEN(TRIM('Raw Data'!H151))=0),"",IF(AND(ISNUMBER('Raw Data'!H151), IFERROR('Raw Data'!H151 = ROUND('Raw Data'!H151, 2),FALSE)),"",_xlfn.REGEXEXTRACT(CELL("address",H151), "\$([A-Z]+)\$[0-9]+"))),_xlfn.REGEXEXTRACT(CELL("address",H151), "\$([A-Z]+)\$[0-9]+"))</f>
        <v/>
      </c>
      <c r="I151" s="7" t="str" cm="1">
        <f t="array" aca="1" ref="I151" ca="1">IFERROR(IF(OR('Raw Data'!I151="",LEN(TRIM('Raw Data'!I151))=0),"",IF(AND(LEN('Raw Data'!I151) &lt;= 50,LEN('Raw Data'!I151)&gt; 0),"",_xlfn.REGEXEXTRACT(CELL("address",'Raw Data'!I151),"\$([A-Z]+)\$[0-9]+"))),_xlfn.REGEXEXTRACT(CELL("address",'Raw Data'!I151),"\$([A-Z]+)\$[0-9]+"))</f>
        <v/>
      </c>
      <c r="J151" s="7" t="str" cm="1">
        <f t="array" aca="1" ref="J151" ca="1">IFERROR(IF(OR('Raw Data'!J151="",LEN(TRIM('Raw Data'!J151))=0),"",IF(AND(ISNUMBER('Raw Data'!J151),'Raw Data'!J151&gt;=Configuration!$D$2),"",_xlfn.REGEXEXTRACT(CELL("address",'Raw Data'!J151),"\$([A-Z]+)\$[0-9]+"))),_xlfn.REGEXEXTRACT(CELL("address",J151), "\$([A-Z]+)\$[0-9]+"))</f>
        <v/>
      </c>
      <c r="K151" s="7" t="str" cm="1">
        <f t="array" aca="1" ref="K151" ca="1">IFERROR(IF(OR('Raw Data'!K151="",LEN(TRIM('Raw Data'!K151))=0),"",IF(AND(ISNUMBER('Raw Data'!K151), IFERROR('Raw Data'!K151 = ROUND('Raw Data'!K151, 2),FALSE)),"",_xlfn.REGEXEXTRACT(CELL("address",K151), "\$([A-Z]+)\$[0-9]+"))),_xlfn.REGEXEXTRACT(CELL("address",K151), "\$([A-Z]+)\$[0-9]+"))</f>
        <v/>
      </c>
      <c r="L151" s="7" t="str" cm="1">
        <f t="array" aca="1" ref="L151" ca="1">IFERROR(IF(OR('Raw Data'!L151="",LEN(TRIM('Raw Data'!L151))=0),"",IF(AND(ISNUMBER('Raw Data'!L151), IFERROR('Raw Data'!L151 = ROUND('Raw Data'!L151, 2),FALSE)),"",_xlfn.REGEXEXTRACT(CELL("address",L151), "\$([A-Z]+)\$[0-9]+"))),_xlfn.REGEXEXTRACT(CELL("address",L151), "\$([A-Z]+)\$[0-9]+"))</f>
        <v/>
      </c>
      <c r="M151" s="7" t="str" cm="1">
        <f t="array" aca="1" ref="M151" ca="1">IFERROR(IF(OR('Raw Data'!M151="",LEN(TRIM('Raw Data'!M151))=0),"",IF(AND(ISNUMBER('Raw Data'!M151), IFERROR('Raw Data'!M151 = ROUND('Raw Data'!M151, 2),FALSE)),"",_xlfn.REGEXEXTRACT(CELL("address",M151), "\$([A-Z]+)\$[0-9]+"))),_xlfn.REGEXEXTRACT(CELL("address",M151), "\$([A-Z]+)\$[0-9]+"))</f>
        <v/>
      </c>
      <c r="N151" s="7" t="str" cm="1">
        <f t="array" aca="1" ref="N151" ca="1">IFERROR(IF(OR('Raw Data'!N151="",LEN(TRIM('Raw Data'!N151))=0),"",IF(AND(ISNUMBER('Raw Data'!N151), IFERROR('Raw Data'!N151 = ROUND('Raw Data'!N151, 2),FALSE)),"",_xlfn.REGEXEXTRACT(CELL("address",N151), "\$([A-Z]+)\$[0-9]+"))),_xlfn.REGEXEXTRACT(CELL("address",N151), "\$([A-Z]+)\$[0-9]+"))</f>
        <v/>
      </c>
      <c r="O151" s="7" t="str" cm="1">
        <f t="array" aca="1" ref="O151" ca="1">IFERROR(IF(OR('Raw Data'!O151="",LEN(TRIM('Raw Data'!O151))=0),"",IF(AND(ISNUMBER('Raw Data'!O151), IFERROR('Raw Data'!O151 = ROUND('Raw Data'!O151, 2),FALSE)),"",_xlfn.REGEXEXTRACT(CELL("address",O151), "\$([A-Z]+)\$[0-9]+"))),_xlfn.REGEXEXTRACT(CELL("address",O151), "\$([A-Z]+)\$[0-9]+"))</f>
        <v/>
      </c>
      <c r="P151" s="7" t="str" cm="1">
        <f t="array" aca="1" ref="P151" ca="1">IFERROR(IF(OR('Raw Data'!P151="",LEN(TRIM('Raw Data'!P151))=0),"",IF(AND(ISNUMBER('Raw Data'!P151),'Raw Data'!P151&gt;=Configuration!$D$2),"",_xlfn.REGEXEXTRACT(CELL("address",'Raw Data'!P151),"\$([A-Z]+)\$[0-9]+"))),_xlfn.REGEXEXTRACT(CELL("address",P151), "\$([A-Z]+)\$[0-9]+"))</f>
        <v/>
      </c>
      <c r="Q151" s="7" t="str" cm="1">
        <f t="array" aca="1" ref="Q151" ca="1">IFERROR(IF(OR('Raw Data'!Q151="",LEN(TRIM('Raw Data'!Q151))=0),"",IF(AND(ISNUMBER('Raw Data'!Q151),'Raw Data'!Q151&gt;=Configuration!$D$2),"",_xlfn.REGEXEXTRACT(CELL("address",'Raw Data'!Q151),"\$([A-Z]+)\$[0-9]+"))),_xlfn.REGEXEXTRACT(CELL("address",Q151), "\$([A-Z]+)\$[0-9]+"))</f>
        <v/>
      </c>
      <c r="R151" s="7" t="str" cm="1">
        <f t="array" aca="1" ref="R151" ca="1">IFERROR(IF(OR('Raw Data'!R151="",LEN(TRIM('Raw Data'!R151))=0),"",IF(AND(ISNUMBER('Raw Data'!R151), IFERROR('Raw Data'!R151 = ROUND('Raw Data'!R151, 2),FALSE)),"",_xlfn.REGEXEXTRACT(CELL("address",R151), "\$([A-Z]+)\$[0-9]+"))),_xlfn.REGEXEXTRACT(CELL("address",R151), "\$([A-Z]+)\$[0-9]+"))</f>
        <v/>
      </c>
      <c r="S151" s="7" t="str" cm="1">
        <f t="array" aca="1" ref="S151" ca="1">IFERROR(IF(OR('Raw Data'!S151="",LEN(TRIM('Raw Data'!S151))=0),"",IF(AND(ISNUMBER('Raw Data'!S151), IFERROR('Raw Data'!S151 = ROUND('Raw Data'!S151, 2),FALSE)),"",_xlfn.REGEXEXTRACT(CELL("address",S151), "\$([A-Z]+)\$[0-9]+"))),_xlfn.REGEXEXTRACT(CELL("address",S151), "\$([A-Z]+)\$[0-9]+"))</f>
        <v/>
      </c>
      <c r="T151" s="7" t="str" cm="1">
        <f t="array" aca="1" ref="T151" ca="1">IFERROR(IF(OR('Raw Data'!T151="",LEN(TRIM('Raw Data'!T151))=0),"",IF(AND(ISNUMBER('Raw Data'!T151), IFERROR('Raw Data'!T151 = ROUND('Raw Data'!T151, 2),FALSE)),"",_xlfn.REGEXEXTRACT(CELL("address",T151), "\$([A-Z]+)\$[0-9]+"))),_xlfn.REGEXEXTRACT(CELL("address",T151), "\$([A-Z]+)\$[0-9]+"))</f>
        <v/>
      </c>
      <c r="U151" s="7" t="str" cm="1">
        <f t="array" aca="1" ref="U151" ca="1">IFERROR(IF(OR('Raw Data'!U151="",LEN(TRIM('Raw Data'!U151))=0),"",IF(AND(LEN('Raw Data'!U151) &lt;= 5,LEN('Raw Data'!U151)&gt; 0),"",_xlfn.REGEXEXTRACT(CELL("address",'Raw Data'!U151),"\$([A-Z]+)\$[0-9]+"))),_xlfn.REGEXEXTRACT(CELL("address",'Raw Data'!U151),"\$([A-Z]+)\$[0-9]+"))</f>
        <v/>
      </c>
      <c r="V151" s="7" t="str" cm="1">
        <f t="array" aca="1" ref="V151" ca="1">IFERROR(IF(OR('Raw Data'!V151="",LEN(TRIM('Raw Data'!V151))=0),"",IF(AND(ISNUMBER('Raw Data'!V151), IFERROR('Raw Data'!V151 = ROUND('Raw Data'!V151, 2),FALSE)),"",_xlfn.REGEXEXTRACT(CELL("address",V151), "\$([A-Z]+)\$[0-9]+"))),_xlfn.REGEXEXTRACT(CELL("address",V151), "\$([A-Z]+)\$[0-9]+"))</f>
        <v/>
      </c>
      <c r="W151" s="7" t="str" cm="1">
        <f t="array" aca="1" ref="W151" ca="1">IFERROR(IF(OR('Raw Data'!W151="",LEN(TRIM('Raw Data'!W151))=0),"",IF(AND(ISNUMBER('Raw Data'!W151), IFERROR('Raw Data'!W151 = ROUND('Raw Data'!W151, 2),FALSE)),"",_xlfn.REGEXEXTRACT(CELL("address",W151), "\$([A-Z]+)\$[0-9]+"))),_xlfn.REGEXEXTRACT(CELL("address",W151), "\$([A-Z]+)\$[0-9]+"))</f>
        <v/>
      </c>
      <c r="X151" s="7" t="str" cm="1">
        <f t="array" aca="1" ref="X151" ca="1">IFERROR(IF(OR('Raw Data'!X151="",LEN(TRIM('Raw Data'!X151))=0),"",IF(AND(ISNUMBER('Raw Data'!X151), IFERROR('Raw Data'!X151 = ROUND('Raw Data'!X151, 2),FALSE)),"",_xlfn.REGEXEXTRACT(CELL("address",X151), "\$([A-Z]+)\$[0-9]+"))),_xlfn.REGEXEXTRACT(CELL("address",X151), "\$([A-Z]+)\$[0-9]+"))</f>
        <v/>
      </c>
    </row>
    <row r="152" spans="2:24" x14ac:dyDescent="0.25">
      <c r="B152" s="7" t="str" cm="1">
        <f t="array" aca="1" ref="B152" ca="1">IFERROR(IF(OR('Raw Data'!B152="",LEN(TRIM('Raw Data'!B152))=0),"",IF(AND(LEN('Raw Data'!B152) &lt;= 50,LEN('Raw Data'!B152)&gt; 0),"",_xlfn.REGEXEXTRACT(CELL("address",'Raw Data'!B152),"\$([A-Z]+)\$[0-9]+"))),_xlfn.REGEXEXTRACT(CELL("address",'Raw Data'!B152),"\$([A-Z]+)\$[0-9]+"))</f>
        <v/>
      </c>
      <c r="C152" s="7" t="str" cm="1">
        <f t="array" aca="1" ref="C152" ca="1">IFERROR(IF(OR('Raw Data'!C152="",LEN(TRIM('Raw Data'!C152))=0),"",IF(AND(LEN('Raw Data'!C152) &lt;= 50,LEN('Raw Data'!C152)&gt; 0),"",_xlfn.REGEXEXTRACT(CELL("address",'Raw Data'!C152),"\$([A-Z]+)\$[0-9]+"))),_xlfn.REGEXEXTRACT(CELL("address",'Raw Data'!C152),"\$([A-Z]+)\$[0-9]+"))</f>
        <v/>
      </c>
      <c r="D152" s="7" t="str" cm="1">
        <f t="array" aca="1" ref="D152" ca="1">IFERROR(IF(OR('Raw Data'!D152="",LEN(TRIM('Raw Data'!D152))=0),"",IF(AND(LEN('Raw Data'!D152) &lt;= 255,LEN('Raw Data'!D152)&gt; 0),"",_xlfn.REGEXEXTRACT(CELL("address",'Raw Data'!D152),"\$([A-Z]+)\$[0-9]+"))),_xlfn.REGEXEXTRACT(CELL("address",'Raw Data'!D152),"\$([A-Z]+)\$[0-9]+"))</f>
        <v/>
      </c>
      <c r="E152" s="7" t="str" cm="1">
        <f t="array" aca="1" ref="E152" ca="1">IFERROR(IF(OR('Raw Data'!E152="",LEN(TRIM('Raw Data'!E152))=0),"",IF(AND(ISNUMBER('Raw Data'!E152),'Raw Data'!E152&gt;=Configuration!$D$2),"",_xlfn.REGEXEXTRACT(CELL("address",'Raw Data'!E152),"\$([A-Z]+)\$[0-9]+"))),_xlfn.REGEXEXTRACT(CELL("address",E152), "\$([A-Z]+)\$[0-9]+"))</f>
        <v/>
      </c>
      <c r="F152" s="7" t="str" cm="1">
        <f t="array" aca="1" ref="F152" ca="1">IFERROR(IF(OR('Raw Data'!F152="",LEN(TRIM('Raw Data'!F152))=0),"",IF(AND(LEN('Raw Data'!F152) &lt;= 20,LEN('Raw Data'!F152)&gt; 0),"",_xlfn.REGEXEXTRACT(CELL("address",'Raw Data'!F152),"\$([A-Z]+)\$[0-9]+"))),_xlfn.REGEXEXTRACT(CELL("address",'Raw Data'!F152),"\$([A-Z]+)\$[0-9]+"))</f>
        <v/>
      </c>
      <c r="G152" s="7" t="str" cm="1">
        <f t="array" aca="1" ref="G152" ca="1">IFERROR(IF(OR('Raw Data'!G152="",LEN(TRIM('Raw Data'!G152))=0),"",IF(AND(ISNUMBER('Raw Data'!G152), IFERROR('Raw Data'!G152 = ROUND('Raw Data'!G152, 2),FALSE)),"",_xlfn.REGEXEXTRACT(CELL("address",G152), "\$([A-Z]+)\$[0-9]+"))),_xlfn.REGEXEXTRACT(CELL("address",G152), "\$([A-Z]+)\$[0-9]+"))</f>
        <v/>
      </c>
      <c r="H152" s="7" t="str" cm="1">
        <f t="array" aca="1" ref="H152" ca="1">IFERROR(IF(OR('Raw Data'!H152="",LEN(TRIM('Raw Data'!H152))=0),"",IF(AND(ISNUMBER('Raw Data'!H152), IFERROR('Raw Data'!H152 = ROUND('Raw Data'!H152, 2),FALSE)),"",_xlfn.REGEXEXTRACT(CELL("address",H152), "\$([A-Z]+)\$[0-9]+"))),_xlfn.REGEXEXTRACT(CELL("address",H152), "\$([A-Z]+)\$[0-9]+"))</f>
        <v/>
      </c>
      <c r="I152" s="7" t="str" cm="1">
        <f t="array" aca="1" ref="I152" ca="1">IFERROR(IF(OR('Raw Data'!I152="",LEN(TRIM('Raw Data'!I152))=0),"",IF(AND(LEN('Raw Data'!I152) &lt;= 50,LEN('Raw Data'!I152)&gt; 0),"",_xlfn.REGEXEXTRACT(CELL("address",'Raw Data'!I152),"\$([A-Z]+)\$[0-9]+"))),_xlfn.REGEXEXTRACT(CELL("address",'Raw Data'!I152),"\$([A-Z]+)\$[0-9]+"))</f>
        <v/>
      </c>
      <c r="J152" s="7" t="str" cm="1">
        <f t="array" aca="1" ref="J152" ca="1">IFERROR(IF(OR('Raw Data'!J152="",LEN(TRIM('Raw Data'!J152))=0),"",IF(AND(ISNUMBER('Raw Data'!J152),'Raw Data'!J152&gt;=Configuration!$D$2),"",_xlfn.REGEXEXTRACT(CELL("address",'Raw Data'!J152),"\$([A-Z]+)\$[0-9]+"))),_xlfn.REGEXEXTRACT(CELL("address",J152), "\$([A-Z]+)\$[0-9]+"))</f>
        <v/>
      </c>
      <c r="K152" s="7" t="str" cm="1">
        <f t="array" aca="1" ref="K152" ca="1">IFERROR(IF(OR('Raw Data'!K152="",LEN(TRIM('Raw Data'!K152))=0),"",IF(AND(ISNUMBER('Raw Data'!K152), IFERROR('Raw Data'!K152 = ROUND('Raw Data'!K152, 2),FALSE)),"",_xlfn.REGEXEXTRACT(CELL("address",K152), "\$([A-Z]+)\$[0-9]+"))),_xlfn.REGEXEXTRACT(CELL("address",K152), "\$([A-Z]+)\$[0-9]+"))</f>
        <v/>
      </c>
      <c r="L152" s="7" t="str" cm="1">
        <f t="array" aca="1" ref="L152" ca="1">IFERROR(IF(OR('Raw Data'!L152="",LEN(TRIM('Raw Data'!L152))=0),"",IF(AND(ISNUMBER('Raw Data'!L152), IFERROR('Raw Data'!L152 = ROUND('Raw Data'!L152, 2),FALSE)),"",_xlfn.REGEXEXTRACT(CELL("address",L152), "\$([A-Z]+)\$[0-9]+"))),_xlfn.REGEXEXTRACT(CELL("address",L152), "\$([A-Z]+)\$[0-9]+"))</f>
        <v/>
      </c>
      <c r="M152" s="7" t="str" cm="1">
        <f t="array" aca="1" ref="M152" ca="1">IFERROR(IF(OR('Raw Data'!M152="",LEN(TRIM('Raw Data'!M152))=0),"",IF(AND(ISNUMBER('Raw Data'!M152), IFERROR('Raw Data'!M152 = ROUND('Raw Data'!M152, 2),FALSE)),"",_xlfn.REGEXEXTRACT(CELL("address",M152), "\$([A-Z]+)\$[0-9]+"))),_xlfn.REGEXEXTRACT(CELL("address",M152), "\$([A-Z]+)\$[0-9]+"))</f>
        <v/>
      </c>
      <c r="N152" s="7" t="str" cm="1">
        <f t="array" aca="1" ref="N152" ca="1">IFERROR(IF(OR('Raw Data'!N152="",LEN(TRIM('Raw Data'!N152))=0),"",IF(AND(ISNUMBER('Raw Data'!N152), IFERROR('Raw Data'!N152 = ROUND('Raw Data'!N152, 2),FALSE)),"",_xlfn.REGEXEXTRACT(CELL("address",N152), "\$([A-Z]+)\$[0-9]+"))),_xlfn.REGEXEXTRACT(CELL("address",N152), "\$([A-Z]+)\$[0-9]+"))</f>
        <v/>
      </c>
      <c r="O152" s="7" t="str" cm="1">
        <f t="array" aca="1" ref="O152" ca="1">IFERROR(IF(OR('Raw Data'!O152="",LEN(TRIM('Raw Data'!O152))=0),"",IF(AND(ISNUMBER('Raw Data'!O152), IFERROR('Raw Data'!O152 = ROUND('Raw Data'!O152, 2),FALSE)),"",_xlfn.REGEXEXTRACT(CELL("address",O152), "\$([A-Z]+)\$[0-9]+"))),_xlfn.REGEXEXTRACT(CELL("address",O152), "\$([A-Z]+)\$[0-9]+"))</f>
        <v/>
      </c>
      <c r="P152" s="7" t="str" cm="1">
        <f t="array" aca="1" ref="P152" ca="1">IFERROR(IF(OR('Raw Data'!P152="",LEN(TRIM('Raw Data'!P152))=0),"",IF(AND(ISNUMBER('Raw Data'!P152),'Raw Data'!P152&gt;=Configuration!$D$2),"",_xlfn.REGEXEXTRACT(CELL("address",'Raw Data'!P152),"\$([A-Z]+)\$[0-9]+"))),_xlfn.REGEXEXTRACT(CELL("address",P152), "\$([A-Z]+)\$[0-9]+"))</f>
        <v/>
      </c>
      <c r="Q152" s="7" t="str" cm="1">
        <f t="array" aca="1" ref="Q152" ca="1">IFERROR(IF(OR('Raw Data'!Q152="",LEN(TRIM('Raw Data'!Q152))=0),"",IF(AND(ISNUMBER('Raw Data'!Q152),'Raw Data'!Q152&gt;=Configuration!$D$2),"",_xlfn.REGEXEXTRACT(CELL("address",'Raw Data'!Q152),"\$([A-Z]+)\$[0-9]+"))),_xlfn.REGEXEXTRACT(CELL("address",Q152), "\$([A-Z]+)\$[0-9]+"))</f>
        <v/>
      </c>
      <c r="R152" s="7" t="str" cm="1">
        <f t="array" aca="1" ref="R152" ca="1">IFERROR(IF(OR('Raw Data'!R152="",LEN(TRIM('Raw Data'!R152))=0),"",IF(AND(ISNUMBER('Raw Data'!R152), IFERROR('Raw Data'!R152 = ROUND('Raw Data'!R152, 2),FALSE)),"",_xlfn.REGEXEXTRACT(CELL("address",R152), "\$([A-Z]+)\$[0-9]+"))),_xlfn.REGEXEXTRACT(CELL("address",R152), "\$([A-Z]+)\$[0-9]+"))</f>
        <v/>
      </c>
      <c r="S152" s="7" t="str" cm="1">
        <f t="array" aca="1" ref="S152" ca="1">IFERROR(IF(OR('Raw Data'!S152="",LEN(TRIM('Raw Data'!S152))=0),"",IF(AND(ISNUMBER('Raw Data'!S152), IFERROR('Raw Data'!S152 = ROUND('Raw Data'!S152, 2),FALSE)),"",_xlfn.REGEXEXTRACT(CELL("address",S152), "\$([A-Z]+)\$[0-9]+"))),_xlfn.REGEXEXTRACT(CELL("address",S152), "\$([A-Z]+)\$[0-9]+"))</f>
        <v/>
      </c>
      <c r="T152" s="7" t="str" cm="1">
        <f t="array" aca="1" ref="T152" ca="1">IFERROR(IF(OR('Raw Data'!T152="",LEN(TRIM('Raw Data'!T152))=0),"",IF(AND(ISNUMBER('Raw Data'!T152), IFERROR('Raw Data'!T152 = ROUND('Raw Data'!T152, 2),FALSE)),"",_xlfn.REGEXEXTRACT(CELL("address",T152), "\$([A-Z]+)\$[0-9]+"))),_xlfn.REGEXEXTRACT(CELL("address",T152), "\$([A-Z]+)\$[0-9]+"))</f>
        <v/>
      </c>
      <c r="U152" s="7" t="str" cm="1">
        <f t="array" aca="1" ref="U152" ca="1">IFERROR(IF(OR('Raw Data'!U152="",LEN(TRIM('Raw Data'!U152))=0),"",IF(AND(LEN('Raw Data'!U152) &lt;= 5,LEN('Raw Data'!U152)&gt; 0),"",_xlfn.REGEXEXTRACT(CELL("address",'Raw Data'!U152),"\$([A-Z]+)\$[0-9]+"))),_xlfn.REGEXEXTRACT(CELL("address",'Raw Data'!U152),"\$([A-Z]+)\$[0-9]+"))</f>
        <v/>
      </c>
      <c r="V152" s="7" t="str" cm="1">
        <f t="array" aca="1" ref="V152" ca="1">IFERROR(IF(OR('Raw Data'!V152="",LEN(TRIM('Raw Data'!V152))=0),"",IF(AND(ISNUMBER('Raw Data'!V152), IFERROR('Raw Data'!V152 = ROUND('Raw Data'!V152, 2),FALSE)),"",_xlfn.REGEXEXTRACT(CELL("address",V152), "\$([A-Z]+)\$[0-9]+"))),_xlfn.REGEXEXTRACT(CELL("address",V152), "\$([A-Z]+)\$[0-9]+"))</f>
        <v/>
      </c>
      <c r="W152" s="7" t="str" cm="1">
        <f t="array" aca="1" ref="W152" ca="1">IFERROR(IF(OR('Raw Data'!W152="",LEN(TRIM('Raw Data'!W152))=0),"",IF(AND(ISNUMBER('Raw Data'!W152), IFERROR('Raw Data'!W152 = ROUND('Raw Data'!W152, 2),FALSE)),"",_xlfn.REGEXEXTRACT(CELL("address",W152), "\$([A-Z]+)\$[0-9]+"))),_xlfn.REGEXEXTRACT(CELL("address",W152), "\$([A-Z]+)\$[0-9]+"))</f>
        <v/>
      </c>
      <c r="X152" s="7" t="str" cm="1">
        <f t="array" aca="1" ref="X152" ca="1">IFERROR(IF(OR('Raw Data'!X152="",LEN(TRIM('Raw Data'!X152))=0),"",IF(AND(ISNUMBER('Raw Data'!X152), IFERROR('Raw Data'!X152 = ROUND('Raw Data'!X152, 2),FALSE)),"",_xlfn.REGEXEXTRACT(CELL("address",X152), "\$([A-Z]+)\$[0-9]+"))),_xlfn.REGEXEXTRACT(CELL("address",X152), "\$([A-Z]+)\$[0-9]+"))</f>
        <v/>
      </c>
    </row>
    <row r="153" spans="2:24" x14ac:dyDescent="0.25">
      <c r="B153" s="7" t="str" cm="1">
        <f t="array" aca="1" ref="B153" ca="1">IFERROR(IF(OR('Raw Data'!B153="",LEN(TRIM('Raw Data'!B153))=0),"",IF(AND(LEN('Raw Data'!B153) &lt;= 50,LEN('Raw Data'!B153)&gt; 0),"",_xlfn.REGEXEXTRACT(CELL("address",'Raw Data'!B153),"\$([A-Z]+)\$[0-9]+"))),_xlfn.REGEXEXTRACT(CELL("address",'Raw Data'!B153),"\$([A-Z]+)\$[0-9]+"))</f>
        <v/>
      </c>
      <c r="C153" s="7" t="str" cm="1">
        <f t="array" aca="1" ref="C153" ca="1">IFERROR(IF(OR('Raw Data'!C153="",LEN(TRIM('Raw Data'!C153))=0),"",IF(AND(LEN('Raw Data'!C153) &lt;= 50,LEN('Raw Data'!C153)&gt; 0),"",_xlfn.REGEXEXTRACT(CELL("address",'Raw Data'!C153),"\$([A-Z]+)\$[0-9]+"))),_xlfn.REGEXEXTRACT(CELL("address",'Raw Data'!C153),"\$([A-Z]+)\$[0-9]+"))</f>
        <v/>
      </c>
      <c r="D153" s="7" t="str" cm="1">
        <f t="array" aca="1" ref="D153" ca="1">IFERROR(IF(OR('Raw Data'!D153="",LEN(TRIM('Raw Data'!D153))=0),"",IF(AND(LEN('Raw Data'!D153) &lt;= 255,LEN('Raw Data'!D153)&gt; 0),"",_xlfn.REGEXEXTRACT(CELL("address",'Raw Data'!D153),"\$([A-Z]+)\$[0-9]+"))),_xlfn.REGEXEXTRACT(CELL("address",'Raw Data'!D153),"\$([A-Z]+)\$[0-9]+"))</f>
        <v/>
      </c>
      <c r="E153" s="7" t="str" cm="1">
        <f t="array" aca="1" ref="E153" ca="1">IFERROR(IF(OR('Raw Data'!E153="",LEN(TRIM('Raw Data'!E153))=0),"",IF(AND(ISNUMBER('Raw Data'!E153),'Raw Data'!E153&gt;=Configuration!$D$2),"",_xlfn.REGEXEXTRACT(CELL("address",'Raw Data'!E153),"\$([A-Z]+)\$[0-9]+"))),_xlfn.REGEXEXTRACT(CELL("address",E153), "\$([A-Z]+)\$[0-9]+"))</f>
        <v/>
      </c>
      <c r="F153" s="7" t="str" cm="1">
        <f t="array" aca="1" ref="F153" ca="1">IFERROR(IF(OR('Raw Data'!F153="",LEN(TRIM('Raw Data'!F153))=0),"",IF(AND(LEN('Raw Data'!F153) &lt;= 20,LEN('Raw Data'!F153)&gt; 0),"",_xlfn.REGEXEXTRACT(CELL("address",'Raw Data'!F153),"\$([A-Z]+)\$[0-9]+"))),_xlfn.REGEXEXTRACT(CELL("address",'Raw Data'!F153),"\$([A-Z]+)\$[0-9]+"))</f>
        <v/>
      </c>
      <c r="G153" s="7" t="str" cm="1">
        <f t="array" aca="1" ref="G153" ca="1">IFERROR(IF(OR('Raw Data'!G153="",LEN(TRIM('Raw Data'!G153))=0),"",IF(AND(ISNUMBER('Raw Data'!G153), IFERROR('Raw Data'!G153 = ROUND('Raw Data'!G153, 2),FALSE)),"",_xlfn.REGEXEXTRACT(CELL("address",G153), "\$([A-Z]+)\$[0-9]+"))),_xlfn.REGEXEXTRACT(CELL("address",G153), "\$([A-Z]+)\$[0-9]+"))</f>
        <v/>
      </c>
      <c r="H153" s="7" t="str" cm="1">
        <f t="array" aca="1" ref="H153" ca="1">IFERROR(IF(OR('Raw Data'!H153="",LEN(TRIM('Raw Data'!H153))=0),"",IF(AND(ISNUMBER('Raw Data'!H153), IFERROR('Raw Data'!H153 = ROUND('Raw Data'!H153, 2),FALSE)),"",_xlfn.REGEXEXTRACT(CELL("address",H153), "\$([A-Z]+)\$[0-9]+"))),_xlfn.REGEXEXTRACT(CELL("address",H153), "\$([A-Z]+)\$[0-9]+"))</f>
        <v/>
      </c>
      <c r="I153" s="7" t="str" cm="1">
        <f t="array" aca="1" ref="I153" ca="1">IFERROR(IF(OR('Raw Data'!I153="",LEN(TRIM('Raw Data'!I153))=0),"",IF(AND(LEN('Raw Data'!I153) &lt;= 50,LEN('Raw Data'!I153)&gt; 0),"",_xlfn.REGEXEXTRACT(CELL("address",'Raw Data'!I153),"\$([A-Z]+)\$[0-9]+"))),_xlfn.REGEXEXTRACT(CELL("address",'Raw Data'!I153),"\$([A-Z]+)\$[0-9]+"))</f>
        <v/>
      </c>
      <c r="J153" s="7" t="str" cm="1">
        <f t="array" aca="1" ref="J153" ca="1">IFERROR(IF(OR('Raw Data'!J153="",LEN(TRIM('Raw Data'!J153))=0),"",IF(AND(ISNUMBER('Raw Data'!J153),'Raw Data'!J153&gt;=Configuration!$D$2),"",_xlfn.REGEXEXTRACT(CELL("address",'Raw Data'!J153),"\$([A-Z]+)\$[0-9]+"))),_xlfn.REGEXEXTRACT(CELL("address",J153), "\$([A-Z]+)\$[0-9]+"))</f>
        <v/>
      </c>
      <c r="K153" s="7" t="str" cm="1">
        <f t="array" aca="1" ref="K153" ca="1">IFERROR(IF(OR('Raw Data'!K153="",LEN(TRIM('Raw Data'!K153))=0),"",IF(AND(ISNUMBER('Raw Data'!K153), IFERROR('Raw Data'!K153 = ROUND('Raw Data'!K153, 2),FALSE)),"",_xlfn.REGEXEXTRACT(CELL("address",K153), "\$([A-Z]+)\$[0-9]+"))),_xlfn.REGEXEXTRACT(CELL("address",K153), "\$([A-Z]+)\$[0-9]+"))</f>
        <v/>
      </c>
      <c r="L153" s="7" t="str" cm="1">
        <f t="array" aca="1" ref="L153" ca="1">IFERROR(IF(OR('Raw Data'!L153="",LEN(TRIM('Raw Data'!L153))=0),"",IF(AND(ISNUMBER('Raw Data'!L153), IFERROR('Raw Data'!L153 = ROUND('Raw Data'!L153, 2),FALSE)),"",_xlfn.REGEXEXTRACT(CELL("address",L153), "\$([A-Z]+)\$[0-9]+"))),_xlfn.REGEXEXTRACT(CELL("address",L153), "\$([A-Z]+)\$[0-9]+"))</f>
        <v/>
      </c>
      <c r="M153" s="7" t="str" cm="1">
        <f t="array" aca="1" ref="M153" ca="1">IFERROR(IF(OR('Raw Data'!M153="",LEN(TRIM('Raw Data'!M153))=0),"",IF(AND(ISNUMBER('Raw Data'!M153), IFERROR('Raw Data'!M153 = ROUND('Raw Data'!M153, 2),FALSE)),"",_xlfn.REGEXEXTRACT(CELL("address",M153), "\$([A-Z]+)\$[0-9]+"))),_xlfn.REGEXEXTRACT(CELL("address",M153), "\$([A-Z]+)\$[0-9]+"))</f>
        <v/>
      </c>
      <c r="N153" s="7" t="str" cm="1">
        <f t="array" aca="1" ref="N153" ca="1">IFERROR(IF(OR('Raw Data'!N153="",LEN(TRIM('Raw Data'!N153))=0),"",IF(AND(ISNUMBER('Raw Data'!N153), IFERROR('Raw Data'!N153 = ROUND('Raw Data'!N153, 2),FALSE)),"",_xlfn.REGEXEXTRACT(CELL("address",N153), "\$([A-Z]+)\$[0-9]+"))),_xlfn.REGEXEXTRACT(CELL("address",N153), "\$([A-Z]+)\$[0-9]+"))</f>
        <v/>
      </c>
      <c r="O153" s="7" t="str" cm="1">
        <f t="array" aca="1" ref="O153" ca="1">IFERROR(IF(OR('Raw Data'!O153="",LEN(TRIM('Raw Data'!O153))=0),"",IF(AND(ISNUMBER('Raw Data'!O153), IFERROR('Raw Data'!O153 = ROUND('Raw Data'!O153, 2),FALSE)),"",_xlfn.REGEXEXTRACT(CELL("address",O153), "\$([A-Z]+)\$[0-9]+"))),_xlfn.REGEXEXTRACT(CELL("address",O153), "\$([A-Z]+)\$[0-9]+"))</f>
        <v/>
      </c>
      <c r="P153" s="7" t="str" cm="1">
        <f t="array" aca="1" ref="P153" ca="1">IFERROR(IF(OR('Raw Data'!P153="",LEN(TRIM('Raw Data'!P153))=0),"",IF(AND(ISNUMBER('Raw Data'!P153),'Raw Data'!P153&gt;=Configuration!$D$2),"",_xlfn.REGEXEXTRACT(CELL("address",'Raw Data'!P153),"\$([A-Z]+)\$[0-9]+"))),_xlfn.REGEXEXTRACT(CELL("address",P153), "\$([A-Z]+)\$[0-9]+"))</f>
        <v/>
      </c>
      <c r="Q153" s="7" t="str" cm="1">
        <f t="array" aca="1" ref="Q153" ca="1">IFERROR(IF(OR('Raw Data'!Q153="",LEN(TRIM('Raw Data'!Q153))=0),"",IF(AND(ISNUMBER('Raw Data'!Q153),'Raw Data'!Q153&gt;=Configuration!$D$2),"",_xlfn.REGEXEXTRACT(CELL("address",'Raw Data'!Q153),"\$([A-Z]+)\$[0-9]+"))),_xlfn.REGEXEXTRACT(CELL("address",Q153), "\$([A-Z]+)\$[0-9]+"))</f>
        <v/>
      </c>
      <c r="R153" s="7" t="str" cm="1">
        <f t="array" aca="1" ref="R153" ca="1">IFERROR(IF(OR('Raw Data'!R153="",LEN(TRIM('Raw Data'!R153))=0),"",IF(AND(ISNUMBER('Raw Data'!R153), IFERROR('Raw Data'!R153 = ROUND('Raw Data'!R153, 2),FALSE)),"",_xlfn.REGEXEXTRACT(CELL("address",R153), "\$([A-Z]+)\$[0-9]+"))),_xlfn.REGEXEXTRACT(CELL("address",R153), "\$([A-Z]+)\$[0-9]+"))</f>
        <v/>
      </c>
      <c r="S153" s="7" t="str" cm="1">
        <f t="array" aca="1" ref="S153" ca="1">IFERROR(IF(OR('Raw Data'!S153="",LEN(TRIM('Raw Data'!S153))=0),"",IF(AND(ISNUMBER('Raw Data'!S153), IFERROR('Raw Data'!S153 = ROUND('Raw Data'!S153, 2),FALSE)),"",_xlfn.REGEXEXTRACT(CELL("address",S153), "\$([A-Z]+)\$[0-9]+"))),_xlfn.REGEXEXTRACT(CELL("address",S153), "\$([A-Z]+)\$[0-9]+"))</f>
        <v/>
      </c>
      <c r="T153" s="7" t="str" cm="1">
        <f t="array" aca="1" ref="T153" ca="1">IFERROR(IF(OR('Raw Data'!T153="",LEN(TRIM('Raw Data'!T153))=0),"",IF(AND(ISNUMBER('Raw Data'!T153), IFERROR('Raw Data'!T153 = ROUND('Raw Data'!T153, 2),FALSE)),"",_xlfn.REGEXEXTRACT(CELL("address",T153), "\$([A-Z]+)\$[0-9]+"))),_xlfn.REGEXEXTRACT(CELL("address",T153), "\$([A-Z]+)\$[0-9]+"))</f>
        <v/>
      </c>
      <c r="U153" s="7" t="str" cm="1">
        <f t="array" aca="1" ref="U153" ca="1">IFERROR(IF(OR('Raw Data'!U153="",LEN(TRIM('Raw Data'!U153))=0),"",IF(AND(LEN('Raw Data'!U153) &lt;= 5,LEN('Raw Data'!U153)&gt; 0),"",_xlfn.REGEXEXTRACT(CELL("address",'Raw Data'!U153),"\$([A-Z]+)\$[0-9]+"))),_xlfn.REGEXEXTRACT(CELL("address",'Raw Data'!U153),"\$([A-Z]+)\$[0-9]+"))</f>
        <v/>
      </c>
      <c r="V153" s="7" t="str" cm="1">
        <f t="array" aca="1" ref="V153" ca="1">IFERROR(IF(OR('Raw Data'!V153="",LEN(TRIM('Raw Data'!V153))=0),"",IF(AND(ISNUMBER('Raw Data'!V153), IFERROR('Raw Data'!V153 = ROUND('Raw Data'!V153, 2),FALSE)),"",_xlfn.REGEXEXTRACT(CELL("address",V153), "\$([A-Z]+)\$[0-9]+"))),_xlfn.REGEXEXTRACT(CELL("address",V153), "\$([A-Z]+)\$[0-9]+"))</f>
        <v/>
      </c>
      <c r="W153" s="7" t="str" cm="1">
        <f t="array" aca="1" ref="W153" ca="1">IFERROR(IF(OR('Raw Data'!W153="",LEN(TRIM('Raw Data'!W153))=0),"",IF(AND(ISNUMBER('Raw Data'!W153), IFERROR('Raw Data'!W153 = ROUND('Raw Data'!W153, 2),FALSE)),"",_xlfn.REGEXEXTRACT(CELL("address",W153), "\$([A-Z]+)\$[0-9]+"))),_xlfn.REGEXEXTRACT(CELL("address",W153), "\$([A-Z]+)\$[0-9]+"))</f>
        <v/>
      </c>
      <c r="X153" s="7" t="str" cm="1">
        <f t="array" aca="1" ref="X153" ca="1">IFERROR(IF(OR('Raw Data'!X153="",LEN(TRIM('Raw Data'!X153))=0),"",IF(AND(ISNUMBER('Raw Data'!X153), IFERROR('Raw Data'!X153 = ROUND('Raw Data'!X153, 2),FALSE)),"",_xlfn.REGEXEXTRACT(CELL("address",X153), "\$([A-Z]+)\$[0-9]+"))),_xlfn.REGEXEXTRACT(CELL("address",X153), "\$([A-Z]+)\$[0-9]+"))</f>
        <v/>
      </c>
    </row>
    <row r="154" spans="2:24" x14ac:dyDescent="0.25">
      <c r="B154" s="7" t="str" cm="1">
        <f t="array" aca="1" ref="B154" ca="1">IFERROR(IF(OR('Raw Data'!B154="",LEN(TRIM('Raw Data'!B154))=0),"",IF(AND(LEN('Raw Data'!B154) &lt;= 50,LEN('Raw Data'!B154)&gt; 0),"",_xlfn.REGEXEXTRACT(CELL("address",'Raw Data'!B154),"\$([A-Z]+)\$[0-9]+"))),_xlfn.REGEXEXTRACT(CELL("address",'Raw Data'!B154),"\$([A-Z]+)\$[0-9]+"))</f>
        <v/>
      </c>
      <c r="C154" s="7" t="str" cm="1">
        <f t="array" aca="1" ref="C154" ca="1">IFERROR(IF(OR('Raw Data'!C154="",LEN(TRIM('Raw Data'!C154))=0),"",IF(AND(LEN('Raw Data'!C154) &lt;= 50,LEN('Raw Data'!C154)&gt; 0),"",_xlfn.REGEXEXTRACT(CELL("address",'Raw Data'!C154),"\$([A-Z]+)\$[0-9]+"))),_xlfn.REGEXEXTRACT(CELL("address",'Raw Data'!C154),"\$([A-Z]+)\$[0-9]+"))</f>
        <v/>
      </c>
      <c r="D154" s="7" t="str" cm="1">
        <f t="array" aca="1" ref="D154" ca="1">IFERROR(IF(OR('Raw Data'!D154="",LEN(TRIM('Raw Data'!D154))=0),"",IF(AND(LEN('Raw Data'!D154) &lt;= 255,LEN('Raw Data'!D154)&gt; 0),"",_xlfn.REGEXEXTRACT(CELL("address",'Raw Data'!D154),"\$([A-Z]+)\$[0-9]+"))),_xlfn.REGEXEXTRACT(CELL("address",'Raw Data'!D154),"\$([A-Z]+)\$[0-9]+"))</f>
        <v/>
      </c>
      <c r="E154" s="7" t="str" cm="1">
        <f t="array" aca="1" ref="E154" ca="1">IFERROR(IF(OR('Raw Data'!E154="",LEN(TRIM('Raw Data'!E154))=0),"",IF(AND(ISNUMBER('Raw Data'!E154),'Raw Data'!E154&gt;=Configuration!$D$2),"",_xlfn.REGEXEXTRACT(CELL("address",'Raw Data'!E154),"\$([A-Z]+)\$[0-9]+"))),_xlfn.REGEXEXTRACT(CELL("address",E154), "\$([A-Z]+)\$[0-9]+"))</f>
        <v/>
      </c>
      <c r="F154" s="7" t="str" cm="1">
        <f t="array" aca="1" ref="F154" ca="1">IFERROR(IF(OR('Raw Data'!F154="",LEN(TRIM('Raw Data'!F154))=0),"",IF(AND(LEN('Raw Data'!F154) &lt;= 20,LEN('Raw Data'!F154)&gt; 0),"",_xlfn.REGEXEXTRACT(CELL("address",'Raw Data'!F154),"\$([A-Z]+)\$[0-9]+"))),_xlfn.REGEXEXTRACT(CELL("address",'Raw Data'!F154),"\$([A-Z]+)\$[0-9]+"))</f>
        <v/>
      </c>
      <c r="G154" s="7" t="str" cm="1">
        <f t="array" aca="1" ref="G154" ca="1">IFERROR(IF(OR('Raw Data'!G154="",LEN(TRIM('Raw Data'!G154))=0),"",IF(AND(ISNUMBER('Raw Data'!G154), IFERROR('Raw Data'!G154 = ROUND('Raw Data'!G154, 2),FALSE)),"",_xlfn.REGEXEXTRACT(CELL("address",G154), "\$([A-Z]+)\$[0-9]+"))),_xlfn.REGEXEXTRACT(CELL("address",G154), "\$([A-Z]+)\$[0-9]+"))</f>
        <v/>
      </c>
      <c r="H154" s="7" t="str" cm="1">
        <f t="array" aca="1" ref="H154" ca="1">IFERROR(IF(OR('Raw Data'!H154="",LEN(TRIM('Raw Data'!H154))=0),"",IF(AND(ISNUMBER('Raw Data'!H154), IFERROR('Raw Data'!H154 = ROUND('Raw Data'!H154, 2),FALSE)),"",_xlfn.REGEXEXTRACT(CELL("address",H154), "\$([A-Z]+)\$[0-9]+"))),_xlfn.REGEXEXTRACT(CELL("address",H154), "\$([A-Z]+)\$[0-9]+"))</f>
        <v/>
      </c>
      <c r="I154" s="7" t="str" cm="1">
        <f t="array" aca="1" ref="I154" ca="1">IFERROR(IF(OR('Raw Data'!I154="",LEN(TRIM('Raw Data'!I154))=0),"",IF(AND(LEN('Raw Data'!I154) &lt;= 50,LEN('Raw Data'!I154)&gt; 0),"",_xlfn.REGEXEXTRACT(CELL("address",'Raw Data'!I154),"\$([A-Z]+)\$[0-9]+"))),_xlfn.REGEXEXTRACT(CELL("address",'Raw Data'!I154),"\$([A-Z]+)\$[0-9]+"))</f>
        <v/>
      </c>
      <c r="J154" s="7" t="str" cm="1">
        <f t="array" aca="1" ref="J154" ca="1">IFERROR(IF(OR('Raw Data'!J154="",LEN(TRIM('Raw Data'!J154))=0),"",IF(AND(ISNUMBER('Raw Data'!J154),'Raw Data'!J154&gt;=Configuration!$D$2),"",_xlfn.REGEXEXTRACT(CELL("address",'Raw Data'!J154),"\$([A-Z]+)\$[0-9]+"))),_xlfn.REGEXEXTRACT(CELL("address",J154), "\$([A-Z]+)\$[0-9]+"))</f>
        <v/>
      </c>
      <c r="K154" s="7" t="str" cm="1">
        <f t="array" aca="1" ref="K154" ca="1">IFERROR(IF(OR('Raw Data'!K154="",LEN(TRIM('Raw Data'!K154))=0),"",IF(AND(ISNUMBER('Raw Data'!K154), IFERROR('Raw Data'!K154 = ROUND('Raw Data'!K154, 2),FALSE)),"",_xlfn.REGEXEXTRACT(CELL("address",K154), "\$([A-Z]+)\$[0-9]+"))),_xlfn.REGEXEXTRACT(CELL("address",K154), "\$([A-Z]+)\$[0-9]+"))</f>
        <v/>
      </c>
      <c r="L154" s="7" t="str" cm="1">
        <f t="array" aca="1" ref="L154" ca="1">IFERROR(IF(OR('Raw Data'!L154="",LEN(TRIM('Raw Data'!L154))=0),"",IF(AND(ISNUMBER('Raw Data'!L154), IFERROR('Raw Data'!L154 = ROUND('Raw Data'!L154, 2),FALSE)),"",_xlfn.REGEXEXTRACT(CELL("address",L154), "\$([A-Z]+)\$[0-9]+"))),_xlfn.REGEXEXTRACT(CELL("address",L154), "\$([A-Z]+)\$[0-9]+"))</f>
        <v/>
      </c>
      <c r="M154" s="7" t="str" cm="1">
        <f t="array" aca="1" ref="M154" ca="1">IFERROR(IF(OR('Raw Data'!M154="",LEN(TRIM('Raw Data'!M154))=0),"",IF(AND(ISNUMBER('Raw Data'!M154), IFERROR('Raw Data'!M154 = ROUND('Raw Data'!M154, 2),FALSE)),"",_xlfn.REGEXEXTRACT(CELL("address",M154), "\$([A-Z]+)\$[0-9]+"))),_xlfn.REGEXEXTRACT(CELL("address",M154), "\$([A-Z]+)\$[0-9]+"))</f>
        <v/>
      </c>
      <c r="N154" s="7" t="str" cm="1">
        <f t="array" aca="1" ref="N154" ca="1">IFERROR(IF(OR('Raw Data'!N154="",LEN(TRIM('Raw Data'!N154))=0),"",IF(AND(ISNUMBER('Raw Data'!N154), IFERROR('Raw Data'!N154 = ROUND('Raw Data'!N154, 2),FALSE)),"",_xlfn.REGEXEXTRACT(CELL("address",N154), "\$([A-Z]+)\$[0-9]+"))),_xlfn.REGEXEXTRACT(CELL("address",N154), "\$([A-Z]+)\$[0-9]+"))</f>
        <v/>
      </c>
      <c r="O154" s="7" t="str" cm="1">
        <f t="array" aca="1" ref="O154" ca="1">IFERROR(IF(OR('Raw Data'!O154="",LEN(TRIM('Raw Data'!O154))=0),"",IF(AND(ISNUMBER('Raw Data'!O154), IFERROR('Raw Data'!O154 = ROUND('Raw Data'!O154, 2),FALSE)),"",_xlfn.REGEXEXTRACT(CELL("address",O154), "\$([A-Z]+)\$[0-9]+"))),_xlfn.REGEXEXTRACT(CELL("address",O154), "\$([A-Z]+)\$[0-9]+"))</f>
        <v/>
      </c>
      <c r="P154" s="7" t="str" cm="1">
        <f t="array" aca="1" ref="P154" ca="1">IFERROR(IF(OR('Raw Data'!P154="",LEN(TRIM('Raw Data'!P154))=0),"",IF(AND(ISNUMBER('Raw Data'!P154),'Raw Data'!P154&gt;=Configuration!$D$2),"",_xlfn.REGEXEXTRACT(CELL("address",'Raw Data'!P154),"\$([A-Z]+)\$[0-9]+"))),_xlfn.REGEXEXTRACT(CELL("address",P154), "\$([A-Z]+)\$[0-9]+"))</f>
        <v/>
      </c>
      <c r="Q154" s="7" t="str" cm="1">
        <f t="array" aca="1" ref="Q154" ca="1">IFERROR(IF(OR('Raw Data'!Q154="",LEN(TRIM('Raw Data'!Q154))=0),"",IF(AND(ISNUMBER('Raw Data'!Q154),'Raw Data'!Q154&gt;=Configuration!$D$2),"",_xlfn.REGEXEXTRACT(CELL("address",'Raw Data'!Q154),"\$([A-Z]+)\$[0-9]+"))),_xlfn.REGEXEXTRACT(CELL("address",Q154), "\$([A-Z]+)\$[0-9]+"))</f>
        <v/>
      </c>
      <c r="R154" s="7" t="str" cm="1">
        <f t="array" aca="1" ref="R154" ca="1">IFERROR(IF(OR('Raw Data'!R154="",LEN(TRIM('Raw Data'!R154))=0),"",IF(AND(ISNUMBER('Raw Data'!R154), IFERROR('Raw Data'!R154 = ROUND('Raw Data'!R154, 2),FALSE)),"",_xlfn.REGEXEXTRACT(CELL("address",R154), "\$([A-Z]+)\$[0-9]+"))),_xlfn.REGEXEXTRACT(CELL("address",R154), "\$([A-Z]+)\$[0-9]+"))</f>
        <v/>
      </c>
      <c r="S154" s="7" t="str" cm="1">
        <f t="array" aca="1" ref="S154" ca="1">IFERROR(IF(OR('Raw Data'!S154="",LEN(TRIM('Raw Data'!S154))=0),"",IF(AND(ISNUMBER('Raw Data'!S154), IFERROR('Raw Data'!S154 = ROUND('Raw Data'!S154, 2),FALSE)),"",_xlfn.REGEXEXTRACT(CELL("address",S154), "\$([A-Z]+)\$[0-9]+"))),_xlfn.REGEXEXTRACT(CELL("address",S154), "\$([A-Z]+)\$[0-9]+"))</f>
        <v/>
      </c>
      <c r="T154" s="7" t="str" cm="1">
        <f t="array" aca="1" ref="T154" ca="1">IFERROR(IF(OR('Raw Data'!T154="",LEN(TRIM('Raw Data'!T154))=0),"",IF(AND(ISNUMBER('Raw Data'!T154), IFERROR('Raw Data'!T154 = ROUND('Raw Data'!T154, 2),FALSE)),"",_xlfn.REGEXEXTRACT(CELL("address",T154), "\$([A-Z]+)\$[0-9]+"))),_xlfn.REGEXEXTRACT(CELL("address",T154), "\$([A-Z]+)\$[0-9]+"))</f>
        <v/>
      </c>
      <c r="U154" s="7" t="str" cm="1">
        <f t="array" aca="1" ref="U154" ca="1">IFERROR(IF(OR('Raw Data'!U154="",LEN(TRIM('Raw Data'!U154))=0),"",IF(AND(LEN('Raw Data'!U154) &lt;= 5,LEN('Raw Data'!U154)&gt; 0),"",_xlfn.REGEXEXTRACT(CELL("address",'Raw Data'!U154),"\$([A-Z]+)\$[0-9]+"))),_xlfn.REGEXEXTRACT(CELL("address",'Raw Data'!U154),"\$([A-Z]+)\$[0-9]+"))</f>
        <v/>
      </c>
      <c r="V154" s="7" t="str" cm="1">
        <f t="array" aca="1" ref="V154" ca="1">IFERROR(IF(OR('Raw Data'!V154="",LEN(TRIM('Raw Data'!V154))=0),"",IF(AND(ISNUMBER('Raw Data'!V154), IFERROR('Raw Data'!V154 = ROUND('Raw Data'!V154, 2),FALSE)),"",_xlfn.REGEXEXTRACT(CELL("address",V154), "\$([A-Z]+)\$[0-9]+"))),_xlfn.REGEXEXTRACT(CELL("address",V154), "\$([A-Z]+)\$[0-9]+"))</f>
        <v/>
      </c>
      <c r="W154" s="7" t="str" cm="1">
        <f t="array" aca="1" ref="W154" ca="1">IFERROR(IF(OR('Raw Data'!W154="",LEN(TRIM('Raw Data'!W154))=0),"",IF(AND(ISNUMBER('Raw Data'!W154), IFERROR('Raw Data'!W154 = ROUND('Raw Data'!W154, 2),FALSE)),"",_xlfn.REGEXEXTRACT(CELL("address",W154), "\$([A-Z]+)\$[0-9]+"))),_xlfn.REGEXEXTRACT(CELL("address",W154), "\$([A-Z]+)\$[0-9]+"))</f>
        <v/>
      </c>
      <c r="X154" s="7" t="str" cm="1">
        <f t="array" aca="1" ref="X154" ca="1">IFERROR(IF(OR('Raw Data'!X154="",LEN(TRIM('Raw Data'!X154))=0),"",IF(AND(ISNUMBER('Raw Data'!X154), IFERROR('Raw Data'!X154 = ROUND('Raw Data'!X154, 2),FALSE)),"",_xlfn.REGEXEXTRACT(CELL("address",X154), "\$([A-Z]+)\$[0-9]+"))),_xlfn.REGEXEXTRACT(CELL("address",X154), "\$([A-Z]+)\$[0-9]+"))</f>
        <v/>
      </c>
    </row>
    <row r="155" spans="2:24" x14ac:dyDescent="0.25">
      <c r="B155" s="7" t="str" cm="1">
        <f t="array" aca="1" ref="B155" ca="1">IFERROR(IF(OR('Raw Data'!B155="",LEN(TRIM('Raw Data'!B155))=0),"",IF(AND(LEN('Raw Data'!B155) &lt;= 50,LEN('Raw Data'!B155)&gt; 0),"",_xlfn.REGEXEXTRACT(CELL("address",'Raw Data'!B155),"\$([A-Z]+)\$[0-9]+"))),_xlfn.REGEXEXTRACT(CELL("address",'Raw Data'!B155),"\$([A-Z]+)\$[0-9]+"))</f>
        <v/>
      </c>
      <c r="C155" s="7" t="str" cm="1">
        <f t="array" aca="1" ref="C155" ca="1">IFERROR(IF(OR('Raw Data'!C155="",LEN(TRIM('Raw Data'!C155))=0),"",IF(AND(LEN('Raw Data'!C155) &lt;= 50,LEN('Raw Data'!C155)&gt; 0),"",_xlfn.REGEXEXTRACT(CELL("address",'Raw Data'!C155),"\$([A-Z]+)\$[0-9]+"))),_xlfn.REGEXEXTRACT(CELL("address",'Raw Data'!C155),"\$([A-Z]+)\$[0-9]+"))</f>
        <v/>
      </c>
      <c r="D155" s="7" t="str" cm="1">
        <f t="array" aca="1" ref="D155" ca="1">IFERROR(IF(OR('Raw Data'!D155="",LEN(TRIM('Raw Data'!D155))=0),"",IF(AND(LEN('Raw Data'!D155) &lt;= 255,LEN('Raw Data'!D155)&gt; 0),"",_xlfn.REGEXEXTRACT(CELL("address",'Raw Data'!D155),"\$([A-Z]+)\$[0-9]+"))),_xlfn.REGEXEXTRACT(CELL("address",'Raw Data'!D155),"\$([A-Z]+)\$[0-9]+"))</f>
        <v/>
      </c>
      <c r="E155" s="7" t="str" cm="1">
        <f t="array" aca="1" ref="E155" ca="1">IFERROR(IF(OR('Raw Data'!E155="",LEN(TRIM('Raw Data'!E155))=0),"",IF(AND(ISNUMBER('Raw Data'!E155),'Raw Data'!E155&gt;=Configuration!$D$2),"",_xlfn.REGEXEXTRACT(CELL("address",'Raw Data'!E155),"\$([A-Z]+)\$[0-9]+"))),_xlfn.REGEXEXTRACT(CELL("address",E155), "\$([A-Z]+)\$[0-9]+"))</f>
        <v/>
      </c>
      <c r="F155" s="7" t="str" cm="1">
        <f t="array" aca="1" ref="F155" ca="1">IFERROR(IF(OR('Raw Data'!F155="",LEN(TRIM('Raw Data'!F155))=0),"",IF(AND(LEN('Raw Data'!F155) &lt;= 20,LEN('Raw Data'!F155)&gt; 0),"",_xlfn.REGEXEXTRACT(CELL("address",'Raw Data'!F155),"\$([A-Z]+)\$[0-9]+"))),_xlfn.REGEXEXTRACT(CELL("address",'Raw Data'!F155),"\$([A-Z]+)\$[0-9]+"))</f>
        <v/>
      </c>
      <c r="G155" s="7" t="str" cm="1">
        <f t="array" aca="1" ref="G155" ca="1">IFERROR(IF(OR('Raw Data'!G155="",LEN(TRIM('Raw Data'!G155))=0),"",IF(AND(ISNUMBER('Raw Data'!G155), IFERROR('Raw Data'!G155 = ROUND('Raw Data'!G155, 2),FALSE)),"",_xlfn.REGEXEXTRACT(CELL("address",G155), "\$([A-Z]+)\$[0-9]+"))),_xlfn.REGEXEXTRACT(CELL("address",G155), "\$([A-Z]+)\$[0-9]+"))</f>
        <v/>
      </c>
      <c r="H155" s="7" t="str" cm="1">
        <f t="array" aca="1" ref="H155" ca="1">IFERROR(IF(OR('Raw Data'!H155="",LEN(TRIM('Raw Data'!H155))=0),"",IF(AND(ISNUMBER('Raw Data'!H155), IFERROR('Raw Data'!H155 = ROUND('Raw Data'!H155, 2),FALSE)),"",_xlfn.REGEXEXTRACT(CELL("address",H155), "\$([A-Z]+)\$[0-9]+"))),_xlfn.REGEXEXTRACT(CELL("address",H155), "\$([A-Z]+)\$[0-9]+"))</f>
        <v/>
      </c>
      <c r="I155" s="7" t="str" cm="1">
        <f t="array" aca="1" ref="I155" ca="1">IFERROR(IF(OR('Raw Data'!I155="",LEN(TRIM('Raw Data'!I155))=0),"",IF(AND(LEN('Raw Data'!I155) &lt;= 50,LEN('Raw Data'!I155)&gt; 0),"",_xlfn.REGEXEXTRACT(CELL("address",'Raw Data'!I155),"\$([A-Z]+)\$[0-9]+"))),_xlfn.REGEXEXTRACT(CELL("address",'Raw Data'!I155),"\$([A-Z]+)\$[0-9]+"))</f>
        <v/>
      </c>
      <c r="J155" s="7" t="str" cm="1">
        <f t="array" aca="1" ref="J155" ca="1">IFERROR(IF(OR('Raw Data'!J155="",LEN(TRIM('Raw Data'!J155))=0),"",IF(AND(ISNUMBER('Raw Data'!J155),'Raw Data'!J155&gt;=Configuration!$D$2),"",_xlfn.REGEXEXTRACT(CELL("address",'Raw Data'!J155),"\$([A-Z]+)\$[0-9]+"))),_xlfn.REGEXEXTRACT(CELL("address",J155), "\$([A-Z]+)\$[0-9]+"))</f>
        <v/>
      </c>
      <c r="K155" s="7" t="str" cm="1">
        <f t="array" aca="1" ref="K155" ca="1">IFERROR(IF(OR('Raw Data'!K155="",LEN(TRIM('Raw Data'!K155))=0),"",IF(AND(ISNUMBER('Raw Data'!K155), IFERROR('Raw Data'!K155 = ROUND('Raw Data'!K155, 2),FALSE)),"",_xlfn.REGEXEXTRACT(CELL("address",K155), "\$([A-Z]+)\$[0-9]+"))),_xlfn.REGEXEXTRACT(CELL("address",K155), "\$([A-Z]+)\$[0-9]+"))</f>
        <v/>
      </c>
      <c r="L155" s="7" t="str" cm="1">
        <f t="array" aca="1" ref="L155" ca="1">IFERROR(IF(OR('Raw Data'!L155="",LEN(TRIM('Raw Data'!L155))=0),"",IF(AND(ISNUMBER('Raw Data'!L155), IFERROR('Raw Data'!L155 = ROUND('Raw Data'!L155, 2),FALSE)),"",_xlfn.REGEXEXTRACT(CELL("address",L155), "\$([A-Z]+)\$[0-9]+"))),_xlfn.REGEXEXTRACT(CELL("address",L155), "\$([A-Z]+)\$[0-9]+"))</f>
        <v/>
      </c>
      <c r="M155" s="7" t="str" cm="1">
        <f t="array" aca="1" ref="M155" ca="1">IFERROR(IF(OR('Raw Data'!M155="",LEN(TRIM('Raw Data'!M155))=0),"",IF(AND(ISNUMBER('Raw Data'!M155), IFERROR('Raw Data'!M155 = ROUND('Raw Data'!M155, 2),FALSE)),"",_xlfn.REGEXEXTRACT(CELL("address",M155), "\$([A-Z]+)\$[0-9]+"))),_xlfn.REGEXEXTRACT(CELL("address",M155), "\$([A-Z]+)\$[0-9]+"))</f>
        <v/>
      </c>
      <c r="N155" s="7" t="str" cm="1">
        <f t="array" aca="1" ref="N155" ca="1">IFERROR(IF(OR('Raw Data'!N155="",LEN(TRIM('Raw Data'!N155))=0),"",IF(AND(ISNUMBER('Raw Data'!N155), IFERROR('Raw Data'!N155 = ROUND('Raw Data'!N155, 2),FALSE)),"",_xlfn.REGEXEXTRACT(CELL("address",N155), "\$([A-Z]+)\$[0-9]+"))),_xlfn.REGEXEXTRACT(CELL("address",N155), "\$([A-Z]+)\$[0-9]+"))</f>
        <v/>
      </c>
      <c r="O155" s="7" t="str" cm="1">
        <f t="array" aca="1" ref="O155" ca="1">IFERROR(IF(OR('Raw Data'!O155="",LEN(TRIM('Raw Data'!O155))=0),"",IF(AND(ISNUMBER('Raw Data'!O155), IFERROR('Raw Data'!O155 = ROUND('Raw Data'!O155, 2),FALSE)),"",_xlfn.REGEXEXTRACT(CELL("address",O155), "\$([A-Z]+)\$[0-9]+"))),_xlfn.REGEXEXTRACT(CELL("address",O155), "\$([A-Z]+)\$[0-9]+"))</f>
        <v/>
      </c>
      <c r="P155" s="7" t="str" cm="1">
        <f t="array" aca="1" ref="P155" ca="1">IFERROR(IF(OR('Raw Data'!P155="",LEN(TRIM('Raw Data'!P155))=0),"",IF(AND(ISNUMBER('Raw Data'!P155),'Raw Data'!P155&gt;=Configuration!$D$2),"",_xlfn.REGEXEXTRACT(CELL("address",'Raw Data'!P155),"\$([A-Z]+)\$[0-9]+"))),_xlfn.REGEXEXTRACT(CELL("address",P155), "\$([A-Z]+)\$[0-9]+"))</f>
        <v/>
      </c>
      <c r="Q155" s="7" t="str" cm="1">
        <f t="array" aca="1" ref="Q155" ca="1">IFERROR(IF(OR('Raw Data'!Q155="",LEN(TRIM('Raw Data'!Q155))=0),"",IF(AND(ISNUMBER('Raw Data'!Q155),'Raw Data'!Q155&gt;=Configuration!$D$2),"",_xlfn.REGEXEXTRACT(CELL("address",'Raw Data'!Q155),"\$([A-Z]+)\$[0-9]+"))),_xlfn.REGEXEXTRACT(CELL("address",Q155), "\$([A-Z]+)\$[0-9]+"))</f>
        <v/>
      </c>
      <c r="R155" s="7" t="str" cm="1">
        <f t="array" aca="1" ref="R155" ca="1">IFERROR(IF(OR('Raw Data'!R155="",LEN(TRIM('Raw Data'!R155))=0),"",IF(AND(ISNUMBER('Raw Data'!R155), IFERROR('Raw Data'!R155 = ROUND('Raw Data'!R155, 2),FALSE)),"",_xlfn.REGEXEXTRACT(CELL("address",R155), "\$([A-Z]+)\$[0-9]+"))),_xlfn.REGEXEXTRACT(CELL("address",R155), "\$([A-Z]+)\$[0-9]+"))</f>
        <v/>
      </c>
      <c r="S155" s="7" t="str" cm="1">
        <f t="array" aca="1" ref="S155" ca="1">IFERROR(IF(OR('Raw Data'!S155="",LEN(TRIM('Raw Data'!S155))=0),"",IF(AND(ISNUMBER('Raw Data'!S155), IFERROR('Raw Data'!S155 = ROUND('Raw Data'!S155, 2),FALSE)),"",_xlfn.REGEXEXTRACT(CELL("address",S155), "\$([A-Z]+)\$[0-9]+"))),_xlfn.REGEXEXTRACT(CELL("address",S155), "\$([A-Z]+)\$[0-9]+"))</f>
        <v/>
      </c>
      <c r="T155" s="7" t="str" cm="1">
        <f t="array" aca="1" ref="T155" ca="1">IFERROR(IF(OR('Raw Data'!T155="",LEN(TRIM('Raw Data'!T155))=0),"",IF(AND(ISNUMBER('Raw Data'!T155), IFERROR('Raw Data'!T155 = ROUND('Raw Data'!T155, 2),FALSE)),"",_xlfn.REGEXEXTRACT(CELL("address",T155), "\$([A-Z]+)\$[0-9]+"))),_xlfn.REGEXEXTRACT(CELL("address",T155), "\$([A-Z]+)\$[0-9]+"))</f>
        <v/>
      </c>
      <c r="U155" s="7" t="str" cm="1">
        <f t="array" aca="1" ref="U155" ca="1">IFERROR(IF(OR('Raw Data'!U155="",LEN(TRIM('Raw Data'!U155))=0),"",IF(AND(LEN('Raw Data'!U155) &lt;= 5,LEN('Raw Data'!U155)&gt; 0),"",_xlfn.REGEXEXTRACT(CELL("address",'Raw Data'!U155),"\$([A-Z]+)\$[0-9]+"))),_xlfn.REGEXEXTRACT(CELL("address",'Raw Data'!U155),"\$([A-Z]+)\$[0-9]+"))</f>
        <v/>
      </c>
      <c r="V155" s="7" t="str" cm="1">
        <f t="array" aca="1" ref="V155" ca="1">IFERROR(IF(OR('Raw Data'!V155="",LEN(TRIM('Raw Data'!V155))=0),"",IF(AND(ISNUMBER('Raw Data'!V155), IFERROR('Raw Data'!V155 = ROUND('Raw Data'!V155, 2),FALSE)),"",_xlfn.REGEXEXTRACT(CELL("address",V155), "\$([A-Z]+)\$[0-9]+"))),_xlfn.REGEXEXTRACT(CELL("address",V155), "\$([A-Z]+)\$[0-9]+"))</f>
        <v/>
      </c>
      <c r="W155" s="7" t="str" cm="1">
        <f t="array" aca="1" ref="W155" ca="1">IFERROR(IF(OR('Raw Data'!W155="",LEN(TRIM('Raw Data'!W155))=0),"",IF(AND(ISNUMBER('Raw Data'!W155), IFERROR('Raw Data'!W155 = ROUND('Raw Data'!W155, 2),FALSE)),"",_xlfn.REGEXEXTRACT(CELL("address",W155), "\$([A-Z]+)\$[0-9]+"))),_xlfn.REGEXEXTRACT(CELL("address",W155), "\$([A-Z]+)\$[0-9]+"))</f>
        <v/>
      </c>
      <c r="X155" s="7" t="str" cm="1">
        <f t="array" aca="1" ref="X155" ca="1">IFERROR(IF(OR('Raw Data'!X155="",LEN(TRIM('Raw Data'!X155))=0),"",IF(AND(ISNUMBER('Raw Data'!X155), IFERROR('Raw Data'!X155 = ROUND('Raw Data'!X155, 2),FALSE)),"",_xlfn.REGEXEXTRACT(CELL("address",X155), "\$([A-Z]+)\$[0-9]+"))),_xlfn.REGEXEXTRACT(CELL("address",X155), "\$([A-Z]+)\$[0-9]+"))</f>
        <v/>
      </c>
    </row>
    <row r="156" spans="2:24" x14ac:dyDescent="0.25">
      <c r="B156" s="7" t="str" cm="1">
        <f t="array" aca="1" ref="B156" ca="1">IFERROR(IF(OR('Raw Data'!B156="",LEN(TRIM('Raw Data'!B156))=0),"",IF(AND(LEN('Raw Data'!B156) &lt;= 50,LEN('Raw Data'!B156)&gt; 0),"",_xlfn.REGEXEXTRACT(CELL("address",'Raw Data'!B156),"\$([A-Z]+)\$[0-9]+"))),_xlfn.REGEXEXTRACT(CELL("address",'Raw Data'!B156),"\$([A-Z]+)\$[0-9]+"))</f>
        <v/>
      </c>
      <c r="C156" s="7" t="str" cm="1">
        <f t="array" aca="1" ref="C156" ca="1">IFERROR(IF(OR('Raw Data'!C156="",LEN(TRIM('Raw Data'!C156))=0),"",IF(AND(LEN('Raw Data'!C156) &lt;= 50,LEN('Raw Data'!C156)&gt; 0),"",_xlfn.REGEXEXTRACT(CELL("address",'Raw Data'!C156),"\$([A-Z]+)\$[0-9]+"))),_xlfn.REGEXEXTRACT(CELL("address",'Raw Data'!C156),"\$([A-Z]+)\$[0-9]+"))</f>
        <v/>
      </c>
      <c r="D156" s="7" t="str" cm="1">
        <f t="array" aca="1" ref="D156" ca="1">IFERROR(IF(OR('Raw Data'!D156="",LEN(TRIM('Raw Data'!D156))=0),"",IF(AND(LEN('Raw Data'!D156) &lt;= 255,LEN('Raw Data'!D156)&gt; 0),"",_xlfn.REGEXEXTRACT(CELL("address",'Raw Data'!D156),"\$([A-Z]+)\$[0-9]+"))),_xlfn.REGEXEXTRACT(CELL("address",'Raw Data'!D156),"\$([A-Z]+)\$[0-9]+"))</f>
        <v/>
      </c>
      <c r="E156" s="7" t="str" cm="1">
        <f t="array" aca="1" ref="E156" ca="1">IFERROR(IF(OR('Raw Data'!E156="",LEN(TRIM('Raw Data'!E156))=0),"",IF(AND(ISNUMBER('Raw Data'!E156),'Raw Data'!E156&gt;=Configuration!$D$2),"",_xlfn.REGEXEXTRACT(CELL("address",'Raw Data'!E156),"\$([A-Z]+)\$[0-9]+"))),_xlfn.REGEXEXTRACT(CELL("address",E156), "\$([A-Z]+)\$[0-9]+"))</f>
        <v/>
      </c>
      <c r="F156" s="7" t="str" cm="1">
        <f t="array" aca="1" ref="F156" ca="1">IFERROR(IF(OR('Raw Data'!F156="",LEN(TRIM('Raw Data'!F156))=0),"",IF(AND(LEN('Raw Data'!F156) &lt;= 20,LEN('Raw Data'!F156)&gt; 0),"",_xlfn.REGEXEXTRACT(CELL("address",'Raw Data'!F156),"\$([A-Z]+)\$[0-9]+"))),_xlfn.REGEXEXTRACT(CELL("address",'Raw Data'!F156),"\$([A-Z]+)\$[0-9]+"))</f>
        <v/>
      </c>
      <c r="G156" s="7" t="str" cm="1">
        <f t="array" aca="1" ref="G156" ca="1">IFERROR(IF(OR('Raw Data'!G156="",LEN(TRIM('Raw Data'!G156))=0),"",IF(AND(ISNUMBER('Raw Data'!G156), IFERROR('Raw Data'!G156 = ROUND('Raw Data'!G156, 2),FALSE)),"",_xlfn.REGEXEXTRACT(CELL("address",G156), "\$([A-Z]+)\$[0-9]+"))),_xlfn.REGEXEXTRACT(CELL("address",G156), "\$([A-Z]+)\$[0-9]+"))</f>
        <v/>
      </c>
      <c r="H156" s="7" t="str" cm="1">
        <f t="array" aca="1" ref="H156" ca="1">IFERROR(IF(OR('Raw Data'!H156="",LEN(TRIM('Raw Data'!H156))=0),"",IF(AND(ISNUMBER('Raw Data'!H156), IFERROR('Raw Data'!H156 = ROUND('Raw Data'!H156, 2),FALSE)),"",_xlfn.REGEXEXTRACT(CELL("address",H156), "\$([A-Z]+)\$[0-9]+"))),_xlfn.REGEXEXTRACT(CELL("address",H156), "\$([A-Z]+)\$[0-9]+"))</f>
        <v/>
      </c>
      <c r="I156" s="7" t="str" cm="1">
        <f t="array" aca="1" ref="I156" ca="1">IFERROR(IF(OR('Raw Data'!I156="",LEN(TRIM('Raw Data'!I156))=0),"",IF(AND(LEN('Raw Data'!I156) &lt;= 50,LEN('Raw Data'!I156)&gt; 0),"",_xlfn.REGEXEXTRACT(CELL("address",'Raw Data'!I156),"\$([A-Z]+)\$[0-9]+"))),_xlfn.REGEXEXTRACT(CELL("address",'Raw Data'!I156),"\$([A-Z]+)\$[0-9]+"))</f>
        <v/>
      </c>
      <c r="J156" s="7" t="str" cm="1">
        <f t="array" aca="1" ref="J156" ca="1">IFERROR(IF(OR('Raw Data'!J156="",LEN(TRIM('Raw Data'!J156))=0),"",IF(AND(ISNUMBER('Raw Data'!J156),'Raw Data'!J156&gt;=Configuration!$D$2),"",_xlfn.REGEXEXTRACT(CELL("address",'Raw Data'!J156),"\$([A-Z]+)\$[0-9]+"))),_xlfn.REGEXEXTRACT(CELL("address",J156), "\$([A-Z]+)\$[0-9]+"))</f>
        <v/>
      </c>
      <c r="K156" s="7" t="str" cm="1">
        <f t="array" aca="1" ref="K156" ca="1">IFERROR(IF(OR('Raw Data'!K156="",LEN(TRIM('Raw Data'!K156))=0),"",IF(AND(ISNUMBER('Raw Data'!K156), IFERROR('Raw Data'!K156 = ROUND('Raw Data'!K156, 2),FALSE)),"",_xlfn.REGEXEXTRACT(CELL("address",K156), "\$([A-Z]+)\$[0-9]+"))),_xlfn.REGEXEXTRACT(CELL("address",K156), "\$([A-Z]+)\$[0-9]+"))</f>
        <v/>
      </c>
      <c r="L156" s="7" t="str" cm="1">
        <f t="array" aca="1" ref="L156" ca="1">IFERROR(IF(OR('Raw Data'!L156="",LEN(TRIM('Raw Data'!L156))=0),"",IF(AND(ISNUMBER('Raw Data'!L156), IFERROR('Raw Data'!L156 = ROUND('Raw Data'!L156, 2),FALSE)),"",_xlfn.REGEXEXTRACT(CELL("address",L156), "\$([A-Z]+)\$[0-9]+"))),_xlfn.REGEXEXTRACT(CELL("address",L156), "\$([A-Z]+)\$[0-9]+"))</f>
        <v/>
      </c>
      <c r="M156" s="7" t="str" cm="1">
        <f t="array" aca="1" ref="M156" ca="1">IFERROR(IF(OR('Raw Data'!M156="",LEN(TRIM('Raw Data'!M156))=0),"",IF(AND(ISNUMBER('Raw Data'!M156), IFERROR('Raw Data'!M156 = ROUND('Raw Data'!M156, 2),FALSE)),"",_xlfn.REGEXEXTRACT(CELL("address",M156), "\$([A-Z]+)\$[0-9]+"))),_xlfn.REGEXEXTRACT(CELL("address",M156), "\$([A-Z]+)\$[0-9]+"))</f>
        <v/>
      </c>
      <c r="N156" s="7" t="str" cm="1">
        <f t="array" aca="1" ref="N156" ca="1">IFERROR(IF(OR('Raw Data'!N156="",LEN(TRIM('Raw Data'!N156))=0),"",IF(AND(ISNUMBER('Raw Data'!N156), IFERROR('Raw Data'!N156 = ROUND('Raw Data'!N156, 2),FALSE)),"",_xlfn.REGEXEXTRACT(CELL("address",N156), "\$([A-Z]+)\$[0-9]+"))),_xlfn.REGEXEXTRACT(CELL("address",N156), "\$([A-Z]+)\$[0-9]+"))</f>
        <v/>
      </c>
      <c r="O156" s="7" t="str" cm="1">
        <f t="array" aca="1" ref="O156" ca="1">IFERROR(IF(OR('Raw Data'!O156="",LEN(TRIM('Raw Data'!O156))=0),"",IF(AND(ISNUMBER('Raw Data'!O156), IFERROR('Raw Data'!O156 = ROUND('Raw Data'!O156, 2),FALSE)),"",_xlfn.REGEXEXTRACT(CELL("address",O156), "\$([A-Z]+)\$[0-9]+"))),_xlfn.REGEXEXTRACT(CELL("address",O156), "\$([A-Z]+)\$[0-9]+"))</f>
        <v/>
      </c>
      <c r="P156" s="7" t="str" cm="1">
        <f t="array" aca="1" ref="P156" ca="1">IFERROR(IF(OR('Raw Data'!P156="",LEN(TRIM('Raw Data'!P156))=0),"",IF(AND(ISNUMBER('Raw Data'!P156),'Raw Data'!P156&gt;=Configuration!$D$2),"",_xlfn.REGEXEXTRACT(CELL("address",'Raw Data'!P156),"\$([A-Z]+)\$[0-9]+"))),_xlfn.REGEXEXTRACT(CELL("address",P156), "\$([A-Z]+)\$[0-9]+"))</f>
        <v/>
      </c>
      <c r="Q156" s="7" t="str" cm="1">
        <f t="array" aca="1" ref="Q156" ca="1">IFERROR(IF(OR('Raw Data'!Q156="",LEN(TRIM('Raw Data'!Q156))=0),"",IF(AND(ISNUMBER('Raw Data'!Q156),'Raw Data'!Q156&gt;=Configuration!$D$2),"",_xlfn.REGEXEXTRACT(CELL("address",'Raw Data'!Q156),"\$([A-Z]+)\$[0-9]+"))),_xlfn.REGEXEXTRACT(CELL("address",Q156), "\$([A-Z]+)\$[0-9]+"))</f>
        <v/>
      </c>
      <c r="R156" s="7" t="str" cm="1">
        <f t="array" aca="1" ref="R156" ca="1">IFERROR(IF(OR('Raw Data'!R156="",LEN(TRIM('Raw Data'!R156))=0),"",IF(AND(ISNUMBER('Raw Data'!R156), IFERROR('Raw Data'!R156 = ROUND('Raw Data'!R156, 2),FALSE)),"",_xlfn.REGEXEXTRACT(CELL("address",R156), "\$([A-Z]+)\$[0-9]+"))),_xlfn.REGEXEXTRACT(CELL("address",R156), "\$([A-Z]+)\$[0-9]+"))</f>
        <v/>
      </c>
      <c r="S156" s="7" t="str" cm="1">
        <f t="array" aca="1" ref="S156" ca="1">IFERROR(IF(OR('Raw Data'!S156="",LEN(TRIM('Raw Data'!S156))=0),"",IF(AND(ISNUMBER('Raw Data'!S156), IFERROR('Raw Data'!S156 = ROUND('Raw Data'!S156, 2),FALSE)),"",_xlfn.REGEXEXTRACT(CELL("address",S156), "\$([A-Z]+)\$[0-9]+"))),_xlfn.REGEXEXTRACT(CELL("address",S156), "\$([A-Z]+)\$[0-9]+"))</f>
        <v/>
      </c>
      <c r="T156" s="7" t="str" cm="1">
        <f t="array" aca="1" ref="T156" ca="1">IFERROR(IF(OR('Raw Data'!T156="",LEN(TRIM('Raw Data'!T156))=0),"",IF(AND(ISNUMBER('Raw Data'!T156), IFERROR('Raw Data'!T156 = ROUND('Raw Data'!T156, 2),FALSE)),"",_xlfn.REGEXEXTRACT(CELL("address",T156), "\$([A-Z]+)\$[0-9]+"))),_xlfn.REGEXEXTRACT(CELL("address",T156), "\$([A-Z]+)\$[0-9]+"))</f>
        <v/>
      </c>
      <c r="U156" s="7" t="str" cm="1">
        <f t="array" aca="1" ref="U156" ca="1">IFERROR(IF(OR('Raw Data'!U156="",LEN(TRIM('Raw Data'!U156))=0),"",IF(AND(LEN('Raw Data'!U156) &lt;= 5,LEN('Raw Data'!U156)&gt; 0),"",_xlfn.REGEXEXTRACT(CELL("address",'Raw Data'!U156),"\$([A-Z]+)\$[0-9]+"))),_xlfn.REGEXEXTRACT(CELL("address",'Raw Data'!U156),"\$([A-Z]+)\$[0-9]+"))</f>
        <v/>
      </c>
      <c r="V156" s="7" t="str" cm="1">
        <f t="array" aca="1" ref="V156" ca="1">IFERROR(IF(OR('Raw Data'!V156="",LEN(TRIM('Raw Data'!V156))=0),"",IF(AND(ISNUMBER('Raw Data'!V156), IFERROR('Raw Data'!V156 = ROUND('Raw Data'!V156, 2),FALSE)),"",_xlfn.REGEXEXTRACT(CELL("address",V156), "\$([A-Z]+)\$[0-9]+"))),_xlfn.REGEXEXTRACT(CELL("address",V156), "\$([A-Z]+)\$[0-9]+"))</f>
        <v/>
      </c>
      <c r="W156" s="7" t="str" cm="1">
        <f t="array" aca="1" ref="W156" ca="1">IFERROR(IF(OR('Raw Data'!W156="",LEN(TRIM('Raw Data'!W156))=0),"",IF(AND(ISNUMBER('Raw Data'!W156), IFERROR('Raw Data'!W156 = ROUND('Raw Data'!W156, 2),FALSE)),"",_xlfn.REGEXEXTRACT(CELL("address",W156), "\$([A-Z]+)\$[0-9]+"))),_xlfn.REGEXEXTRACT(CELL("address",W156), "\$([A-Z]+)\$[0-9]+"))</f>
        <v/>
      </c>
      <c r="X156" s="7" t="str" cm="1">
        <f t="array" aca="1" ref="X156" ca="1">IFERROR(IF(OR('Raw Data'!X156="",LEN(TRIM('Raw Data'!X156))=0),"",IF(AND(ISNUMBER('Raw Data'!X156), IFERROR('Raw Data'!X156 = ROUND('Raw Data'!X156, 2),FALSE)),"",_xlfn.REGEXEXTRACT(CELL("address",X156), "\$([A-Z]+)\$[0-9]+"))),_xlfn.REGEXEXTRACT(CELL("address",X156), "\$([A-Z]+)\$[0-9]+"))</f>
        <v/>
      </c>
    </row>
    <row r="157" spans="2:24" x14ac:dyDescent="0.25">
      <c r="B157" s="7" t="str" cm="1">
        <f t="array" aca="1" ref="B157" ca="1">IFERROR(IF(OR('Raw Data'!B157="",LEN(TRIM('Raw Data'!B157))=0),"",IF(AND(LEN('Raw Data'!B157) &lt;= 50,LEN('Raw Data'!B157)&gt; 0),"",_xlfn.REGEXEXTRACT(CELL("address",'Raw Data'!B157),"\$([A-Z]+)\$[0-9]+"))),_xlfn.REGEXEXTRACT(CELL("address",'Raw Data'!B157),"\$([A-Z]+)\$[0-9]+"))</f>
        <v/>
      </c>
      <c r="C157" s="7" t="str" cm="1">
        <f t="array" aca="1" ref="C157" ca="1">IFERROR(IF(OR('Raw Data'!C157="",LEN(TRIM('Raw Data'!C157))=0),"",IF(AND(LEN('Raw Data'!C157) &lt;= 50,LEN('Raw Data'!C157)&gt; 0),"",_xlfn.REGEXEXTRACT(CELL("address",'Raw Data'!C157),"\$([A-Z]+)\$[0-9]+"))),_xlfn.REGEXEXTRACT(CELL("address",'Raw Data'!C157),"\$([A-Z]+)\$[0-9]+"))</f>
        <v/>
      </c>
      <c r="D157" s="7" t="str" cm="1">
        <f t="array" aca="1" ref="D157" ca="1">IFERROR(IF(OR('Raw Data'!D157="",LEN(TRIM('Raw Data'!D157))=0),"",IF(AND(LEN('Raw Data'!D157) &lt;= 255,LEN('Raw Data'!D157)&gt; 0),"",_xlfn.REGEXEXTRACT(CELL("address",'Raw Data'!D157),"\$([A-Z]+)\$[0-9]+"))),_xlfn.REGEXEXTRACT(CELL("address",'Raw Data'!D157),"\$([A-Z]+)\$[0-9]+"))</f>
        <v/>
      </c>
      <c r="E157" s="7" t="str" cm="1">
        <f t="array" aca="1" ref="E157" ca="1">IFERROR(IF(OR('Raw Data'!E157="",LEN(TRIM('Raw Data'!E157))=0),"",IF(AND(ISNUMBER('Raw Data'!E157),'Raw Data'!E157&gt;=Configuration!$D$2),"",_xlfn.REGEXEXTRACT(CELL("address",'Raw Data'!E157),"\$([A-Z]+)\$[0-9]+"))),_xlfn.REGEXEXTRACT(CELL("address",E157), "\$([A-Z]+)\$[0-9]+"))</f>
        <v/>
      </c>
      <c r="F157" s="7" t="str" cm="1">
        <f t="array" aca="1" ref="F157" ca="1">IFERROR(IF(OR('Raw Data'!F157="",LEN(TRIM('Raw Data'!F157))=0),"",IF(AND(LEN('Raw Data'!F157) &lt;= 20,LEN('Raw Data'!F157)&gt; 0),"",_xlfn.REGEXEXTRACT(CELL("address",'Raw Data'!F157),"\$([A-Z]+)\$[0-9]+"))),_xlfn.REGEXEXTRACT(CELL("address",'Raw Data'!F157),"\$([A-Z]+)\$[0-9]+"))</f>
        <v/>
      </c>
      <c r="G157" s="7" t="str" cm="1">
        <f t="array" aca="1" ref="G157" ca="1">IFERROR(IF(OR('Raw Data'!G157="",LEN(TRIM('Raw Data'!G157))=0),"",IF(AND(ISNUMBER('Raw Data'!G157), IFERROR('Raw Data'!G157 = ROUND('Raw Data'!G157, 2),FALSE)),"",_xlfn.REGEXEXTRACT(CELL("address",G157), "\$([A-Z]+)\$[0-9]+"))),_xlfn.REGEXEXTRACT(CELL("address",G157), "\$([A-Z]+)\$[0-9]+"))</f>
        <v/>
      </c>
      <c r="H157" s="7" t="str" cm="1">
        <f t="array" aca="1" ref="H157" ca="1">IFERROR(IF(OR('Raw Data'!H157="",LEN(TRIM('Raw Data'!H157))=0),"",IF(AND(ISNUMBER('Raw Data'!H157), IFERROR('Raw Data'!H157 = ROUND('Raw Data'!H157, 2),FALSE)),"",_xlfn.REGEXEXTRACT(CELL("address",H157), "\$([A-Z]+)\$[0-9]+"))),_xlfn.REGEXEXTRACT(CELL("address",H157), "\$([A-Z]+)\$[0-9]+"))</f>
        <v/>
      </c>
      <c r="I157" s="7" t="str" cm="1">
        <f t="array" aca="1" ref="I157" ca="1">IFERROR(IF(OR('Raw Data'!I157="",LEN(TRIM('Raw Data'!I157))=0),"",IF(AND(LEN('Raw Data'!I157) &lt;= 50,LEN('Raw Data'!I157)&gt; 0),"",_xlfn.REGEXEXTRACT(CELL("address",'Raw Data'!I157),"\$([A-Z]+)\$[0-9]+"))),_xlfn.REGEXEXTRACT(CELL("address",'Raw Data'!I157),"\$([A-Z]+)\$[0-9]+"))</f>
        <v/>
      </c>
      <c r="J157" s="7" t="str" cm="1">
        <f t="array" aca="1" ref="J157" ca="1">IFERROR(IF(OR('Raw Data'!J157="",LEN(TRIM('Raw Data'!J157))=0),"",IF(AND(ISNUMBER('Raw Data'!J157),'Raw Data'!J157&gt;=Configuration!$D$2),"",_xlfn.REGEXEXTRACT(CELL("address",'Raw Data'!J157),"\$([A-Z]+)\$[0-9]+"))),_xlfn.REGEXEXTRACT(CELL("address",J157), "\$([A-Z]+)\$[0-9]+"))</f>
        <v/>
      </c>
      <c r="K157" s="7" t="str" cm="1">
        <f t="array" aca="1" ref="K157" ca="1">IFERROR(IF(OR('Raw Data'!K157="",LEN(TRIM('Raw Data'!K157))=0),"",IF(AND(ISNUMBER('Raw Data'!K157), IFERROR('Raw Data'!K157 = ROUND('Raw Data'!K157, 2),FALSE)),"",_xlfn.REGEXEXTRACT(CELL("address",K157), "\$([A-Z]+)\$[0-9]+"))),_xlfn.REGEXEXTRACT(CELL("address",K157), "\$([A-Z]+)\$[0-9]+"))</f>
        <v/>
      </c>
      <c r="L157" s="7" t="str" cm="1">
        <f t="array" aca="1" ref="L157" ca="1">IFERROR(IF(OR('Raw Data'!L157="",LEN(TRIM('Raw Data'!L157))=0),"",IF(AND(ISNUMBER('Raw Data'!L157), IFERROR('Raw Data'!L157 = ROUND('Raw Data'!L157, 2),FALSE)),"",_xlfn.REGEXEXTRACT(CELL("address",L157), "\$([A-Z]+)\$[0-9]+"))),_xlfn.REGEXEXTRACT(CELL("address",L157), "\$([A-Z]+)\$[0-9]+"))</f>
        <v/>
      </c>
      <c r="M157" s="7" t="str" cm="1">
        <f t="array" aca="1" ref="M157" ca="1">IFERROR(IF(OR('Raw Data'!M157="",LEN(TRIM('Raw Data'!M157))=0),"",IF(AND(ISNUMBER('Raw Data'!M157), IFERROR('Raw Data'!M157 = ROUND('Raw Data'!M157, 2),FALSE)),"",_xlfn.REGEXEXTRACT(CELL("address",M157), "\$([A-Z]+)\$[0-9]+"))),_xlfn.REGEXEXTRACT(CELL("address",M157), "\$([A-Z]+)\$[0-9]+"))</f>
        <v/>
      </c>
      <c r="N157" s="7" t="str" cm="1">
        <f t="array" aca="1" ref="N157" ca="1">IFERROR(IF(OR('Raw Data'!N157="",LEN(TRIM('Raw Data'!N157))=0),"",IF(AND(ISNUMBER('Raw Data'!N157), IFERROR('Raw Data'!N157 = ROUND('Raw Data'!N157, 2),FALSE)),"",_xlfn.REGEXEXTRACT(CELL("address",N157), "\$([A-Z]+)\$[0-9]+"))),_xlfn.REGEXEXTRACT(CELL("address",N157), "\$([A-Z]+)\$[0-9]+"))</f>
        <v/>
      </c>
      <c r="O157" s="7" t="str" cm="1">
        <f t="array" aca="1" ref="O157" ca="1">IFERROR(IF(OR('Raw Data'!O157="",LEN(TRIM('Raw Data'!O157))=0),"",IF(AND(ISNUMBER('Raw Data'!O157), IFERROR('Raw Data'!O157 = ROUND('Raw Data'!O157, 2),FALSE)),"",_xlfn.REGEXEXTRACT(CELL("address",O157), "\$([A-Z]+)\$[0-9]+"))),_xlfn.REGEXEXTRACT(CELL("address",O157), "\$([A-Z]+)\$[0-9]+"))</f>
        <v/>
      </c>
      <c r="P157" s="7" t="str" cm="1">
        <f t="array" aca="1" ref="P157" ca="1">IFERROR(IF(OR('Raw Data'!P157="",LEN(TRIM('Raw Data'!P157))=0),"",IF(AND(ISNUMBER('Raw Data'!P157),'Raw Data'!P157&gt;=Configuration!$D$2),"",_xlfn.REGEXEXTRACT(CELL("address",'Raw Data'!P157),"\$([A-Z]+)\$[0-9]+"))),_xlfn.REGEXEXTRACT(CELL("address",P157), "\$([A-Z]+)\$[0-9]+"))</f>
        <v/>
      </c>
      <c r="Q157" s="7" t="str" cm="1">
        <f t="array" aca="1" ref="Q157" ca="1">IFERROR(IF(OR('Raw Data'!Q157="",LEN(TRIM('Raw Data'!Q157))=0),"",IF(AND(ISNUMBER('Raw Data'!Q157),'Raw Data'!Q157&gt;=Configuration!$D$2),"",_xlfn.REGEXEXTRACT(CELL("address",'Raw Data'!Q157),"\$([A-Z]+)\$[0-9]+"))),_xlfn.REGEXEXTRACT(CELL("address",Q157), "\$([A-Z]+)\$[0-9]+"))</f>
        <v/>
      </c>
      <c r="R157" s="7" t="str" cm="1">
        <f t="array" aca="1" ref="R157" ca="1">IFERROR(IF(OR('Raw Data'!R157="",LEN(TRIM('Raw Data'!R157))=0),"",IF(AND(ISNUMBER('Raw Data'!R157), IFERROR('Raw Data'!R157 = ROUND('Raw Data'!R157, 2),FALSE)),"",_xlfn.REGEXEXTRACT(CELL("address",R157), "\$([A-Z]+)\$[0-9]+"))),_xlfn.REGEXEXTRACT(CELL("address",R157), "\$([A-Z]+)\$[0-9]+"))</f>
        <v/>
      </c>
      <c r="S157" s="7" t="str" cm="1">
        <f t="array" aca="1" ref="S157" ca="1">IFERROR(IF(OR('Raw Data'!S157="",LEN(TRIM('Raw Data'!S157))=0),"",IF(AND(ISNUMBER('Raw Data'!S157), IFERROR('Raw Data'!S157 = ROUND('Raw Data'!S157, 2),FALSE)),"",_xlfn.REGEXEXTRACT(CELL("address",S157), "\$([A-Z]+)\$[0-9]+"))),_xlfn.REGEXEXTRACT(CELL("address",S157), "\$([A-Z]+)\$[0-9]+"))</f>
        <v/>
      </c>
      <c r="T157" s="7" t="str" cm="1">
        <f t="array" aca="1" ref="T157" ca="1">IFERROR(IF(OR('Raw Data'!T157="",LEN(TRIM('Raw Data'!T157))=0),"",IF(AND(ISNUMBER('Raw Data'!T157), IFERROR('Raw Data'!T157 = ROUND('Raw Data'!T157, 2),FALSE)),"",_xlfn.REGEXEXTRACT(CELL("address",T157), "\$([A-Z]+)\$[0-9]+"))),_xlfn.REGEXEXTRACT(CELL("address",T157), "\$([A-Z]+)\$[0-9]+"))</f>
        <v/>
      </c>
      <c r="U157" s="7" t="str" cm="1">
        <f t="array" aca="1" ref="U157" ca="1">IFERROR(IF(OR('Raw Data'!U157="",LEN(TRIM('Raw Data'!U157))=0),"",IF(AND(LEN('Raw Data'!U157) &lt;= 5,LEN('Raw Data'!U157)&gt; 0),"",_xlfn.REGEXEXTRACT(CELL("address",'Raw Data'!U157),"\$([A-Z]+)\$[0-9]+"))),_xlfn.REGEXEXTRACT(CELL("address",'Raw Data'!U157),"\$([A-Z]+)\$[0-9]+"))</f>
        <v/>
      </c>
      <c r="V157" s="7" t="str" cm="1">
        <f t="array" aca="1" ref="V157" ca="1">IFERROR(IF(OR('Raw Data'!V157="",LEN(TRIM('Raw Data'!V157))=0),"",IF(AND(ISNUMBER('Raw Data'!V157), IFERROR('Raw Data'!V157 = ROUND('Raw Data'!V157, 2),FALSE)),"",_xlfn.REGEXEXTRACT(CELL("address",V157), "\$([A-Z]+)\$[0-9]+"))),_xlfn.REGEXEXTRACT(CELL("address",V157), "\$([A-Z]+)\$[0-9]+"))</f>
        <v/>
      </c>
      <c r="W157" s="7" t="str" cm="1">
        <f t="array" aca="1" ref="W157" ca="1">IFERROR(IF(OR('Raw Data'!W157="",LEN(TRIM('Raw Data'!W157))=0),"",IF(AND(ISNUMBER('Raw Data'!W157), IFERROR('Raw Data'!W157 = ROUND('Raw Data'!W157, 2),FALSE)),"",_xlfn.REGEXEXTRACT(CELL("address",W157), "\$([A-Z]+)\$[0-9]+"))),_xlfn.REGEXEXTRACT(CELL("address",W157), "\$([A-Z]+)\$[0-9]+"))</f>
        <v/>
      </c>
      <c r="X157" s="7" t="str" cm="1">
        <f t="array" aca="1" ref="X157" ca="1">IFERROR(IF(OR('Raw Data'!X157="",LEN(TRIM('Raw Data'!X157))=0),"",IF(AND(ISNUMBER('Raw Data'!X157), IFERROR('Raw Data'!X157 = ROUND('Raw Data'!X157, 2),FALSE)),"",_xlfn.REGEXEXTRACT(CELL("address",X157), "\$([A-Z]+)\$[0-9]+"))),_xlfn.REGEXEXTRACT(CELL("address",X157), "\$([A-Z]+)\$[0-9]+"))</f>
        <v/>
      </c>
    </row>
    <row r="158" spans="2:24" x14ac:dyDescent="0.25">
      <c r="B158" s="7" t="str" cm="1">
        <f t="array" aca="1" ref="B158" ca="1">IFERROR(IF(OR('Raw Data'!B158="",LEN(TRIM('Raw Data'!B158))=0),"",IF(AND(LEN('Raw Data'!B158) &lt;= 50,LEN('Raw Data'!B158)&gt; 0),"",_xlfn.REGEXEXTRACT(CELL("address",'Raw Data'!B158),"\$([A-Z]+)\$[0-9]+"))),_xlfn.REGEXEXTRACT(CELL("address",'Raw Data'!B158),"\$([A-Z]+)\$[0-9]+"))</f>
        <v/>
      </c>
      <c r="C158" s="7" t="str" cm="1">
        <f t="array" aca="1" ref="C158" ca="1">IFERROR(IF(OR('Raw Data'!C158="",LEN(TRIM('Raw Data'!C158))=0),"",IF(AND(LEN('Raw Data'!C158) &lt;= 50,LEN('Raw Data'!C158)&gt; 0),"",_xlfn.REGEXEXTRACT(CELL("address",'Raw Data'!C158),"\$([A-Z]+)\$[0-9]+"))),_xlfn.REGEXEXTRACT(CELL("address",'Raw Data'!C158),"\$([A-Z]+)\$[0-9]+"))</f>
        <v/>
      </c>
      <c r="D158" s="7" t="str" cm="1">
        <f t="array" aca="1" ref="D158" ca="1">IFERROR(IF(OR('Raw Data'!D158="",LEN(TRIM('Raw Data'!D158))=0),"",IF(AND(LEN('Raw Data'!D158) &lt;= 255,LEN('Raw Data'!D158)&gt; 0),"",_xlfn.REGEXEXTRACT(CELL("address",'Raw Data'!D158),"\$([A-Z]+)\$[0-9]+"))),_xlfn.REGEXEXTRACT(CELL("address",'Raw Data'!D158),"\$([A-Z]+)\$[0-9]+"))</f>
        <v/>
      </c>
      <c r="E158" s="7" t="str" cm="1">
        <f t="array" aca="1" ref="E158" ca="1">IFERROR(IF(OR('Raw Data'!E158="",LEN(TRIM('Raw Data'!E158))=0),"",IF(AND(ISNUMBER('Raw Data'!E158),'Raw Data'!E158&gt;=Configuration!$D$2),"",_xlfn.REGEXEXTRACT(CELL("address",'Raw Data'!E158),"\$([A-Z]+)\$[0-9]+"))),_xlfn.REGEXEXTRACT(CELL("address",E158), "\$([A-Z]+)\$[0-9]+"))</f>
        <v/>
      </c>
      <c r="F158" s="7" t="str" cm="1">
        <f t="array" aca="1" ref="F158" ca="1">IFERROR(IF(OR('Raw Data'!F158="",LEN(TRIM('Raw Data'!F158))=0),"",IF(AND(LEN('Raw Data'!F158) &lt;= 20,LEN('Raw Data'!F158)&gt; 0),"",_xlfn.REGEXEXTRACT(CELL("address",'Raw Data'!F158),"\$([A-Z]+)\$[0-9]+"))),_xlfn.REGEXEXTRACT(CELL("address",'Raw Data'!F158),"\$([A-Z]+)\$[0-9]+"))</f>
        <v/>
      </c>
      <c r="G158" s="7" t="str" cm="1">
        <f t="array" aca="1" ref="G158" ca="1">IFERROR(IF(OR('Raw Data'!G158="",LEN(TRIM('Raw Data'!G158))=0),"",IF(AND(ISNUMBER('Raw Data'!G158), IFERROR('Raw Data'!G158 = ROUND('Raw Data'!G158, 2),FALSE)),"",_xlfn.REGEXEXTRACT(CELL("address",G158), "\$([A-Z]+)\$[0-9]+"))),_xlfn.REGEXEXTRACT(CELL("address",G158), "\$([A-Z]+)\$[0-9]+"))</f>
        <v/>
      </c>
      <c r="H158" s="7" t="str" cm="1">
        <f t="array" aca="1" ref="H158" ca="1">IFERROR(IF(OR('Raw Data'!H158="",LEN(TRIM('Raw Data'!H158))=0),"",IF(AND(ISNUMBER('Raw Data'!H158), IFERROR('Raw Data'!H158 = ROUND('Raw Data'!H158, 2),FALSE)),"",_xlfn.REGEXEXTRACT(CELL("address",H158), "\$([A-Z]+)\$[0-9]+"))),_xlfn.REGEXEXTRACT(CELL("address",H158), "\$([A-Z]+)\$[0-9]+"))</f>
        <v/>
      </c>
      <c r="I158" s="7" t="str" cm="1">
        <f t="array" aca="1" ref="I158" ca="1">IFERROR(IF(OR('Raw Data'!I158="",LEN(TRIM('Raw Data'!I158))=0),"",IF(AND(LEN('Raw Data'!I158) &lt;= 50,LEN('Raw Data'!I158)&gt; 0),"",_xlfn.REGEXEXTRACT(CELL("address",'Raw Data'!I158),"\$([A-Z]+)\$[0-9]+"))),_xlfn.REGEXEXTRACT(CELL("address",'Raw Data'!I158),"\$([A-Z]+)\$[0-9]+"))</f>
        <v/>
      </c>
      <c r="J158" s="7" t="str" cm="1">
        <f t="array" aca="1" ref="J158" ca="1">IFERROR(IF(OR('Raw Data'!J158="",LEN(TRIM('Raw Data'!J158))=0),"",IF(AND(ISNUMBER('Raw Data'!J158),'Raw Data'!J158&gt;=Configuration!$D$2),"",_xlfn.REGEXEXTRACT(CELL("address",'Raw Data'!J158),"\$([A-Z]+)\$[0-9]+"))),_xlfn.REGEXEXTRACT(CELL("address",J158), "\$([A-Z]+)\$[0-9]+"))</f>
        <v/>
      </c>
      <c r="K158" s="7" t="str" cm="1">
        <f t="array" aca="1" ref="K158" ca="1">IFERROR(IF(OR('Raw Data'!K158="",LEN(TRIM('Raw Data'!K158))=0),"",IF(AND(ISNUMBER('Raw Data'!K158), IFERROR('Raw Data'!K158 = ROUND('Raw Data'!K158, 2),FALSE)),"",_xlfn.REGEXEXTRACT(CELL("address",K158), "\$([A-Z]+)\$[0-9]+"))),_xlfn.REGEXEXTRACT(CELL("address",K158), "\$([A-Z]+)\$[0-9]+"))</f>
        <v/>
      </c>
      <c r="L158" s="7" t="str" cm="1">
        <f t="array" aca="1" ref="L158" ca="1">IFERROR(IF(OR('Raw Data'!L158="",LEN(TRIM('Raw Data'!L158))=0),"",IF(AND(ISNUMBER('Raw Data'!L158), IFERROR('Raw Data'!L158 = ROUND('Raw Data'!L158, 2),FALSE)),"",_xlfn.REGEXEXTRACT(CELL("address",L158), "\$([A-Z]+)\$[0-9]+"))),_xlfn.REGEXEXTRACT(CELL("address",L158), "\$([A-Z]+)\$[0-9]+"))</f>
        <v/>
      </c>
      <c r="M158" s="7" t="str" cm="1">
        <f t="array" aca="1" ref="M158" ca="1">IFERROR(IF(OR('Raw Data'!M158="",LEN(TRIM('Raw Data'!M158))=0),"",IF(AND(ISNUMBER('Raw Data'!M158), IFERROR('Raw Data'!M158 = ROUND('Raw Data'!M158, 2),FALSE)),"",_xlfn.REGEXEXTRACT(CELL("address",M158), "\$([A-Z]+)\$[0-9]+"))),_xlfn.REGEXEXTRACT(CELL("address",M158), "\$([A-Z]+)\$[0-9]+"))</f>
        <v/>
      </c>
      <c r="N158" s="7" t="str" cm="1">
        <f t="array" aca="1" ref="N158" ca="1">IFERROR(IF(OR('Raw Data'!N158="",LEN(TRIM('Raw Data'!N158))=0),"",IF(AND(ISNUMBER('Raw Data'!N158), IFERROR('Raw Data'!N158 = ROUND('Raw Data'!N158, 2),FALSE)),"",_xlfn.REGEXEXTRACT(CELL("address",N158), "\$([A-Z]+)\$[0-9]+"))),_xlfn.REGEXEXTRACT(CELL("address",N158), "\$([A-Z]+)\$[0-9]+"))</f>
        <v/>
      </c>
      <c r="O158" s="7" t="str" cm="1">
        <f t="array" aca="1" ref="O158" ca="1">IFERROR(IF(OR('Raw Data'!O158="",LEN(TRIM('Raw Data'!O158))=0),"",IF(AND(ISNUMBER('Raw Data'!O158), IFERROR('Raw Data'!O158 = ROUND('Raw Data'!O158, 2),FALSE)),"",_xlfn.REGEXEXTRACT(CELL("address",O158), "\$([A-Z]+)\$[0-9]+"))),_xlfn.REGEXEXTRACT(CELL("address",O158), "\$([A-Z]+)\$[0-9]+"))</f>
        <v/>
      </c>
      <c r="P158" s="7" t="str" cm="1">
        <f t="array" aca="1" ref="P158" ca="1">IFERROR(IF(OR('Raw Data'!P158="",LEN(TRIM('Raw Data'!P158))=0),"",IF(AND(ISNUMBER('Raw Data'!P158),'Raw Data'!P158&gt;=Configuration!$D$2),"",_xlfn.REGEXEXTRACT(CELL("address",'Raw Data'!P158),"\$([A-Z]+)\$[0-9]+"))),_xlfn.REGEXEXTRACT(CELL("address",P158), "\$([A-Z]+)\$[0-9]+"))</f>
        <v/>
      </c>
      <c r="Q158" s="7" t="str" cm="1">
        <f t="array" aca="1" ref="Q158" ca="1">IFERROR(IF(OR('Raw Data'!Q158="",LEN(TRIM('Raw Data'!Q158))=0),"",IF(AND(ISNUMBER('Raw Data'!Q158),'Raw Data'!Q158&gt;=Configuration!$D$2),"",_xlfn.REGEXEXTRACT(CELL("address",'Raw Data'!Q158),"\$([A-Z]+)\$[0-9]+"))),_xlfn.REGEXEXTRACT(CELL("address",Q158), "\$([A-Z]+)\$[0-9]+"))</f>
        <v/>
      </c>
      <c r="R158" s="7" t="str" cm="1">
        <f t="array" aca="1" ref="R158" ca="1">IFERROR(IF(OR('Raw Data'!R158="",LEN(TRIM('Raw Data'!R158))=0),"",IF(AND(ISNUMBER('Raw Data'!R158), IFERROR('Raw Data'!R158 = ROUND('Raw Data'!R158, 2),FALSE)),"",_xlfn.REGEXEXTRACT(CELL("address",R158), "\$([A-Z]+)\$[0-9]+"))),_xlfn.REGEXEXTRACT(CELL("address",R158), "\$([A-Z]+)\$[0-9]+"))</f>
        <v/>
      </c>
      <c r="S158" s="7" t="str" cm="1">
        <f t="array" aca="1" ref="S158" ca="1">IFERROR(IF(OR('Raw Data'!S158="",LEN(TRIM('Raw Data'!S158))=0),"",IF(AND(ISNUMBER('Raw Data'!S158), IFERROR('Raw Data'!S158 = ROUND('Raw Data'!S158, 2),FALSE)),"",_xlfn.REGEXEXTRACT(CELL("address",S158), "\$([A-Z]+)\$[0-9]+"))),_xlfn.REGEXEXTRACT(CELL("address",S158), "\$([A-Z]+)\$[0-9]+"))</f>
        <v/>
      </c>
      <c r="T158" s="7" t="str" cm="1">
        <f t="array" aca="1" ref="T158" ca="1">IFERROR(IF(OR('Raw Data'!T158="",LEN(TRIM('Raw Data'!T158))=0),"",IF(AND(ISNUMBER('Raw Data'!T158), IFERROR('Raw Data'!T158 = ROUND('Raw Data'!T158, 2),FALSE)),"",_xlfn.REGEXEXTRACT(CELL("address",T158), "\$([A-Z]+)\$[0-9]+"))),_xlfn.REGEXEXTRACT(CELL("address",T158), "\$([A-Z]+)\$[0-9]+"))</f>
        <v/>
      </c>
      <c r="U158" s="7" t="str" cm="1">
        <f t="array" aca="1" ref="U158" ca="1">IFERROR(IF(OR('Raw Data'!U158="",LEN(TRIM('Raw Data'!U158))=0),"",IF(AND(LEN('Raw Data'!U158) &lt;= 5,LEN('Raw Data'!U158)&gt; 0),"",_xlfn.REGEXEXTRACT(CELL("address",'Raw Data'!U158),"\$([A-Z]+)\$[0-9]+"))),_xlfn.REGEXEXTRACT(CELL("address",'Raw Data'!U158),"\$([A-Z]+)\$[0-9]+"))</f>
        <v/>
      </c>
      <c r="V158" s="7" t="str" cm="1">
        <f t="array" aca="1" ref="V158" ca="1">IFERROR(IF(OR('Raw Data'!V158="",LEN(TRIM('Raw Data'!V158))=0),"",IF(AND(ISNUMBER('Raw Data'!V158), IFERROR('Raw Data'!V158 = ROUND('Raw Data'!V158, 2),FALSE)),"",_xlfn.REGEXEXTRACT(CELL("address",V158), "\$([A-Z]+)\$[0-9]+"))),_xlfn.REGEXEXTRACT(CELL("address",V158), "\$([A-Z]+)\$[0-9]+"))</f>
        <v/>
      </c>
      <c r="W158" s="7" t="str" cm="1">
        <f t="array" aca="1" ref="W158" ca="1">IFERROR(IF(OR('Raw Data'!W158="",LEN(TRIM('Raw Data'!W158))=0),"",IF(AND(ISNUMBER('Raw Data'!W158), IFERROR('Raw Data'!W158 = ROUND('Raw Data'!W158, 2),FALSE)),"",_xlfn.REGEXEXTRACT(CELL("address",W158), "\$([A-Z]+)\$[0-9]+"))),_xlfn.REGEXEXTRACT(CELL("address",W158), "\$([A-Z]+)\$[0-9]+"))</f>
        <v/>
      </c>
      <c r="X158" s="7" t="str" cm="1">
        <f t="array" aca="1" ref="X158" ca="1">IFERROR(IF(OR('Raw Data'!X158="",LEN(TRIM('Raw Data'!X158))=0),"",IF(AND(ISNUMBER('Raw Data'!X158), IFERROR('Raw Data'!X158 = ROUND('Raw Data'!X158, 2),FALSE)),"",_xlfn.REGEXEXTRACT(CELL("address",X158), "\$([A-Z]+)\$[0-9]+"))),_xlfn.REGEXEXTRACT(CELL("address",X158), "\$([A-Z]+)\$[0-9]+"))</f>
        <v/>
      </c>
    </row>
    <row r="159" spans="2:24" x14ac:dyDescent="0.25">
      <c r="B159" s="7" t="str" cm="1">
        <f t="array" aca="1" ref="B159" ca="1">IFERROR(IF(OR('Raw Data'!B159="",LEN(TRIM('Raw Data'!B159))=0),"",IF(AND(LEN('Raw Data'!B159) &lt;= 50,LEN('Raw Data'!B159)&gt; 0),"",_xlfn.REGEXEXTRACT(CELL("address",'Raw Data'!B159),"\$([A-Z]+)\$[0-9]+"))),_xlfn.REGEXEXTRACT(CELL("address",'Raw Data'!B159),"\$([A-Z]+)\$[0-9]+"))</f>
        <v/>
      </c>
      <c r="C159" s="7" t="str" cm="1">
        <f t="array" aca="1" ref="C159" ca="1">IFERROR(IF(OR('Raw Data'!C159="",LEN(TRIM('Raw Data'!C159))=0),"",IF(AND(LEN('Raw Data'!C159) &lt;= 50,LEN('Raw Data'!C159)&gt; 0),"",_xlfn.REGEXEXTRACT(CELL("address",'Raw Data'!C159),"\$([A-Z]+)\$[0-9]+"))),_xlfn.REGEXEXTRACT(CELL("address",'Raw Data'!C159),"\$([A-Z]+)\$[0-9]+"))</f>
        <v/>
      </c>
      <c r="D159" s="7" t="str" cm="1">
        <f t="array" aca="1" ref="D159" ca="1">IFERROR(IF(OR('Raw Data'!D159="",LEN(TRIM('Raw Data'!D159))=0),"",IF(AND(LEN('Raw Data'!D159) &lt;= 255,LEN('Raw Data'!D159)&gt; 0),"",_xlfn.REGEXEXTRACT(CELL("address",'Raw Data'!D159),"\$([A-Z]+)\$[0-9]+"))),_xlfn.REGEXEXTRACT(CELL("address",'Raw Data'!D159),"\$([A-Z]+)\$[0-9]+"))</f>
        <v/>
      </c>
      <c r="E159" s="7" t="str" cm="1">
        <f t="array" aca="1" ref="E159" ca="1">IFERROR(IF(OR('Raw Data'!E159="",LEN(TRIM('Raw Data'!E159))=0),"",IF(AND(ISNUMBER('Raw Data'!E159),'Raw Data'!E159&gt;=Configuration!$D$2),"",_xlfn.REGEXEXTRACT(CELL("address",'Raw Data'!E159),"\$([A-Z]+)\$[0-9]+"))),_xlfn.REGEXEXTRACT(CELL("address",E159), "\$([A-Z]+)\$[0-9]+"))</f>
        <v/>
      </c>
      <c r="F159" s="7" t="str" cm="1">
        <f t="array" aca="1" ref="F159" ca="1">IFERROR(IF(OR('Raw Data'!F159="",LEN(TRIM('Raw Data'!F159))=0),"",IF(AND(LEN('Raw Data'!F159) &lt;= 20,LEN('Raw Data'!F159)&gt; 0),"",_xlfn.REGEXEXTRACT(CELL("address",'Raw Data'!F159),"\$([A-Z]+)\$[0-9]+"))),_xlfn.REGEXEXTRACT(CELL("address",'Raw Data'!F159),"\$([A-Z]+)\$[0-9]+"))</f>
        <v/>
      </c>
      <c r="G159" s="7" t="str" cm="1">
        <f t="array" aca="1" ref="G159" ca="1">IFERROR(IF(OR('Raw Data'!G159="",LEN(TRIM('Raw Data'!G159))=0),"",IF(AND(ISNUMBER('Raw Data'!G159), IFERROR('Raw Data'!G159 = ROUND('Raw Data'!G159, 2),FALSE)),"",_xlfn.REGEXEXTRACT(CELL("address",G159), "\$([A-Z]+)\$[0-9]+"))),_xlfn.REGEXEXTRACT(CELL("address",G159), "\$([A-Z]+)\$[0-9]+"))</f>
        <v/>
      </c>
      <c r="H159" s="7" t="str" cm="1">
        <f t="array" aca="1" ref="H159" ca="1">IFERROR(IF(OR('Raw Data'!H159="",LEN(TRIM('Raw Data'!H159))=0),"",IF(AND(ISNUMBER('Raw Data'!H159), IFERROR('Raw Data'!H159 = ROUND('Raw Data'!H159, 2),FALSE)),"",_xlfn.REGEXEXTRACT(CELL("address",H159), "\$([A-Z]+)\$[0-9]+"))),_xlfn.REGEXEXTRACT(CELL("address",H159), "\$([A-Z]+)\$[0-9]+"))</f>
        <v/>
      </c>
      <c r="I159" s="7" t="str" cm="1">
        <f t="array" aca="1" ref="I159" ca="1">IFERROR(IF(OR('Raw Data'!I159="",LEN(TRIM('Raw Data'!I159))=0),"",IF(AND(LEN('Raw Data'!I159) &lt;= 50,LEN('Raw Data'!I159)&gt; 0),"",_xlfn.REGEXEXTRACT(CELL("address",'Raw Data'!I159),"\$([A-Z]+)\$[0-9]+"))),_xlfn.REGEXEXTRACT(CELL("address",'Raw Data'!I159),"\$([A-Z]+)\$[0-9]+"))</f>
        <v/>
      </c>
      <c r="J159" s="7" t="str" cm="1">
        <f t="array" aca="1" ref="J159" ca="1">IFERROR(IF(OR('Raw Data'!J159="",LEN(TRIM('Raw Data'!J159))=0),"",IF(AND(ISNUMBER('Raw Data'!J159),'Raw Data'!J159&gt;=Configuration!$D$2),"",_xlfn.REGEXEXTRACT(CELL("address",'Raw Data'!J159),"\$([A-Z]+)\$[0-9]+"))),_xlfn.REGEXEXTRACT(CELL("address",J159), "\$([A-Z]+)\$[0-9]+"))</f>
        <v/>
      </c>
      <c r="K159" s="7" t="str" cm="1">
        <f t="array" aca="1" ref="K159" ca="1">IFERROR(IF(OR('Raw Data'!K159="",LEN(TRIM('Raw Data'!K159))=0),"",IF(AND(ISNUMBER('Raw Data'!K159), IFERROR('Raw Data'!K159 = ROUND('Raw Data'!K159, 2),FALSE)),"",_xlfn.REGEXEXTRACT(CELL("address",K159), "\$([A-Z]+)\$[0-9]+"))),_xlfn.REGEXEXTRACT(CELL("address",K159), "\$([A-Z]+)\$[0-9]+"))</f>
        <v/>
      </c>
      <c r="L159" s="7" t="str" cm="1">
        <f t="array" aca="1" ref="L159" ca="1">IFERROR(IF(OR('Raw Data'!L159="",LEN(TRIM('Raw Data'!L159))=0),"",IF(AND(ISNUMBER('Raw Data'!L159), IFERROR('Raw Data'!L159 = ROUND('Raw Data'!L159, 2),FALSE)),"",_xlfn.REGEXEXTRACT(CELL("address",L159), "\$([A-Z]+)\$[0-9]+"))),_xlfn.REGEXEXTRACT(CELL("address",L159), "\$([A-Z]+)\$[0-9]+"))</f>
        <v/>
      </c>
      <c r="M159" s="7" t="str" cm="1">
        <f t="array" aca="1" ref="M159" ca="1">IFERROR(IF(OR('Raw Data'!M159="",LEN(TRIM('Raw Data'!M159))=0),"",IF(AND(ISNUMBER('Raw Data'!M159), IFERROR('Raw Data'!M159 = ROUND('Raw Data'!M159, 2),FALSE)),"",_xlfn.REGEXEXTRACT(CELL("address",M159), "\$([A-Z]+)\$[0-9]+"))),_xlfn.REGEXEXTRACT(CELL("address",M159), "\$([A-Z]+)\$[0-9]+"))</f>
        <v/>
      </c>
      <c r="N159" s="7" t="str" cm="1">
        <f t="array" aca="1" ref="N159" ca="1">IFERROR(IF(OR('Raw Data'!N159="",LEN(TRIM('Raw Data'!N159))=0),"",IF(AND(ISNUMBER('Raw Data'!N159), IFERROR('Raw Data'!N159 = ROUND('Raw Data'!N159, 2),FALSE)),"",_xlfn.REGEXEXTRACT(CELL("address",N159), "\$([A-Z]+)\$[0-9]+"))),_xlfn.REGEXEXTRACT(CELL("address",N159), "\$([A-Z]+)\$[0-9]+"))</f>
        <v/>
      </c>
      <c r="O159" s="7" t="str" cm="1">
        <f t="array" aca="1" ref="O159" ca="1">IFERROR(IF(OR('Raw Data'!O159="",LEN(TRIM('Raw Data'!O159))=0),"",IF(AND(ISNUMBER('Raw Data'!O159), IFERROR('Raw Data'!O159 = ROUND('Raw Data'!O159, 2),FALSE)),"",_xlfn.REGEXEXTRACT(CELL("address",O159), "\$([A-Z]+)\$[0-9]+"))),_xlfn.REGEXEXTRACT(CELL("address",O159), "\$([A-Z]+)\$[0-9]+"))</f>
        <v/>
      </c>
      <c r="P159" s="7" t="str" cm="1">
        <f t="array" aca="1" ref="P159" ca="1">IFERROR(IF(OR('Raw Data'!P159="",LEN(TRIM('Raw Data'!P159))=0),"",IF(AND(ISNUMBER('Raw Data'!P159),'Raw Data'!P159&gt;=Configuration!$D$2),"",_xlfn.REGEXEXTRACT(CELL("address",'Raw Data'!P159),"\$([A-Z]+)\$[0-9]+"))),_xlfn.REGEXEXTRACT(CELL("address",P159), "\$([A-Z]+)\$[0-9]+"))</f>
        <v/>
      </c>
      <c r="Q159" s="7" t="str" cm="1">
        <f t="array" aca="1" ref="Q159" ca="1">IFERROR(IF(OR('Raw Data'!Q159="",LEN(TRIM('Raw Data'!Q159))=0),"",IF(AND(ISNUMBER('Raw Data'!Q159),'Raw Data'!Q159&gt;=Configuration!$D$2),"",_xlfn.REGEXEXTRACT(CELL("address",'Raw Data'!Q159),"\$([A-Z]+)\$[0-9]+"))),_xlfn.REGEXEXTRACT(CELL("address",Q159), "\$([A-Z]+)\$[0-9]+"))</f>
        <v/>
      </c>
      <c r="R159" s="7" t="str" cm="1">
        <f t="array" aca="1" ref="R159" ca="1">IFERROR(IF(OR('Raw Data'!R159="",LEN(TRIM('Raw Data'!R159))=0),"",IF(AND(ISNUMBER('Raw Data'!R159), IFERROR('Raw Data'!R159 = ROUND('Raw Data'!R159, 2),FALSE)),"",_xlfn.REGEXEXTRACT(CELL("address",R159), "\$([A-Z]+)\$[0-9]+"))),_xlfn.REGEXEXTRACT(CELL("address",R159), "\$([A-Z]+)\$[0-9]+"))</f>
        <v/>
      </c>
      <c r="S159" s="7" t="str" cm="1">
        <f t="array" aca="1" ref="S159" ca="1">IFERROR(IF(OR('Raw Data'!S159="",LEN(TRIM('Raw Data'!S159))=0),"",IF(AND(ISNUMBER('Raw Data'!S159), IFERROR('Raw Data'!S159 = ROUND('Raw Data'!S159, 2),FALSE)),"",_xlfn.REGEXEXTRACT(CELL("address",S159), "\$([A-Z]+)\$[0-9]+"))),_xlfn.REGEXEXTRACT(CELL("address",S159), "\$([A-Z]+)\$[0-9]+"))</f>
        <v/>
      </c>
      <c r="T159" s="7" t="str" cm="1">
        <f t="array" aca="1" ref="T159" ca="1">IFERROR(IF(OR('Raw Data'!T159="",LEN(TRIM('Raw Data'!T159))=0),"",IF(AND(ISNUMBER('Raw Data'!T159), IFERROR('Raw Data'!T159 = ROUND('Raw Data'!T159, 2),FALSE)),"",_xlfn.REGEXEXTRACT(CELL("address",T159), "\$([A-Z]+)\$[0-9]+"))),_xlfn.REGEXEXTRACT(CELL("address",T159), "\$([A-Z]+)\$[0-9]+"))</f>
        <v/>
      </c>
      <c r="U159" s="7" t="str" cm="1">
        <f t="array" aca="1" ref="U159" ca="1">IFERROR(IF(OR('Raw Data'!U159="",LEN(TRIM('Raw Data'!U159))=0),"",IF(AND(LEN('Raw Data'!U159) &lt;= 5,LEN('Raw Data'!U159)&gt; 0),"",_xlfn.REGEXEXTRACT(CELL("address",'Raw Data'!U159),"\$([A-Z]+)\$[0-9]+"))),_xlfn.REGEXEXTRACT(CELL("address",'Raw Data'!U159),"\$([A-Z]+)\$[0-9]+"))</f>
        <v/>
      </c>
      <c r="V159" s="7" t="str" cm="1">
        <f t="array" aca="1" ref="V159" ca="1">IFERROR(IF(OR('Raw Data'!V159="",LEN(TRIM('Raw Data'!V159))=0),"",IF(AND(ISNUMBER('Raw Data'!V159), IFERROR('Raw Data'!V159 = ROUND('Raw Data'!V159, 2),FALSE)),"",_xlfn.REGEXEXTRACT(CELL("address",V159), "\$([A-Z]+)\$[0-9]+"))),_xlfn.REGEXEXTRACT(CELL("address",V159), "\$([A-Z]+)\$[0-9]+"))</f>
        <v/>
      </c>
      <c r="W159" s="7" t="str" cm="1">
        <f t="array" aca="1" ref="W159" ca="1">IFERROR(IF(OR('Raw Data'!W159="",LEN(TRIM('Raw Data'!W159))=0),"",IF(AND(ISNUMBER('Raw Data'!W159), IFERROR('Raw Data'!W159 = ROUND('Raw Data'!W159, 2),FALSE)),"",_xlfn.REGEXEXTRACT(CELL("address",W159), "\$([A-Z]+)\$[0-9]+"))),_xlfn.REGEXEXTRACT(CELL("address",W159), "\$([A-Z]+)\$[0-9]+"))</f>
        <v/>
      </c>
      <c r="X159" s="7" t="str" cm="1">
        <f t="array" aca="1" ref="X159" ca="1">IFERROR(IF(OR('Raw Data'!X159="",LEN(TRIM('Raw Data'!X159))=0),"",IF(AND(ISNUMBER('Raw Data'!X159), IFERROR('Raw Data'!X159 = ROUND('Raw Data'!X159, 2),FALSE)),"",_xlfn.REGEXEXTRACT(CELL("address",X159), "\$([A-Z]+)\$[0-9]+"))),_xlfn.REGEXEXTRACT(CELL("address",X159), "\$([A-Z]+)\$[0-9]+"))</f>
        <v/>
      </c>
    </row>
    <row r="160" spans="2:24" x14ac:dyDescent="0.25">
      <c r="B160" s="7" t="str" cm="1">
        <f t="array" aca="1" ref="B160" ca="1">IFERROR(IF(OR('Raw Data'!B160="",LEN(TRIM('Raw Data'!B160))=0),"",IF(AND(LEN('Raw Data'!B160) &lt;= 50,LEN('Raw Data'!B160)&gt; 0),"",_xlfn.REGEXEXTRACT(CELL("address",'Raw Data'!B160),"\$([A-Z]+)\$[0-9]+"))),_xlfn.REGEXEXTRACT(CELL("address",'Raw Data'!B160),"\$([A-Z]+)\$[0-9]+"))</f>
        <v/>
      </c>
      <c r="C160" s="7" t="str" cm="1">
        <f t="array" aca="1" ref="C160" ca="1">IFERROR(IF(OR('Raw Data'!C160="",LEN(TRIM('Raw Data'!C160))=0),"",IF(AND(LEN('Raw Data'!C160) &lt;= 50,LEN('Raw Data'!C160)&gt; 0),"",_xlfn.REGEXEXTRACT(CELL("address",'Raw Data'!C160),"\$([A-Z]+)\$[0-9]+"))),_xlfn.REGEXEXTRACT(CELL("address",'Raw Data'!C160),"\$([A-Z]+)\$[0-9]+"))</f>
        <v/>
      </c>
      <c r="D160" s="7" t="str" cm="1">
        <f t="array" aca="1" ref="D160" ca="1">IFERROR(IF(OR('Raw Data'!D160="",LEN(TRIM('Raw Data'!D160))=0),"",IF(AND(LEN('Raw Data'!D160) &lt;= 255,LEN('Raw Data'!D160)&gt; 0),"",_xlfn.REGEXEXTRACT(CELL("address",'Raw Data'!D160),"\$([A-Z]+)\$[0-9]+"))),_xlfn.REGEXEXTRACT(CELL("address",'Raw Data'!D160),"\$([A-Z]+)\$[0-9]+"))</f>
        <v/>
      </c>
      <c r="E160" s="7" t="str" cm="1">
        <f t="array" aca="1" ref="E160" ca="1">IFERROR(IF(OR('Raw Data'!E160="",LEN(TRIM('Raw Data'!E160))=0),"",IF(AND(ISNUMBER('Raw Data'!E160),'Raw Data'!E160&gt;=Configuration!$D$2),"",_xlfn.REGEXEXTRACT(CELL("address",'Raw Data'!E160),"\$([A-Z]+)\$[0-9]+"))),_xlfn.REGEXEXTRACT(CELL("address",E160), "\$([A-Z]+)\$[0-9]+"))</f>
        <v/>
      </c>
      <c r="F160" s="7" t="str" cm="1">
        <f t="array" aca="1" ref="F160" ca="1">IFERROR(IF(OR('Raw Data'!F160="",LEN(TRIM('Raw Data'!F160))=0),"",IF(AND(LEN('Raw Data'!F160) &lt;= 20,LEN('Raw Data'!F160)&gt; 0),"",_xlfn.REGEXEXTRACT(CELL("address",'Raw Data'!F160),"\$([A-Z]+)\$[0-9]+"))),_xlfn.REGEXEXTRACT(CELL("address",'Raw Data'!F160),"\$([A-Z]+)\$[0-9]+"))</f>
        <v/>
      </c>
      <c r="G160" s="7" t="str" cm="1">
        <f t="array" aca="1" ref="G160" ca="1">IFERROR(IF(OR('Raw Data'!G160="",LEN(TRIM('Raw Data'!G160))=0),"",IF(AND(ISNUMBER('Raw Data'!G160), IFERROR('Raw Data'!G160 = ROUND('Raw Data'!G160, 2),FALSE)),"",_xlfn.REGEXEXTRACT(CELL("address",G160), "\$([A-Z]+)\$[0-9]+"))),_xlfn.REGEXEXTRACT(CELL("address",G160), "\$([A-Z]+)\$[0-9]+"))</f>
        <v/>
      </c>
      <c r="H160" s="7" t="str" cm="1">
        <f t="array" aca="1" ref="H160" ca="1">IFERROR(IF(OR('Raw Data'!H160="",LEN(TRIM('Raw Data'!H160))=0),"",IF(AND(ISNUMBER('Raw Data'!H160), IFERROR('Raw Data'!H160 = ROUND('Raw Data'!H160, 2),FALSE)),"",_xlfn.REGEXEXTRACT(CELL("address",H160), "\$([A-Z]+)\$[0-9]+"))),_xlfn.REGEXEXTRACT(CELL("address",H160), "\$([A-Z]+)\$[0-9]+"))</f>
        <v/>
      </c>
      <c r="I160" s="7" t="str" cm="1">
        <f t="array" aca="1" ref="I160" ca="1">IFERROR(IF(OR('Raw Data'!I160="",LEN(TRIM('Raw Data'!I160))=0),"",IF(AND(LEN('Raw Data'!I160) &lt;= 50,LEN('Raw Data'!I160)&gt; 0),"",_xlfn.REGEXEXTRACT(CELL("address",'Raw Data'!I160),"\$([A-Z]+)\$[0-9]+"))),_xlfn.REGEXEXTRACT(CELL("address",'Raw Data'!I160),"\$([A-Z]+)\$[0-9]+"))</f>
        <v/>
      </c>
      <c r="J160" s="7" t="str" cm="1">
        <f t="array" aca="1" ref="J160" ca="1">IFERROR(IF(OR('Raw Data'!J160="",LEN(TRIM('Raw Data'!J160))=0),"",IF(AND(ISNUMBER('Raw Data'!J160),'Raw Data'!J160&gt;=Configuration!$D$2),"",_xlfn.REGEXEXTRACT(CELL("address",'Raw Data'!J160),"\$([A-Z]+)\$[0-9]+"))),_xlfn.REGEXEXTRACT(CELL("address",J160), "\$([A-Z]+)\$[0-9]+"))</f>
        <v/>
      </c>
      <c r="K160" s="7" t="str" cm="1">
        <f t="array" aca="1" ref="K160" ca="1">IFERROR(IF(OR('Raw Data'!K160="",LEN(TRIM('Raw Data'!K160))=0),"",IF(AND(ISNUMBER('Raw Data'!K160), IFERROR('Raw Data'!K160 = ROUND('Raw Data'!K160, 2),FALSE)),"",_xlfn.REGEXEXTRACT(CELL("address",K160), "\$([A-Z]+)\$[0-9]+"))),_xlfn.REGEXEXTRACT(CELL("address",K160), "\$([A-Z]+)\$[0-9]+"))</f>
        <v/>
      </c>
      <c r="L160" s="7" t="str" cm="1">
        <f t="array" aca="1" ref="L160" ca="1">IFERROR(IF(OR('Raw Data'!L160="",LEN(TRIM('Raw Data'!L160))=0),"",IF(AND(ISNUMBER('Raw Data'!L160), IFERROR('Raw Data'!L160 = ROUND('Raw Data'!L160, 2),FALSE)),"",_xlfn.REGEXEXTRACT(CELL("address",L160), "\$([A-Z]+)\$[0-9]+"))),_xlfn.REGEXEXTRACT(CELL("address",L160), "\$([A-Z]+)\$[0-9]+"))</f>
        <v/>
      </c>
      <c r="M160" s="7" t="str" cm="1">
        <f t="array" aca="1" ref="M160" ca="1">IFERROR(IF(OR('Raw Data'!M160="",LEN(TRIM('Raw Data'!M160))=0),"",IF(AND(ISNUMBER('Raw Data'!M160), IFERROR('Raw Data'!M160 = ROUND('Raw Data'!M160, 2),FALSE)),"",_xlfn.REGEXEXTRACT(CELL("address",M160), "\$([A-Z]+)\$[0-9]+"))),_xlfn.REGEXEXTRACT(CELL("address",M160), "\$([A-Z]+)\$[0-9]+"))</f>
        <v/>
      </c>
      <c r="N160" s="7" t="str" cm="1">
        <f t="array" aca="1" ref="N160" ca="1">IFERROR(IF(OR('Raw Data'!N160="",LEN(TRIM('Raw Data'!N160))=0),"",IF(AND(ISNUMBER('Raw Data'!N160), IFERROR('Raw Data'!N160 = ROUND('Raw Data'!N160, 2),FALSE)),"",_xlfn.REGEXEXTRACT(CELL("address",N160), "\$([A-Z]+)\$[0-9]+"))),_xlfn.REGEXEXTRACT(CELL("address",N160), "\$([A-Z]+)\$[0-9]+"))</f>
        <v/>
      </c>
      <c r="O160" s="7" t="str" cm="1">
        <f t="array" aca="1" ref="O160" ca="1">IFERROR(IF(OR('Raw Data'!O160="",LEN(TRIM('Raw Data'!O160))=0),"",IF(AND(ISNUMBER('Raw Data'!O160), IFERROR('Raw Data'!O160 = ROUND('Raw Data'!O160, 2),FALSE)),"",_xlfn.REGEXEXTRACT(CELL("address",O160), "\$([A-Z]+)\$[0-9]+"))),_xlfn.REGEXEXTRACT(CELL("address",O160), "\$([A-Z]+)\$[0-9]+"))</f>
        <v/>
      </c>
      <c r="P160" s="7" t="str" cm="1">
        <f t="array" aca="1" ref="P160" ca="1">IFERROR(IF(OR('Raw Data'!P160="",LEN(TRIM('Raw Data'!P160))=0),"",IF(AND(ISNUMBER('Raw Data'!P160),'Raw Data'!P160&gt;=Configuration!$D$2),"",_xlfn.REGEXEXTRACT(CELL("address",'Raw Data'!P160),"\$([A-Z]+)\$[0-9]+"))),_xlfn.REGEXEXTRACT(CELL("address",P160), "\$([A-Z]+)\$[0-9]+"))</f>
        <v/>
      </c>
      <c r="Q160" s="7" t="str" cm="1">
        <f t="array" aca="1" ref="Q160" ca="1">IFERROR(IF(OR('Raw Data'!Q160="",LEN(TRIM('Raw Data'!Q160))=0),"",IF(AND(ISNUMBER('Raw Data'!Q160),'Raw Data'!Q160&gt;=Configuration!$D$2),"",_xlfn.REGEXEXTRACT(CELL("address",'Raw Data'!Q160),"\$([A-Z]+)\$[0-9]+"))),_xlfn.REGEXEXTRACT(CELL("address",Q160), "\$([A-Z]+)\$[0-9]+"))</f>
        <v/>
      </c>
      <c r="R160" s="7" t="str" cm="1">
        <f t="array" aca="1" ref="R160" ca="1">IFERROR(IF(OR('Raw Data'!R160="",LEN(TRIM('Raw Data'!R160))=0),"",IF(AND(ISNUMBER('Raw Data'!R160), IFERROR('Raw Data'!R160 = ROUND('Raw Data'!R160, 2),FALSE)),"",_xlfn.REGEXEXTRACT(CELL("address",R160), "\$([A-Z]+)\$[0-9]+"))),_xlfn.REGEXEXTRACT(CELL("address",R160), "\$([A-Z]+)\$[0-9]+"))</f>
        <v/>
      </c>
      <c r="S160" s="7" t="str" cm="1">
        <f t="array" aca="1" ref="S160" ca="1">IFERROR(IF(OR('Raw Data'!S160="",LEN(TRIM('Raw Data'!S160))=0),"",IF(AND(ISNUMBER('Raw Data'!S160), IFERROR('Raw Data'!S160 = ROUND('Raw Data'!S160, 2),FALSE)),"",_xlfn.REGEXEXTRACT(CELL("address",S160), "\$([A-Z]+)\$[0-9]+"))),_xlfn.REGEXEXTRACT(CELL("address",S160), "\$([A-Z]+)\$[0-9]+"))</f>
        <v/>
      </c>
      <c r="T160" s="7" t="str" cm="1">
        <f t="array" aca="1" ref="T160" ca="1">IFERROR(IF(OR('Raw Data'!T160="",LEN(TRIM('Raw Data'!T160))=0),"",IF(AND(ISNUMBER('Raw Data'!T160), IFERROR('Raw Data'!T160 = ROUND('Raw Data'!T160, 2),FALSE)),"",_xlfn.REGEXEXTRACT(CELL("address",T160), "\$([A-Z]+)\$[0-9]+"))),_xlfn.REGEXEXTRACT(CELL("address",T160), "\$([A-Z]+)\$[0-9]+"))</f>
        <v/>
      </c>
      <c r="U160" s="7" t="str" cm="1">
        <f t="array" aca="1" ref="U160" ca="1">IFERROR(IF(OR('Raw Data'!U160="",LEN(TRIM('Raw Data'!U160))=0),"",IF(AND(LEN('Raw Data'!U160) &lt;= 5,LEN('Raw Data'!U160)&gt; 0),"",_xlfn.REGEXEXTRACT(CELL("address",'Raw Data'!U160),"\$([A-Z]+)\$[0-9]+"))),_xlfn.REGEXEXTRACT(CELL("address",'Raw Data'!U160),"\$([A-Z]+)\$[0-9]+"))</f>
        <v/>
      </c>
      <c r="V160" s="7" t="str" cm="1">
        <f t="array" aca="1" ref="V160" ca="1">IFERROR(IF(OR('Raw Data'!V160="",LEN(TRIM('Raw Data'!V160))=0),"",IF(AND(ISNUMBER('Raw Data'!V160), IFERROR('Raw Data'!V160 = ROUND('Raw Data'!V160, 2),FALSE)),"",_xlfn.REGEXEXTRACT(CELL("address",V160), "\$([A-Z]+)\$[0-9]+"))),_xlfn.REGEXEXTRACT(CELL("address",V160), "\$([A-Z]+)\$[0-9]+"))</f>
        <v/>
      </c>
      <c r="W160" s="7" t="str" cm="1">
        <f t="array" aca="1" ref="W160" ca="1">IFERROR(IF(OR('Raw Data'!W160="",LEN(TRIM('Raw Data'!W160))=0),"",IF(AND(ISNUMBER('Raw Data'!W160), IFERROR('Raw Data'!W160 = ROUND('Raw Data'!W160, 2),FALSE)),"",_xlfn.REGEXEXTRACT(CELL("address",W160), "\$([A-Z]+)\$[0-9]+"))),_xlfn.REGEXEXTRACT(CELL("address",W160), "\$([A-Z]+)\$[0-9]+"))</f>
        <v/>
      </c>
      <c r="X160" s="7" t="str" cm="1">
        <f t="array" aca="1" ref="X160" ca="1">IFERROR(IF(OR('Raw Data'!X160="",LEN(TRIM('Raw Data'!X160))=0),"",IF(AND(ISNUMBER('Raw Data'!X160), IFERROR('Raw Data'!X160 = ROUND('Raw Data'!X160, 2),FALSE)),"",_xlfn.REGEXEXTRACT(CELL("address",X160), "\$([A-Z]+)\$[0-9]+"))),_xlfn.REGEXEXTRACT(CELL("address",X160), "\$([A-Z]+)\$[0-9]+"))</f>
        <v/>
      </c>
    </row>
    <row r="161" spans="2:24" x14ac:dyDescent="0.25">
      <c r="B161" s="7" t="str" cm="1">
        <f t="array" aca="1" ref="B161" ca="1">IFERROR(IF(OR('Raw Data'!B161="",LEN(TRIM('Raw Data'!B161))=0),"",IF(AND(LEN('Raw Data'!B161) &lt;= 50,LEN('Raw Data'!B161)&gt; 0),"",_xlfn.REGEXEXTRACT(CELL("address",'Raw Data'!B161),"\$([A-Z]+)\$[0-9]+"))),_xlfn.REGEXEXTRACT(CELL("address",'Raw Data'!B161),"\$([A-Z]+)\$[0-9]+"))</f>
        <v/>
      </c>
      <c r="C161" s="7" t="str" cm="1">
        <f t="array" aca="1" ref="C161" ca="1">IFERROR(IF(OR('Raw Data'!C161="",LEN(TRIM('Raw Data'!C161))=0),"",IF(AND(LEN('Raw Data'!C161) &lt;= 50,LEN('Raw Data'!C161)&gt; 0),"",_xlfn.REGEXEXTRACT(CELL("address",'Raw Data'!C161),"\$([A-Z]+)\$[0-9]+"))),_xlfn.REGEXEXTRACT(CELL("address",'Raw Data'!C161),"\$([A-Z]+)\$[0-9]+"))</f>
        <v/>
      </c>
      <c r="D161" s="7" t="str" cm="1">
        <f t="array" aca="1" ref="D161" ca="1">IFERROR(IF(OR('Raw Data'!D161="",LEN(TRIM('Raw Data'!D161))=0),"",IF(AND(LEN('Raw Data'!D161) &lt;= 255,LEN('Raw Data'!D161)&gt; 0),"",_xlfn.REGEXEXTRACT(CELL("address",'Raw Data'!D161),"\$([A-Z]+)\$[0-9]+"))),_xlfn.REGEXEXTRACT(CELL("address",'Raw Data'!D161),"\$([A-Z]+)\$[0-9]+"))</f>
        <v/>
      </c>
      <c r="E161" s="7" t="str" cm="1">
        <f t="array" aca="1" ref="E161" ca="1">IFERROR(IF(OR('Raw Data'!E161="",LEN(TRIM('Raw Data'!E161))=0),"",IF(AND(ISNUMBER('Raw Data'!E161),'Raw Data'!E161&gt;=Configuration!$D$2),"",_xlfn.REGEXEXTRACT(CELL("address",'Raw Data'!E161),"\$([A-Z]+)\$[0-9]+"))),_xlfn.REGEXEXTRACT(CELL("address",E161), "\$([A-Z]+)\$[0-9]+"))</f>
        <v/>
      </c>
      <c r="F161" s="7" t="str" cm="1">
        <f t="array" aca="1" ref="F161" ca="1">IFERROR(IF(OR('Raw Data'!F161="",LEN(TRIM('Raw Data'!F161))=0),"",IF(AND(LEN('Raw Data'!F161) &lt;= 20,LEN('Raw Data'!F161)&gt; 0),"",_xlfn.REGEXEXTRACT(CELL("address",'Raw Data'!F161),"\$([A-Z]+)\$[0-9]+"))),_xlfn.REGEXEXTRACT(CELL("address",'Raw Data'!F161),"\$([A-Z]+)\$[0-9]+"))</f>
        <v/>
      </c>
      <c r="G161" s="7" t="str" cm="1">
        <f t="array" aca="1" ref="G161" ca="1">IFERROR(IF(OR('Raw Data'!G161="",LEN(TRIM('Raw Data'!G161))=0),"",IF(AND(ISNUMBER('Raw Data'!G161), IFERROR('Raw Data'!G161 = ROUND('Raw Data'!G161, 2),FALSE)),"",_xlfn.REGEXEXTRACT(CELL("address",G161), "\$([A-Z]+)\$[0-9]+"))),_xlfn.REGEXEXTRACT(CELL("address",G161), "\$([A-Z]+)\$[0-9]+"))</f>
        <v/>
      </c>
      <c r="H161" s="7" t="str" cm="1">
        <f t="array" aca="1" ref="H161" ca="1">IFERROR(IF(OR('Raw Data'!H161="",LEN(TRIM('Raw Data'!H161))=0),"",IF(AND(ISNUMBER('Raw Data'!H161), IFERROR('Raw Data'!H161 = ROUND('Raw Data'!H161, 2),FALSE)),"",_xlfn.REGEXEXTRACT(CELL("address",H161), "\$([A-Z]+)\$[0-9]+"))),_xlfn.REGEXEXTRACT(CELL("address",H161), "\$([A-Z]+)\$[0-9]+"))</f>
        <v/>
      </c>
      <c r="I161" s="7" t="str" cm="1">
        <f t="array" aca="1" ref="I161" ca="1">IFERROR(IF(OR('Raw Data'!I161="",LEN(TRIM('Raw Data'!I161))=0),"",IF(AND(LEN('Raw Data'!I161) &lt;= 50,LEN('Raw Data'!I161)&gt; 0),"",_xlfn.REGEXEXTRACT(CELL("address",'Raw Data'!I161),"\$([A-Z]+)\$[0-9]+"))),_xlfn.REGEXEXTRACT(CELL("address",'Raw Data'!I161),"\$([A-Z]+)\$[0-9]+"))</f>
        <v/>
      </c>
      <c r="J161" s="7" t="str" cm="1">
        <f t="array" aca="1" ref="J161" ca="1">IFERROR(IF(OR('Raw Data'!J161="",LEN(TRIM('Raw Data'!J161))=0),"",IF(AND(ISNUMBER('Raw Data'!J161),'Raw Data'!J161&gt;=Configuration!$D$2),"",_xlfn.REGEXEXTRACT(CELL("address",'Raw Data'!J161),"\$([A-Z]+)\$[0-9]+"))),_xlfn.REGEXEXTRACT(CELL("address",J161), "\$([A-Z]+)\$[0-9]+"))</f>
        <v/>
      </c>
      <c r="K161" s="7" t="str" cm="1">
        <f t="array" aca="1" ref="K161" ca="1">IFERROR(IF(OR('Raw Data'!K161="",LEN(TRIM('Raw Data'!K161))=0),"",IF(AND(ISNUMBER('Raw Data'!K161), IFERROR('Raw Data'!K161 = ROUND('Raw Data'!K161, 2),FALSE)),"",_xlfn.REGEXEXTRACT(CELL("address",K161), "\$([A-Z]+)\$[0-9]+"))),_xlfn.REGEXEXTRACT(CELL("address",K161), "\$([A-Z]+)\$[0-9]+"))</f>
        <v/>
      </c>
      <c r="L161" s="7" t="str" cm="1">
        <f t="array" aca="1" ref="L161" ca="1">IFERROR(IF(OR('Raw Data'!L161="",LEN(TRIM('Raw Data'!L161))=0),"",IF(AND(ISNUMBER('Raw Data'!L161), IFERROR('Raw Data'!L161 = ROUND('Raw Data'!L161, 2),FALSE)),"",_xlfn.REGEXEXTRACT(CELL("address",L161), "\$([A-Z]+)\$[0-9]+"))),_xlfn.REGEXEXTRACT(CELL("address",L161), "\$([A-Z]+)\$[0-9]+"))</f>
        <v/>
      </c>
      <c r="M161" s="7" t="str" cm="1">
        <f t="array" aca="1" ref="M161" ca="1">IFERROR(IF(OR('Raw Data'!M161="",LEN(TRIM('Raw Data'!M161))=0),"",IF(AND(ISNUMBER('Raw Data'!M161), IFERROR('Raw Data'!M161 = ROUND('Raw Data'!M161, 2),FALSE)),"",_xlfn.REGEXEXTRACT(CELL("address",M161), "\$([A-Z]+)\$[0-9]+"))),_xlfn.REGEXEXTRACT(CELL("address",M161), "\$([A-Z]+)\$[0-9]+"))</f>
        <v/>
      </c>
      <c r="N161" s="7" t="str" cm="1">
        <f t="array" aca="1" ref="N161" ca="1">IFERROR(IF(OR('Raw Data'!N161="",LEN(TRIM('Raw Data'!N161))=0),"",IF(AND(ISNUMBER('Raw Data'!N161), IFERROR('Raw Data'!N161 = ROUND('Raw Data'!N161, 2),FALSE)),"",_xlfn.REGEXEXTRACT(CELL("address",N161), "\$([A-Z]+)\$[0-9]+"))),_xlfn.REGEXEXTRACT(CELL("address",N161), "\$([A-Z]+)\$[0-9]+"))</f>
        <v/>
      </c>
      <c r="O161" s="7" t="str" cm="1">
        <f t="array" aca="1" ref="O161" ca="1">IFERROR(IF(OR('Raw Data'!O161="",LEN(TRIM('Raw Data'!O161))=0),"",IF(AND(ISNUMBER('Raw Data'!O161), IFERROR('Raw Data'!O161 = ROUND('Raw Data'!O161, 2),FALSE)),"",_xlfn.REGEXEXTRACT(CELL("address",O161), "\$([A-Z]+)\$[0-9]+"))),_xlfn.REGEXEXTRACT(CELL("address",O161), "\$([A-Z]+)\$[0-9]+"))</f>
        <v/>
      </c>
      <c r="P161" s="7" t="str" cm="1">
        <f t="array" aca="1" ref="P161" ca="1">IFERROR(IF(OR('Raw Data'!P161="",LEN(TRIM('Raw Data'!P161))=0),"",IF(AND(ISNUMBER('Raw Data'!P161),'Raw Data'!P161&gt;=Configuration!$D$2),"",_xlfn.REGEXEXTRACT(CELL("address",'Raw Data'!P161),"\$([A-Z]+)\$[0-9]+"))),_xlfn.REGEXEXTRACT(CELL("address",P161), "\$([A-Z]+)\$[0-9]+"))</f>
        <v/>
      </c>
      <c r="Q161" s="7" t="str" cm="1">
        <f t="array" aca="1" ref="Q161" ca="1">IFERROR(IF(OR('Raw Data'!Q161="",LEN(TRIM('Raw Data'!Q161))=0),"",IF(AND(ISNUMBER('Raw Data'!Q161),'Raw Data'!Q161&gt;=Configuration!$D$2),"",_xlfn.REGEXEXTRACT(CELL("address",'Raw Data'!Q161),"\$([A-Z]+)\$[0-9]+"))),_xlfn.REGEXEXTRACT(CELL("address",Q161), "\$([A-Z]+)\$[0-9]+"))</f>
        <v/>
      </c>
      <c r="R161" s="7" t="str" cm="1">
        <f t="array" aca="1" ref="R161" ca="1">IFERROR(IF(OR('Raw Data'!R161="",LEN(TRIM('Raw Data'!R161))=0),"",IF(AND(ISNUMBER('Raw Data'!R161), IFERROR('Raw Data'!R161 = ROUND('Raw Data'!R161, 2),FALSE)),"",_xlfn.REGEXEXTRACT(CELL("address",R161), "\$([A-Z]+)\$[0-9]+"))),_xlfn.REGEXEXTRACT(CELL("address",R161), "\$([A-Z]+)\$[0-9]+"))</f>
        <v/>
      </c>
      <c r="S161" s="7" t="str" cm="1">
        <f t="array" aca="1" ref="S161" ca="1">IFERROR(IF(OR('Raw Data'!S161="",LEN(TRIM('Raw Data'!S161))=0),"",IF(AND(ISNUMBER('Raw Data'!S161), IFERROR('Raw Data'!S161 = ROUND('Raw Data'!S161, 2),FALSE)),"",_xlfn.REGEXEXTRACT(CELL("address",S161), "\$([A-Z]+)\$[0-9]+"))),_xlfn.REGEXEXTRACT(CELL("address",S161), "\$([A-Z]+)\$[0-9]+"))</f>
        <v/>
      </c>
      <c r="T161" s="7" t="str" cm="1">
        <f t="array" aca="1" ref="T161" ca="1">IFERROR(IF(OR('Raw Data'!T161="",LEN(TRIM('Raw Data'!T161))=0),"",IF(AND(ISNUMBER('Raw Data'!T161), IFERROR('Raw Data'!T161 = ROUND('Raw Data'!T161, 2),FALSE)),"",_xlfn.REGEXEXTRACT(CELL("address",T161), "\$([A-Z]+)\$[0-9]+"))),_xlfn.REGEXEXTRACT(CELL("address",T161), "\$([A-Z]+)\$[0-9]+"))</f>
        <v/>
      </c>
      <c r="U161" s="7" t="str" cm="1">
        <f t="array" aca="1" ref="U161" ca="1">IFERROR(IF(OR('Raw Data'!U161="",LEN(TRIM('Raw Data'!U161))=0),"",IF(AND(LEN('Raw Data'!U161) &lt;= 5,LEN('Raw Data'!U161)&gt; 0),"",_xlfn.REGEXEXTRACT(CELL("address",'Raw Data'!U161),"\$([A-Z]+)\$[0-9]+"))),_xlfn.REGEXEXTRACT(CELL("address",'Raw Data'!U161),"\$([A-Z]+)\$[0-9]+"))</f>
        <v/>
      </c>
      <c r="V161" s="7" t="str" cm="1">
        <f t="array" aca="1" ref="V161" ca="1">IFERROR(IF(OR('Raw Data'!V161="",LEN(TRIM('Raw Data'!V161))=0),"",IF(AND(ISNUMBER('Raw Data'!V161), IFERROR('Raw Data'!V161 = ROUND('Raw Data'!V161, 2),FALSE)),"",_xlfn.REGEXEXTRACT(CELL("address",V161), "\$([A-Z]+)\$[0-9]+"))),_xlfn.REGEXEXTRACT(CELL("address",V161), "\$([A-Z]+)\$[0-9]+"))</f>
        <v/>
      </c>
      <c r="W161" s="7" t="str" cm="1">
        <f t="array" aca="1" ref="W161" ca="1">IFERROR(IF(OR('Raw Data'!W161="",LEN(TRIM('Raw Data'!W161))=0),"",IF(AND(ISNUMBER('Raw Data'!W161), IFERROR('Raw Data'!W161 = ROUND('Raw Data'!W161, 2),FALSE)),"",_xlfn.REGEXEXTRACT(CELL("address",W161), "\$([A-Z]+)\$[0-9]+"))),_xlfn.REGEXEXTRACT(CELL("address",W161), "\$([A-Z]+)\$[0-9]+"))</f>
        <v/>
      </c>
      <c r="X161" s="7" t="str" cm="1">
        <f t="array" aca="1" ref="X161" ca="1">IFERROR(IF(OR('Raw Data'!X161="",LEN(TRIM('Raw Data'!X161))=0),"",IF(AND(ISNUMBER('Raw Data'!X161), IFERROR('Raw Data'!X161 = ROUND('Raw Data'!X161, 2),FALSE)),"",_xlfn.REGEXEXTRACT(CELL("address",X161), "\$([A-Z]+)\$[0-9]+"))),_xlfn.REGEXEXTRACT(CELL("address",X161), "\$([A-Z]+)\$[0-9]+"))</f>
        <v/>
      </c>
    </row>
    <row r="162" spans="2:24" x14ac:dyDescent="0.25">
      <c r="B162" s="7" t="str" cm="1">
        <f t="array" aca="1" ref="B162" ca="1">IFERROR(IF(OR('Raw Data'!B162="",LEN(TRIM('Raw Data'!B162))=0),"",IF(AND(LEN('Raw Data'!B162) &lt;= 50,LEN('Raw Data'!B162)&gt; 0),"",_xlfn.REGEXEXTRACT(CELL("address",'Raw Data'!B162),"\$([A-Z]+)\$[0-9]+"))),_xlfn.REGEXEXTRACT(CELL("address",'Raw Data'!B162),"\$([A-Z]+)\$[0-9]+"))</f>
        <v/>
      </c>
      <c r="C162" s="7" t="str" cm="1">
        <f t="array" aca="1" ref="C162" ca="1">IFERROR(IF(OR('Raw Data'!C162="",LEN(TRIM('Raw Data'!C162))=0),"",IF(AND(LEN('Raw Data'!C162) &lt;= 50,LEN('Raw Data'!C162)&gt; 0),"",_xlfn.REGEXEXTRACT(CELL("address",'Raw Data'!C162),"\$([A-Z]+)\$[0-9]+"))),_xlfn.REGEXEXTRACT(CELL("address",'Raw Data'!C162),"\$([A-Z]+)\$[0-9]+"))</f>
        <v/>
      </c>
      <c r="D162" s="7" t="str" cm="1">
        <f t="array" aca="1" ref="D162" ca="1">IFERROR(IF(OR('Raw Data'!D162="",LEN(TRIM('Raw Data'!D162))=0),"",IF(AND(LEN('Raw Data'!D162) &lt;= 255,LEN('Raw Data'!D162)&gt; 0),"",_xlfn.REGEXEXTRACT(CELL("address",'Raw Data'!D162),"\$([A-Z]+)\$[0-9]+"))),_xlfn.REGEXEXTRACT(CELL("address",'Raw Data'!D162),"\$([A-Z]+)\$[0-9]+"))</f>
        <v/>
      </c>
      <c r="E162" s="7" t="str" cm="1">
        <f t="array" aca="1" ref="E162" ca="1">IFERROR(IF(OR('Raw Data'!E162="",LEN(TRIM('Raw Data'!E162))=0),"",IF(AND(ISNUMBER('Raw Data'!E162),'Raw Data'!E162&gt;=Configuration!$D$2),"",_xlfn.REGEXEXTRACT(CELL("address",'Raw Data'!E162),"\$([A-Z]+)\$[0-9]+"))),_xlfn.REGEXEXTRACT(CELL("address",E162), "\$([A-Z]+)\$[0-9]+"))</f>
        <v/>
      </c>
      <c r="F162" s="7" t="str" cm="1">
        <f t="array" aca="1" ref="F162" ca="1">IFERROR(IF(OR('Raw Data'!F162="",LEN(TRIM('Raw Data'!F162))=0),"",IF(AND(LEN('Raw Data'!F162) &lt;= 20,LEN('Raw Data'!F162)&gt; 0),"",_xlfn.REGEXEXTRACT(CELL("address",'Raw Data'!F162),"\$([A-Z]+)\$[0-9]+"))),_xlfn.REGEXEXTRACT(CELL("address",'Raw Data'!F162),"\$([A-Z]+)\$[0-9]+"))</f>
        <v/>
      </c>
      <c r="G162" s="7" t="str" cm="1">
        <f t="array" aca="1" ref="G162" ca="1">IFERROR(IF(OR('Raw Data'!G162="",LEN(TRIM('Raw Data'!G162))=0),"",IF(AND(ISNUMBER('Raw Data'!G162), IFERROR('Raw Data'!G162 = ROUND('Raw Data'!G162, 2),FALSE)),"",_xlfn.REGEXEXTRACT(CELL("address",G162), "\$([A-Z]+)\$[0-9]+"))),_xlfn.REGEXEXTRACT(CELL("address",G162), "\$([A-Z]+)\$[0-9]+"))</f>
        <v/>
      </c>
      <c r="H162" s="7" t="str" cm="1">
        <f t="array" aca="1" ref="H162" ca="1">IFERROR(IF(OR('Raw Data'!H162="",LEN(TRIM('Raw Data'!H162))=0),"",IF(AND(ISNUMBER('Raw Data'!H162), IFERROR('Raw Data'!H162 = ROUND('Raw Data'!H162, 2),FALSE)),"",_xlfn.REGEXEXTRACT(CELL("address",H162), "\$([A-Z]+)\$[0-9]+"))),_xlfn.REGEXEXTRACT(CELL("address",H162), "\$([A-Z]+)\$[0-9]+"))</f>
        <v/>
      </c>
      <c r="I162" s="7" t="str" cm="1">
        <f t="array" aca="1" ref="I162" ca="1">IFERROR(IF(OR('Raw Data'!I162="",LEN(TRIM('Raw Data'!I162))=0),"",IF(AND(LEN('Raw Data'!I162) &lt;= 50,LEN('Raw Data'!I162)&gt; 0),"",_xlfn.REGEXEXTRACT(CELL("address",'Raw Data'!I162),"\$([A-Z]+)\$[0-9]+"))),_xlfn.REGEXEXTRACT(CELL("address",'Raw Data'!I162),"\$([A-Z]+)\$[0-9]+"))</f>
        <v/>
      </c>
      <c r="J162" s="7" t="str" cm="1">
        <f t="array" aca="1" ref="J162" ca="1">IFERROR(IF(OR('Raw Data'!J162="",LEN(TRIM('Raw Data'!J162))=0),"",IF(AND(ISNUMBER('Raw Data'!J162),'Raw Data'!J162&gt;=Configuration!$D$2),"",_xlfn.REGEXEXTRACT(CELL("address",'Raw Data'!J162),"\$([A-Z]+)\$[0-9]+"))),_xlfn.REGEXEXTRACT(CELL("address",J162), "\$([A-Z]+)\$[0-9]+"))</f>
        <v/>
      </c>
      <c r="K162" s="7" t="str" cm="1">
        <f t="array" aca="1" ref="K162" ca="1">IFERROR(IF(OR('Raw Data'!K162="",LEN(TRIM('Raw Data'!K162))=0),"",IF(AND(ISNUMBER('Raw Data'!K162), IFERROR('Raw Data'!K162 = ROUND('Raw Data'!K162, 2),FALSE)),"",_xlfn.REGEXEXTRACT(CELL("address",K162), "\$([A-Z]+)\$[0-9]+"))),_xlfn.REGEXEXTRACT(CELL("address",K162), "\$([A-Z]+)\$[0-9]+"))</f>
        <v/>
      </c>
      <c r="L162" s="7" t="str" cm="1">
        <f t="array" aca="1" ref="L162" ca="1">IFERROR(IF(OR('Raw Data'!L162="",LEN(TRIM('Raw Data'!L162))=0),"",IF(AND(ISNUMBER('Raw Data'!L162), IFERROR('Raw Data'!L162 = ROUND('Raw Data'!L162, 2),FALSE)),"",_xlfn.REGEXEXTRACT(CELL("address",L162), "\$([A-Z]+)\$[0-9]+"))),_xlfn.REGEXEXTRACT(CELL("address",L162), "\$([A-Z]+)\$[0-9]+"))</f>
        <v/>
      </c>
      <c r="M162" s="7" t="str" cm="1">
        <f t="array" aca="1" ref="M162" ca="1">IFERROR(IF(OR('Raw Data'!M162="",LEN(TRIM('Raw Data'!M162))=0),"",IF(AND(ISNUMBER('Raw Data'!M162), IFERROR('Raw Data'!M162 = ROUND('Raw Data'!M162, 2),FALSE)),"",_xlfn.REGEXEXTRACT(CELL("address",M162), "\$([A-Z]+)\$[0-9]+"))),_xlfn.REGEXEXTRACT(CELL("address",M162), "\$([A-Z]+)\$[0-9]+"))</f>
        <v/>
      </c>
      <c r="N162" s="7" t="str" cm="1">
        <f t="array" aca="1" ref="N162" ca="1">IFERROR(IF(OR('Raw Data'!N162="",LEN(TRIM('Raw Data'!N162))=0),"",IF(AND(ISNUMBER('Raw Data'!N162), IFERROR('Raw Data'!N162 = ROUND('Raw Data'!N162, 2),FALSE)),"",_xlfn.REGEXEXTRACT(CELL("address",N162), "\$([A-Z]+)\$[0-9]+"))),_xlfn.REGEXEXTRACT(CELL("address",N162), "\$([A-Z]+)\$[0-9]+"))</f>
        <v/>
      </c>
      <c r="O162" s="7" t="str" cm="1">
        <f t="array" aca="1" ref="O162" ca="1">IFERROR(IF(OR('Raw Data'!O162="",LEN(TRIM('Raw Data'!O162))=0),"",IF(AND(ISNUMBER('Raw Data'!O162), IFERROR('Raw Data'!O162 = ROUND('Raw Data'!O162, 2),FALSE)),"",_xlfn.REGEXEXTRACT(CELL("address",O162), "\$([A-Z]+)\$[0-9]+"))),_xlfn.REGEXEXTRACT(CELL("address",O162), "\$([A-Z]+)\$[0-9]+"))</f>
        <v/>
      </c>
      <c r="P162" s="7" t="str" cm="1">
        <f t="array" aca="1" ref="P162" ca="1">IFERROR(IF(OR('Raw Data'!P162="",LEN(TRIM('Raw Data'!P162))=0),"",IF(AND(ISNUMBER('Raw Data'!P162),'Raw Data'!P162&gt;=Configuration!$D$2),"",_xlfn.REGEXEXTRACT(CELL("address",'Raw Data'!P162),"\$([A-Z]+)\$[0-9]+"))),_xlfn.REGEXEXTRACT(CELL("address",P162), "\$([A-Z]+)\$[0-9]+"))</f>
        <v/>
      </c>
      <c r="Q162" s="7" t="str" cm="1">
        <f t="array" aca="1" ref="Q162" ca="1">IFERROR(IF(OR('Raw Data'!Q162="",LEN(TRIM('Raw Data'!Q162))=0),"",IF(AND(ISNUMBER('Raw Data'!Q162),'Raw Data'!Q162&gt;=Configuration!$D$2),"",_xlfn.REGEXEXTRACT(CELL("address",'Raw Data'!Q162),"\$([A-Z]+)\$[0-9]+"))),_xlfn.REGEXEXTRACT(CELL("address",Q162), "\$([A-Z]+)\$[0-9]+"))</f>
        <v/>
      </c>
      <c r="R162" s="7" t="str" cm="1">
        <f t="array" aca="1" ref="R162" ca="1">IFERROR(IF(OR('Raw Data'!R162="",LEN(TRIM('Raw Data'!R162))=0),"",IF(AND(ISNUMBER('Raw Data'!R162), IFERROR('Raw Data'!R162 = ROUND('Raw Data'!R162, 2),FALSE)),"",_xlfn.REGEXEXTRACT(CELL("address",R162), "\$([A-Z]+)\$[0-9]+"))),_xlfn.REGEXEXTRACT(CELL("address",R162), "\$([A-Z]+)\$[0-9]+"))</f>
        <v/>
      </c>
      <c r="S162" s="7" t="str" cm="1">
        <f t="array" aca="1" ref="S162" ca="1">IFERROR(IF(OR('Raw Data'!S162="",LEN(TRIM('Raw Data'!S162))=0),"",IF(AND(ISNUMBER('Raw Data'!S162), IFERROR('Raw Data'!S162 = ROUND('Raw Data'!S162, 2),FALSE)),"",_xlfn.REGEXEXTRACT(CELL("address",S162), "\$([A-Z]+)\$[0-9]+"))),_xlfn.REGEXEXTRACT(CELL("address",S162), "\$([A-Z]+)\$[0-9]+"))</f>
        <v/>
      </c>
      <c r="T162" s="7" t="str" cm="1">
        <f t="array" aca="1" ref="T162" ca="1">IFERROR(IF(OR('Raw Data'!T162="",LEN(TRIM('Raw Data'!T162))=0),"",IF(AND(ISNUMBER('Raw Data'!T162), IFERROR('Raw Data'!T162 = ROUND('Raw Data'!T162, 2),FALSE)),"",_xlfn.REGEXEXTRACT(CELL("address",T162), "\$([A-Z]+)\$[0-9]+"))),_xlfn.REGEXEXTRACT(CELL("address",T162), "\$([A-Z]+)\$[0-9]+"))</f>
        <v/>
      </c>
      <c r="U162" s="7" t="str" cm="1">
        <f t="array" aca="1" ref="U162" ca="1">IFERROR(IF(OR('Raw Data'!U162="",LEN(TRIM('Raw Data'!U162))=0),"",IF(AND(LEN('Raw Data'!U162) &lt;= 5,LEN('Raw Data'!U162)&gt; 0),"",_xlfn.REGEXEXTRACT(CELL("address",'Raw Data'!U162),"\$([A-Z]+)\$[0-9]+"))),_xlfn.REGEXEXTRACT(CELL("address",'Raw Data'!U162),"\$([A-Z]+)\$[0-9]+"))</f>
        <v/>
      </c>
      <c r="V162" s="7" t="str" cm="1">
        <f t="array" aca="1" ref="V162" ca="1">IFERROR(IF(OR('Raw Data'!V162="",LEN(TRIM('Raw Data'!V162))=0),"",IF(AND(ISNUMBER('Raw Data'!V162), IFERROR('Raw Data'!V162 = ROUND('Raw Data'!V162, 2),FALSE)),"",_xlfn.REGEXEXTRACT(CELL("address",V162), "\$([A-Z]+)\$[0-9]+"))),_xlfn.REGEXEXTRACT(CELL("address",V162), "\$([A-Z]+)\$[0-9]+"))</f>
        <v/>
      </c>
      <c r="W162" s="7" t="str" cm="1">
        <f t="array" aca="1" ref="W162" ca="1">IFERROR(IF(OR('Raw Data'!W162="",LEN(TRIM('Raw Data'!W162))=0),"",IF(AND(ISNUMBER('Raw Data'!W162), IFERROR('Raw Data'!W162 = ROUND('Raw Data'!W162, 2),FALSE)),"",_xlfn.REGEXEXTRACT(CELL("address",W162), "\$([A-Z]+)\$[0-9]+"))),_xlfn.REGEXEXTRACT(CELL("address",W162), "\$([A-Z]+)\$[0-9]+"))</f>
        <v/>
      </c>
      <c r="X162" s="7" t="str" cm="1">
        <f t="array" aca="1" ref="X162" ca="1">IFERROR(IF(OR('Raw Data'!X162="",LEN(TRIM('Raw Data'!X162))=0),"",IF(AND(ISNUMBER('Raw Data'!X162), IFERROR('Raw Data'!X162 = ROUND('Raw Data'!X162, 2),FALSE)),"",_xlfn.REGEXEXTRACT(CELL("address",X162), "\$([A-Z]+)\$[0-9]+"))),_xlfn.REGEXEXTRACT(CELL("address",X162), "\$([A-Z]+)\$[0-9]+"))</f>
        <v/>
      </c>
    </row>
    <row r="163" spans="2:24" x14ac:dyDescent="0.25">
      <c r="B163" s="7" t="str" cm="1">
        <f t="array" aca="1" ref="B163" ca="1">IFERROR(IF(OR('Raw Data'!B163="",LEN(TRIM('Raw Data'!B163))=0),"",IF(AND(LEN('Raw Data'!B163) &lt;= 50,LEN('Raw Data'!B163)&gt; 0),"",_xlfn.REGEXEXTRACT(CELL("address",'Raw Data'!B163),"\$([A-Z]+)\$[0-9]+"))),_xlfn.REGEXEXTRACT(CELL("address",'Raw Data'!B163),"\$([A-Z]+)\$[0-9]+"))</f>
        <v/>
      </c>
      <c r="C163" s="7" t="str" cm="1">
        <f t="array" aca="1" ref="C163" ca="1">IFERROR(IF(OR('Raw Data'!C163="",LEN(TRIM('Raw Data'!C163))=0),"",IF(AND(LEN('Raw Data'!C163) &lt;= 50,LEN('Raw Data'!C163)&gt; 0),"",_xlfn.REGEXEXTRACT(CELL("address",'Raw Data'!C163),"\$([A-Z]+)\$[0-9]+"))),_xlfn.REGEXEXTRACT(CELL("address",'Raw Data'!C163),"\$([A-Z]+)\$[0-9]+"))</f>
        <v/>
      </c>
      <c r="D163" s="7" t="str" cm="1">
        <f t="array" aca="1" ref="D163" ca="1">IFERROR(IF(OR('Raw Data'!D163="",LEN(TRIM('Raw Data'!D163))=0),"",IF(AND(LEN('Raw Data'!D163) &lt;= 255,LEN('Raw Data'!D163)&gt; 0),"",_xlfn.REGEXEXTRACT(CELL("address",'Raw Data'!D163),"\$([A-Z]+)\$[0-9]+"))),_xlfn.REGEXEXTRACT(CELL("address",'Raw Data'!D163),"\$([A-Z]+)\$[0-9]+"))</f>
        <v/>
      </c>
      <c r="E163" s="7" t="str" cm="1">
        <f t="array" aca="1" ref="E163" ca="1">IFERROR(IF(OR('Raw Data'!E163="",LEN(TRIM('Raw Data'!E163))=0),"",IF(AND(ISNUMBER('Raw Data'!E163),'Raw Data'!E163&gt;=Configuration!$D$2),"",_xlfn.REGEXEXTRACT(CELL("address",'Raw Data'!E163),"\$([A-Z]+)\$[0-9]+"))),_xlfn.REGEXEXTRACT(CELL("address",E163), "\$([A-Z]+)\$[0-9]+"))</f>
        <v/>
      </c>
      <c r="F163" s="7" t="str" cm="1">
        <f t="array" aca="1" ref="F163" ca="1">IFERROR(IF(OR('Raw Data'!F163="",LEN(TRIM('Raw Data'!F163))=0),"",IF(AND(LEN('Raw Data'!F163) &lt;= 20,LEN('Raw Data'!F163)&gt; 0),"",_xlfn.REGEXEXTRACT(CELL("address",'Raw Data'!F163),"\$([A-Z]+)\$[0-9]+"))),_xlfn.REGEXEXTRACT(CELL("address",'Raw Data'!F163),"\$([A-Z]+)\$[0-9]+"))</f>
        <v/>
      </c>
      <c r="G163" s="7" t="str" cm="1">
        <f t="array" aca="1" ref="G163" ca="1">IFERROR(IF(OR('Raw Data'!G163="",LEN(TRIM('Raw Data'!G163))=0),"",IF(AND(ISNUMBER('Raw Data'!G163), IFERROR('Raw Data'!G163 = ROUND('Raw Data'!G163, 2),FALSE)),"",_xlfn.REGEXEXTRACT(CELL("address",G163), "\$([A-Z]+)\$[0-9]+"))),_xlfn.REGEXEXTRACT(CELL("address",G163), "\$([A-Z]+)\$[0-9]+"))</f>
        <v/>
      </c>
      <c r="H163" s="7" t="str" cm="1">
        <f t="array" aca="1" ref="H163" ca="1">IFERROR(IF(OR('Raw Data'!H163="",LEN(TRIM('Raw Data'!H163))=0),"",IF(AND(ISNUMBER('Raw Data'!H163), IFERROR('Raw Data'!H163 = ROUND('Raw Data'!H163, 2),FALSE)),"",_xlfn.REGEXEXTRACT(CELL("address",H163), "\$([A-Z]+)\$[0-9]+"))),_xlfn.REGEXEXTRACT(CELL("address",H163), "\$([A-Z]+)\$[0-9]+"))</f>
        <v/>
      </c>
      <c r="I163" s="7" t="str" cm="1">
        <f t="array" aca="1" ref="I163" ca="1">IFERROR(IF(OR('Raw Data'!I163="",LEN(TRIM('Raw Data'!I163))=0),"",IF(AND(LEN('Raw Data'!I163) &lt;= 50,LEN('Raw Data'!I163)&gt; 0),"",_xlfn.REGEXEXTRACT(CELL("address",'Raw Data'!I163),"\$([A-Z]+)\$[0-9]+"))),_xlfn.REGEXEXTRACT(CELL("address",'Raw Data'!I163),"\$([A-Z]+)\$[0-9]+"))</f>
        <v/>
      </c>
      <c r="J163" s="7" t="str" cm="1">
        <f t="array" aca="1" ref="J163" ca="1">IFERROR(IF(OR('Raw Data'!J163="",LEN(TRIM('Raw Data'!J163))=0),"",IF(AND(ISNUMBER('Raw Data'!J163),'Raw Data'!J163&gt;=Configuration!$D$2),"",_xlfn.REGEXEXTRACT(CELL("address",'Raw Data'!J163),"\$([A-Z]+)\$[0-9]+"))),_xlfn.REGEXEXTRACT(CELL("address",J163), "\$([A-Z]+)\$[0-9]+"))</f>
        <v/>
      </c>
      <c r="K163" s="7" t="str" cm="1">
        <f t="array" aca="1" ref="K163" ca="1">IFERROR(IF(OR('Raw Data'!K163="",LEN(TRIM('Raw Data'!K163))=0),"",IF(AND(ISNUMBER('Raw Data'!K163), IFERROR('Raw Data'!K163 = ROUND('Raw Data'!K163, 2),FALSE)),"",_xlfn.REGEXEXTRACT(CELL("address",K163), "\$([A-Z]+)\$[0-9]+"))),_xlfn.REGEXEXTRACT(CELL("address",K163), "\$([A-Z]+)\$[0-9]+"))</f>
        <v/>
      </c>
      <c r="L163" s="7" t="str" cm="1">
        <f t="array" aca="1" ref="L163" ca="1">IFERROR(IF(OR('Raw Data'!L163="",LEN(TRIM('Raw Data'!L163))=0),"",IF(AND(ISNUMBER('Raw Data'!L163), IFERROR('Raw Data'!L163 = ROUND('Raw Data'!L163, 2),FALSE)),"",_xlfn.REGEXEXTRACT(CELL("address",L163), "\$([A-Z]+)\$[0-9]+"))),_xlfn.REGEXEXTRACT(CELL("address",L163), "\$([A-Z]+)\$[0-9]+"))</f>
        <v/>
      </c>
      <c r="M163" s="7" t="str" cm="1">
        <f t="array" aca="1" ref="M163" ca="1">IFERROR(IF(OR('Raw Data'!M163="",LEN(TRIM('Raw Data'!M163))=0),"",IF(AND(ISNUMBER('Raw Data'!M163), IFERROR('Raw Data'!M163 = ROUND('Raw Data'!M163, 2),FALSE)),"",_xlfn.REGEXEXTRACT(CELL("address",M163), "\$([A-Z]+)\$[0-9]+"))),_xlfn.REGEXEXTRACT(CELL("address",M163), "\$([A-Z]+)\$[0-9]+"))</f>
        <v/>
      </c>
      <c r="N163" s="7" t="str" cm="1">
        <f t="array" aca="1" ref="N163" ca="1">IFERROR(IF(OR('Raw Data'!N163="",LEN(TRIM('Raw Data'!N163))=0),"",IF(AND(ISNUMBER('Raw Data'!N163), IFERROR('Raw Data'!N163 = ROUND('Raw Data'!N163, 2),FALSE)),"",_xlfn.REGEXEXTRACT(CELL("address",N163), "\$([A-Z]+)\$[0-9]+"))),_xlfn.REGEXEXTRACT(CELL("address",N163), "\$([A-Z]+)\$[0-9]+"))</f>
        <v/>
      </c>
      <c r="O163" s="7" t="str" cm="1">
        <f t="array" aca="1" ref="O163" ca="1">IFERROR(IF(OR('Raw Data'!O163="",LEN(TRIM('Raw Data'!O163))=0),"",IF(AND(ISNUMBER('Raw Data'!O163), IFERROR('Raw Data'!O163 = ROUND('Raw Data'!O163, 2),FALSE)),"",_xlfn.REGEXEXTRACT(CELL("address",O163), "\$([A-Z]+)\$[0-9]+"))),_xlfn.REGEXEXTRACT(CELL("address",O163), "\$([A-Z]+)\$[0-9]+"))</f>
        <v/>
      </c>
      <c r="P163" s="7" t="str" cm="1">
        <f t="array" aca="1" ref="P163" ca="1">IFERROR(IF(OR('Raw Data'!P163="",LEN(TRIM('Raw Data'!P163))=0),"",IF(AND(ISNUMBER('Raw Data'!P163),'Raw Data'!P163&gt;=Configuration!$D$2),"",_xlfn.REGEXEXTRACT(CELL("address",'Raw Data'!P163),"\$([A-Z]+)\$[0-9]+"))),_xlfn.REGEXEXTRACT(CELL("address",P163), "\$([A-Z]+)\$[0-9]+"))</f>
        <v/>
      </c>
      <c r="Q163" s="7" t="str" cm="1">
        <f t="array" aca="1" ref="Q163" ca="1">IFERROR(IF(OR('Raw Data'!Q163="",LEN(TRIM('Raw Data'!Q163))=0),"",IF(AND(ISNUMBER('Raw Data'!Q163),'Raw Data'!Q163&gt;=Configuration!$D$2),"",_xlfn.REGEXEXTRACT(CELL("address",'Raw Data'!Q163),"\$([A-Z]+)\$[0-9]+"))),_xlfn.REGEXEXTRACT(CELL("address",Q163), "\$([A-Z]+)\$[0-9]+"))</f>
        <v/>
      </c>
      <c r="R163" s="7" t="str" cm="1">
        <f t="array" aca="1" ref="R163" ca="1">IFERROR(IF(OR('Raw Data'!R163="",LEN(TRIM('Raw Data'!R163))=0),"",IF(AND(ISNUMBER('Raw Data'!R163), IFERROR('Raw Data'!R163 = ROUND('Raw Data'!R163, 2),FALSE)),"",_xlfn.REGEXEXTRACT(CELL("address",R163), "\$([A-Z]+)\$[0-9]+"))),_xlfn.REGEXEXTRACT(CELL("address",R163), "\$([A-Z]+)\$[0-9]+"))</f>
        <v/>
      </c>
      <c r="S163" s="7" t="str" cm="1">
        <f t="array" aca="1" ref="S163" ca="1">IFERROR(IF(OR('Raw Data'!S163="",LEN(TRIM('Raw Data'!S163))=0),"",IF(AND(ISNUMBER('Raw Data'!S163), IFERROR('Raw Data'!S163 = ROUND('Raw Data'!S163, 2),FALSE)),"",_xlfn.REGEXEXTRACT(CELL("address",S163), "\$([A-Z]+)\$[0-9]+"))),_xlfn.REGEXEXTRACT(CELL("address",S163), "\$([A-Z]+)\$[0-9]+"))</f>
        <v/>
      </c>
      <c r="T163" s="7" t="str" cm="1">
        <f t="array" aca="1" ref="T163" ca="1">IFERROR(IF(OR('Raw Data'!T163="",LEN(TRIM('Raw Data'!T163))=0),"",IF(AND(ISNUMBER('Raw Data'!T163), IFERROR('Raw Data'!T163 = ROUND('Raw Data'!T163, 2),FALSE)),"",_xlfn.REGEXEXTRACT(CELL("address",T163), "\$([A-Z]+)\$[0-9]+"))),_xlfn.REGEXEXTRACT(CELL("address",T163), "\$([A-Z]+)\$[0-9]+"))</f>
        <v/>
      </c>
      <c r="U163" s="7" t="str" cm="1">
        <f t="array" aca="1" ref="U163" ca="1">IFERROR(IF(OR('Raw Data'!U163="",LEN(TRIM('Raw Data'!U163))=0),"",IF(AND(LEN('Raw Data'!U163) &lt;= 5,LEN('Raw Data'!U163)&gt; 0),"",_xlfn.REGEXEXTRACT(CELL("address",'Raw Data'!U163),"\$([A-Z]+)\$[0-9]+"))),_xlfn.REGEXEXTRACT(CELL("address",'Raw Data'!U163),"\$([A-Z]+)\$[0-9]+"))</f>
        <v/>
      </c>
      <c r="V163" s="7" t="str" cm="1">
        <f t="array" aca="1" ref="V163" ca="1">IFERROR(IF(OR('Raw Data'!V163="",LEN(TRIM('Raw Data'!V163))=0),"",IF(AND(ISNUMBER('Raw Data'!V163), IFERROR('Raw Data'!V163 = ROUND('Raw Data'!V163, 2),FALSE)),"",_xlfn.REGEXEXTRACT(CELL("address",V163), "\$([A-Z]+)\$[0-9]+"))),_xlfn.REGEXEXTRACT(CELL("address",V163), "\$([A-Z]+)\$[0-9]+"))</f>
        <v/>
      </c>
      <c r="W163" s="7" t="str" cm="1">
        <f t="array" aca="1" ref="W163" ca="1">IFERROR(IF(OR('Raw Data'!W163="",LEN(TRIM('Raw Data'!W163))=0),"",IF(AND(ISNUMBER('Raw Data'!W163), IFERROR('Raw Data'!W163 = ROUND('Raw Data'!W163, 2),FALSE)),"",_xlfn.REGEXEXTRACT(CELL("address",W163), "\$([A-Z]+)\$[0-9]+"))),_xlfn.REGEXEXTRACT(CELL("address",W163), "\$([A-Z]+)\$[0-9]+"))</f>
        <v/>
      </c>
      <c r="X163" s="7" t="str" cm="1">
        <f t="array" aca="1" ref="X163" ca="1">IFERROR(IF(OR('Raw Data'!X163="",LEN(TRIM('Raw Data'!X163))=0),"",IF(AND(ISNUMBER('Raw Data'!X163), IFERROR('Raw Data'!X163 = ROUND('Raw Data'!X163, 2),FALSE)),"",_xlfn.REGEXEXTRACT(CELL("address",X163), "\$([A-Z]+)\$[0-9]+"))),_xlfn.REGEXEXTRACT(CELL("address",X163), "\$([A-Z]+)\$[0-9]+"))</f>
        <v/>
      </c>
    </row>
    <row r="164" spans="2:24" x14ac:dyDescent="0.25">
      <c r="B164" s="7" t="str" cm="1">
        <f t="array" aca="1" ref="B164" ca="1">IFERROR(IF(OR('Raw Data'!B164="",LEN(TRIM('Raw Data'!B164))=0),"",IF(AND(LEN('Raw Data'!B164) &lt;= 50,LEN('Raw Data'!B164)&gt; 0),"",_xlfn.REGEXEXTRACT(CELL("address",'Raw Data'!B164),"\$([A-Z]+)\$[0-9]+"))),_xlfn.REGEXEXTRACT(CELL("address",'Raw Data'!B164),"\$([A-Z]+)\$[0-9]+"))</f>
        <v/>
      </c>
      <c r="C164" s="7" t="str" cm="1">
        <f t="array" aca="1" ref="C164" ca="1">IFERROR(IF(OR('Raw Data'!C164="",LEN(TRIM('Raw Data'!C164))=0),"",IF(AND(LEN('Raw Data'!C164) &lt;= 50,LEN('Raw Data'!C164)&gt; 0),"",_xlfn.REGEXEXTRACT(CELL("address",'Raw Data'!C164),"\$([A-Z]+)\$[0-9]+"))),_xlfn.REGEXEXTRACT(CELL("address",'Raw Data'!C164),"\$([A-Z]+)\$[0-9]+"))</f>
        <v/>
      </c>
      <c r="D164" s="7" t="str" cm="1">
        <f t="array" aca="1" ref="D164" ca="1">IFERROR(IF(OR('Raw Data'!D164="",LEN(TRIM('Raw Data'!D164))=0),"",IF(AND(LEN('Raw Data'!D164) &lt;= 255,LEN('Raw Data'!D164)&gt; 0),"",_xlfn.REGEXEXTRACT(CELL("address",'Raw Data'!D164),"\$([A-Z]+)\$[0-9]+"))),_xlfn.REGEXEXTRACT(CELL("address",'Raw Data'!D164),"\$([A-Z]+)\$[0-9]+"))</f>
        <v/>
      </c>
      <c r="E164" s="7" t="str" cm="1">
        <f t="array" aca="1" ref="E164" ca="1">IFERROR(IF(OR('Raw Data'!E164="",LEN(TRIM('Raw Data'!E164))=0),"",IF(AND(ISNUMBER('Raw Data'!E164),'Raw Data'!E164&gt;=Configuration!$D$2),"",_xlfn.REGEXEXTRACT(CELL("address",'Raw Data'!E164),"\$([A-Z]+)\$[0-9]+"))),_xlfn.REGEXEXTRACT(CELL("address",E164), "\$([A-Z]+)\$[0-9]+"))</f>
        <v/>
      </c>
      <c r="F164" s="7" t="str" cm="1">
        <f t="array" aca="1" ref="F164" ca="1">IFERROR(IF(OR('Raw Data'!F164="",LEN(TRIM('Raw Data'!F164))=0),"",IF(AND(LEN('Raw Data'!F164) &lt;= 20,LEN('Raw Data'!F164)&gt; 0),"",_xlfn.REGEXEXTRACT(CELL("address",'Raw Data'!F164),"\$([A-Z]+)\$[0-9]+"))),_xlfn.REGEXEXTRACT(CELL("address",'Raw Data'!F164),"\$([A-Z]+)\$[0-9]+"))</f>
        <v/>
      </c>
      <c r="G164" s="7" t="str" cm="1">
        <f t="array" aca="1" ref="G164" ca="1">IFERROR(IF(OR('Raw Data'!G164="",LEN(TRIM('Raw Data'!G164))=0),"",IF(AND(ISNUMBER('Raw Data'!G164), IFERROR('Raw Data'!G164 = ROUND('Raw Data'!G164, 2),FALSE)),"",_xlfn.REGEXEXTRACT(CELL("address",G164), "\$([A-Z]+)\$[0-9]+"))),_xlfn.REGEXEXTRACT(CELL("address",G164), "\$([A-Z]+)\$[0-9]+"))</f>
        <v/>
      </c>
      <c r="H164" s="7" t="str" cm="1">
        <f t="array" aca="1" ref="H164" ca="1">IFERROR(IF(OR('Raw Data'!H164="",LEN(TRIM('Raw Data'!H164))=0),"",IF(AND(ISNUMBER('Raw Data'!H164), IFERROR('Raw Data'!H164 = ROUND('Raw Data'!H164, 2),FALSE)),"",_xlfn.REGEXEXTRACT(CELL("address",H164), "\$([A-Z]+)\$[0-9]+"))),_xlfn.REGEXEXTRACT(CELL("address",H164), "\$([A-Z]+)\$[0-9]+"))</f>
        <v/>
      </c>
      <c r="I164" s="7" t="str" cm="1">
        <f t="array" aca="1" ref="I164" ca="1">IFERROR(IF(OR('Raw Data'!I164="",LEN(TRIM('Raw Data'!I164))=0),"",IF(AND(LEN('Raw Data'!I164) &lt;= 50,LEN('Raw Data'!I164)&gt; 0),"",_xlfn.REGEXEXTRACT(CELL("address",'Raw Data'!I164),"\$([A-Z]+)\$[0-9]+"))),_xlfn.REGEXEXTRACT(CELL("address",'Raw Data'!I164),"\$([A-Z]+)\$[0-9]+"))</f>
        <v/>
      </c>
      <c r="J164" s="7" t="str" cm="1">
        <f t="array" aca="1" ref="J164" ca="1">IFERROR(IF(OR('Raw Data'!J164="",LEN(TRIM('Raw Data'!J164))=0),"",IF(AND(ISNUMBER('Raw Data'!J164),'Raw Data'!J164&gt;=Configuration!$D$2),"",_xlfn.REGEXEXTRACT(CELL("address",'Raw Data'!J164),"\$([A-Z]+)\$[0-9]+"))),_xlfn.REGEXEXTRACT(CELL("address",J164), "\$([A-Z]+)\$[0-9]+"))</f>
        <v/>
      </c>
      <c r="K164" s="7" t="str" cm="1">
        <f t="array" aca="1" ref="K164" ca="1">IFERROR(IF(OR('Raw Data'!K164="",LEN(TRIM('Raw Data'!K164))=0),"",IF(AND(ISNUMBER('Raw Data'!K164), IFERROR('Raw Data'!K164 = ROUND('Raw Data'!K164, 2),FALSE)),"",_xlfn.REGEXEXTRACT(CELL("address",K164), "\$([A-Z]+)\$[0-9]+"))),_xlfn.REGEXEXTRACT(CELL("address",K164), "\$([A-Z]+)\$[0-9]+"))</f>
        <v/>
      </c>
      <c r="L164" s="7" t="str" cm="1">
        <f t="array" aca="1" ref="L164" ca="1">IFERROR(IF(OR('Raw Data'!L164="",LEN(TRIM('Raw Data'!L164))=0),"",IF(AND(ISNUMBER('Raw Data'!L164), IFERROR('Raw Data'!L164 = ROUND('Raw Data'!L164, 2),FALSE)),"",_xlfn.REGEXEXTRACT(CELL("address",L164), "\$([A-Z]+)\$[0-9]+"))),_xlfn.REGEXEXTRACT(CELL("address",L164), "\$([A-Z]+)\$[0-9]+"))</f>
        <v/>
      </c>
      <c r="M164" s="7" t="str" cm="1">
        <f t="array" aca="1" ref="M164" ca="1">IFERROR(IF(OR('Raw Data'!M164="",LEN(TRIM('Raw Data'!M164))=0),"",IF(AND(ISNUMBER('Raw Data'!M164), IFERROR('Raw Data'!M164 = ROUND('Raw Data'!M164, 2),FALSE)),"",_xlfn.REGEXEXTRACT(CELL("address",M164), "\$([A-Z]+)\$[0-9]+"))),_xlfn.REGEXEXTRACT(CELL("address",M164), "\$([A-Z]+)\$[0-9]+"))</f>
        <v/>
      </c>
      <c r="N164" s="7" t="str" cm="1">
        <f t="array" aca="1" ref="N164" ca="1">IFERROR(IF(OR('Raw Data'!N164="",LEN(TRIM('Raw Data'!N164))=0),"",IF(AND(ISNUMBER('Raw Data'!N164), IFERROR('Raw Data'!N164 = ROUND('Raw Data'!N164, 2),FALSE)),"",_xlfn.REGEXEXTRACT(CELL("address",N164), "\$([A-Z]+)\$[0-9]+"))),_xlfn.REGEXEXTRACT(CELL("address",N164), "\$([A-Z]+)\$[0-9]+"))</f>
        <v/>
      </c>
      <c r="O164" s="7" t="str" cm="1">
        <f t="array" aca="1" ref="O164" ca="1">IFERROR(IF(OR('Raw Data'!O164="",LEN(TRIM('Raw Data'!O164))=0),"",IF(AND(ISNUMBER('Raw Data'!O164), IFERROR('Raw Data'!O164 = ROUND('Raw Data'!O164, 2),FALSE)),"",_xlfn.REGEXEXTRACT(CELL("address",O164), "\$([A-Z]+)\$[0-9]+"))),_xlfn.REGEXEXTRACT(CELL("address",O164), "\$([A-Z]+)\$[0-9]+"))</f>
        <v/>
      </c>
      <c r="P164" s="7" t="str" cm="1">
        <f t="array" aca="1" ref="P164" ca="1">IFERROR(IF(OR('Raw Data'!P164="",LEN(TRIM('Raw Data'!P164))=0),"",IF(AND(ISNUMBER('Raw Data'!P164),'Raw Data'!P164&gt;=Configuration!$D$2),"",_xlfn.REGEXEXTRACT(CELL("address",'Raw Data'!P164),"\$([A-Z]+)\$[0-9]+"))),_xlfn.REGEXEXTRACT(CELL("address",P164), "\$([A-Z]+)\$[0-9]+"))</f>
        <v/>
      </c>
      <c r="Q164" s="7" t="str" cm="1">
        <f t="array" aca="1" ref="Q164" ca="1">IFERROR(IF(OR('Raw Data'!Q164="",LEN(TRIM('Raw Data'!Q164))=0),"",IF(AND(ISNUMBER('Raw Data'!Q164),'Raw Data'!Q164&gt;=Configuration!$D$2),"",_xlfn.REGEXEXTRACT(CELL("address",'Raw Data'!Q164),"\$([A-Z]+)\$[0-9]+"))),_xlfn.REGEXEXTRACT(CELL("address",Q164), "\$([A-Z]+)\$[0-9]+"))</f>
        <v/>
      </c>
      <c r="R164" s="7" t="str" cm="1">
        <f t="array" aca="1" ref="R164" ca="1">IFERROR(IF(OR('Raw Data'!R164="",LEN(TRIM('Raw Data'!R164))=0),"",IF(AND(ISNUMBER('Raw Data'!R164), IFERROR('Raw Data'!R164 = ROUND('Raw Data'!R164, 2),FALSE)),"",_xlfn.REGEXEXTRACT(CELL("address",R164), "\$([A-Z]+)\$[0-9]+"))),_xlfn.REGEXEXTRACT(CELL("address",R164), "\$([A-Z]+)\$[0-9]+"))</f>
        <v/>
      </c>
      <c r="S164" s="7" t="str" cm="1">
        <f t="array" aca="1" ref="S164" ca="1">IFERROR(IF(OR('Raw Data'!S164="",LEN(TRIM('Raw Data'!S164))=0),"",IF(AND(ISNUMBER('Raw Data'!S164), IFERROR('Raw Data'!S164 = ROUND('Raw Data'!S164, 2),FALSE)),"",_xlfn.REGEXEXTRACT(CELL("address",S164), "\$([A-Z]+)\$[0-9]+"))),_xlfn.REGEXEXTRACT(CELL("address",S164), "\$([A-Z]+)\$[0-9]+"))</f>
        <v/>
      </c>
      <c r="T164" s="7" t="str" cm="1">
        <f t="array" aca="1" ref="T164" ca="1">IFERROR(IF(OR('Raw Data'!T164="",LEN(TRIM('Raw Data'!T164))=0),"",IF(AND(ISNUMBER('Raw Data'!T164), IFERROR('Raw Data'!T164 = ROUND('Raw Data'!T164, 2),FALSE)),"",_xlfn.REGEXEXTRACT(CELL("address",T164), "\$([A-Z]+)\$[0-9]+"))),_xlfn.REGEXEXTRACT(CELL("address",T164), "\$([A-Z]+)\$[0-9]+"))</f>
        <v/>
      </c>
      <c r="U164" s="7" t="str" cm="1">
        <f t="array" aca="1" ref="U164" ca="1">IFERROR(IF(OR('Raw Data'!U164="",LEN(TRIM('Raw Data'!U164))=0),"",IF(AND(LEN('Raw Data'!U164) &lt;= 5,LEN('Raw Data'!U164)&gt; 0),"",_xlfn.REGEXEXTRACT(CELL("address",'Raw Data'!U164),"\$([A-Z]+)\$[0-9]+"))),_xlfn.REGEXEXTRACT(CELL("address",'Raw Data'!U164),"\$([A-Z]+)\$[0-9]+"))</f>
        <v/>
      </c>
      <c r="V164" s="7" t="str" cm="1">
        <f t="array" aca="1" ref="V164" ca="1">IFERROR(IF(OR('Raw Data'!V164="",LEN(TRIM('Raw Data'!V164))=0),"",IF(AND(ISNUMBER('Raw Data'!V164), IFERROR('Raw Data'!V164 = ROUND('Raw Data'!V164, 2),FALSE)),"",_xlfn.REGEXEXTRACT(CELL("address",V164), "\$([A-Z]+)\$[0-9]+"))),_xlfn.REGEXEXTRACT(CELL("address",V164), "\$([A-Z]+)\$[0-9]+"))</f>
        <v/>
      </c>
      <c r="W164" s="7" t="str" cm="1">
        <f t="array" aca="1" ref="W164" ca="1">IFERROR(IF(OR('Raw Data'!W164="",LEN(TRIM('Raw Data'!W164))=0),"",IF(AND(ISNUMBER('Raw Data'!W164), IFERROR('Raw Data'!W164 = ROUND('Raw Data'!W164, 2),FALSE)),"",_xlfn.REGEXEXTRACT(CELL("address",W164), "\$([A-Z]+)\$[0-9]+"))),_xlfn.REGEXEXTRACT(CELL("address",W164), "\$([A-Z]+)\$[0-9]+"))</f>
        <v/>
      </c>
      <c r="X164" s="7" t="str" cm="1">
        <f t="array" aca="1" ref="X164" ca="1">IFERROR(IF(OR('Raw Data'!X164="",LEN(TRIM('Raw Data'!X164))=0),"",IF(AND(ISNUMBER('Raw Data'!X164), IFERROR('Raw Data'!X164 = ROUND('Raw Data'!X164, 2),FALSE)),"",_xlfn.REGEXEXTRACT(CELL("address",X164), "\$([A-Z]+)\$[0-9]+"))),_xlfn.REGEXEXTRACT(CELL("address",X164), "\$([A-Z]+)\$[0-9]+"))</f>
        <v/>
      </c>
    </row>
    <row r="165" spans="2:24" x14ac:dyDescent="0.25">
      <c r="B165" s="7" t="str" cm="1">
        <f t="array" aca="1" ref="B165" ca="1">IFERROR(IF(OR('Raw Data'!B165="",LEN(TRIM('Raw Data'!B165))=0),"",IF(AND(LEN('Raw Data'!B165) &lt;= 50,LEN('Raw Data'!B165)&gt; 0),"",_xlfn.REGEXEXTRACT(CELL("address",'Raw Data'!B165),"\$([A-Z]+)\$[0-9]+"))),_xlfn.REGEXEXTRACT(CELL("address",'Raw Data'!B165),"\$([A-Z]+)\$[0-9]+"))</f>
        <v/>
      </c>
      <c r="C165" s="7" t="str" cm="1">
        <f t="array" aca="1" ref="C165" ca="1">IFERROR(IF(OR('Raw Data'!C165="",LEN(TRIM('Raw Data'!C165))=0),"",IF(AND(LEN('Raw Data'!C165) &lt;= 50,LEN('Raw Data'!C165)&gt; 0),"",_xlfn.REGEXEXTRACT(CELL("address",'Raw Data'!C165),"\$([A-Z]+)\$[0-9]+"))),_xlfn.REGEXEXTRACT(CELL("address",'Raw Data'!C165),"\$([A-Z]+)\$[0-9]+"))</f>
        <v/>
      </c>
      <c r="D165" s="7" t="str" cm="1">
        <f t="array" aca="1" ref="D165" ca="1">IFERROR(IF(OR('Raw Data'!D165="",LEN(TRIM('Raw Data'!D165))=0),"",IF(AND(LEN('Raw Data'!D165) &lt;= 255,LEN('Raw Data'!D165)&gt; 0),"",_xlfn.REGEXEXTRACT(CELL("address",'Raw Data'!D165),"\$([A-Z]+)\$[0-9]+"))),_xlfn.REGEXEXTRACT(CELL("address",'Raw Data'!D165),"\$([A-Z]+)\$[0-9]+"))</f>
        <v/>
      </c>
      <c r="E165" s="7" t="str" cm="1">
        <f t="array" aca="1" ref="E165" ca="1">IFERROR(IF(OR('Raw Data'!E165="",LEN(TRIM('Raw Data'!E165))=0),"",IF(AND(ISNUMBER('Raw Data'!E165),'Raw Data'!E165&gt;=Configuration!$D$2),"",_xlfn.REGEXEXTRACT(CELL("address",'Raw Data'!E165),"\$([A-Z]+)\$[0-9]+"))),_xlfn.REGEXEXTRACT(CELL("address",E165), "\$([A-Z]+)\$[0-9]+"))</f>
        <v/>
      </c>
      <c r="F165" s="7" t="str" cm="1">
        <f t="array" aca="1" ref="F165" ca="1">IFERROR(IF(OR('Raw Data'!F165="",LEN(TRIM('Raw Data'!F165))=0),"",IF(AND(LEN('Raw Data'!F165) &lt;= 20,LEN('Raw Data'!F165)&gt; 0),"",_xlfn.REGEXEXTRACT(CELL("address",'Raw Data'!F165),"\$([A-Z]+)\$[0-9]+"))),_xlfn.REGEXEXTRACT(CELL("address",'Raw Data'!F165),"\$([A-Z]+)\$[0-9]+"))</f>
        <v/>
      </c>
      <c r="G165" s="7" t="str" cm="1">
        <f t="array" aca="1" ref="G165" ca="1">IFERROR(IF(OR('Raw Data'!G165="",LEN(TRIM('Raw Data'!G165))=0),"",IF(AND(ISNUMBER('Raw Data'!G165), IFERROR('Raw Data'!G165 = ROUND('Raw Data'!G165, 2),FALSE)),"",_xlfn.REGEXEXTRACT(CELL("address",G165), "\$([A-Z]+)\$[0-9]+"))),_xlfn.REGEXEXTRACT(CELL("address",G165), "\$([A-Z]+)\$[0-9]+"))</f>
        <v/>
      </c>
      <c r="H165" s="7" t="str" cm="1">
        <f t="array" aca="1" ref="H165" ca="1">IFERROR(IF(OR('Raw Data'!H165="",LEN(TRIM('Raw Data'!H165))=0),"",IF(AND(ISNUMBER('Raw Data'!H165), IFERROR('Raw Data'!H165 = ROUND('Raw Data'!H165, 2),FALSE)),"",_xlfn.REGEXEXTRACT(CELL("address",H165), "\$([A-Z]+)\$[0-9]+"))),_xlfn.REGEXEXTRACT(CELL("address",H165), "\$([A-Z]+)\$[0-9]+"))</f>
        <v/>
      </c>
      <c r="I165" s="7" t="str" cm="1">
        <f t="array" aca="1" ref="I165" ca="1">IFERROR(IF(OR('Raw Data'!I165="",LEN(TRIM('Raw Data'!I165))=0),"",IF(AND(LEN('Raw Data'!I165) &lt;= 50,LEN('Raw Data'!I165)&gt; 0),"",_xlfn.REGEXEXTRACT(CELL("address",'Raw Data'!I165),"\$([A-Z]+)\$[0-9]+"))),_xlfn.REGEXEXTRACT(CELL("address",'Raw Data'!I165),"\$([A-Z]+)\$[0-9]+"))</f>
        <v/>
      </c>
      <c r="J165" s="7" t="str" cm="1">
        <f t="array" aca="1" ref="J165" ca="1">IFERROR(IF(OR('Raw Data'!J165="",LEN(TRIM('Raw Data'!J165))=0),"",IF(AND(ISNUMBER('Raw Data'!J165),'Raw Data'!J165&gt;=Configuration!$D$2),"",_xlfn.REGEXEXTRACT(CELL("address",'Raw Data'!J165),"\$([A-Z]+)\$[0-9]+"))),_xlfn.REGEXEXTRACT(CELL("address",J165), "\$([A-Z]+)\$[0-9]+"))</f>
        <v/>
      </c>
      <c r="K165" s="7" t="str" cm="1">
        <f t="array" aca="1" ref="K165" ca="1">IFERROR(IF(OR('Raw Data'!K165="",LEN(TRIM('Raw Data'!K165))=0),"",IF(AND(ISNUMBER('Raw Data'!K165), IFERROR('Raw Data'!K165 = ROUND('Raw Data'!K165, 2),FALSE)),"",_xlfn.REGEXEXTRACT(CELL("address",K165), "\$([A-Z]+)\$[0-9]+"))),_xlfn.REGEXEXTRACT(CELL("address",K165), "\$([A-Z]+)\$[0-9]+"))</f>
        <v/>
      </c>
      <c r="L165" s="7" t="str" cm="1">
        <f t="array" aca="1" ref="L165" ca="1">IFERROR(IF(OR('Raw Data'!L165="",LEN(TRIM('Raw Data'!L165))=0),"",IF(AND(ISNUMBER('Raw Data'!L165), IFERROR('Raw Data'!L165 = ROUND('Raw Data'!L165, 2),FALSE)),"",_xlfn.REGEXEXTRACT(CELL("address",L165), "\$([A-Z]+)\$[0-9]+"))),_xlfn.REGEXEXTRACT(CELL("address",L165), "\$([A-Z]+)\$[0-9]+"))</f>
        <v/>
      </c>
      <c r="M165" s="7" t="str" cm="1">
        <f t="array" aca="1" ref="M165" ca="1">IFERROR(IF(OR('Raw Data'!M165="",LEN(TRIM('Raw Data'!M165))=0),"",IF(AND(ISNUMBER('Raw Data'!M165), IFERROR('Raw Data'!M165 = ROUND('Raw Data'!M165, 2),FALSE)),"",_xlfn.REGEXEXTRACT(CELL("address",M165), "\$([A-Z]+)\$[0-9]+"))),_xlfn.REGEXEXTRACT(CELL("address",M165), "\$([A-Z]+)\$[0-9]+"))</f>
        <v/>
      </c>
      <c r="N165" s="7" t="str" cm="1">
        <f t="array" aca="1" ref="N165" ca="1">IFERROR(IF(OR('Raw Data'!N165="",LEN(TRIM('Raw Data'!N165))=0),"",IF(AND(ISNUMBER('Raw Data'!N165), IFERROR('Raw Data'!N165 = ROUND('Raw Data'!N165, 2),FALSE)),"",_xlfn.REGEXEXTRACT(CELL("address",N165), "\$([A-Z]+)\$[0-9]+"))),_xlfn.REGEXEXTRACT(CELL("address",N165), "\$([A-Z]+)\$[0-9]+"))</f>
        <v/>
      </c>
      <c r="O165" s="7" t="str" cm="1">
        <f t="array" aca="1" ref="O165" ca="1">IFERROR(IF(OR('Raw Data'!O165="",LEN(TRIM('Raw Data'!O165))=0),"",IF(AND(ISNUMBER('Raw Data'!O165), IFERROR('Raw Data'!O165 = ROUND('Raw Data'!O165, 2),FALSE)),"",_xlfn.REGEXEXTRACT(CELL("address",O165), "\$([A-Z]+)\$[0-9]+"))),_xlfn.REGEXEXTRACT(CELL("address",O165), "\$([A-Z]+)\$[0-9]+"))</f>
        <v/>
      </c>
      <c r="P165" s="7" t="str" cm="1">
        <f t="array" aca="1" ref="P165" ca="1">IFERROR(IF(OR('Raw Data'!P165="",LEN(TRIM('Raw Data'!P165))=0),"",IF(AND(ISNUMBER('Raw Data'!P165),'Raw Data'!P165&gt;=Configuration!$D$2),"",_xlfn.REGEXEXTRACT(CELL("address",'Raw Data'!P165),"\$([A-Z]+)\$[0-9]+"))),_xlfn.REGEXEXTRACT(CELL("address",P165), "\$([A-Z]+)\$[0-9]+"))</f>
        <v/>
      </c>
      <c r="Q165" s="7" t="str" cm="1">
        <f t="array" aca="1" ref="Q165" ca="1">IFERROR(IF(OR('Raw Data'!Q165="",LEN(TRIM('Raw Data'!Q165))=0),"",IF(AND(ISNUMBER('Raw Data'!Q165),'Raw Data'!Q165&gt;=Configuration!$D$2),"",_xlfn.REGEXEXTRACT(CELL("address",'Raw Data'!Q165),"\$([A-Z]+)\$[0-9]+"))),_xlfn.REGEXEXTRACT(CELL("address",Q165), "\$([A-Z]+)\$[0-9]+"))</f>
        <v/>
      </c>
      <c r="R165" s="7" t="str" cm="1">
        <f t="array" aca="1" ref="R165" ca="1">IFERROR(IF(OR('Raw Data'!R165="",LEN(TRIM('Raw Data'!R165))=0),"",IF(AND(ISNUMBER('Raw Data'!R165), IFERROR('Raw Data'!R165 = ROUND('Raw Data'!R165, 2),FALSE)),"",_xlfn.REGEXEXTRACT(CELL("address",R165), "\$([A-Z]+)\$[0-9]+"))),_xlfn.REGEXEXTRACT(CELL("address",R165), "\$([A-Z]+)\$[0-9]+"))</f>
        <v/>
      </c>
      <c r="S165" s="7" t="str" cm="1">
        <f t="array" aca="1" ref="S165" ca="1">IFERROR(IF(OR('Raw Data'!S165="",LEN(TRIM('Raw Data'!S165))=0),"",IF(AND(ISNUMBER('Raw Data'!S165), IFERROR('Raw Data'!S165 = ROUND('Raw Data'!S165, 2),FALSE)),"",_xlfn.REGEXEXTRACT(CELL("address",S165), "\$([A-Z]+)\$[0-9]+"))),_xlfn.REGEXEXTRACT(CELL("address",S165), "\$([A-Z]+)\$[0-9]+"))</f>
        <v/>
      </c>
      <c r="T165" s="7" t="str" cm="1">
        <f t="array" aca="1" ref="T165" ca="1">IFERROR(IF(OR('Raw Data'!T165="",LEN(TRIM('Raw Data'!T165))=0),"",IF(AND(ISNUMBER('Raw Data'!T165), IFERROR('Raw Data'!T165 = ROUND('Raw Data'!T165, 2),FALSE)),"",_xlfn.REGEXEXTRACT(CELL("address",T165), "\$([A-Z]+)\$[0-9]+"))),_xlfn.REGEXEXTRACT(CELL("address",T165), "\$([A-Z]+)\$[0-9]+"))</f>
        <v/>
      </c>
      <c r="U165" s="7" t="str" cm="1">
        <f t="array" aca="1" ref="U165" ca="1">IFERROR(IF(OR('Raw Data'!U165="",LEN(TRIM('Raw Data'!U165))=0),"",IF(AND(LEN('Raw Data'!U165) &lt;= 5,LEN('Raw Data'!U165)&gt; 0),"",_xlfn.REGEXEXTRACT(CELL("address",'Raw Data'!U165),"\$([A-Z]+)\$[0-9]+"))),_xlfn.REGEXEXTRACT(CELL("address",'Raw Data'!U165),"\$([A-Z]+)\$[0-9]+"))</f>
        <v/>
      </c>
      <c r="V165" s="7" t="str" cm="1">
        <f t="array" aca="1" ref="V165" ca="1">IFERROR(IF(OR('Raw Data'!V165="",LEN(TRIM('Raw Data'!V165))=0),"",IF(AND(ISNUMBER('Raw Data'!V165), IFERROR('Raw Data'!V165 = ROUND('Raw Data'!V165, 2),FALSE)),"",_xlfn.REGEXEXTRACT(CELL("address",V165), "\$([A-Z]+)\$[0-9]+"))),_xlfn.REGEXEXTRACT(CELL("address",V165), "\$([A-Z]+)\$[0-9]+"))</f>
        <v/>
      </c>
      <c r="W165" s="7" t="str" cm="1">
        <f t="array" aca="1" ref="W165" ca="1">IFERROR(IF(OR('Raw Data'!W165="",LEN(TRIM('Raw Data'!W165))=0),"",IF(AND(ISNUMBER('Raw Data'!W165), IFERROR('Raw Data'!W165 = ROUND('Raw Data'!W165, 2),FALSE)),"",_xlfn.REGEXEXTRACT(CELL("address",W165), "\$([A-Z]+)\$[0-9]+"))),_xlfn.REGEXEXTRACT(CELL("address",W165), "\$([A-Z]+)\$[0-9]+"))</f>
        <v/>
      </c>
      <c r="X165" s="7" t="str" cm="1">
        <f t="array" aca="1" ref="X165" ca="1">IFERROR(IF(OR('Raw Data'!X165="",LEN(TRIM('Raw Data'!X165))=0),"",IF(AND(ISNUMBER('Raw Data'!X165), IFERROR('Raw Data'!X165 = ROUND('Raw Data'!X165, 2),FALSE)),"",_xlfn.REGEXEXTRACT(CELL("address",X165), "\$([A-Z]+)\$[0-9]+"))),_xlfn.REGEXEXTRACT(CELL("address",X165), "\$([A-Z]+)\$[0-9]+"))</f>
        <v/>
      </c>
    </row>
    <row r="166" spans="2:24" x14ac:dyDescent="0.25">
      <c r="B166" s="7" t="str" cm="1">
        <f t="array" aca="1" ref="B166" ca="1">IFERROR(IF(OR('Raw Data'!B166="",LEN(TRIM('Raw Data'!B166))=0),"",IF(AND(LEN('Raw Data'!B166) &lt;= 50,LEN('Raw Data'!B166)&gt; 0),"",_xlfn.REGEXEXTRACT(CELL("address",'Raw Data'!B166),"\$([A-Z]+)\$[0-9]+"))),_xlfn.REGEXEXTRACT(CELL("address",'Raw Data'!B166),"\$([A-Z]+)\$[0-9]+"))</f>
        <v/>
      </c>
      <c r="C166" s="7" t="str" cm="1">
        <f t="array" aca="1" ref="C166" ca="1">IFERROR(IF(OR('Raw Data'!C166="",LEN(TRIM('Raw Data'!C166))=0),"",IF(AND(LEN('Raw Data'!C166) &lt;= 50,LEN('Raw Data'!C166)&gt; 0),"",_xlfn.REGEXEXTRACT(CELL("address",'Raw Data'!C166),"\$([A-Z]+)\$[0-9]+"))),_xlfn.REGEXEXTRACT(CELL("address",'Raw Data'!C166),"\$([A-Z]+)\$[0-9]+"))</f>
        <v/>
      </c>
      <c r="D166" s="7" t="str" cm="1">
        <f t="array" aca="1" ref="D166" ca="1">IFERROR(IF(OR('Raw Data'!D166="",LEN(TRIM('Raw Data'!D166))=0),"",IF(AND(LEN('Raw Data'!D166) &lt;= 255,LEN('Raw Data'!D166)&gt; 0),"",_xlfn.REGEXEXTRACT(CELL("address",'Raw Data'!D166),"\$([A-Z]+)\$[0-9]+"))),_xlfn.REGEXEXTRACT(CELL("address",'Raw Data'!D166),"\$([A-Z]+)\$[0-9]+"))</f>
        <v/>
      </c>
      <c r="E166" s="7" t="str" cm="1">
        <f t="array" aca="1" ref="E166" ca="1">IFERROR(IF(OR('Raw Data'!E166="",LEN(TRIM('Raw Data'!E166))=0),"",IF(AND(ISNUMBER('Raw Data'!E166),'Raw Data'!E166&gt;=Configuration!$D$2),"",_xlfn.REGEXEXTRACT(CELL("address",'Raw Data'!E166),"\$([A-Z]+)\$[0-9]+"))),_xlfn.REGEXEXTRACT(CELL("address",E166), "\$([A-Z]+)\$[0-9]+"))</f>
        <v/>
      </c>
      <c r="F166" s="7" t="str" cm="1">
        <f t="array" aca="1" ref="F166" ca="1">IFERROR(IF(OR('Raw Data'!F166="",LEN(TRIM('Raw Data'!F166))=0),"",IF(AND(LEN('Raw Data'!F166) &lt;= 20,LEN('Raw Data'!F166)&gt; 0),"",_xlfn.REGEXEXTRACT(CELL("address",'Raw Data'!F166),"\$([A-Z]+)\$[0-9]+"))),_xlfn.REGEXEXTRACT(CELL("address",'Raw Data'!F166),"\$([A-Z]+)\$[0-9]+"))</f>
        <v/>
      </c>
      <c r="G166" s="7" t="str" cm="1">
        <f t="array" aca="1" ref="G166" ca="1">IFERROR(IF(OR('Raw Data'!G166="",LEN(TRIM('Raw Data'!G166))=0),"",IF(AND(ISNUMBER('Raw Data'!G166), IFERROR('Raw Data'!G166 = ROUND('Raw Data'!G166, 2),FALSE)),"",_xlfn.REGEXEXTRACT(CELL("address",G166), "\$([A-Z]+)\$[0-9]+"))),_xlfn.REGEXEXTRACT(CELL("address",G166), "\$([A-Z]+)\$[0-9]+"))</f>
        <v/>
      </c>
      <c r="H166" s="7" t="str" cm="1">
        <f t="array" aca="1" ref="H166" ca="1">IFERROR(IF(OR('Raw Data'!H166="",LEN(TRIM('Raw Data'!H166))=0),"",IF(AND(ISNUMBER('Raw Data'!H166), IFERROR('Raw Data'!H166 = ROUND('Raw Data'!H166, 2),FALSE)),"",_xlfn.REGEXEXTRACT(CELL("address",H166), "\$([A-Z]+)\$[0-9]+"))),_xlfn.REGEXEXTRACT(CELL("address",H166), "\$([A-Z]+)\$[0-9]+"))</f>
        <v/>
      </c>
      <c r="I166" s="7" t="str" cm="1">
        <f t="array" aca="1" ref="I166" ca="1">IFERROR(IF(OR('Raw Data'!I166="",LEN(TRIM('Raw Data'!I166))=0),"",IF(AND(LEN('Raw Data'!I166) &lt;= 50,LEN('Raw Data'!I166)&gt; 0),"",_xlfn.REGEXEXTRACT(CELL("address",'Raw Data'!I166),"\$([A-Z]+)\$[0-9]+"))),_xlfn.REGEXEXTRACT(CELL("address",'Raw Data'!I166),"\$([A-Z]+)\$[0-9]+"))</f>
        <v/>
      </c>
      <c r="J166" s="7" t="str" cm="1">
        <f t="array" aca="1" ref="J166" ca="1">IFERROR(IF(OR('Raw Data'!J166="",LEN(TRIM('Raw Data'!J166))=0),"",IF(AND(ISNUMBER('Raw Data'!J166),'Raw Data'!J166&gt;=Configuration!$D$2),"",_xlfn.REGEXEXTRACT(CELL("address",'Raw Data'!J166),"\$([A-Z]+)\$[0-9]+"))),_xlfn.REGEXEXTRACT(CELL("address",J166), "\$([A-Z]+)\$[0-9]+"))</f>
        <v/>
      </c>
      <c r="K166" s="7" t="str" cm="1">
        <f t="array" aca="1" ref="K166" ca="1">IFERROR(IF(OR('Raw Data'!K166="",LEN(TRIM('Raw Data'!K166))=0),"",IF(AND(ISNUMBER('Raw Data'!K166), IFERROR('Raw Data'!K166 = ROUND('Raw Data'!K166, 2),FALSE)),"",_xlfn.REGEXEXTRACT(CELL("address",K166), "\$([A-Z]+)\$[0-9]+"))),_xlfn.REGEXEXTRACT(CELL("address",K166), "\$([A-Z]+)\$[0-9]+"))</f>
        <v/>
      </c>
      <c r="L166" s="7" t="str" cm="1">
        <f t="array" aca="1" ref="L166" ca="1">IFERROR(IF(OR('Raw Data'!L166="",LEN(TRIM('Raw Data'!L166))=0),"",IF(AND(ISNUMBER('Raw Data'!L166), IFERROR('Raw Data'!L166 = ROUND('Raw Data'!L166, 2),FALSE)),"",_xlfn.REGEXEXTRACT(CELL("address",L166), "\$([A-Z]+)\$[0-9]+"))),_xlfn.REGEXEXTRACT(CELL("address",L166), "\$([A-Z]+)\$[0-9]+"))</f>
        <v/>
      </c>
      <c r="M166" s="7" t="str" cm="1">
        <f t="array" aca="1" ref="M166" ca="1">IFERROR(IF(OR('Raw Data'!M166="",LEN(TRIM('Raw Data'!M166))=0),"",IF(AND(ISNUMBER('Raw Data'!M166), IFERROR('Raw Data'!M166 = ROUND('Raw Data'!M166, 2),FALSE)),"",_xlfn.REGEXEXTRACT(CELL("address",M166), "\$([A-Z]+)\$[0-9]+"))),_xlfn.REGEXEXTRACT(CELL("address",M166), "\$([A-Z]+)\$[0-9]+"))</f>
        <v/>
      </c>
      <c r="N166" s="7" t="str" cm="1">
        <f t="array" aca="1" ref="N166" ca="1">IFERROR(IF(OR('Raw Data'!N166="",LEN(TRIM('Raw Data'!N166))=0),"",IF(AND(ISNUMBER('Raw Data'!N166), IFERROR('Raw Data'!N166 = ROUND('Raw Data'!N166, 2),FALSE)),"",_xlfn.REGEXEXTRACT(CELL("address",N166), "\$([A-Z]+)\$[0-9]+"))),_xlfn.REGEXEXTRACT(CELL("address",N166), "\$([A-Z]+)\$[0-9]+"))</f>
        <v/>
      </c>
      <c r="O166" s="7" t="str" cm="1">
        <f t="array" aca="1" ref="O166" ca="1">IFERROR(IF(OR('Raw Data'!O166="",LEN(TRIM('Raw Data'!O166))=0),"",IF(AND(ISNUMBER('Raw Data'!O166), IFERROR('Raw Data'!O166 = ROUND('Raw Data'!O166, 2),FALSE)),"",_xlfn.REGEXEXTRACT(CELL("address",O166), "\$([A-Z]+)\$[0-9]+"))),_xlfn.REGEXEXTRACT(CELL("address",O166), "\$([A-Z]+)\$[0-9]+"))</f>
        <v/>
      </c>
      <c r="P166" s="7" t="str" cm="1">
        <f t="array" aca="1" ref="P166" ca="1">IFERROR(IF(OR('Raw Data'!P166="",LEN(TRIM('Raw Data'!P166))=0),"",IF(AND(ISNUMBER('Raw Data'!P166),'Raw Data'!P166&gt;=Configuration!$D$2),"",_xlfn.REGEXEXTRACT(CELL("address",'Raw Data'!P166),"\$([A-Z]+)\$[0-9]+"))),_xlfn.REGEXEXTRACT(CELL("address",P166), "\$([A-Z]+)\$[0-9]+"))</f>
        <v/>
      </c>
      <c r="Q166" s="7" t="str" cm="1">
        <f t="array" aca="1" ref="Q166" ca="1">IFERROR(IF(OR('Raw Data'!Q166="",LEN(TRIM('Raw Data'!Q166))=0),"",IF(AND(ISNUMBER('Raw Data'!Q166),'Raw Data'!Q166&gt;=Configuration!$D$2),"",_xlfn.REGEXEXTRACT(CELL("address",'Raw Data'!Q166),"\$([A-Z]+)\$[0-9]+"))),_xlfn.REGEXEXTRACT(CELL("address",Q166), "\$([A-Z]+)\$[0-9]+"))</f>
        <v/>
      </c>
      <c r="R166" s="7" t="str" cm="1">
        <f t="array" aca="1" ref="R166" ca="1">IFERROR(IF(OR('Raw Data'!R166="",LEN(TRIM('Raw Data'!R166))=0),"",IF(AND(ISNUMBER('Raw Data'!R166), IFERROR('Raw Data'!R166 = ROUND('Raw Data'!R166, 2),FALSE)),"",_xlfn.REGEXEXTRACT(CELL("address",R166), "\$([A-Z]+)\$[0-9]+"))),_xlfn.REGEXEXTRACT(CELL("address",R166), "\$([A-Z]+)\$[0-9]+"))</f>
        <v/>
      </c>
      <c r="S166" s="7" t="str" cm="1">
        <f t="array" aca="1" ref="S166" ca="1">IFERROR(IF(OR('Raw Data'!S166="",LEN(TRIM('Raw Data'!S166))=0),"",IF(AND(ISNUMBER('Raw Data'!S166), IFERROR('Raw Data'!S166 = ROUND('Raw Data'!S166, 2),FALSE)),"",_xlfn.REGEXEXTRACT(CELL("address",S166), "\$([A-Z]+)\$[0-9]+"))),_xlfn.REGEXEXTRACT(CELL("address",S166), "\$([A-Z]+)\$[0-9]+"))</f>
        <v/>
      </c>
      <c r="T166" s="7" t="str" cm="1">
        <f t="array" aca="1" ref="T166" ca="1">IFERROR(IF(OR('Raw Data'!T166="",LEN(TRIM('Raw Data'!T166))=0),"",IF(AND(ISNUMBER('Raw Data'!T166), IFERROR('Raw Data'!T166 = ROUND('Raw Data'!T166, 2),FALSE)),"",_xlfn.REGEXEXTRACT(CELL("address",T166), "\$([A-Z]+)\$[0-9]+"))),_xlfn.REGEXEXTRACT(CELL("address",T166), "\$([A-Z]+)\$[0-9]+"))</f>
        <v/>
      </c>
      <c r="U166" s="7" t="str" cm="1">
        <f t="array" aca="1" ref="U166" ca="1">IFERROR(IF(OR('Raw Data'!U166="",LEN(TRIM('Raw Data'!U166))=0),"",IF(AND(LEN('Raw Data'!U166) &lt;= 5,LEN('Raw Data'!U166)&gt; 0),"",_xlfn.REGEXEXTRACT(CELL("address",'Raw Data'!U166),"\$([A-Z]+)\$[0-9]+"))),_xlfn.REGEXEXTRACT(CELL("address",'Raw Data'!U166),"\$([A-Z]+)\$[0-9]+"))</f>
        <v/>
      </c>
      <c r="V166" s="7" t="str" cm="1">
        <f t="array" aca="1" ref="V166" ca="1">IFERROR(IF(OR('Raw Data'!V166="",LEN(TRIM('Raw Data'!V166))=0),"",IF(AND(ISNUMBER('Raw Data'!V166), IFERROR('Raw Data'!V166 = ROUND('Raw Data'!V166, 2),FALSE)),"",_xlfn.REGEXEXTRACT(CELL("address",V166), "\$([A-Z]+)\$[0-9]+"))),_xlfn.REGEXEXTRACT(CELL("address",V166), "\$([A-Z]+)\$[0-9]+"))</f>
        <v/>
      </c>
      <c r="W166" s="7" t="str" cm="1">
        <f t="array" aca="1" ref="W166" ca="1">IFERROR(IF(OR('Raw Data'!W166="",LEN(TRIM('Raw Data'!W166))=0),"",IF(AND(ISNUMBER('Raw Data'!W166), IFERROR('Raw Data'!W166 = ROUND('Raw Data'!W166, 2),FALSE)),"",_xlfn.REGEXEXTRACT(CELL("address",W166), "\$([A-Z]+)\$[0-9]+"))),_xlfn.REGEXEXTRACT(CELL("address",W166), "\$([A-Z]+)\$[0-9]+"))</f>
        <v/>
      </c>
      <c r="X166" s="7" t="str" cm="1">
        <f t="array" aca="1" ref="X166" ca="1">IFERROR(IF(OR('Raw Data'!X166="",LEN(TRIM('Raw Data'!X166))=0),"",IF(AND(ISNUMBER('Raw Data'!X166), IFERROR('Raw Data'!X166 = ROUND('Raw Data'!X166, 2),FALSE)),"",_xlfn.REGEXEXTRACT(CELL("address",X166), "\$([A-Z]+)\$[0-9]+"))),_xlfn.REGEXEXTRACT(CELL("address",X166), "\$([A-Z]+)\$[0-9]+"))</f>
        <v/>
      </c>
    </row>
    <row r="167" spans="2:24" x14ac:dyDescent="0.25">
      <c r="B167" s="7" t="str" cm="1">
        <f t="array" aca="1" ref="B167" ca="1">IFERROR(IF(OR('Raw Data'!B167="",LEN(TRIM('Raw Data'!B167))=0),"",IF(AND(LEN('Raw Data'!B167) &lt;= 50,LEN('Raw Data'!B167)&gt; 0),"",_xlfn.REGEXEXTRACT(CELL("address",'Raw Data'!B167),"\$([A-Z]+)\$[0-9]+"))),_xlfn.REGEXEXTRACT(CELL("address",'Raw Data'!B167),"\$([A-Z]+)\$[0-9]+"))</f>
        <v/>
      </c>
      <c r="C167" s="7" t="str" cm="1">
        <f t="array" aca="1" ref="C167" ca="1">IFERROR(IF(OR('Raw Data'!C167="",LEN(TRIM('Raw Data'!C167))=0),"",IF(AND(LEN('Raw Data'!C167) &lt;= 50,LEN('Raw Data'!C167)&gt; 0),"",_xlfn.REGEXEXTRACT(CELL("address",'Raw Data'!C167),"\$([A-Z]+)\$[0-9]+"))),_xlfn.REGEXEXTRACT(CELL("address",'Raw Data'!C167),"\$([A-Z]+)\$[0-9]+"))</f>
        <v/>
      </c>
      <c r="D167" s="7" t="str" cm="1">
        <f t="array" aca="1" ref="D167" ca="1">IFERROR(IF(OR('Raw Data'!D167="",LEN(TRIM('Raw Data'!D167))=0),"",IF(AND(LEN('Raw Data'!D167) &lt;= 255,LEN('Raw Data'!D167)&gt; 0),"",_xlfn.REGEXEXTRACT(CELL("address",'Raw Data'!D167),"\$([A-Z]+)\$[0-9]+"))),_xlfn.REGEXEXTRACT(CELL("address",'Raw Data'!D167),"\$([A-Z]+)\$[0-9]+"))</f>
        <v/>
      </c>
      <c r="E167" s="7" t="str" cm="1">
        <f t="array" aca="1" ref="E167" ca="1">IFERROR(IF(OR('Raw Data'!E167="",LEN(TRIM('Raw Data'!E167))=0),"",IF(AND(ISNUMBER('Raw Data'!E167),'Raw Data'!E167&gt;=Configuration!$D$2),"",_xlfn.REGEXEXTRACT(CELL("address",'Raw Data'!E167),"\$([A-Z]+)\$[0-9]+"))),_xlfn.REGEXEXTRACT(CELL("address",E167), "\$([A-Z]+)\$[0-9]+"))</f>
        <v/>
      </c>
      <c r="F167" s="7" t="str" cm="1">
        <f t="array" aca="1" ref="F167" ca="1">IFERROR(IF(OR('Raw Data'!F167="",LEN(TRIM('Raw Data'!F167))=0),"",IF(AND(LEN('Raw Data'!F167) &lt;= 20,LEN('Raw Data'!F167)&gt; 0),"",_xlfn.REGEXEXTRACT(CELL("address",'Raw Data'!F167),"\$([A-Z]+)\$[0-9]+"))),_xlfn.REGEXEXTRACT(CELL("address",'Raw Data'!F167),"\$([A-Z]+)\$[0-9]+"))</f>
        <v/>
      </c>
      <c r="G167" s="7" t="str" cm="1">
        <f t="array" aca="1" ref="G167" ca="1">IFERROR(IF(OR('Raw Data'!G167="",LEN(TRIM('Raw Data'!G167))=0),"",IF(AND(ISNUMBER('Raw Data'!G167), IFERROR('Raw Data'!G167 = ROUND('Raw Data'!G167, 2),FALSE)),"",_xlfn.REGEXEXTRACT(CELL("address",G167), "\$([A-Z]+)\$[0-9]+"))),_xlfn.REGEXEXTRACT(CELL("address",G167), "\$([A-Z]+)\$[0-9]+"))</f>
        <v/>
      </c>
      <c r="H167" s="7" t="str" cm="1">
        <f t="array" aca="1" ref="H167" ca="1">IFERROR(IF(OR('Raw Data'!H167="",LEN(TRIM('Raw Data'!H167))=0),"",IF(AND(ISNUMBER('Raw Data'!H167), IFERROR('Raw Data'!H167 = ROUND('Raw Data'!H167, 2),FALSE)),"",_xlfn.REGEXEXTRACT(CELL("address",H167), "\$([A-Z]+)\$[0-9]+"))),_xlfn.REGEXEXTRACT(CELL("address",H167), "\$([A-Z]+)\$[0-9]+"))</f>
        <v/>
      </c>
      <c r="I167" s="7" t="str" cm="1">
        <f t="array" aca="1" ref="I167" ca="1">IFERROR(IF(OR('Raw Data'!I167="",LEN(TRIM('Raw Data'!I167))=0),"",IF(AND(LEN('Raw Data'!I167) &lt;= 50,LEN('Raw Data'!I167)&gt; 0),"",_xlfn.REGEXEXTRACT(CELL("address",'Raw Data'!I167),"\$([A-Z]+)\$[0-9]+"))),_xlfn.REGEXEXTRACT(CELL("address",'Raw Data'!I167),"\$([A-Z]+)\$[0-9]+"))</f>
        <v/>
      </c>
      <c r="J167" s="7" t="str" cm="1">
        <f t="array" aca="1" ref="J167" ca="1">IFERROR(IF(OR('Raw Data'!J167="",LEN(TRIM('Raw Data'!J167))=0),"",IF(AND(ISNUMBER('Raw Data'!J167),'Raw Data'!J167&gt;=Configuration!$D$2),"",_xlfn.REGEXEXTRACT(CELL("address",'Raw Data'!J167),"\$([A-Z]+)\$[0-9]+"))),_xlfn.REGEXEXTRACT(CELL("address",J167), "\$([A-Z]+)\$[0-9]+"))</f>
        <v/>
      </c>
      <c r="K167" s="7" t="str" cm="1">
        <f t="array" aca="1" ref="K167" ca="1">IFERROR(IF(OR('Raw Data'!K167="",LEN(TRIM('Raw Data'!K167))=0),"",IF(AND(ISNUMBER('Raw Data'!K167), IFERROR('Raw Data'!K167 = ROUND('Raw Data'!K167, 2),FALSE)),"",_xlfn.REGEXEXTRACT(CELL("address",K167), "\$([A-Z]+)\$[0-9]+"))),_xlfn.REGEXEXTRACT(CELL("address",K167), "\$([A-Z]+)\$[0-9]+"))</f>
        <v/>
      </c>
      <c r="L167" s="7" t="str" cm="1">
        <f t="array" aca="1" ref="L167" ca="1">IFERROR(IF(OR('Raw Data'!L167="",LEN(TRIM('Raw Data'!L167))=0),"",IF(AND(ISNUMBER('Raw Data'!L167), IFERROR('Raw Data'!L167 = ROUND('Raw Data'!L167, 2),FALSE)),"",_xlfn.REGEXEXTRACT(CELL("address",L167), "\$([A-Z]+)\$[0-9]+"))),_xlfn.REGEXEXTRACT(CELL("address",L167), "\$([A-Z]+)\$[0-9]+"))</f>
        <v/>
      </c>
      <c r="M167" s="7" t="str" cm="1">
        <f t="array" aca="1" ref="M167" ca="1">IFERROR(IF(OR('Raw Data'!M167="",LEN(TRIM('Raw Data'!M167))=0),"",IF(AND(ISNUMBER('Raw Data'!M167), IFERROR('Raw Data'!M167 = ROUND('Raw Data'!M167, 2),FALSE)),"",_xlfn.REGEXEXTRACT(CELL("address",M167), "\$([A-Z]+)\$[0-9]+"))),_xlfn.REGEXEXTRACT(CELL("address",M167), "\$([A-Z]+)\$[0-9]+"))</f>
        <v/>
      </c>
      <c r="N167" s="7" t="str" cm="1">
        <f t="array" aca="1" ref="N167" ca="1">IFERROR(IF(OR('Raw Data'!N167="",LEN(TRIM('Raw Data'!N167))=0),"",IF(AND(ISNUMBER('Raw Data'!N167), IFERROR('Raw Data'!N167 = ROUND('Raw Data'!N167, 2),FALSE)),"",_xlfn.REGEXEXTRACT(CELL("address",N167), "\$([A-Z]+)\$[0-9]+"))),_xlfn.REGEXEXTRACT(CELL("address",N167), "\$([A-Z]+)\$[0-9]+"))</f>
        <v/>
      </c>
      <c r="O167" s="7" t="str" cm="1">
        <f t="array" aca="1" ref="O167" ca="1">IFERROR(IF(OR('Raw Data'!O167="",LEN(TRIM('Raw Data'!O167))=0),"",IF(AND(ISNUMBER('Raw Data'!O167), IFERROR('Raw Data'!O167 = ROUND('Raw Data'!O167, 2),FALSE)),"",_xlfn.REGEXEXTRACT(CELL("address",O167), "\$([A-Z]+)\$[0-9]+"))),_xlfn.REGEXEXTRACT(CELL("address",O167), "\$([A-Z]+)\$[0-9]+"))</f>
        <v/>
      </c>
      <c r="P167" s="7" t="str" cm="1">
        <f t="array" aca="1" ref="P167" ca="1">IFERROR(IF(OR('Raw Data'!P167="",LEN(TRIM('Raw Data'!P167))=0),"",IF(AND(ISNUMBER('Raw Data'!P167),'Raw Data'!P167&gt;=Configuration!$D$2),"",_xlfn.REGEXEXTRACT(CELL("address",'Raw Data'!P167),"\$([A-Z]+)\$[0-9]+"))),_xlfn.REGEXEXTRACT(CELL("address",P167), "\$([A-Z]+)\$[0-9]+"))</f>
        <v/>
      </c>
      <c r="Q167" s="7" t="str" cm="1">
        <f t="array" aca="1" ref="Q167" ca="1">IFERROR(IF(OR('Raw Data'!Q167="",LEN(TRIM('Raw Data'!Q167))=0),"",IF(AND(ISNUMBER('Raw Data'!Q167),'Raw Data'!Q167&gt;=Configuration!$D$2),"",_xlfn.REGEXEXTRACT(CELL("address",'Raw Data'!Q167),"\$([A-Z]+)\$[0-9]+"))),_xlfn.REGEXEXTRACT(CELL("address",Q167), "\$([A-Z]+)\$[0-9]+"))</f>
        <v/>
      </c>
      <c r="R167" s="7" t="str" cm="1">
        <f t="array" aca="1" ref="R167" ca="1">IFERROR(IF(OR('Raw Data'!R167="",LEN(TRIM('Raw Data'!R167))=0),"",IF(AND(ISNUMBER('Raw Data'!R167), IFERROR('Raw Data'!R167 = ROUND('Raw Data'!R167, 2),FALSE)),"",_xlfn.REGEXEXTRACT(CELL("address",R167), "\$([A-Z]+)\$[0-9]+"))),_xlfn.REGEXEXTRACT(CELL("address",R167), "\$([A-Z]+)\$[0-9]+"))</f>
        <v/>
      </c>
      <c r="S167" s="7" t="str" cm="1">
        <f t="array" aca="1" ref="S167" ca="1">IFERROR(IF(OR('Raw Data'!S167="",LEN(TRIM('Raw Data'!S167))=0),"",IF(AND(ISNUMBER('Raw Data'!S167), IFERROR('Raw Data'!S167 = ROUND('Raw Data'!S167, 2),FALSE)),"",_xlfn.REGEXEXTRACT(CELL("address",S167), "\$([A-Z]+)\$[0-9]+"))),_xlfn.REGEXEXTRACT(CELL("address",S167), "\$([A-Z]+)\$[0-9]+"))</f>
        <v/>
      </c>
      <c r="T167" s="7" t="str" cm="1">
        <f t="array" aca="1" ref="T167" ca="1">IFERROR(IF(OR('Raw Data'!T167="",LEN(TRIM('Raw Data'!T167))=0),"",IF(AND(ISNUMBER('Raw Data'!T167), IFERROR('Raw Data'!T167 = ROUND('Raw Data'!T167, 2),FALSE)),"",_xlfn.REGEXEXTRACT(CELL("address",T167), "\$([A-Z]+)\$[0-9]+"))),_xlfn.REGEXEXTRACT(CELL("address",T167), "\$([A-Z]+)\$[0-9]+"))</f>
        <v/>
      </c>
      <c r="U167" s="7" t="str" cm="1">
        <f t="array" aca="1" ref="U167" ca="1">IFERROR(IF(OR('Raw Data'!U167="",LEN(TRIM('Raw Data'!U167))=0),"",IF(AND(LEN('Raw Data'!U167) &lt;= 5,LEN('Raw Data'!U167)&gt; 0),"",_xlfn.REGEXEXTRACT(CELL("address",'Raw Data'!U167),"\$([A-Z]+)\$[0-9]+"))),_xlfn.REGEXEXTRACT(CELL("address",'Raw Data'!U167),"\$([A-Z]+)\$[0-9]+"))</f>
        <v/>
      </c>
      <c r="V167" s="7" t="str" cm="1">
        <f t="array" aca="1" ref="V167" ca="1">IFERROR(IF(OR('Raw Data'!V167="",LEN(TRIM('Raw Data'!V167))=0),"",IF(AND(ISNUMBER('Raw Data'!V167), IFERROR('Raw Data'!V167 = ROUND('Raw Data'!V167, 2),FALSE)),"",_xlfn.REGEXEXTRACT(CELL("address",V167), "\$([A-Z]+)\$[0-9]+"))),_xlfn.REGEXEXTRACT(CELL("address",V167), "\$([A-Z]+)\$[0-9]+"))</f>
        <v/>
      </c>
      <c r="W167" s="7" t="str" cm="1">
        <f t="array" aca="1" ref="W167" ca="1">IFERROR(IF(OR('Raw Data'!W167="",LEN(TRIM('Raw Data'!W167))=0),"",IF(AND(ISNUMBER('Raw Data'!W167), IFERROR('Raw Data'!W167 = ROUND('Raw Data'!W167, 2),FALSE)),"",_xlfn.REGEXEXTRACT(CELL("address",W167), "\$([A-Z]+)\$[0-9]+"))),_xlfn.REGEXEXTRACT(CELL("address",W167), "\$([A-Z]+)\$[0-9]+"))</f>
        <v/>
      </c>
      <c r="X167" s="7" t="str" cm="1">
        <f t="array" aca="1" ref="X167" ca="1">IFERROR(IF(OR('Raw Data'!X167="",LEN(TRIM('Raw Data'!X167))=0),"",IF(AND(ISNUMBER('Raw Data'!X167), IFERROR('Raw Data'!X167 = ROUND('Raw Data'!X167, 2),FALSE)),"",_xlfn.REGEXEXTRACT(CELL("address",X167), "\$([A-Z]+)\$[0-9]+"))),_xlfn.REGEXEXTRACT(CELL("address",X167), "\$([A-Z]+)\$[0-9]+"))</f>
        <v/>
      </c>
    </row>
    <row r="168" spans="2:24" x14ac:dyDescent="0.25">
      <c r="B168" s="7" t="str" cm="1">
        <f t="array" aca="1" ref="B168" ca="1">IFERROR(IF(OR('Raw Data'!B168="",LEN(TRIM('Raw Data'!B168))=0),"",IF(AND(LEN('Raw Data'!B168) &lt;= 50,LEN('Raw Data'!B168)&gt; 0),"",_xlfn.REGEXEXTRACT(CELL("address",'Raw Data'!B168),"\$([A-Z]+)\$[0-9]+"))),_xlfn.REGEXEXTRACT(CELL("address",'Raw Data'!B168),"\$([A-Z]+)\$[0-9]+"))</f>
        <v/>
      </c>
      <c r="C168" s="7" t="str" cm="1">
        <f t="array" aca="1" ref="C168" ca="1">IFERROR(IF(OR('Raw Data'!C168="",LEN(TRIM('Raw Data'!C168))=0),"",IF(AND(LEN('Raw Data'!C168) &lt;= 50,LEN('Raw Data'!C168)&gt; 0),"",_xlfn.REGEXEXTRACT(CELL("address",'Raw Data'!C168),"\$([A-Z]+)\$[0-9]+"))),_xlfn.REGEXEXTRACT(CELL("address",'Raw Data'!C168),"\$([A-Z]+)\$[0-9]+"))</f>
        <v/>
      </c>
      <c r="D168" s="7" t="str" cm="1">
        <f t="array" aca="1" ref="D168" ca="1">IFERROR(IF(OR('Raw Data'!D168="",LEN(TRIM('Raw Data'!D168))=0),"",IF(AND(LEN('Raw Data'!D168) &lt;= 255,LEN('Raw Data'!D168)&gt; 0),"",_xlfn.REGEXEXTRACT(CELL("address",'Raw Data'!D168),"\$([A-Z]+)\$[0-9]+"))),_xlfn.REGEXEXTRACT(CELL("address",'Raw Data'!D168),"\$([A-Z]+)\$[0-9]+"))</f>
        <v/>
      </c>
      <c r="E168" s="7" t="str" cm="1">
        <f t="array" aca="1" ref="E168" ca="1">IFERROR(IF(OR('Raw Data'!E168="",LEN(TRIM('Raw Data'!E168))=0),"",IF(AND(ISNUMBER('Raw Data'!E168),'Raw Data'!E168&gt;=Configuration!$D$2),"",_xlfn.REGEXEXTRACT(CELL("address",'Raw Data'!E168),"\$([A-Z]+)\$[0-9]+"))),_xlfn.REGEXEXTRACT(CELL("address",E168), "\$([A-Z]+)\$[0-9]+"))</f>
        <v/>
      </c>
      <c r="F168" s="7" t="str" cm="1">
        <f t="array" aca="1" ref="F168" ca="1">IFERROR(IF(OR('Raw Data'!F168="",LEN(TRIM('Raw Data'!F168))=0),"",IF(AND(LEN('Raw Data'!F168) &lt;= 20,LEN('Raw Data'!F168)&gt; 0),"",_xlfn.REGEXEXTRACT(CELL("address",'Raw Data'!F168),"\$([A-Z]+)\$[0-9]+"))),_xlfn.REGEXEXTRACT(CELL("address",'Raw Data'!F168),"\$([A-Z]+)\$[0-9]+"))</f>
        <v/>
      </c>
      <c r="G168" s="7" t="str" cm="1">
        <f t="array" aca="1" ref="G168" ca="1">IFERROR(IF(OR('Raw Data'!G168="",LEN(TRIM('Raw Data'!G168))=0),"",IF(AND(ISNUMBER('Raw Data'!G168), IFERROR('Raw Data'!G168 = ROUND('Raw Data'!G168, 2),FALSE)),"",_xlfn.REGEXEXTRACT(CELL("address",G168), "\$([A-Z]+)\$[0-9]+"))),_xlfn.REGEXEXTRACT(CELL("address",G168), "\$([A-Z]+)\$[0-9]+"))</f>
        <v/>
      </c>
      <c r="H168" s="7" t="str" cm="1">
        <f t="array" aca="1" ref="H168" ca="1">IFERROR(IF(OR('Raw Data'!H168="",LEN(TRIM('Raw Data'!H168))=0),"",IF(AND(ISNUMBER('Raw Data'!H168), IFERROR('Raw Data'!H168 = ROUND('Raw Data'!H168, 2),FALSE)),"",_xlfn.REGEXEXTRACT(CELL("address",H168), "\$([A-Z]+)\$[0-9]+"))),_xlfn.REGEXEXTRACT(CELL("address",H168), "\$([A-Z]+)\$[0-9]+"))</f>
        <v/>
      </c>
      <c r="I168" s="7" t="str" cm="1">
        <f t="array" aca="1" ref="I168" ca="1">IFERROR(IF(OR('Raw Data'!I168="",LEN(TRIM('Raw Data'!I168))=0),"",IF(AND(LEN('Raw Data'!I168) &lt;= 50,LEN('Raw Data'!I168)&gt; 0),"",_xlfn.REGEXEXTRACT(CELL("address",'Raw Data'!I168),"\$([A-Z]+)\$[0-9]+"))),_xlfn.REGEXEXTRACT(CELL("address",'Raw Data'!I168),"\$([A-Z]+)\$[0-9]+"))</f>
        <v/>
      </c>
      <c r="J168" s="7" t="str" cm="1">
        <f t="array" aca="1" ref="J168" ca="1">IFERROR(IF(OR('Raw Data'!J168="",LEN(TRIM('Raw Data'!J168))=0),"",IF(AND(ISNUMBER('Raw Data'!J168),'Raw Data'!J168&gt;=Configuration!$D$2),"",_xlfn.REGEXEXTRACT(CELL("address",'Raw Data'!J168),"\$([A-Z]+)\$[0-9]+"))),_xlfn.REGEXEXTRACT(CELL("address",J168), "\$([A-Z]+)\$[0-9]+"))</f>
        <v/>
      </c>
      <c r="K168" s="7" t="str" cm="1">
        <f t="array" aca="1" ref="K168" ca="1">IFERROR(IF(OR('Raw Data'!K168="",LEN(TRIM('Raw Data'!K168))=0),"",IF(AND(ISNUMBER('Raw Data'!K168), IFERROR('Raw Data'!K168 = ROUND('Raw Data'!K168, 2),FALSE)),"",_xlfn.REGEXEXTRACT(CELL("address",K168), "\$([A-Z]+)\$[0-9]+"))),_xlfn.REGEXEXTRACT(CELL("address",K168), "\$([A-Z]+)\$[0-9]+"))</f>
        <v/>
      </c>
      <c r="L168" s="7" t="str" cm="1">
        <f t="array" aca="1" ref="L168" ca="1">IFERROR(IF(OR('Raw Data'!L168="",LEN(TRIM('Raw Data'!L168))=0),"",IF(AND(ISNUMBER('Raw Data'!L168), IFERROR('Raw Data'!L168 = ROUND('Raw Data'!L168, 2),FALSE)),"",_xlfn.REGEXEXTRACT(CELL("address",L168), "\$([A-Z]+)\$[0-9]+"))),_xlfn.REGEXEXTRACT(CELL("address",L168), "\$([A-Z]+)\$[0-9]+"))</f>
        <v/>
      </c>
      <c r="M168" s="7" t="str" cm="1">
        <f t="array" aca="1" ref="M168" ca="1">IFERROR(IF(OR('Raw Data'!M168="",LEN(TRIM('Raw Data'!M168))=0),"",IF(AND(ISNUMBER('Raw Data'!M168), IFERROR('Raw Data'!M168 = ROUND('Raw Data'!M168, 2),FALSE)),"",_xlfn.REGEXEXTRACT(CELL("address",M168), "\$([A-Z]+)\$[0-9]+"))),_xlfn.REGEXEXTRACT(CELL("address",M168), "\$([A-Z]+)\$[0-9]+"))</f>
        <v/>
      </c>
      <c r="N168" s="7" t="str" cm="1">
        <f t="array" aca="1" ref="N168" ca="1">IFERROR(IF(OR('Raw Data'!N168="",LEN(TRIM('Raw Data'!N168))=0),"",IF(AND(ISNUMBER('Raw Data'!N168), IFERROR('Raw Data'!N168 = ROUND('Raw Data'!N168, 2),FALSE)),"",_xlfn.REGEXEXTRACT(CELL("address",N168), "\$([A-Z]+)\$[0-9]+"))),_xlfn.REGEXEXTRACT(CELL("address",N168), "\$([A-Z]+)\$[0-9]+"))</f>
        <v/>
      </c>
      <c r="O168" s="7" t="str" cm="1">
        <f t="array" aca="1" ref="O168" ca="1">IFERROR(IF(OR('Raw Data'!O168="",LEN(TRIM('Raw Data'!O168))=0),"",IF(AND(ISNUMBER('Raw Data'!O168), IFERROR('Raw Data'!O168 = ROUND('Raw Data'!O168, 2),FALSE)),"",_xlfn.REGEXEXTRACT(CELL("address",O168), "\$([A-Z]+)\$[0-9]+"))),_xlfn.REGEXEXTRACT(CELL("address",O168), "\$([A-Z]+)\$[0-9]+"))</f>
        <v/>
      </c>
      <c r="P168" s="7" t="str" cm="1">
        <f t="array" aca="1" ref="P168" ca="1">IFERROR(IF(OR('Raw Data'!P168="",LEN(TRIM('Raw Data'!P168))=0),"",IF(AND(ISNUMBER('Raw Data'!P168),'Raw Data'!P168&gt;=Configuration!$D$2),"",_xlfn.REGEXEXTRACT(CELL("address",'Raw Data'!P168),"\$([A-Z]+)\$[0-9]+"))),_xlfn.REGEXEXTRACT(CELL("address",P168), "\$([A-Z]+)\$[0-9]+"))</f>
        <v/>
      </c>
      <c r="Q168" s="7" t="str" cm="1">
        <f t="array" aca="1" ref="Q168" ca="1">IFERROR(IF(OR('Raw Data'!Q168="",LEN(TRIM('Raw Data'!Q168))=0),"",IF(AND(ISNUMBER('Raw Data'!Q168),'Raw Data'!Q168&gt;=Configuration!$D$2),"",_xlfn.REGEXEXTRACT(CELL("address",'Raw Data'!Q168),"\$([A-Z]+)\$[0-9]+"))),_xlfn.REGEXEXTRACT(CELL("address",Q168), "\$([A-Z]+)\$[0-9]+"))</f>
        <v/>
      </c>
      <c r="R168" s="7" t="str" cm="1">
        <f t="array" aca="1" ref="R168" ca="1">IFERROR(IF(OR('Raw Data'!R168="",LEN(TRIM('Raw Data'!R168))=0),"",IF(AND(ISNUMBER('Raw Data'!R168), IFERROR('Raw Data'!R168 = ROUND('Raw Data'!R168, 2),FALSE)),"",_xlfn.REGEXEXTRACT(CELL("address",R168), "\$([A-Z]+)\$[0-9]+"))),_xlfn.REGEXEXTRACT(CELL("address",R168), "\$([A-Z]+)\$[0-9]+"))</f>
        <v/>
      </c>
      <c r="S168" s="7" t="str" cm="1">
        <f t="array" aca="1" ref="S168" ca="1">IFERROR(IF(OR('Raw Data'!S168="",LEN(TRIM('Raw Data'!S168))=0),"",IF(AND(ISNUMBER('Raw Data'!S168), IFERROR('Raw Data'!S168 = ROUND('Raw Data'!S168, 2),FALSE)),"",_xlfn.REGEXEXTRACT(CELL("address",S168), "\$([A-Z]+)\$[0-9]+"))),_xlfn.REGEXEXTRACT(CELL("address",S168), "\$([A-Z]+)\$[0-9]+"))</f>
        <v/>
      </c>
      <c r="T168" s="7" t="str" cm="1">
        <f t="array" aca="1" ref="T168" ca="1">IFERROR(IF(OR('Raw Data'!T168="",LEN(TRIM('Raw Data'!T168))=0),"",IF(AND(ISNUMBER('Raw Data'!T168), IFERROR('Raw Data'!T168 = ROUND('Raw Data'!T168, 2),FALSE)),"",_xlfn.REGEXEXTRACT(CELL("address",T168), "\$([A-Z]+)\$[0-9]+"))),_xlfn.REGEXEXTRACT(CELL("address",T168), "\$([A-Z]+)\$[0-9]+"))</f>
        <v/>
      </c>
      <c r="U168" s="7" t="str" cm="1">
        <f t="array" aca="1" ref="U168" ca="1">IFERROR(IF(OR('Raw Data'!U168="",LEN(TRIM('Raw Data'!U168))=0),"",IF(AND(LEN('Raw Data'!U168) &lt;= 5,LEN('Raw Data'!U168)&gt; 0),"",_xlfn.REGEXEXTRACT(CELL("address",'Raw Data'!U168),"\$([A-Z]+)\$[0-9]+"))),_xlfn.REGEXEXTRACT(CELL("address",'Raw Data'!U168),"\$([A-Z]+)\$[0-9]+"))</f>
        <v/>
      </c>
      <c r="V168" s="7" t="str" cm="1">
        <f t="array" aca="1" ref="V168" ca="1">IFERROR(IF(OR('Raw Data'!V168="",LEN(TRIM('Raw Data'!V168))=0),"",IF(AND(ISNUMBER('Raw Data'!V168), IFERROR('Raw Data'!V168 = ROUND('Raw Data'!V168, 2),FALSE)),"",_xlfn.REGEXEXTRACT(CELL("address",V168), "\$([A-Z]+)\$[0-9]+"))),_xlfn.REGEXEXTRACT(CELL("address",V168), "\$([A-Z]+)\$[0-9]+"))</f>
        <v/>
      </c>
      <c r="W168" s="7" t="str" cm="1">
        <f t="array" aca="1" ref="W168" ca="1">IFERROR(IF(OR('Raw Data'!W168="",LEN(TRIM('Raw Data'!W168))=0),"",IF(AND(ISNUMBER('Raw Data'!W168), IFERROR('Raw Data'!W168 = ROUND('Raw Data'!W168, 2),FALSE)),"",_xlfn.REGEXEXTRACT(CELL("address",W168), "\$([A-Z]+)\$[0-9]+"))),_xlfn.REGEXEXTRACT(CELL("address",W168), "\$([A-Z]+)\$[0-9]+"))</f>
        <v/>
      </c>
      <c r="X168" s="7" t="str" cm="1">
        <f t="array" aca="1" ref="X168" ca="1">IFERROR(IF(OR('Raw Data'!X168="",LEN(TRIM('Raw Data'!X168))=0),"",IF(AND(ISNUMBER('Raw Data'!X168), IFERROR('Raw Data'!X168 = ROUND('Raw Data'!X168, 2),FALSE)),"",_xlfn.REGEXEXTRACT(CELL("address",X168), "\$([A-Z]+)\$[0-9]+"))),_xlfn.REGEXEXTRACT(CELL("address",X168), "\$([A-Z]+)\$[0-9]+"))</f>
        <v/>
      </c>
    </row>
    <row r="169" spans="2:24" x14ac:dyDescent="0.25">
      <c r="B169" s="7" t="str" cm="1">
        <f t="array" aca="1" ref="B169" ca="1">IFERROR(IF(OR('Raw Data'!B169="",LEN(TRIM('Raw Data'!B169))=0),"",IF(AND(LEN('Raw Data'!B169) &lt;= 50,LEN('Raw Data'!B169)&gt; 0),"",_xlfn.REGEXEXTRACT(CELL("address",'Raw Data'!B169),"\$([A-Z]+)\$[0-9]+"))),_xlfn.REGEXEXTRACT(CELL("address",'Raw Data'!B169),"\$([A-Z]+)\$[0-9]+"))</f>
        <v/>
      </c>
      <c r="C169" s="7" t="str" cm="1">
        <f t="array" aca="1" ref="C169" ca="1">IFERROR(IF(OR('Raw Data'!C169="",LEN(TRIM('Raw Data'!C169))=0),"",IF(AND(LEN('Raw Data'!C169) &lt;= 50,LEN('Raw Data'!C169)&gt; 0),"",_xlfn.REGEXEXTRACT(CELL("address",'Raw Data'!C169),"\$([A-Z]+)\$[0-9]+"))),_xlfn.REGEXEXTRACT(CELL("address",'Raw Data'!C169),"\$([A-Z]+)\$[0-9]+"))</f>
        <v/>
      </c>
      <c r="D169" s="7" t="str" cm="1">
        <f t="array" aca="1" ref="D169" ca="1">IFERROR(IF(OR('Raw Data'!D169="",LEN(TRIM('Raw Data'!D169))=0),"",IF(AND(LEN('Raw Data'!D169) &lt;= 255,LEN('Raw Data'!D169)&gt; 0),"",_xlfn.REGEXEXTRACT(CELL("address",'Raw Data'!D169),"\$([A-Z]+)\$[0-9]+"))),_xlfn.REGEXEXTRACT(CELL("address",'Raw Data'!D169),"\$([A-Z]+)\$[0-9]+"))</f>
        <v/>
      </c>
      <c r="E169" s="7" t="str" cm="1">
        <f t="array" aca="1" ref="E169" ca="1">IFERROR(IF(OR('Raw Data'!E169="",LEN(TRIM('Raw Data'!E169))=0),"",IF(AND(ISNUMBER('Raw Data'!E169),'Raw Data'!E169&gt;=Configuration!$D$2),"",_xlfn.REGEXEXTRACT(CELL("address",'Raw Data'!E169),"\$([A-Z]+)\$[0-9]+"))),_xlfn.REGEXEXTRACT(CELL("address",E169), "\$([A-Z]+)\$[0-9]+"))</f>
        <v/>
      </c>
      <c r="F169" s="7" t="str" cm="1">
        <f t="array" aca="1" ref="F169" ca="1">IFERROR(IF(OR('Raw Data'!F169="",LEN(TRIM('Raw Data'!F169))=0),"",IF(AND(LEN('Raw Data'!F169) &lt;= 20,LEN('Raw Data'!F169)&gt; 0),"",_xlfn.REGEXEXTRACT(CELL("address",'Raw Data'!F169),"\$([A-Z]+)\$[0-9]+"))),_xlfn.REGEXEXTRACT(CELL("address",'Raw Data'!F169),"\$([A-Z]+)\$[0-9]+"))</f>
        <v/>
      </c>
      <c r="G169" s="7" t="str" cm="1">
        <f t="array" aca="1" ref="G169" ca="1">IFERROR(IF(OR('Raw Data'!G169="",LEN(TRIM('Raw Data'!G169))=0),"",IF(AND(ISNUMBER('Raw Data'!G169), IFERROR('Raw Data'!G169 = ROUND('Raw Data'!G169, 2),FALSE)),"",_xlfn.REGEXEXTRACT(CELL("address",G169), "\$([A-Z]+)\$[0-9]+"))),_xlfn.REGEXEXTRACT(CELL("address",G169), "\$([A-Z]+)\$[0-9]+"))</f>
        <v/>
      </c>
      <c r="H169" s="7" t="str" cm="1">
        <f t="array" aca="1" ref="H169" ca="1">IFERROR(IF(OR('Raw Data'!H169="",LEN(TRIM('Raw Data'!H169))=0),"",IF(AND(ISNUMBER('Raw Data'!H169), IFERROR('Raw Data'!H169 = ROUND('Raw Data'!H169, 2),FALSE)),"",_xlfn.REGEXEXTRACT(CELL("address",H169), "\$([A-Z]+)\$[0-9]+"))),_xlfn.REGEXEXTRACT(CELL("address",H169), "\$([A-Z]+)\$[0-9]+"))</f>
        <v/>
      </c>
      <c r="I169" s="7" t="str" cm="1">
        <f t="array" aca="1" ref="I169" ca="1">IFERROR(IF(OR('Raw Data'!I169="",LEN(TRIM('Raw Data'!I169))=0),"",IF(AND(LEN('Raw Data'!I169) &lt;= 50,LEN('Raw Data'!I169)&gt; 0),"",_xlfn.REGEXEXTRACT(CELL("address",'Raw Data'!I169),"\$([A-Z]+)\$[0-9]+"))),_xlfn.REGEXEXTRACT(CELL("address",'Raw Data'!I169),"\$([A-Z]+)\$[0-9]+"))</f>
        <v/>
      </c>
      <c r="J169" s="7" t="str" cm="1">
        <f t="array" aca="1" ref="J169" ca="1">IFERROR(IF(OR('Raw Data'!J169="",LEN(TRIM('Raw Data'!J169))=0),"",IF(AND(ISNUMBER('Raw Data'!J169),'Raw Data'!J169&gt;=Configuration!$D$2),"",_xlfn.REGEXEXTRACT(CELL("address",'Raw Data'!J169),"\$([A-Z]+)\$[0-9]+"))),_xlfn.REGEXEXTRACT(CELL("address",J169), "\$([A-Z]+)\$[0-9]+"))</f>
        <v/>
      </c>
      <c r="K169" s="7" t="str" cm="1">
        <f t="array" aca="1" ref="K169" ca="1">IFERROR(IF(OR('Raw Data'!K169="",LEN(TRIM('Raw Data'!K169))=0),"",IF(AND(ISNUMBER('Raw Data'!K169), IFERROR('Raw Data'!K169 = ROUND('Raw Data'!K169, 2),FALSE)),"",_xlfn.REGEXEXTRACT(CELL("address",K169), "\$([A-Z]+)\$[0-9]+"))),_xlfn.REGEXEXTRACT(CELL("address",K169), "\$([A-Z]+)\$[0-9]+"))</f>
        <v/>
      </c>
      <c r="L169" s="7" t="str" cm="1">
        <f t="array" aca="1" ref="L169" ca="1">IFERROR(IF(OR('Raw Data'!L169="",LEN(TRIM('Raw Data'!L169))=0),"",IF(AND(ISNUMBER('Raw Data'!L169), IFERROR('Raw Data'!L169 = ROUND('Raw Data'!L169, 2),FALSE)),"",_xlfn.REGEXEXTRACT(CELL("address",L169), "\$([A-Z]+)\$[0-9]+"))),_xlfn.REGEXEXTRACT(CELL("address",L169), "\$([A-Z]+)\$[0-9]+"))</f>
        <v/>
      </c>
      <c r="M169" s="7" t="str" cm="1">
        <f t="array" aca="1" ref="M169" ca="1">IFERROR(IF(OR('Raw Data'!M169="",LEN(TRIM('Raw Data'!M169))=0),"",IF(AND(ISNUMBER('Raw Data'!M169), IFERROR('Raw Data'!M169 = ROUND('Raw Data'!M169, 2),FALSE)),"",_xlfn.REGEXEXTRACT(CELL("address",M169), "\$([A-Z]+)\$[0-9]+"))),_xlfn.REGEXEXTRACT(CELL("address",M169), "\$([A-Z]+)\$[0-9]+"))</f>
        <v/>
      </c>
      <c r="N169" s="7" t="str" cm="1">
        <f t="array" aca="1" ref="N169" ca="1">IFERROR(IF(OR('Raw Data'!N169="",LEN(TRIM('Raw Data'!N169))=0),"",IF(AND(ISNUMBER('Raw Data'!N169), IFERROR('Raw Data'!N169 = ROUND('Raw Data'!N169, 2),FALSE)),"",_xlfn.REGEXEXTRACT(CELL("address",N169), "\$([A-Z]+)\$[0-9]+"))),_xlfn.REGEXEXTRACT(CELL("address",N169), "\$([A-Z]+)\$[0-9]+"))</f>
        <v/>
      </c>
      <c r="O169" s="7" t="str" cm="1">
        <f t="array" aca="1" ref="O169" ca="1">IFERROR(IF(OR('Raw Data'!O169="",LEN(TRIM('Raw Data'!O169))=0),"",IF(AND(ISNUMBER('Raw Data'!O169), IFERROR('Raw Data'!O169 = ROUND('Raw Data'!O169, 2),FALSE)),"",_xlfn.REGEXEXTRACT(CELL("address",O169), "\$([A-Z]+)\$[0-9]+"))),_xlfn.REGEXEXTRACT(CELL("address",O169), "\$([A-Z]+)\$[0-9]+"))</f>
        <v/>
      </c>
      <c r="P169" s="7" t="str" cm="1">
        <f t="array" aca="1" ref="P169" ca="1">IFERROR(IF(OR('Raw Data'!P169="",LEN(TRIM('Raw Data'!P169))=0),"",IF(AND(ISNUMBER('Raw Data'!P169),'Raw Data'!P169&gt;=Configuration!$D$2),"",_xlfn.REGEXEXTRACT(CELL("address",'Raw Data'!P169),"\$([A-Z]+)\$[0-9]+"))),_xlfn.REGEXEXTRACT(CELL("address",P169), "\$([A-Z]+)\$[0-9]+"))</f>
        <v/>
      </c>
      <c r="Q169" s="7" t="str" cm="1">
        <f t="array" aca="1" ref="Q169" ca="1">IFERROR(IF(OR('Raw Data'!Q169="",LEN(TRIM('Raw Data'!Q169))=0),"",IF(AND(ISNUMBER('Raw Data'!Q169),'Raw Data'!Q169&gt;=Configuration!$D$2),"",_xlfn.REGEXEXTRACT(CELL("address",'Raw Data'!Q169),"\$([A-Z]+)\$[0-9]+"))),_xlfn.REGEXEXTRACT(CELL("address",Q169), "\$([A-Z]+)\$[0-9]+"))</f>
        <v/>
      </c>
      <c r="R169" s="7" t="str" cm="1">
        <f t="array" aca="1" ref="R169" ca="1">IFERROR(IF(OR('Raw Data'!R169="",LEN(TRIM('Raw Data'!R169))=0),"",IF(AND(ISNUMBER('Raw Data'!R169), IFERROR('Raw Data'!R169 = ROUND('Raw Data'!R169, 2),FALSE)),"",_xlfn.REGEXEXTRACT(CELL("address",R169), "\$([A-Z]+)\$[0-9]+"))),_xlfn.REGEXEXTRACT(CELL("address",R169), "\$([A-Z]+)\$[0-9]+"))</f>
        <v/>
      </c>
      <c r="S169" s="7" t="str" cm="1">
        <f t="array" aca="1" ref="S169" ca="1">IFERROR(IF(OR('Raw Data'!S169="",LEN(TRIM('Raw Data'!S169))=0),"",IF(AND(ISNUMBER('Raw Data'!S169), IFERROR('Raw Data'!S169 = ROUND('Raw Data'!S169, 2),FALSE)),"",_xlfn.REGEXEXTRACT(CELL("address",S169), "\$([A-Z]+)\$[0-9]+"))),_xlfn.REGEXEXTRACT(CELL("address",S169), "\$([A-Z]+)\$[0-9]+"))</f>
        <v/>
      </c>
      <c r="T169" s="7" t="str" cm="1">
        <f t="array" aca="1" ref="T169" ca="1">IFERROR(IF(OR('Raw Data'!T169="",LEN(TRIM('Raw Data'!T169))=0),"",IF(AND(ISNUMBER('Raw Data'!T169), IFERROR('Raw Data'!T169 = ROUND('Raw Data'!T169, 2),FALSE)),"",_xlfn.REGEXEXTRACT(CELL("address",T169), "\$([A-Z]+)\$[0-9]+"))),_xlfn.REGEXEXTRACT(CELL("address",T169), "\$([A-Z]+)\$[0-9]+"))</f>
        <v/>
      </c>
      <c r="U169" s="7" t="str" cm="1">
        <f t="array" aca="1" ref="U169" ca="1">IFERROR(IF(OR('Raw Data'!U169="",LEN(TRIM('Raw Data'!U169))=0),"",IF(AND(LEN('Raw Data'!U169) &lt;= 5,LEN('Raw Data'!U169)&gt; 0),"",_xlfn.REGEXEXTRACT(CELL("address",'Raw Data'!U169),"\$([A-Z]+)\$[0-9]+"))),_xlfn.REGEXEXTRACT(CELL("address",'Raw Data'!U169),"\$([A-Z]+)\$[0-9]+"))</f>
        <v/>
      </c>
      <c r="V169" s="7" t="str" cm="1">
        <f t="array" aca="1" ref="V169" ca="1">IFERROR(IF(OR('Raw Data'!V169="",LEN(TRIM('Raw Data'!V169))=0),"",IF(AND(ISNUMBER('Raw Data'!V169), IFERROR('Raw Data'!V169 = ROUND('Raw Data'!V169, 2),FALSE)),"",_xlfn.REGEXEXTRACT(CELL("address",V169), "\$([A-Z]+)\$[0-9]+"))),_xlfn.REGEXEXTRACT(CELL("address",V169), "\$([A-Z]+)\$[0-9]+"))</f>
        <v/>
      </c>
      <c r="W169" s="7" t="str" cm="1">
        <f t="array" aca="1" ref="W169" ca="1">IFERROR(IF(OR('Raw Data'!W169="",LEN(TRIM('Raw Data'!W169))=0),"",IF(AND(ISNUMBER('Raw Data'!W169), IFERROR('Raw Data'!W169 = ROUND('Raw Data'!W169, 2),FALSE)),"",_xlfn.REGEXEXTRACT(CELL("address",W169), "\$([A-Z]+)\$[0-9]+"))),_xlfn.REGEXEXTRACT(CELL("address",W169), "\$([A-Z]+)\$[0-9]+"))</f>
        <v/>
      </c>
      <c r="X169" s="7" t="str" cm="1">
        <f t="array" aca="1" ref="X169" ca="1">IFERROR(IF(OR('Raw Data'!X169="",LEN(TRIM('Raw Data'!X169))=0),"",IF(AND(ISNUMBER('Raw Data'!X169), IFERROR('Raw Data'!X169 = ROUND('Raw Data'!X169, 2),FALSE)),"",_xlfn.REGEXEXTRACT(CELL("address",X169), "\$([A-Z]+)\$[0-9]+"))),_xlfn.REGEXEXTRACT(CELL("address",X169), "\$([A-Z]+)\$[0-9]+"))</f>
        <v/>
      </c>
    </row>
    <row r="170" spans="2:24" x14ac:dyDescent="0.25">
      <c r="B170" s="7" t="str" cm="1">
        <f t="array" aca="1" ref="B170" ca="1">IFERROR(IF(OR('Raw Data'!B170="",LEN(TRIM('Raw Data'!B170))=0),"",IF(AND(LEN('Raw Data'!B170) &lt;= 50,LEN('Raw Data'!B170)&gt; 0),"",_xlfn.REGEXEXTRACT(CELL("address",'Raw Data'!B170),"\$([A-Z]+)\$[0-9]+"))),_xlfn.REGEXEXTRACT(CELL("address",'Raw Data'!B170),"\$([A-Z]+)\$[0-9]+"))</f>
        <v/>
      </c>
      <c r="C170" s="7" t="str" cm="1">
        <f t="array" aca="1" ref="C170" ca="1">IFERROR(IF(OR('Raw Data'!C170="",LEN(TRIM('Raw Data'!C170))=0),"",IF(AND(LEN('Raw Data'!C170) &lt;= 50,LEN('Raw Data'!C170)&gt; 0),"",_xlfn.REGEXEXTRACT(CELL("address",'Raw Data'!C170),"\$([A-Z]+)\$[0-9]+"))),_xlfn.REGEXEXTRACT(CELL("address",'Raw Data'!C170),"\$([A-Z]+)\$[0-9]+"))</f>
        <v/>
      </c>
      <c r="D170" s="7" t="str" cm="1">
        <f t="array" aca="1" ref="D170" ca="1">IFERROR(IF(OR('Raw Data'!D170="",LEN(TRIM('Raw Data'!D170))=0),"",IF(AND(LEN('Raw Data'!D170) &lt;= 255,LEN('Raw Data'!D170)&gt; 0),"",_xlfn.REGEXEXTRACT(CELL("address",'Raw Data'!D170),"\$([A-Z]+)\$[0-9]+"))),_xlfn.REGEXEXTRACT(CELL("address",'Raw Data'!D170),"\$([A-Z]+)\$[0-9]+"))</f>
        <v/>
      </c>
      <c r="E170" s="7" t="str" cm="1">
        <f t="array" aca="1" ref="E170" ca="1">IFERROR(IF(OR('Raw Data'!E170="",LEN(TRIM('Raw Data'!E170))=0),"",IF(AND(ISNUMBER('Raw Data'!E170),'Raw Data'!E170&gt;=Configuration!$D$2),"",_xlfn.REGEXEXTRACT(CELL("address",'Raw Data'!E170),"\$([A-Z]+)\$[0-9]+"))),_xlfn.REGEXEXTRACT(CELL("address",E170), "\$([A-Z]+)\$[0-9]+"))</f>
        <v/>
      </c>
      <c r="F170" s="7" t="str" cm="1">
        <f t="array" aca="1" ref="F170" ca="1">IFERROR(IF(OR('Raw Data'!F170="",LEN(TRIM('Raw Data'!F170))=0),"",IF(AND(LEN('Raw Data'!F170) &lt;= 20,LEN('Raw Data'!F170)&gt; 0),"",_xlfn.REGEXEXTRACT(CELL("address",'Raw Data'!F170),"\$([A-Z]+)\$[0-9]+"))),_xlfn.REGEXEXTRACT(CELL("address",'Raw Data'!F170),"\$([A-Z]+)\$[0-9]+"))</f>
        <v/>
      </c>
      <c r="G170" s="7" t="str" cm="1">
        <f t="array" aca="1" ref="G170" ca="1">IFERROR(IF(OR('Raw Data'!G170="",LEN(TRIM('Raw Data'!G170))=0),"",IF(AND(ISNUMBER('Raw Data'!G170), IFERROR('Raw Data'!G170 = ROUND('Raw Data'!G170, 2),FALSE)),"",_xlfn.REGEXEXTRACT(CELL("address",G170), "\$([A-Z]+)\$[0-9]+"))),_xlfn.REGEXEXTRACT(CELL("address",G170), "\$([A-Z]+)\$[0-9]+"))</f>
        <v/>
      </c>
      <c r="H170" s="7" t="str" cm="1">
        <f t="array" aca="1" ref="H170" ca="1">IFERROR(IF(OR('Raw Data'!H170="",LEN(TRIM('Raw Data'!H170))=0),"",IF(AND(ISNUMBER('Raw Data'!H170), IFERROR('Raw Data'!H170 = ROUND('Raw Data'!H170, 2),FALSE)),"",_xlfn.REGEXEXTRACT(CELL("address",H170), "\$([A-Z]+)\$[0-9]+"))),_xlfn.REGEXEXTRACT(CELL("address",H170), "\$([A-Z]+)\$[0-9]+"))</f>
        <v/>
      </c>
      <c r="I170" s="7" t="str" cm="1">
        <f t="array" aca="1" ref="I170" ca="1">IFERROR(IF(OR('Raw Data'!I170="",LEN(TRIM('Raw Data'!I170))=0),"",IF(AND(LEN('Raw Data'!I170) &lt;= 50,LEN('Raw Data'!I170)&gt; 0),"",_xlfn.REGEXEXTRACT(CELL("address",'Raw Data'!I170),"\$([A-Z]+)\$[0-9]+"))),_xlfn.REGEXEXTRACT(CELL("address",'Raw Data'!I170),"\$([A-Z]+)\$[0-9]+"))</f>
        <v/>
      </c>
      <c r="J170" s="7" t="str" cm="1">
        <f t="array" aca="1" ref="J170" ca="1">IFERROR(IF(OR('Raw Data'!J170="",LEN(TRIM('Raw Data'!J170))=0),"",IF(AND(ISNUMBER('Raw Data'!J170),'Raw Data'!J170&gt;=Configuration!$D$2),"",_xlfn.REGEXEXTRACT(CELL("address",'Raw Data'!J170),"\$([A-Z]+)\$[0-9]+"))),_xlfn.REGEXEXTRACT(CELL("address",J170), "\$([A-Z]+)\$[0-9]+"))</f>
        <v/>
      </c>
      <c r="K170" s="7" t="str" cm="1">
        <f t="array" aca="1" ref="K170" ca="1">IFERROR(IF(OR('Raw Data'!K170="",LEN(TRIM('Raw Data'!K170))=0),"",IF(AND(ISNUMBER('Raw Data'!K170), IFERROR('Raw Data'!K170 = ROUND('Raw Data'!K170, 2),FALSE)),"",_xlfn.REGEXEXTRACT(CELL("address",K170), "\$([A-Z]+)\$[0-9]+"))),_xlfn.REGEXEXTRACT(CELL("address",K170), "\$([A-Z]+)\$[0-9]+"))</f>
        <v/>
      </c>
      <c r="L170" s="7" t="str" cm="1">
        <f t="array" aca="1" ref="L170" ca="1">IFERROR(IF(OR('Raw Data'!L170="",LEN(TRIM('Raw Data'!L170))=0),"",IF(AND(ISNUMBER('Raw Data'!L170), IFERROR('Raw Data'!L170 = ROUND('Raw Data'!L170, 2),FALSE)),"",_xlfn.REGEXEXTRACT(CELL("address",L170), "\$([A-Z]+)\$[0-9]+"))),_xlfn.REGEXEXTRACT(CELL("address",L170), "\$([A-Z]+)\$[0-9]+"))</f>
        <v/>
      </c>
      <c r="M170" s="7" t="str" cm="1">
        <f t="array" aca="1" ref="M170" ca="1">IFERROR(IF(OR('Raw Data'!M170="",LEN(TRIM('Raw Data'!M170))=0),"",IF(AND(ISNUMBER('Raw Data'!M170), IFERROR('Raw Data'!M170 = ROUND('Raw Data'!M170, 2),FALSE)),"",_xlfn.REGEXEXTRACT(CELL("address",M170), "\$([A-Z]+)\$[0-9]+"))),_xlfn.REGEXEXTRACT(CELL("address",M170), "\$([A-Z]+)\$[0-9]+"))</f>
        <v/>
      </c>
      <c r="N170" s="7" t="str" cm="1">
        <f t="array" aca="1" ref="N170" ca="1">IFERROR(IF(OR('Raw Data'!N170="",LEN(TRIM('Raw Data'!N170))=0),"",IF(AND(ISNUMBER('Raw Data'!N170), IFERROR('Raw Data'!N170 = ROUND('Raw Data'!N170, 2),FALSE)),"",_xlfn.REGEXEXTRACT(CELL("address",N170), "\$([A-Z]+)\$[0-9]+"))),_xlfn.REGEXEXTRACT(CELL("address",N170), "\$([A-Z]+)\$[0-9]+"))</f>
        <v/>
      </c>
      <c r="O170" s="7" t="str" cm="1">
        <f t="array" aca="1" ref="O170" ca="1">IFERROR(IF(OR('Raw Data'!O170="",LEN(TRIM('Raw Data'!O170))=0),"",IF(AND(ISNUMBER('Raw Data'!O170), IFERROR('Raw Data'!O170 = ROUND('Raw Data'!O170, 2),FALSE)),"",_xlfn.REGEXEXTRACT(CELL("address",O170), "\$([A-Z]+)\$[0-9]+"))),_xlfn.REGEXEXTRACT(CELL("address",O170), "\$([A-Z]+)\$[0-9]+"))</f>
        <v/>
      </c>
      <c r="P170" s="7" t="str" cm="1">
        <f t="array" aca="1" ref="P170" ca="1">IFERROR(IF(OR('Raw Data'!P170="",LEN(TRIM('Raw Data'!P170))=0),"",IF(AND(ISNUMBER('Raw Data'!P170),'Raw Data'!P170&gt;=Configuration!$D$2),"",_xlfn.REGEXEXTRACT(CELL("address",'Raw Data'!P170),"\$([A-Z]+)\$[0-9]+"))),_xlfn.REGEXEXTRACT(CELL("address",P170), "\$([A-Z]+)\$[0-9]+"))</f>
        <v/>
      </c>
      <c r="Q170" s="7" t="str" cm="1">
        <f t="array" aca="1" ref="Q170" ca="1">IFERROR(IF(OR('Raw Data'!Q170="",LEN(TRIM('Raw Data'!Q170))=0),"",IF(AND(ISNUMBER('Raw Data'!Q170),'Raw Data'!Q170&gt;=Configuration!$D$2),"",_xlfn.REGEXEXTRACT(CELL("address",'Raw Data'!Q170),"\$([A-Z]+)\$[0-9]+"))),_xlfn.REGEXEXTRACT(CELL("address",Q170), "\$([A-Z]+)\$[0-9]+"))</f>
        <v/>
      </c>
      <c r="R170" s="7" t="str" cm="1">
        <f t="array" aca="1" ref="R170" ca="1">IFERROR(IF(OR('Raw Data'!R170="",LEN(TRIM('Raw Data'!R170))=0),"",IF(AND(ISNUMBER('Raw Data'!R170), IFERROR('Raw Data'!R170 = ROUND('Raw Data'!R170, 2),FALSE)),"",_xlfn.REGEXEXTRACT(CELL("address",R170), "\$([A-Z]+)\$[0-9]+"))),_xlfn.REGEXEXTRACT(CELL("address",R170), "\$([A-Z]+)\$[0-9]+"))</f>
        <v/>
      </c>
      <c r="S170" s="7" t="str" cm="1">
        <f t="array" aca="1" ref="S170" ca="1">IFERROR(IF(OR('Raw Data'!S170="",LEN(TRIM('Raw Data'!S170))=0),"",IF(AND(ISNUMBER('Raw Data'!S170), IFERROR('Raw Data'!S170 = ROUND('Raw Data'!S170, 2),FALSE)),"",_xlfn.REGEXEXTRACT(CELL("address",S170), "\$([A-Z]+)\$[0-9]+"))),_xlfn.REGEXEXTRACT(CELL("address",S170), "\$([A-Z]+)\$[0-9]+"))</f>
        <v/>
      </c>
      <c r="T170" s="7" t="str" cm="1">
        <f t="array" aca="1" ref="T170" ca="1">IFERROR(IF(OR('Raw Data'!T170="",LEN(TRIM('Raw Data'!T170))=0),"",IF(AND(ISNUMBER('Raw Data'!T170), IFERROR('Raw Data'!T170 = ROUND('Raw Data'!T170, 2),FALSE)),"",_xlfn.REGEXEXTRACT(CELL("address",T170), "\$([A-Z]+)\$[0-9]+"))),_xlfn.REGEXEXTRACT(CELL("address",T170), "\$([A-Z]+)\$[0-9]+"))</f>
        <v/>
      </c>
      <c r="U170" s="7" t="str" cm="1">
        <f t="array" aca="1" ref="U170" ca="1">IFERROR(IF(OR('Raw Data'!U170="",LEN(TRIM('Raw Data'!U170))=0),"",IF(AND(LEN('Raw Data'!U170) &lt;= 5,LEN('Raw Data'!U170)&gt; 0),"",_xlfn.REGEXEXTRACT(CELL("address",'Raw Data'!U170),"\$([A-Z]+)\$[0-9]+"))),_xlfn.REGEXEXTRACT(CELL("address",'Raw Data'!U170),"\$([A-Z]+)\$[0-9]+"))</f>
        <v/>
      </c>
      <c r="V170" s="7" t="str" cm="1">
        <f t="array" aca="1" ref="V170" ca="1">IFERROR(IF(OR('Raw Data'!V170="",LEN(TRIM('Raw Data'!V170))=0),"",IF(AND(ISNUMBER('Raw Data'!V170), IFERROR('Raw Data'!V170 = ROUND('Raw Data'!V170, 2),FALSE)),"",_xlfn.REGEXEXTRACT(CELL("address",V170), "\$([A-Z]+)\$[0-9]+"))),_xlfn.REGEXEXTRACT(CELL("address",V170), "\$([A-Z]+)\$[0-9]+"))</f>
        <v/>
      </c>
      <c r="W170" s="7" t="str" cm="1">
        <f t="array" aca="1" ref="W170" ca="1">IFERROR(IF(OR('Raw Data'!W170="",LEN(TRIM('Raw Data'!W170))=0),"",IF(AND(ISNUMBER('Raw Data'!W170), IFERROR('Raw Data'!W170 = ROUND('Raw Data'!W170, 2),FALSE)),"",_xlfn.REGEXEXTRACT(CELL("address",W170), "\$([A-Z]+)\$[0-9]+"))),_xlfn.REGEXEXTRACT(CELL("address",W170), "\$([A-Z]+)\$[0-9]+"))</f>
        <v/>
      </c>
      <c r="X170" s="7" t="str" cm="1">
        <f t="array" aca="1" ref="X170" ca="1">IFERROR(IF(OR('Raw Data'!X170="",LEN(TRIM('Raw Data'!X170))=0),"",IF(AND(ISNUMBER('Raw Data'!X170), IFERROR('Raw Data'!X170 = ROUND('Raw Data'!X170, 2),FALSE)),"",_xlfn.REGEXEXTRACT(CELL("address",X170), "\$([A-Z]+)\$[0-9]+"))),_xlfn.REGEXEXTRACT(CELL("address",X170), "\$([A-Z]+)\$[0-9]+"))</f>
        <v/>
      </c>
    </row>
    <row r="171" spans="2:24" x14ac:dyDescent="0.25">
      <c r="B171" s="7" t="str" cm="1">
        <f t="array" aca="1" ref="B171" ca="1">IFERROR(IF(OR('Raw Data'!B171="",LEN(TRIM('Raw Data'!B171))=0),"",IF(AND(LEN('Raw Data'!B171) &lt;= 50,LEN('Raw Data'!B171)&gt; 0),"",_xlfn.REGEXEXTRACT(CELL("address",'Raw Data'!B171),"\$([A-Z]+)\$[0-9]+"))),_xlfn.REGEXEXTRACT(CELL("address",'Raw Data'!B171),"\$([A-Z]+)\$[0-9]+"))</f>
        <v/>
      </c>
      <c r="C171" s="7" t="str" cm="1">
        <f t="array" aca="1" ref="C171" ca="1">IFERROR(IF(OR('Raw Data'!C171="",LEN(TRIM('Raw Data'!C171))=0),"",IF(AND(LEN('Raw Data'!C171) &lt;= 50,LEN('Raw Data'!C171)&gt; 0),"",_xlfn.REGEXEXTRACT(CELL("address",'Raw Data'!C171),"\$([A-Z]+)\$[0-9]+"))),_xlfn.REGEXEXTRACT(CELL("address",'Raw Data'!C171),"\$([A-Z]+)\$[0-9]+"))</f>
        <v/>
      </c>
      <c r="D171" s="7" t="str" cm="1">
        <f t="array" aca="1" ref="D171" ca="1">IFERROR(IF(OR('Raw Data'!D171="",LEN(TRIM('Raw Data'!D171))=0),"",IF(AND(LEN('Raw Data'!D171) &lt;= 255,LEN('Raw Data'!D171)&gt; 0),"",_xlfn.REGEXEXTRACT(CELL("address",'Raw Data'!D171),"\$([A-Z]+)\$[0-9]+"))),_xlfn.REGEXEXTRACT(CELL("address",'Raw Data'!D171),"\$([A-Z]+)\$[0-9]+"))</f>
        <v/>
      </c>
      <c r="E171" s="7" t="str" cm="1">
        <f t="array" aca="1" ref="E171" ca="1">IFERROR(IF(OR('Raw Data'!E171="",LEN(TRIM('Raw Data'!E171))=0),"",IF(AND(ISNUMBER('Raw Data'!E171),'Raw Data'!E171&gt;=Configuration!$D$2),"",_xlfn.REGEXEXTRACT(CELL("address",'Raw Data'!E171),"\$([A-Z]+)\$[0-9]+"))),_xlfn.REGEXEXTRACT(CELL("address",E171), "\$([A-Z]+)\$[0-9]+"))</f>
        <v/>
      </c>
      <c r="F171" s="7" t="str" cm="1">
        <f t="array" aca="1" ref="F171" ca="1">IFERROR(IF(OR('Raw Data'!F171="",LEN(TRIM('Raw Data'!F171))=0),"",IF(AND(LEN('Raw Data'!F171) &lt;= 20,LEN('Raw Data'!F171)&gt; 0),"",_xlfn.REGEXEXTRACT(CELL("address",'Raw Data'!F171),"\$([A-Z]+)\$[0-9]+"))),_xlfn.REGEXEXTRACT(CELL("address",'Raw Data'!F171),"\$([A-Z]+)\$[0-9]+"))</f>
        <v/>
      </c>
      <c r="G171" s="7" t="str" cm="1">
        <f t="array" aca="1" ref="G171" ca="1">IFERROR(IF(OR('Raw Data'!G171="",LEN(TRIM('Raw Data'!G171))=0),"",IF(AND(ISNUMBER('Raw Data'!G171), IFERROR('Raw Data'!G171 = ROUND('Raw Data'!G171, 2),FALSE)),"",_xlfn.REGEXEXTRACT(CELL("address",G171), "\$([A-Z]+)\$[0-9]+"))),_xlfn.REGEXEXTRACT(CELL("address",G171), "\$([A-Z]+)\$[0-9]+"))</f>
        <v/>
      </c>
      <c r="H171" s="7" t="str" cm="1">
        <f t="array" aca="1" ref="H171" ca="1">IFERROR(IF(OR('Raw Data'!H171="",LEN(TRIM('Raw Data'!H171))=0),"",IF(AND(ISNUMBER('Raw Data'!H171), IFERROR('Raw Data'!H171 = ROUND('Raw Data'!H171, 2),FALSE)),"",_xlfn.REGEXEXTRACT(CELL("address",H171), "\$([A-Z]+)\$[0-9]+"))),_xlfn.REGEXEXTRACT(CELL("address",H171), "\$([A-Z]+)\$[0-9]+"))</f>
        <v/>
      </c>
      <c r="I171" s="7" t="str" cm="1">
        <f t="array" aca="1" ref="I171" ca="1">IFERROR(IF(OR('Raw Data'!I171="",LEN(TRIM('Raw Data'!I171))=0),"",IF(AND(LEN('Raw Data'!I171) &lt;= 50,LEN('Raw Data'!I171)&gt; 0),"",_xlfn.REGEXEXTRACT(CELL("address",'Raw Data'!I171),"\$([A-Z]+)\$[0-9]+"))),_xlfn.REGEXEXTRACT(CELL("address",'Raw Data'!I171),"\$([A-Z]+)\$[0-9]+"))</f>
        <v/>
      </c>
      <c r="J171" s="7" t="str" cm="1">
        <f t="array" aca="1" ref="J171" ca="1">IFERROR(IF(OR('Raw Data'!J171="",LEN(TRIM('Raw Data'!J171))=0),"",IF(AND(ISNUMBER('Raw Data'!J171),'Raw Data'!J171&gt;=Configuration!$D$2),"",_xlfn.REGEXEXTRACT(CELL("address",'Raw Data'!J171),"\$([A-Z]+)\$[0-9]+"))),_xlfn.REGEXEXTRACT(CELL("address",J171), "\$([A-Z]+)\$[0-9]+"))</f>
        <v/>
      </c>
      <c r="K171" s="7" t="str" cm="1">
        <f t="array" aca="1" ref="K171" ca="1">IFERROR(IF(OR('Raw Data'!K171="",LEN(TRIM('Raw Data'!K171))=0),"",IF(AND(ISNUMBER('Raw Data'!K171), IFERROR('Raw Data'!K171 = ROUND('Raw Data'!K171, 2),FALSE)),"",_xlfn.REGEXEXTRACT(CELL("address",K171), "\$([A-Z]+)\$[0-9]+"))),_xlfn.REGEXEXTRACT(CELL("address",K171), "\$([A-Z]+)\$[0-9]+"))</f>
        <v/>
      </c>
      <c r="L171" s="7" t="str" cm="1">
        <f t="array" aca="1" ref="L171" ca="1">IFERROR(IF(OR('Raw Data'!L171="",LEN(TRIM('Raw Data'!L171))=0),"",IF(AND(ISNUMBER('Raw Data'!L171), IFERROR('Raw Data'!L171 = ROUND('Raw Data'!L171, 2),FALSE)),"",_xlfn.REGEXEXTRACT(CELL("address",L171), "\$([A-Z]+)\$[0-9]+"))),_xlfn.REGEXEXTRACT(CELL("address",L171), "\$([A-Z]+)\$[0-9]+"))</f>
        <v/>
      </c>
      <c r="M171" s="7" t="str" cm="1">
        <f t="array" aca="1" ref="M171" ca="1">IFERROR(IF(OR('Raw Data'!M171="",LEN(TRIM('Raw Data'!M171))=0),"",IF(AND(ISNUMBER('Raw Data'!M171), IFERROR('Raw Data'!M171 = ROUND('Raw Data'!M171, 2),FALSE)),"",_xlfn.REGEXEXTRACT(CELL("address",M171), "\$([A-Z]+)\$[0-9]+"))),_xlfn.REGEXEXTRACT(CELL("address",M171), "\$([A-Z]+)\$[0-9]+"))</f>
        <v/>
      </c>
      <c r="N171" s="7" t="str" cm="1">
        <f t="array" aca="1" ref="N171" ca="1">IFERROR(IF(OR('Raw Data'!N171="",LEN(TRIM('Raw Data'!N171))=0),"",IF(AND(ISNUMBER('Raw Data'!N171), IFERROR('Raw Data'!N171 = ROUND('Raw Data'!N171, 2),FALSE)),"",_xlfn.REGEXEXTRACT(CELL("address",N171), "\$([A-Z]+)\$[0-9]+"))),_xlfn.REGEXEXTRACT(CELL("address",N171), "\$([A-Z]+)\$[0-9]+"))</f>
        <v/>
      </c>
      <c r="O171" s="7" t="str" cm="1">
        <f t="array" aca="1" ref="O171" ca="1">IFERROR(IF(OR('Raw Data'!O171="",LEN(TRIM('Raw Data'!O171))=0),"",IF(AND(ISNUMBER('Raw Data'!O171), IFERROR('Raw Data'!O171 = ROUND('Raw Data'!O171, 2),FALSE)),"",_xlfn.REGEXEXTRACT(CELL("address",O171), "\$([A-Z]+)\$[0-9]+"))),_xlfn.REGEXEXTRACT(CELL("address",O171), "\$([A-Z]+)\$[0-9]+"))</f>
        <v/>
      </c>
      <c r="P171" s="7" t="str" cm="1">
        <f t="array" aca="1" ref="P171" ca="1">IFERROR(IF(OR('Raw Data'!P171="",LEN(TRIM('Raw Data'!P171))=0),"",IF(AND(ISNUMBER('Raw Data'!P171),'Raw Data'!P171&gt;=Configuration!$D$2),"",_xlfn.REGEXEXTRACT(CELL("address",'Raw Data'!P171),"\$([A-Z]+)\$[0-9]+"))),_xlfn.REGEXEXTRACT(CELL("address",P171), "\$([A-Z]+)\$[0-9]+"))</f>
        <v/>
      </c>
      <c r="Q171" s="7" t="str" cm="1">
        <f t="array" aca="1" ref="Q171" ca="1">IFERROR(IF(OR('Raw Data'!Q171="",LEN(TRIM('Raw Data'!Q171))=0),"",IF(AND(ISNUMBER('Raw Data'!Q171),'Raw Data'!Q171&gt;=Configuration!$D$2),"",_xlfn.REGEXEXTRACT(CELL("address",'Raw Data'!Q171),"\$([A-Z]+)\$[0-9]+"))),_xlfn.REGEXEXTRACT(CELL("address",Q171), "\$([A-Z]+)\$[0-9]+"))</f>
        <v/>
      </c>
      <c r="R171" s="7" t="str" cm="1">
        <f t="array" aca="1" ref="R171" ca="1">IFERROR(IF(OR('Raw Data'!R171="",LEN(TRIM('Raw Data'!R171))=0),"",IF(AND(ISNUMBER('Raw Data'!R171), IFERROR('Raw Data'!R171 = ROUND('Raw Data'!R171, 2),FALSE)),"",_xlfn.REGEXEXTRACT(CELL("address",R171), "\$([A-Z]+)\$[0-9]+"))),_xlfn.REGEXEXTRACT(CELL("address",R171), "\$([A-Z]+)\$[0-9]+"))</f>
        <v/>
      </c>
      <c r="S171" s="7" t="str" cm="1">
        <f t="array" aca="1" ref="S171" ca="1">IFERROR(IF(OR('Raw Data'!S171="",LEN(TRIM('Raw Data'!S171))=0),"",IF(AND(ISNUMBER('Raw Data'!S171), IFERROR('Raw Data'!S171 = ROUND('Raw Data'!S171, 2),FALSE)),"",_xlfn.REGEXEXTRACT(CELL("address",S171), "\$([A-Z]+)\$[0-9]+"))),_xlfn.REGEXEXTRACT(CELL("address",S171), "\$([A-Z]+)\$[0-9]+"))</f>
        <v/>
      </c>
      <c r="T171" s="7" t="str" cm="1">
        <f t="array" aca="1" ref="T171" ca="1">IFERROR(IF(OR('Raw Data'!T171="",LEN(TRIM('Raw Data'!T171))=0),"",IF(AND(ISNUMBER('Raw Data'!T171), IFERROR('Raw Data'!T171 = ROUND('Raw Data'!T171, 2),FALSE)),"",_xlfn.REGEXEXTRACT(CELL("address",T171), "\$([A-Z]+)\$[0-9]+"))),_xlfn.REGEXEXTRACT(CELL("address",T171), "\$([A-Z]+)\$[0-9]+"))</f>
        <v/>
      </c>
      <c r="U171" s="7" t="str" cm="1">
        <f t="array" aca="1" ref="U171" ca="1">IFERROR(IF(OR('Raw Data'!U171="",LEN(TRIM('Raw Data'!U171))=0),"",IF(AND(LEN('Raw Data'!U171) &lt;= 5,LEN('Raw Data'!U171)&gt; 0),"",_xlfn.REGEXEXTRACT(CELL("address",'Raw Data'!U171),"\$([A-Z]+)\$[0-9]+"))),_xlfn.REGEXEXTRACT(CELL("address",'Raw Data'!U171),"\$([A-Z]+)\$[0-9]+"))</f>
        <v/>
      </c>
      <c r="V171" s="7" t="str" cm="1">
        <f t="array" aca="1" ref="V171" ca="1">IFERROR(IF(OR('Raw Data'!V171="",LEN(TRIM('Raw Data'!V171))=0),"",IF(AND(ISNUMBER('Raw Data'!V171), IFERROR('Raw Data'!V171 = ROUND('Raw Data'!V171, 2),FALSE)),"",_xlfn.REGEXEXTRACT(CELL("address",V171), "\$([A-Z]+)\$[0-9]+"))),_xlfn.REGEXEXTRACT(CELL("address",V171), "\$([A-Z]+)\$[0-9]+"))</f>
        <v/>
      </c>
      <c r="W171" s="7" t="str" cm="1">
        <f t="array" aca="1" ref="W171" ca="1">IFERROR(IF(OR('Raw Data'!W171="",LEN(TRIM('Raw Data'!W171))=0),"",IF(AND(ISNUMBER('Raw Data'!W171), IFERROR('Raw Data'!W171 = ROUND('Raw Data'!W171, 2),FALSE)),"",_xlfn.REGEXEXTRACT(CELL("address",W171), "\$([A-Z]+)\$[0-9]+"))),_xlfn.REGEXEXTRACT(CELL("address",W171), "\$([A-Z]+)\$[0-9]+"))</f>
        <v/>
      </c>
      <c r="X171" s="7" t="str" cm="1">
        <f t="array" aca="1" ref="X171" ca="1">IFERROR(IF(OR('Raw Data'!X171="",LEN(TRIM('Raw Data'!X171))=0),"",IF(AND(ISNUMBER('Raw Data'!X171), IFERROR('Raw Data'!X171 = ROUND('Raw Data'!X171, 2),FALSE)),"",_xlfn.REGEXEXTRACT(CELL("address",X171), "\$([A-Z]+)\$[0-9]+"))),_xlfn.REGEXEXTRACT(CELL("address",X171), "\$([A-Z]+)\$[0-9]+"))</f>
        <v/>
      </c>
    </row>
    <row r="172" spans="2:24" x14ac:dyDescent="0.25">
      <c r="B172" s="7" t="str" cm="1">
        <f t="array" aca="1" ref="B172" ca="1">IFERROR(IF(OR('Raw Data'!B172="",LEN(TRIM('Raw Data'!B172))=0),"",IF(AND(LEN('Raw Data'!B172) &lt;= 50,LEN('Raw Data'!B172)&gt; 0),"",_xlfn.REGEXEXTRACT(CELL("address",'Raw Data'!B172),"\$([A-Z]+)\$[0-9]+"))),_xlfn.REGEXEXTRACT(CELL("address",'Raw Data'!B172),"\$([A-Z]+)\$[0-9]+"))</f>
        <v/>
      </c>
      <c r="C172" s="7" t="str" cm="1">
        <f t="array" aca="1" ref="C172" ca="1">IFERROR(IF(OR('Raw Data'!C172="",LEN(TRIM('Raw Data'!C172))=0),"",IF(AND(LEN('Raw Data'!C172) &lt;= 50,LEN('Raw Data'!C172)&gt; 0),"",_xlfn.REGEXEXTRACT(CELL("address",'Raw Data'!C172),"\$([A-Z]+)\$[0-9]+"))),_xlfn.REGEXEXTRACT(CELL("address",'Raw Data'!C172),"\$([A-Z]+)\$[0-9]+"))</f>
        <v/>
      </c>
      <c r="D172" s="7" t="str" cm="1">
        <f t="array" aca="1" ref="D172" ca="1">IFERROR(IF(OR('Raw Data'!D172="",LEN(TRIM('Raw Data'!D172))=0),"",IF(AND(LEN('Raw Data'!D172) &lt;= 255,LEN('Raw Data'!D172)&gt; 0),"",_xlfn.REGEXEXTRACT(CELL("address",'Raw Data'!D172),"\$([A-Z]+)\$[0-9]+"))),_xlfn.REGEXEXTRACT(CELL("address",'Raw Data'!D172),"\$([A-Z]+)\$[0-9]+"))</f>
        <v/>
      </c>
      <c r="E172" s="7" t="str" cm="1">
        <f t="array" aca="1" ref="E172" ca="1">IFERROR(IF(OR('Raw Data'!E172="",LEN(TRIM('Raw Data'!E172))=0),"",IF(AND(ISNUMBER('Raw Data'!E172),'Raw Data'!E172&gt;=Configuration!$D$2),"",_xlfn.REGEXEXTRACT(CELL("address",'Raw Data'!E172),"\$([A-Z]+)\$[0-9]+"))),_xlfn.REGEXEXTRACT(CELL("address",E172), "\$([A-Z]+)\$[0-9]+"))</f>
        <v/>
      </c>
      <c r="F172" s="7" t="str" cm="1">
        <f t="array" aca="1" ref="F172" ca="1">IFERROR(IF(OR('Raw Data'!F172="",LEN(TRIM('Raw Data'!F172))=0),"",IF(AND(LEN('Raw Data'!F172) &lt;= 20,LEN('Raw Data'!F172)&gt; 0),"",_xlfn.REGEXEXTRACT(CELL("address",'Raw Data'!F172),"\$([A-Z]+)\$[0-9]+"))),_xlfn.REGEXEXTRACT(CELL("address",'Raw Data'!F172),"\$([A-Z]+)\$[0-9]+"))</f>
        <v/>
      </c>
      <c r="G172" s="7" t="str" cm="1">
        <f t="array" aca="1" ref="G172" ca="1">IFERROR(IF(OR('Raw Data'!G172="",LEN(TRIM('Raw Data'!G172))=0),"",IF(AND(ISNUMBER('Raw Data'!G172), IFERROR('Raw Data'!G172 = ROUND('Raw Data'!G172, 2),FALSE)),"",_xlfn.REGEXEXTRACT(CELL("address",G172), "\$([A-Z]+)\$[0-9]+"))),_xlfn.REGEXEXTRACT(CELL("address",G172), "\$([A-Z]+)\$[0-9]+"))</f>
        <v/>
      </c>
      <c r="H172" s="7" t="str" cm="1">
        <f t="array" aca="1" ref="H172" ca="1">IFERROR(IF(OR('Raw Data'!H172="",LEN(TRIM('Raw Data'!H172))=0),"",IF(AND(ISNUMBER('Raw Data'!H172), IFERROR('Raw Data'!H172 = ROUND('Raw Data'!H172, 2),FALSE)),"",_xlfn.REGEXEXTRACT(CELL("address",H172), "\$([A-Z]+)\$[0-9]+"))),_xlfn.REGEXEXTRACT(CELL("address",H172), "\$([A-Z]+)\$[0-9]+"))</f>
        <v/>
      </c>
      <c r="I172" s="7" t="str" cm="1">
        <f t="array" aca="1" ref="I172" ca="1">IFERROR(IF(OR('Raw Data'!I172="",LEN(TRIM('Raw Data'!I172))=0),"",IF(AND(LEN('Raw Data'!I172) &lt;= 50,LEN('Raw Data'!I172)&gt; 0),"",_xlfn.REGEXEXTRACT(CELL("address",'Raw Data'!I172),"\$([A-Z]+)\$[0-9]+"))),_xlfn.REGEXEXTRACT(CELL("address",'Raw Data'!I172),"\$([A-Z]+)\$[0-9]+"))</f>
        <v/>
      </c>
      <c r="J172" s="7" t="str" cm="1">
        <f t="array" aca="1" ref="J172" ca="1">IFERROR(IF(OR('Raw Data'!J172="",LEN(TRIM('Raw Data'!J172))=0),"",IF(AND(ISNUMBER('Raw Data'!J172),'Raw Data'!J172&gt;=Configuration!$D$2),"",_xlfn.REGEXEXTRACT(CELL("address",'Raw Data'!J172),"\$([A-Z]+)\$[0-9]+"))),_xlfn.REGEXEXTRACT(CELL("address",J172), "\$([A-Z]+)\$[0-9]+"))</f>
        <v/>
      </c>
      <c r="K172" s="7" t="str" cm="1">
        <f t="array" aca="1" ref="K172" ca="1">IFERROR(IF(OR('Raw Data'!K172="",LEN(TRIM('Raw Data'!K172))=0),"",IF(AND(ISNUMBER('Raw Data'!K172), IFERROR('Raw Data'!K172 = ROUND('Raw Data'!K172, 2),FALSE)),"",_xlfn.REGEXEXTRACT(CELL("address",K172), "\$([A-Z]+)\$[0-9]+"))),_xlfn.REGEXEXTRACT(CELL("address",K172), "\$([A-Z]+)\$[0-9]+"))</f>
        <v/>
      </c>
      <c r="L172" s="7" t="str" cm="1">
        <f t="array" aca="1" ref="L172" ca="1">IFERROR(IF(OR('Raw Data'!L172="",LEN(TRIM('Raw Data'!L172))=0),"",IF(AND(ISNUMBER('Raw Data'!L172), IFERROR('Raw Data'!L172 = ROUND('Raw Data'!L172, 2),FALSE)),"",_xlfn.REGEXEXTRACT(CELL("address",L172), "\$([A-Z]+)\$[0-9]+"))),_xlfn.REGEXEXTRACT(CELL("address",L172), "\$([A-Z]+)\$[0-9]+"))</f>
        <v/>
      </c>
      <c r="M172" s="7" t="str" cm="1">
        <f t="array" aca="1" ref="M172" ca="1">IFERROR(IF(OR('Raw Data'!M172="",LEN(TRIM('Raw Data'!M172))=0),"",IF(AND(ISNUMBER('Raw Data'!M172), IFERROR('Raw Data'!M172 = ROUND('Raw Data'!M172, 2),FALSE)),"",_xlfn.REGEXEXTRACT(CELL("address",M172), "\$([A-Z]+)\$[0-9]+"))),_xlfn.REGEXEXTRACT(CELL("address",M172), "\$([A-Z]+)\$[0-9]+"))</f>
        <v/>
      </c>
      <c r="N172" s="7" t="str" cm="1">
        <f t="array" aca="1" ref="N172" ca="1">IFERROR(IF(OR('Raw Data'!N172="",LEN(TRIM('Raw Data'!N172))=0),"",IF(AND(ISNUMBER('Raw Data'!N172), IFERROR('Raw Data'!N172 = ROUND('Raw Data'!N172, 2),FALSE)),"",_xlfn.REGEXEXTRACT(CELL("address",N172), "\$([A-Z]+)\$[0-9]+"))),_xlfn.REGEXEXTRACT(CELL("address",N172), "\$([A-Z]+)\$[0-9]+"))</f>
        <v/>
      </c>
      <c r="O172" s="7" t="str" cm="1">
        <f t="array" aca="1" ref="O172" ca="1">IFERROR(IF(OR('Raw Data'!O172="",LEN(TRIM('Raw Data'!O172))=0),"",IF(AND(ISNUMBER('Raw Data'!O172), IFERROR('Raw Data'!O172 = ROUND('Raw Data'!O172, 2),FALSE)),"",_xlfn.REGEXEXTRACT(CELL("address",O172), "\$([A-Z]+)\$[0-9]+"))),_xlfn.REGEXEXTRACT(CELL("address",O172), "\$([A-Z]+)\$[0-9]+"))</f>
        <v/>
      </c>
      <c r="P172" s="7" t="str" cm="1">
        <f t="array" aca="1" ref="P172" ca="1">IFERROR(IF(OR('Raw Data'!P172="",LEN(TRIM('Raw Data'!P172))=0),"",IF(AND(ISNUMBER('Raw Data'!P172),'Raw Data'!P172&gt;=Configuration!$D$2),"",_xlfn.REGEXEXTRACT(CELL("address",'Raw Data'!P172),"\$([A-Z]+)\$[0-9]+"))),_xlfn.REGEXEXTRACT(CELL("address",P172), "\$([A-Z]+)\$[0-9]+"))</f>
        <v/>
      </c>
      <c r="Q172" s="7" t="str" cm="1">
        <f t="array" aca="1" ref="Q172" ca="1">IFERROR(IF(OR('Raw Data'!Q172="",LEN(TRIM('Raw Data'!Q172))=0),"",IF(AND(ISNUMBER('Raw Data'!Q172),'Raw Data'!Q172&gt;=Configuration!$D$2),"",_xlfn.REGEXEXTRACT(CELL("address",'Raw Data'!Q172),"\$([A-Z]+)\$[0-9]+"))),_xlfn.REGEXEXTRACT(CELL("address",Q172), "\$([A-Z]+)\$[0-9]+"))</f>
        <v/>
      </c>
      <c r="R172" s="7" t="str" cm="1">
        <f t="array" aca="1" ref="R172" ca="1">IFERROR(IF(OR('Raw Data'!R172="",LEN(TRIM('Raw Data'!R172))=0),"",IF(AND(ISNUMBER('Raw Data'!R172), IFERROR('Raw Data'!R172 = ROUND('Raw Data'!R172, 2),FALSE)),"",_xlfn.REGEXEXTRACT(CELL("address",R172), "\$([A-Z]+)\$[0-9]+"))),_xlfn.REGEXEXTRACT(CELL("address",R172), "\$([A-Z]+)\$[0-9]+"))</f>
        <v/>
      </c>
      <c r="S172" s="7" t="str" cm="1">
        <f t="array" aca="1" ref="S172" ca="1">IFERROR(IF(OR('Raw Data'!S172="",LEN(TRIM('Raw Data'!S172))=0),"",IF(AND(ISNUMBER('Raw Data'!S172), IFERROR('Raw Data'!S172 = ROUND('Raw Data'!S172, 2),FALSE)),"",_xlfn.REGEXEXTRACT(CELL("address",S172), "\$([A-Z]+)\$[0-9]+"))),_xlfn.REGEXEXTRACT(CELL("address",S172), "\$([A-Z]+)\$[0-9]+"))</f>
        <v/>
      </c>
      <c r="T172" s="7" t="str" cm="1">
        <f t="array" aca="1" ref="T172" ca="1">IFERROR(IF(OR('Raw Data'!T172="",LEN(TRIM('Raw Data'!T172))=0),"",IF(AND(ISNUMBER('Raw Data'!T172), IFERROR('Raw Data'!T172 = ROUND('Raw Data'!T172, 2),FALSE)),"",_xlfn.REGEXEXTRACT(CELL("address",T172), "\$([A-Z]+)\$[0-9]+"))),_xlfn.REGEXEXTRACT(CELL("address",T172), "\$([A-Z]+)\$[0-9]+"))</f>
        <v/>
      </c>
      <c r="U172" s="7" t="str" cm="1">
        <f t="array" aca="1" ref="U172" ca="1">IFERROR(IF(OR('Raw Data'!U172="",LEN(TRIM('Raw Data'!U172))=0),"",IF(AND(LEN('Raw Data'!U172) &lt;= 5,LEN('Raw Data'!U172)&gt; 0),"",_xlfn.REGEXEXTRACT(CELL("address",'Raw Data'!U172),"\$([A-Z]+)\$[0-9]+"))),_xlfn.REGEXEXTRACT(CELL("address",'Raw Data'!U172),"\$([A-Z]+)\$[0-9]+"))</f>
        <v/>
      </c>
      <c r="V172" s="7" t="str" cm="1">
        <f t="array" aca="1" ref="V172" ca="1">IFERROR(IF(OR('Raw Data'!V172="",LEN(TRIM('Raw Data'!V172))=0),"",IF(AND(ISNUMBER('Raw Data'!V172), IFERROR('Raw Data'!V172 = ROUND('Raw Data'!V172, 2),FALSE)),"",_xlfn.REGEXEXTRACT(CELL("address",V172), "\$([A-Z]+)\$[0-9]+"))),_xlfn.REGEXEXTRACT(CELL("address",V172), "\$([A-Z]+)\$[0-9]+"))</f>
        <v/>
      </c>
      <c r="W172" s="7" t="str" cm="1">
        <f t="array" aca="1" ref="W172" ca="1">IFERROR(IF(OR('Raw Data'!W172="",LEN(TRIM('Raw Data'!W172))=0),"",IF(AND(ISNUMBER('Raw Data'!W172), IFERROR('Raw Data'!W172 = ROUND('Raw Data'!W172, 2),FALSE)),"",_xlfn.REGEXEXTRACT(CELL("address",W172), "\$([A-Z]+)\$[0-9]+"))),_xlfn.REGEXEXTRACT(CELL("address",W172), "\$([A-Z]+)\$[0-9]+"))</f>
        <v/>
      </c>
      <c r="X172" s="7" t="str" cm="1">
        <f t="array" aca="1" ref="X172" ca="1">IFERROR(IF(OR('Raw Data'!X172="",LEN(TRIM('Raw Data'!X172))=0),"",IF(AND(ISNUMBER('Raw Data'!X172), IFERROR('Raw Data'!X172 = ROUND('Raw Data'!X172, 2),FALSE)),"",_xlfn.REGEXEXTRACT(CELL("address",X172), "\$([A-Z]+)\$[0-9]+"))),_xlfn.REGEXEXTRACT(CELL("address",X172), "\$([A-Z]+)\$[0-9]+"))</f>
        <v/>
      </c>
    </row>
    <row r="173" spans="2:24" x14ac:dyDescent="0.25">
      <c r="B173" s="7" t="str" cm="1">
        <f t="array" aca="1" ref="B173" ca="1">IFERROR(IF(OR('Raw Data'!B173="",LEN(TRIM('Raw Data'!B173))=0),"",IF(AND(LEN('Raw Data'!B173) &lt;= 50,LEN('Raw Data'!B173)&gt; 0),"",_xlfn.REGEXEXTRACT(CELL("address",'Raw Data'!B173),"\$([A-Z]+)\$[0-9]+"))),_xlfn.REGEXEXTRACT(CELL("address",'Raw Data'!B173),"\$([A-Z]+)\$[0-9]+"))</f>
        <v/>
      </c>
      <c r="C173" s="7" t="str" cm="1">
        <f t="array" aca="1" ref="C173" ca="1">IFERROR(IF(OR('Raw Data'!C173="",LEN(TRIM('Raw Data'!C173))=0),"",IF(AND(LEN('Raw Data'!C173) &lt;= 50,LEN('Raw Data'!C173)&gt; 0),"",_xlfn.REGEXEXTRACT(CELL("address",'Raw Data'!C173),"\$([A-Z]+)\$[0-9]+"))),_xlfn.REGEXEXTRACT(CELL("address",'Raw Data'!C173),"\$([A-Z]+)\$[0-9]+"))</f>
        <v/>
      </c>
      <c r="D173" s="7" t="str" cm="1">
        <f t="array" aca="1" ref="D173" ca="1">IFERROR(IF(OR('Raw Data'!D173="",LEN(TRIM('Raw Data'!D173))=0),"",IF(AND(LEN('Raw Data'!D173) &lt;= 255,LEN('Raw Data'!D173)&gt; 0),"",_xlfn.REGEXEXTRACT(CELL("address",'Raw Data'!D173),"\$([A-Z]+)\$[0-9]+"))),_xlfn.REGEXEXTRACT(CELL("address",'Raw Data'!D173),"\$([A-Z]+)\$[0-9]+"))</f>
        <v/>
      </c>
      <c r="E173" s="7" t="str" cm="1">
        <f t="array" aca="1" ref="E173" ca="1">IFERROR(IF(OR('Raw Data'!E173="",LEN(TRIM('Raw Data'!E173))=0),"",IF(AND(ISNUMBER('Raw Data'!E173),'Raw Data'!E173&gt;=Configuration!$D$2),"",_xlfn.REGEXEXTRACT(CELL("address",'Raw Data'!E173),"\$([A-Z]+)\$[0-9]+"))),_xlfn.REGEXEXTRACT(CELL("address",E173), "\$([A-Z]+)\$[0-9]+"))</f>
        <v/>
      </c>
      <c r="F173" s="7" t="str" cm="1">
        <f t="array" aca="1" ref="F173" ca="1">IFERROR(IF(OR('Raw Data'!F173="",LEN(TRIM('Raw Data'!F173))=0),"",IF(AND(LEN('Raw Data'!F173) &lt;= 20,LEN('Raw Data'!F173)&gt; 0),"",_xlfn.REGEXEXTRACT(CELL("address",'Raw Data'!F173),"\$([A-Z]+)\$[0-9]+"))),_xlfn.REGEXEXTRACT(CELL("address",'Raw Data'!F173),"\$([A-Z]+)\$[0-9]+"))</f>
        <v/>
      </c>
      <c r="G173" s="7" t="str" cm="1">
        <f t="array" aca="1" ref="G173" ca="1">IFERROR(IF(OR('Raw Data'!G173="",LEN(TRIM('Raw Data'!G173))=0),"",IF(AND(ISNUMBER('Raw Data'!G173), IFERROR('Raw Data'!G173 = ROUND('Raw Data'!G173, 2),FALSE)),"",_xlfn.REGEXEXTRACT(CELL("address",G173), "\$([A-Z]+)\$[0-9]+"))),_xlfn.REGEXEXTRACT(CELL("address",G173), "\$([A-Z]+)\$[0-9]+"))</f>
        <v/>
      </c>
      <c r="H173" s="7" t="str" cm="1">
        <f t="array" aca="1" ref="H173" ca="1">IFERROR(IF(OR('Raw Data'!H173="",LEN(TRIM('Raw Data'!H173))=0),"",IF(AND(ISNUMBER('Raw Data'!H173), IFERROR('Raw Data'!H173 = ROUND('Raw Data'!H173, 2),FALSE)),"",_xlfn.REGEXEXTRACT(CELL("address",H173), "\$([A-Z]+)\$[0-9]+"))),_xlfn.REGEXEXTRACT(CELL("address",H173), "\$([A-Z]+)\$[0-9]+"))</f>
        <v/>
      </c>
      <c r="I173" s="7" t="str" cm="1">
        <f t="array" aca="1" ref="I173" ca="1">IFERROR(IF(OR('Raw Data'!I173="",LEN(TRIM('Raw Data'!I173))=0),"",IF(AND(LEN('Raw Data'!I173) &lt;= 50,LEN('Raw Data'!I173)&gt; 0),"",_xlfn.REGEXEXTRACT(CELL("address",'Raw Data'!I173),"\$([A-Z]+)\$[0-9]+"))),_xlfn.REGEXEXTRACT(CELL("address",'Raw Data'!I173),"\$([A-Z]+)\$[0-9]+"))</f>
        <v/>
      </c>
      <c r="J173" s="7" t="str" cm="1">
        <f t="array" aca="1" ref="J173" ca="1">IFERROR(IF(OR('Raw Data'!J173="",LEN(TRIM('Raw Data'!J173))=0),"",IF(AND(ISNUMBER('Raw Data'!J173),'Raw Data'!J173&gt;=Configuration!$D$2),"",_xlfn.REGEXEXTRACT(CELL("address",'Raw Data'!J173),"\$([A-Z]+)\$[0-9]+"))),_xlfn.REGEXEXTRACT(CELL("address",J173), "\$([A-Z]+)\$[0-9]+"))</f>
        <v/>
      </c>
      <c r="K173" s="7" t="str" cm="1">
        <f t="array" aca="1" ref="K173" ca="1">IFERROR(IF(OR('Raw Data'!K173="",LEN(TRIM('Raw Data'!K173))=0),"",IF(AND(ISNUMBER('Raw Data'!K173), IFERROR('Raw Data'!K173 = ROUND('Raw Data'!K173, 2),FALSE)),"",_xlfn.REGEXEXTRACT(CELL("address",K173), "\$([A-Z]+)\$[0-9]+"))),_xlfn.REGEXEXTRACT(CELL("address",K173), "\$([A-Z]+)\$[0-9]+"))</f>
        <v/>
      </c>
      <c r="L173" s="7" t="str" cm="1">
        <f t="array" aca="1" ref="L173" ca="1">IFERROR(IF(OR('Raw Data'!L173="",LEN(TRIM('Raw Data'!L173))=0),"",IF(AND(ISNUMBER('Raw Data'!L173), IFERROR('Raw Data'!L173 = ROUND('Raw Data'!L173, 2),FALSE)),"",_xlfn.REGEXEXTRACT(CELL("address",L173), "\$([A-Z]+)\$[0-9]+"))),_xlfn.REGEXEXTRACT(CELL("address",L173), "\$([A-Z]+)\$[0-9]+"))</f>
        <v/>
      </c>
      <c r="M173" s="7" t="str" cm="1">
        <f t="array" aca="1" ref="M173" ca="1">IFERROR(IF(OR('Raw Data'!M173="",LEN(TRIM('Raw Data'!M173))=0),"",IF(AND(ISNUMBER('Raw Data'!M173), IFERROR('Raw Data'!M173 = ROUND('Raw Data'!M173, 2),FALSE)),"",_xlfn.REGEXEXTRACT(CELL("address",M173), "\$([A-Z]+)\$[0-9]+"))),_xlfn.REGEXEXTRACT(CELL("address",M173), "\$([A-Z]+)\$[0-9]+"))</f>
        <v/>
      </c>
      <c r="N173" s="7" t="str" cm="1">
        <f t="array" aca="1" ref="N173" ca="1">IFERROR(IF(OR('Raw Data'!N173="",LEN(TRIM('Raw Data'!N173))=0),"",IF(AND(ISNUMBER('Raw Data'!N173), IFERROR('Raw Data'!N173 = ROUND('Raw Data'!N173, 2),FALSE)),"",_xlfn.REGEXEXTRACT(CELL("address",N173), "\$([A-Z]+)\$[0-9]+"))),_xlfn.REGEXEXTRACT(CELL("address",N173), "\$([A-Z]+)\$[0-9]+"))</f>
        <v/>
      </c>
      <c r="O173" s="7" t="str" cm="1">
        <f t="array" aca="1" ref="O173" ca="1">IFERROR(IF(OR('Raw Data'!O173="",LEN(TRIM('Raw Data'!O173))=0),"",IF(AND(ISNUMBER('Raw Data'!O173), IFERROR('Raw Data'!O173 = ROUND('Raw Data'!O173, 2),FALSE)),"",_xlfn.REGEXEXTRACT(CELL("address",O173), "\$([A-Z]+)\$[0-9]+"))),_xlfn.REGEXEXTRACT(CELL("address",O173), "\$([A-Z]+)\$[0-9]+"))</f>
        <v/>
      </c>
      <c r="P173" s="7" t="str" cm="1">
        <f t="array" aca="1" ref="P173" ca="1">IFERROR(IF(OR('Raw Data'!P173="",LEN(TRIM('Raw Data'!P173))=0),"",IF(AND(ISNUMBER('Raw Data'!P173),'Raw Data'!P173&gt;=Configuration!$D$2),"",_xlfn.REGEXEXTRACT(CELL("address",'Raw Data'!P173),"\$([A-Z]+)\$[0-9]+"))),_xlfn.REGEXEXTRACT(CELL("address",P173), "\$([A-Z]+)\$[0-9]+"))</f>
        <v/>
      </c>
      <c r="Q173" s="7" t="str" cm="1">
        <f t="array" aca="1" ref="Q173" ca="1">IFERROR(IF(OR('Raw Data'!Q173="",LEN(TRIM('Raw Data'!Q173))=0),"",IF(AND(ISNUMBER('Raw Data'!Q173),'Raw Data'!Q173&gt;=Configuration!$D$2),"",_xlfn.REGEXEXTRACT(CELL("address",'Raw Data'!Q173),"\$([A-Z]+)\$[0-9]+"))),_xlfn.REGEXEXTRACT(CELL("address",Q173), "\$([A-Z]+)\$[0-9]+"))</f>
        <v/>
      </c>
      <c r="R173" s="7" t="str" cm="1">
        <f t="array" aca="1" ref="R173" ca="1">IFERROR(IF(OR('Raw Data'!R173="",LEN(TRIM('Raw Data'!R173))=0),"",IF(AND(ISNUMBER('Raw Data'!R173), IFERROR('Raw Data'!R173 = ROUND('Raw Data'!R173, 2),FALSE)),"",_xlfn.REGEXEXTRACT(CELL("address",R173), "\$([A-Z]+)\$[0-9]+"))),_xlfn.REGEXEXTRACT(CELL("address",R173), "\$([A-Z]+)\$[0-9]+"))</f>
        <v/>
      </c>
      <c r="S173" s="7" t="str" cm="1">
        <f t="array" aca="1" ref="S173" ca="1">IFERROR(IF(OR('Raw Data'!S173="",LEN(TRIM('Raw Data'!S173))=0),"",IF(AND(ISNUMBER('Raw Data'!S173), IFERROR('Raw Data'!S173 = ROUND('Raw Data'!S173, 2),FALSE)),"",_xlfn.REGEXEXTRACT(CELL("address",S173), "\$([A-Z]+)\$[0-9]+"))),_xlfn.REGEXEXTRACT(CELL("address",S173), "\$([A-Z]+)\$[0-9]+"))</f>
        <v/>
      </c>
      <c r="T173" s="7" t="str" cm="1">
        <f t="array" aca="1" ref="T173" ca="1">IFERROR(IF(OR('Raw Data'!T173="",LEN(TRIM('Raw Data'!T173))=0),"",IF(AND(ISNUMBER('Raw Data'!T173), IFERROR('Raw Data'!T173 = ROUND('Raw Data'!T173, 2),FALSE)),"",_xlfn.REGEXEXTRACT(CELL("address",T173), "\$([A-Z]+)\$[0-9]+"))),_xlfn.REGEXEXTRACT(CELL("address",T173), "\$([A-Z]+)\$[0-9]+"))</f>
        <v/>
      </c>
      <c r="U173" s="7" t="str" cm="1">
        <f t="array" aca="1" ref="U173" ca="1">IFERROR(IF(OR('Raw Data'!U173="",LEN(TRIM('Raw Data'!U173))=0),"",IF(AND(LEN('Raw Data'!U173) &lt;= 5,LEN('Raw Data'!U173)&gt; 0),"",_xlfn.REGEXEXTRACT(CELL("address",'Raw Data'!U173),"\$([A-Z]+)\$[0-9]+"))),_xlfn.REGEXEXTRACT(CELL("address",'Raw Data'!U173),"\$([A-Z]+)\$[0-9]+"))</f>
        <v/>
      </c>
      <c r="V173" s="7" t="str" cm="1">
        <f t="array" aca="1" ref="V173" ca="1">IFERROR(IF(OR('Raw Data'!V173="",LEN(TRIM('Raw Data'!V173))=0),"",IF(AND(ISNUMBER('Raw Data'!V173), IFERROR('Raw Data'!V173 = ROUND('Raw Data'!V173, 2),FALSE)),"",_xlfn.REGEXEXTRACT(CELL("address",V173), "\$([A-Z]+)\$[0-9]+"))),_xlfn.REGEXEXTRACT(CELL("address",V173), "\$([A-Z]+)\$[0-9]+"))</f>
        <v/>
      </c>
      <c r="W173" s="7" t="str" cm="1">
        <f t="array" aca="1" ref="W173" ca="1">IFERROR(IF(OR('Raw Data'!W173="",LEN(TRIM('Raw Data'!W173))=0),"",IF(AND(ISNUMBER('Raw Data'!W173), IFERROR('Raw Data'!W173 = ROUND('Raw Data'!W173, 2),FALSE)),"",_xlfn.REGEXEXTRACT(CELL("address",W173), "\$([A-Z]+)\$[0-9]+"))),_xlfn.REGEXEXTRACT(CELL("address",W173), "\$([A-Z]+)\$[0-9]+"))</f>
        <v/>
      </c>
      <c r="X173" s="7" t="str" cm="1">
        <f t="array" aca="1" ref="X173" ca="1">IFERROR(IF(OR('Raw Data'!X173="",LEN(TRIM('Raw Data'!X173))=0),"",IF(AND(ISNUMBER('Raw Data'!X173), IFERROR('Raw Data'!X173 = ROUND('Raw Data'!X173, 2),FALSE)),"",_xlfn.REGEXEXTRACT(CELL("address",X173), "\$([A-Z]+)\$[0-9]+"))),_xlfn.REGEXEXTRACT(CELL("address",X173), "\$([A-Z]+)\$[0-9]+"))</f>
        <v/>
      </c>
    </row>
    <row r="174" spans="2:24" x14ac:dyDescent="0.25">
      <c r="B174" s="7" t="str" cm="1">
        <f t="array" aca="1" ref="B174" ca="1">IFERROR(IF(OR('Raw Data'!B174="",LEN(TRIM('Raw Data'!B174))=0),"",IF(AND(LEN('Raw Data'!B174) &lt;= 50,LEN('Raw Data'!B174)&gt; 0),"",_xlfn.REGEXEXTRACT(CELL("address",'Raw Data'!B174),"\$([A-Z]+)\$[0-9]+"))),_xlfn.REGEXEXTRACT(CELL("address",'Raw Data'!B174),"\$([A-Z]+)\$[0-9]+"))</f>
        <v/>
      </c>
      <c r="C174" s="7" t="str" cm="1">
        <f t="array" aca="1" ref="C174" ca="1">IFERROR(IF(OR('Raw Data'!C174="",LEN(TRIM('Raw Data'!C174))=0),"",IF(AND(LEN('Raw Data'!C174) &lt;= 50,LEN('Raw Data'!C174)&gt; 0),"",_xlfn.REGEXEXTRACT(CELL("address",'Raw Data'!C174),"\$([A-Z]+)\$[0-9]+"))),_xlfn.REGEXEXTRACT(CELL("address",'Raw Data'!C174),"\$([A-Z]+)\$[0-9]+"))</f>
        <v/>
      </c>
      <c r="D174" s="7" t="str" cm="1">
        <f t="array" aca="1" ref="D174" ca="1">IFERROR(IF(OR('Raw Data'!D174="",LEN(TRIM('Raw Data'!D174))=0),"",IF(AND(LEN('Raw Data'!D174) &lt;= 255,LEN('Raw Data'!D174)&gt; 0),"",_xlfn.REGEXEXTRACT(CELL("address",'Raw Data'!D174),"\$([A-Z]+)\$[0-9]+"))),_xlfn.REGEXEXTRACT(CELL("address",'Raw Data'!D174),"\$([A-Z]+)\$[0-9]+"))</f>
        <v/>
      </c>
      <c r="E174" s="7" t="str" cm="1">
        <f t="array" aca="1" ref="E174" ca="1">IFERROR(IF(OR('Raw Data'!E174="",LEN(TRIM('Raw Data'!E174))=0),"",IF(AND(ISNUMBER('Raw Data'!E174),'Raw Data'!E174&gt;=Configuration!$D$2),"",_xlfn.REGEXEXTRACT(CELL("address",'Raw Data'!E174),"\$([A-Z]+)\$[0-9]+"))),_xlfn.REGEXEXTRACT(CELL("address",E174), "\$([A-Z]+)\$[0-9]+"))</f>
        <v/>
      </c>
      <c r="F174" s="7" t="str" cm="1">
        <f t="array" aca="1" ref="F174" ca="1">IFERROR(IF(OR('Raw Data'!F174="",LEN(TRIM('Raw Data'!F174))=0),"",IF(AND(LEN('Raw Data'!F174) &lt;= 20,LEN('Raw Data'!F174)&gt; 0),"",_xlfn.REGEXEXTRACT(CELL("address",'Raw Data'!F174),"\$([A-Z]+)\$[0-9]+"))),_xlfn.REGEXEXTRACT(CELL("address",'Raw Data'!F174),"\$([A-Z]+)\$[0-9]+"))</f>
        <v/>
      </c>
      <c r="G174" s="7" t="str" cm="1">
        <f t="array" aca="1" ref="G174" ca="1">IFERROR(IF(OR('Raw Data'!G174="",LEN(TRIM('Raw Data'!G174))=0),"",IF(AND(ISNUMBER('Raw Data'!G174), IFERROR('Raw Data'!G174 = ROUND('Raw Data'!G174, 2),FALSE)),"",_xlfn.REGEXEXTRACT(CELL("address",G174), "\$([A-Z]+)\$[0-9]+"))),_xlfn.REGEXEXTRACT(CELL("address",G174), "\$([A-Z]+)\$[0-9]+"))</f>
        <v/>
      </c>
      <c r="H174" s="7" t="str" cm="1">
        <f t="array" aca="1" ref="H174" ca="1">IFERROR(IF(OR('Raw Data'!H174="",LEN(TRIM('Raw Data'!H174))=0),"",IF(AND(ISNUMBER('Raw Data'!H174), IFERROR('Raw Data'!H174 = ROUND('Raw Data'!H174, 2),FALSE)),"",_xlfn.REGEXEXTRACT(CELL("address",H174), "\$([A-Z]+)\$[0-9]+"))),_xlfn.REGEXEXTRACT(CELL("address",H174), "\$([A-Z]+)\$[0-9]+"))</f>
        <v/>
      </c>
      <c r="I174" s="7" t="str" cm="1">
        <f t="array" aca="1" ref="I174" ca="1">IFERROR(IF(OR('Raw Data'!I174="",LEN(TRIM('Raw Data'!I174))=0),"",IF(AND(LEN('Raw Data'!I174) &lt;= 50,LEN('Raw Data'!I174)&gt; 0),"",_xlfn.REGEXEXTRACT(CELL("address",'Raw Data'!I174),"\$([A-Z]+)\$[0-9]+"))),_xlfn.REGEXEXTRACT(CELL("address",'Raw Data'!I174),"\$([A-Z]+)\$[0-9]+"))</f>
        <v/>
      </c>
      <c r="J174" s="7" t="str" cm="1">
        <f t="array" aca="1" ref="J174" ca="1">IFERROR(IF(OR('Raw Data'!J174="",LEN(TRIM('Raw Data'!J174))=0),"",IF(AND(ISNUMBER('Raw Data'!J174),'Raw Data'!J174&gt;=Configuration!$D$2),"",_xlfn.REGEXEXTRACT(CELL("address",'Raw Data'!J174),"\$([A-Z]+)\$[0-9]+"))),_xlfn.REGEXEXTRACT(CELL("address",J174), "\$([A-Z]+)\$[0-9]+"))</f>
        <v/>
      </c>
      <c r="K174" s="7" t="str" cm="1">
        <f t="array" aca="1" ref="K174" ca="1">IFERROR(IF(OR('Raw Data'!K174="",LEN(TRIM('Raw Data'!K174))=0),"",IF(AND(ISNUMBER('Raw Data'!K174), IFERROR('Raw Data'!K174 = ROUND('Raw Data'!K174, 2),FALSE)),"",_xlfn.REGEXEXTRACT(CELL("address",K174), "\$([A-Z]+)\$[0-9]+"))),_xlfn.REGEXEXTRACT(CELL("address",K174), "\$([A-Z]+)\$[0-9]+"))</f>
        <v/>
      </c>
      <c r="L174" s="7" t="str" cm="1">
        <f t="array" aca="1" ref="L174" ca="1">IFERROR(IF(OR('Raw Data'!L174="",LEN(TRIM('Raw Data'!L174))=0),"",IF(AND(ISNUMBER('Raw Data'!L174), IFERROR('Raw Data'!L174 = ROUND('Raw Data'!L174, 2),FALSE)),"",_xlfn.REGEXEXTRACT(CELL("address",L174), "\$([A-Z]+)\$[0-9]+"))),_xlfn.REGEXEXTRACT(CELL("address",L174), "\$([A-Z]+)\$[0-9]+"))</f>
        <v/>
      </c>
      <c r="M174" s="7" t="str" cm="1">
        <f t="array" aca="1" ref="M174" ca="1">IFERROR(IF(OR('Raw Data'!M174="",LEN(TRIM('Raw Data'!M174))=0),"",IF(AND(ISNUMBER('Raw Data'!M174), IFERROR('Raw Data'!M174 = ROUND('Raw Data'!M174, 2),FALSE)),"",_xlfn.REGEXEXTRACT(CELL("address",M174), "\$([A-Z]+)\$[0-9]+"))),_xlfn.REGEXEXTRACT(CELL("address",M174), "\$([A-Z]+)\$[0-9]+"))</f>
        <v/>
      </c>
      <c r="N174" s="7" t="str" cm="1">
        <f t="array" aca="1" ref="N174" ca="1">IFERROR(IF(OR('Raw Data'!N174="",LEN(TRIM('Raw Data'!N174))=0),"",IF(AND(ISNUMBER('Raw Data'!N174), IFERROR('Raw Data'!N174 = ROUND('Raw Data'!N174, 2),FALSE)),"",_xlfn.REGEXEXTRACT(CELL("address",N174), "\$([A-Z]+)\$[0-9]+"))),_xlfn.REGEXEXTRACT(CELL("address",N174), "\$([A-Z]+)\$[0-9]+"))</f>
        <v/>
      </c>
      <c r="O174" s="7" t="str" cm="1">
        <f t="array" aca="1" ref="O174" ca="1">IFERROR(IF(OR('Raw Data'!O174="",LEN(TRIM('Raw Data'!O174))=0),"",IF(AND(ISNUMBER('Raw Data'!O174), IFERROR('Raw Data'!O174 = ROUND('Raw Data'!O174, 2),FALSE)),"",_xlfn.REGEXEXTRACT(CELL("address",O174), "\$([A-Z]+)\$[0-9]+"))),_xlfn.REGEXEXTRACT(CELL("address",O174), "\$([A-Z]+)\$[0-9]+"))</f>
        <v/>
      </c>
      <c r="P174" s="7" t="str" cm="1">
        <f t="array" aca="1" ref="P174" ca="1">IFERROR(IF(OR('Raw Data'!P174="",LEN(TRIM('Raw Data'!P174))=0),"",IF(AND(ISNUMBER('Raw Data'!P174),'Raw Data'!P174&gt;=Configuration!$D$2),"",_xlfn.REGEXEXTRACT(CELL("address",'Raw Data'!P174),"\$([A-Z]+)\$[0-9]+"))),_xlfn.REGEXEXTRACT(CELL("address",P174), "\$([A-Z]+)\$[0-9]+"))</f>
        <v/>
      </c>
      <c r="Q174" s="7" t="str" cm="1">
        <f t="array" aca="1" ref="Q174" ca="1">IFERROR(IF(OR('Raw Data'!Q174="",LEN(TRIM('Raw Data'!Q174))=0),"",IF(AND(ISNUMBER('Raw Data'!Q174),'Raw Data'!Q174&gt;=Configuration!$D$2),"",_xlfn.REGEXEXTRACT(CELL("address",'Raw Data'!Q174),"\$([A-Z]+)\$[0-9]+"))),_xlfn.REGEXEXTRACT(CELL("address",Q174), "\$([A-Z]+)\$[0-9]+"))</f>
        <v/>
      </c>
      <c r="R174" s="7" t="str" cm="1">
        <f t="array" aca="1" ref="R174" ca="1">IFERROR(IF(OR('Raw Data'!R174="",LEN(TRIM('Raw Data'!R174))=0),"",IF(AND(ISNUMBER('Raw Data'!R174), IFERROR('Raw Data'!R174 = ROUND('Raw Data'!R174, 2),FALSE)),"",_xlfn.REGEXEXTRACT(CELL("address",R174), "\$([A-Z]+)\$[0-9]+"))),_xlfn.REGEXEXTRACT(CELL("address",R174), "\$([A-Z]+)\$[0-9]+"))</f>
        <v/>
      </c>
      <c r="S174" s="7" t="str" cm="1">
        <f t="array" aca="1" ref="S174" ca="1">IFERROR(IF(OR('Raw Data'!S174="",LEN(TRIM('Raw Data'!S174))=0),"",IF(AND(ISNUMBER('Raw Data'!S174), IFERROR('Raw Data'!S174 = ROUND('Raw Data'!S174, 2),FALSE)),"",_xlfn.REGEXEXTRACT(CELL("address",S174), "\$([A-Z]+)\$[0-9]+"))),_xlfn.REGEXEXTRACT(CELL("address",S174), "\$([A-Z]+)\$[0-9]+"))</f>
        <v/>
      </c>
      <c r="T174" s="7" t="str" cm="1">
        <f t="array" aca="1" ref="T174" ca="1">IFERROR(IF(OR('Raw Data'!T174="",LEN(TRIM('Raw Data'!T174))=0),"",IF(AND(ISNUMBER('Raw Data'!T174), IFERROR('Raw Data'!T174 = ROUND('Raw Data'!T174, 2),FALSE)),"",_xlfn.REGEXEXTRACT(CELL("address",T174), "\$([A-Z]+)\$[0-9]+"))),_xlfn.REGEXEXTRACT(CELL("address",T174), "\$([A-Z]+)\$[0-9]+"))</f>
        <v/>
      </c>
      <c r="U174" s="7" t="str" cm="1">
        <f t="array" aca="1" ref="U174" ca="1">IFERROR(IF(OR('Raw Data'!U174="",LEN(TRIM('Raw Data'!U174))=0),"",IF(AND(LEN('Raw Data'!U174) &lt;= 5,LEN('Raw Data'!U174)&gt; 0),"",_xlfn.REGEXEXTRACT(CELL("address",'Raw Data'!U174),"\$([A-Z]+)\$[0-9]+"))),_xlfn.REGEXEXTRACT(CELL("address",'Raw Data'!U174),"\$([A-Z]+)\$[0-9]+"))</f>
        <v/>
      </c>
      <c r="V174" s="7" t="str" cm="1">
        <f t="array" aca="1" ref="V174" ca="1">IFERROR(IF(OR('Raw Data'!V174="",LEN(TRIM('Raw Data'!V174))=0),"",IF(AND(ISNUMBER('Raw Data'!V174), IFERROR('Raw Data'!V174 = ROUND('Raw Data'!V174, 2),FALSE)),"",_xlfn.REGEXEXTRACT(CELL("address",V174), "\$([A-Z]+)\$[0-9]+"))),_xlfn.REGEXEXTRACT(CELL("address",V174), "\$([A-Z]+)\$[0-9]+"))</f>
        <v/>
      </c>
      <c r="W174" s="7" t="str" cm="1">
        <f t="array" aca="1" ref="W174" ca="1">IFERROR(IF(OR('Raw Data'!W174="",LEN(TRIM('Raw Data'!W174))=0),"",IF(AND(ISNUMBER('Raw Data'!W174), IFERROR('Raw Data'!W174 = ROUND('Raw Data'!W174, 2),FALSE)),"",_xlfn.REGEXEXTRACT(CELL("address",W174), "\$([A-Z]+)\$[0-9]+"))),_xlfn.REGEXEXTRACT(CELL("address",W174), "\$([A-Z]+)\$[0-9]+"))</f>
        <v/>
      </c>
      <c r="X174" s="7" t="str" cm="1">
        <f t="array" aca="1" ref="X174" ca="1">IFERROR(IF(OR('Raw Data'!X174="",LEN(TRIM('Raw Data'!X174))=0),"",IF(AND(ISNUMBER('Raw Data'!X174), IFERROR('Raw Data'!X174 = ROUND('Raw Data'!X174, 2),FALSE)),"",_xlfn.REGEXEXTRACT(CELL("address",X174), "\$([A-Z]+)\$[0-9]+"))),_xlfn.REGEXEXTRACT(CELL("address",X174), "\$([A-Z]+)\$[0-9]+"))</f>
        <v/>
      </c>
    </row>
    <row r="175" spans="2:24" x14ac:dyDescent="0.25">
      <c r="B175" s="7" t="str" cm="1">
        <f t="array" aca="1" ref="B175" ca="1">IFERROR(IF(OR('Raw Data'!B175="",LEN(TRIM('Raw Data'!B175))=0),"",IF(AND(LEN('Raw Data'!B175) &lt;= 50,LEN('Raw Data'!B175)&gt; 0),"",_xlfn.REGEXEXTRACT(CELL("address",'Raw Data'!B175),"\$([A-Z]+)\$[0-9]+"))),_xlfn.REGEXEXTRACT(CELL("address",'Raw Data'!B175),"\$([A-Z]+)\$[0-9]+"))</f>
        <v/>
      </c>
      <c r="C175" s="7" t="str" cm="1">
        <f t="array" aca="1" ref="C175" ca="1">IFERROR(IF(OR('Raw Data'!C175="",LEN(TRIM('Raw Data'!C175))=0),"",IF(AND(LEN('Raw Data'!C175) &lt;= 50,LEN('Raw Data'!C175)&gt; 0),"",_xlfn.REGEXEXTRACT(CELL("address",'Raw Data'!C175),"\$([A-Z]+)\$[0-9]+"))),_xlfn.REGEXEXTRACT(CELL("address",'Raw Data'!C175),"\$([A-Z]+)\$[0-9]+"))</f>
        <v/>
      </c>
      <c r="D175" s="7" t="str" cm="1">
        <f t="array" aca="1" ref="D175" ca="1">IFERROR(IF(OR('Raw Data'!D175="",LEN(TRIM('Raw Data'!D175))=0),"",IF(AND(LEN('Raw Data'!D175) &lt;= 255,LEN('Raw Data'!D175)&gt; 0),"",_xlfn.REGEXEXTRACT(CELL("address",'Raw Data'!D175),"\$([A-Z]+)\$[0-9]+"))),_xlfn.REGEXEXTRACT(CELL("address",'Raw Data'!D175),"\$([A-Z]+)\$[0-9]+"))</f>
        <v/>
      </c>
      <c r="E175" s="7" t="str" cm="1">
        <f t="array" aca="1" ref="E175" ca="1">IFERROR(IF(OR('Raw Data'!E175="",LEN(TRIM('Raw Data'!E175))=0),"",IF(AND(ISNUMBER('Raw Data'!E175),'Raw Data'!E175&gt;=Configuration!$D$2),"",_xlfn.REGEXEXTRACT(CELL("address",'Raw Data'!E175),"\$([A-Z]+)\$[0-9]+"))),_xlfn.REGEXEXTRACT(CELL("address",E175), "\$([A-Z]+)\$[0-9]+"))</f>
        <v/>
      </c>
      <c r="F175" s="7" t="str" cm="1">
        <f t="array" aca="1" ref="F175" ca="1">IFERROR(IF(OR('Raw Data'!F175="",LEN(TRIM('Raw Data'!F175))=0),"",IF(AND(LEN('Raw Data'!F175) &lt;= 20,LEN('Raw Data'!F175)&gt; 0),"",_xlfn.REGEXEXTRACT(CELL("address",'Raw Data'!F175),"\$([A-Z]+)\$[0-9]+"))),_xlfn.REGEXEXTRACT(CELL("address",'Raw Data'!F175),"\$([A-Z]+)\$[0-9]+"))</f>
        <v/>
      </c>
      <c r="G175" s="7" t="str" cm="1">
        <f t="array" aca="1" ref="G175" ca="1">IFERROR(IF(OR('Raw Data'!G175="",LEN(TRIM('Raw Data'!G175))=0),"",IF(AND(ISNUMBER('Raw Data'!G175), IFERROR('Raw Data'!G175 = ROUND('Raw Data'!G175, 2),FALSE)),"",_xlfn.REGEXEXTRACT(CELL("address",G175), "\$([A-Z]+)\$[0-9]+"))),_xlfn.REGEXEXTRACT(CELL("address",G175), "\$([A-Z]+)\$[0-9]+"))</f>
        <v/>
      </c>
      <c r="H175" s="7" t="str" cm="1">
        <f t="array" aca="1" ref="H175" ca="1">IFERROR(IF(OR('Raw Data'!H175="",LEN(TRIM('Raw Data'!H175))=0),"",IF(AND(ISNUMBER('Raw Data'!H175), IFERROR('Raw Data'!H175 = ROUND('Raw Data'!H175, 2),FALSE)),"",_xlfn.REGEXEXTRACT(CELL("address",H175), "\$([A-Z]+)\$[0-9]+"))),_xlfn.REGEXEXTRACT(CELL("address",H175), "\$([A-Z]+)\$[0-9]+"))</f>
        <v/>
      </c>
      <c r="I175" s="7" t="str" cm="1">
        <f t="array" aca="1" ref="I175" ca="1">IFERROR(IF(OR('Raw Data'!I175="",LEN(TRIM('Raw Data'!I175))=0),"",IF(AND(LEN('Raw Data'!I175) &lt;= 50,LEN('Raw Data'!I175)&gt; 0),"",_xlfn.REGEXEXTRACT(CELL("address",'Raw Data'!I175),"\$([A-Z]+)\$[0-9]+"))),_xlfn.REGEXEXTRACT(CELL("address",'Raw Data'!I175),"\$([A-Z]+)\$[0-9]+"))</f>
        <v/>
      </c>
      <c r="J175" s="7" t="str" cm="1">
        <f t="array" aca="1" ref="J175" ca="1">IFERROR(IF(OR('Raw Data'!J175="",LEN(TRIM('Raw Data'!J175))=0),"",IF(AND(ISNUMBER('Raw Data'!J175),'Raw Data'!J175&gt;=Configuration!$D$2),"",_xlfn.REGEXEXTRACT(CELL("address",'Raw Data'!J175),"\$([A-Z]+)\$[0-9]+"))),_xlfn.REGEXEXTRACT(CELL("address",J175), "\$([A-Z]+)\$[0-9]+"))</f>
        <v/>
      </c>
      <c r="K175" s="7" t="str" cm="1">
        <f t="array" aca="1" ref="K175" ca="1">IFERROR(IF(OR('Raw Data'!K175="",LEN(TRIM('Raw Data'!K175))=0),"",IF(AND(ISNUMBER('Raw Data'!K175), IFERROR('Raw Data'!K175 = ROUND('Raw Data'!K175, 2),FALSE)),"",_xlfn.REGEXEXTRACT(CELL("address",K175), "\$([A-Z]+)\$[0-9]+"))),_xlfn.REGEXEXTRACT(CELL("address",K175), "\$([A-Z]+)\$[0-9]+"))</f>
        <v/>
      </c>
      <c r="L175" s="7" t="str" cm="1">
        <f t="array" aca="1" ref="L175" ca="1">IFERROR(IF(OR('Raw Data'!L175="",LEN(TRIM('Raw Data'!L175))=0),"",IF(AND(ISNUMBER('Raw Data'!L175), IFERROR('Raw Data'!L175 = ROUND('Raw Data'!L175, 2),FALSE)),"",_xlfn.REGEXEXTRACT(CELL("address",L175), "\$([A-Z]+)\$[0-9]+"))),_xlfn.REGEXEXTRACT(CELL("address",L175), "\$([A-Z]+)\$[0-9]+"))</f>
        <v/>
      </c>
      <c r="M175" s="7" t="str" cm="1">
        <f t="array" aca="1" ref="M175" ca="1">IFERROR(IF(OR('Raw Data'!M175="",LEN(TRIM('Raw Data'!M175))=0),"",IF(AND(ISNUMBER('Raw Data'!M175), IFERROR('Raw Data'!M175 = ROUND('Raw Data'!M175, 2),FALSE)),"",_xlfn.REGEXEXTRACT(CELL("address",M175), "\$([A-Z]+)\$[0-9]+"))),_xlfn.REGEXEXTRACT(CELL("address",M175), "\$([A-Z]+)\$[0-9]+"))</f>
        <v/>
      </c>
      <c r="N175" s="7" t="str" cm="1">
        <f t="array" aca="1" ref="N175" ca="1">IFERROR(IF(OR('Raw Data'!N175="",LEN(TRIM('Raw Data'!N175))=0),"",IF(AND(ISNUMBER('Raw Data'!N175), IFERROR('Raw Data'!N175 = ROUND('Raw Data'!N175, 2),FALSE)),"",_xlfn.REGEXEXTRACT(CELL("address",N175), "\$([A-Z]+)\$[0-9]+"))),_xlfn.REGEXEXTRACT(CELL("address",N175), "\$([A-Z]+)\$[0-9]+"))</f>
        <v/>
      </c>
      <c r="O175" s="7" t="str" cm="1">
        <f t="array" aca="1" ref="O175" ca="1">IFERROR(IF(OR('Raw Data'!O175="",LEN(TRIM('Raw Data'!O175))=0),"",IF(AND(ISNUMBER('Raw Data'!O175), IFERROR('Raw Data'!O175 = ROUND('Raw Data'!O175, 2),FALSE)),"",_xlfn.REGEXEXTRACT(CELL("address",O175), "\$([A-Z]+)\$[0-9]+"))),_xlfn.REGEXEXTRACT(CELL("address",O175), "\$([A-Z]+)\$[0-9]+"))</f>
        <v/>
      </c>
      <c r="P175" s="7" t="str" cm="1">
        <f t="array" aca="1" ref="P175" ca="1">IFERROR(IF(OR('Raw Data'!P175="",LEN(TRIM('Raw Data'!P175))=0),"",IF(AND(ISNUMBER('Raw Data'!P175),'Raw Data'!P175&gt;=Configuration!$D$2),"",_xlfn.REGEXEXTRACT(CELL("address",'Raw Data'!P175),"\$([A-Z]+)\$[0-9]+"))),_xlfn.REGEXEXTRACT(CELL("address",P175), "\$([A-Z]+)\$[0-9]+"))</f>
        <v/>
      </c>
      <c r="Q175" s="7" t="str" cm="1">
        <f t="array" aca="1" ref="Q175" ca="1">IFERROR(IF(OR('Raw Data'!Q175="",LEN(TRIM('Raw Data'!Q175))=0),"",IF(AND(ISNUMBER('Raw Data'!Q175),'Raw Data'!Q175&gt;=Configuration!$D$2),"",_xlfn.REGEXEXTRACT(CELL("address",'Raw Data'!Q175),"\$([A-Z]+)\$[0-9]+"))),_xlfn.REGEXEXTRACT(CELL("address",Q175), "\$([A-Z]+)\$[0-9]+"))</f>
        <v/>
      </c>
      <c r="R175" s="7" t="str" cm="1">
        <f t="array" aca="1" ref="R175" ca="1">IFERROR(IF(OR('Raw Data'!R175="",LEN(TRIM('Raw Data'!R175))=0),"",IF(AND(ISNUMBER('Raw Data'!R175), IFERROR('Raw Data'!R175 = ROUND('Raw Data'!R175, 2),FALSE)),"",_xlfn.REGEXEXTRACT(CELL("address",R175), "\$([A-Z]+)\$[0-9]+"))),_xlfn.REGEXEXTRACT(CELL("address",R175), "\$([A-Z]+)\$[0-9]+"))</f>
        <v/>
      </c>
      <c r="S175" s="7" t="str" cm="1">
        <f t="array" aca="1" ref="S175" ca="1">IFERROR(IF(OR('Raw Data'!S175="",LEN(TRIM('Raw Data'!S175))=0),"",IF(AND(ISNUMBER('Raw Data'!S175), IFERROR('Raw Data'!S175 = ROUND('Raw Data'!S175, 2),FALSE)),"",_xlfn.REGEXEXTRACT(CELL("address",S175), "\$([A-Z]+)\$[0-9]+"))),_xlfn.REGEXEXTRACT(CELL("address",S175), "\$([A-Z]+)\$[0-9]+"))</f>
        <v/>
      </c>
      <c r="T175" s="7" t="str" cm="1">
        <f t="array" aca="1" ref="T175" ca="1">IFERROR(IF(OR('Raw Data'!T175="",LEN(TRIM('Raw Data'!T175))=0),"",IF(AND(ISNUMBER('Raw Data'!T175), IFERROR('Raw Data'!T175 = ROUND('Raw Data'!T175, 2),FALSE)),"",_xlfn.REGEXEXTRACT(CELL("address",T175), "\$([A-Z]+)\$[0-9]+"))),_xlfn.REGEXEXTRACT(CELL("address",T175), "\$([A-Z]+)\$[0-9]+"))</f>
        <v/>
      </c>
      <c r="U175" s="7" t="str" cm="1">
        <f t="array" aca="1" ref="U175" ca="1">IFERROR(IF(OR('Raw Data'!U175="",LEN(TRIM('Raw Data'!U175))=0),"",IF(AND(LEN('Raw Data'!U175) &lt;= 5,LEN('Raw Data'!U175)&gt; 0),"",_xlfn.REGEXEXTRACT(CELL("address",'Raw Data'!U175),"\$([A-Z]+)\$[0-9]+"))),_xlfn.REGEXEXTRACT(CELL("address",'Raw Data'!U175),"\$([A-Z]+)\$[0-9]+"))</f>
        <v/>
      </c>
      <c r="V175" s="7" t="str" cm="1">
        <f t="array" aca="1" ref="V175" ca="1">IFERROR(IF(OR('Raw Data'!V175="",LEN(TRIM('Raw Data'!V175))=0),"",IF(AND(ISNUMBER('Raw Data'!V175), IFERROR('Raw Data'!V175 = ROUND('Raw Data'!V175, 2),FALSE)),"",_xlfn.REGEXEXTRACT(CELL("address",V175), "\$([A-Z]+)\$[0-9]+"))),_xlfn.REGEXEXTRACT(CELL("address",V175), "\$([A-Z]+)\$[0-9]+"))</f>
        <v/>
      </c>
      <c r="W175" s="7" t="str" cm="1">
        <f t="array" aca="1" ref="W175" ca="1">IFERROR(IF(OR('Raw Data'!W175="",LEN(TRIM('Raw Data'!W175))=0),"",IF(AND(ISNUMBER('Raw Data'!W175), IFERROR('Raw Data'!W175 = ROUND('Raw Data'!W175, 2),FALSE)),"",_xlfn.REGEXEXTRACT(CELL("address",W175), "\$([A-Z]+)\$[0-9]+"))),_xlfn.REGEXEXTRACT(CELL("address",W175), "\$([A-Z]+)\$[0-9]+"))</f>
        <v/>
      </c>
      <c r="X175" s="7" t="str" cm="1">
        <f t="array" aca="1" ref="X175" ca="1">IFERROR(IF(OR('Raw Data'!X175="",LEN(TRIM('Raw Data'!X175))=0),"",IF(AND(ISNUMBER('Raw Data'!X175), IFERROR('Raw Data'!X175 = ROUND('Raw Data'!X175, 2),FALSE)),"",_xlfn.REGEXEXTRACT(CELL("address",X175), "\$([A-Z]+)\$[0-9]+"))),_xlfn.REGEXEXTRACT(CELL("address",X175), "\$([A-Z]+)\$[0-9]+"))</f>
        <v/>
      </c>
    </row>
    <row r="176" spans="2:24" x14ac:dyDescent="0.25">
      <c r="B176" s="7" t="str" cm="1">
        <f t="array" aca="1" ref="B176" ca="1">IFERROR(IF(OR('Raw Data'!B176="",LEN(TRIM('Raw Data'!B176))=0),"",IF(AND(LEN('Raw Data'!B176) &lt;= 50,LEN('Raw Data'!B176)&gt; 0),"",_xlfn.REGEXEXTRACT(CELL("address",'Raw Data'!B176),"\$([A-Z]+)\$[0-9]+"))),_xlfn.REGEXEXTRACT(CELL("address",'Raw Data'!B176),"\$([A-Z]+)\$[0-9]+"))</f>
        <v/>
      </c>
      <c r="C176" s="7" t="str" cm="1">
        <f t="array" aca="1" ref="C176" ca="1">IFERROR(IF(OR('Raw Data'!C176="",LEN(TRIM('Raw Data'!C176))=0),"",IF(AND(LEN('Raw Data'!C176) &lt;= 50,LEN('Raw Data'!C176)&gt; 0),"",_xlfn.REGEXEXTRACT(CELL("address",'Raw Data'!C176),"\$([A-Z]+)\$[0-9]+"))),_xlfn.REGEXEXTRACT(CELL("address",'Raw Data'!C176),"\$([A-Z]+)\$[0-9]+"))</f>
        <v/>
      </c>
      <c r="D176" s="7" t="str" cm="1">
        <f t="array" aca="1" ref="D176" ca="1">IFERROR(IF(OR('Raw Data'!D176="",LEN(TRIM('Raw Data'!D176))=0),"",IF(AND(LEN('Raw Data'!D176) &lt;= 255,LEN('Raw Data'!D176)&gt; 0),"",_xlfn.REGEXEXTRACT(CELL("address",'Raw Data'!D176),"\$([A-Z]+)\$[0-9]+"))),_xlfn.REGEXEXTRACT(CELL("address",'Raw Data'!D176),"\$([A-Z]+)\$[0-9]+"))</f>
        <v/>
      </c>
      <c r="E176" s="7" t="str" cm="1">
        <f t="array" aca="1" ref="E176" ca="1">IFERROR(IF(OR('Raw Data'!E176="",LEN(TRIM('Raw Data'!E176))=0),"",IF(AND(ISNUMBER('Raw Data'!E176),'Raw Data'!E176&gt;=Configuration!$D$2),"",_xlfn.REGEXEXTRACT(CELL("address",'Raw Data'!E176),"\$([A-Z]+)\$[0-9]+"))),_xlfn.REGEXEXTRACT(CELL("address",E176), "\$([A-Z]+)\$[0-9]+"))</f>
        <v/>
      </c>
      <c r="F176" s="7" t="str" cm="1">
        <f t="array" aca="1" ref="F176" ca="1">IFERROR(IF(OR('Raw Data'!F176="",LEN(TRIM('Raw Data'!F176))=0),"",IF(AND(LEN('Raw Data'!F176) &lt;= 20,LEN('Raw Data'!F176)&gt; 0),"",_xlfn.REGEXEXTRACT(CELL("address",'Raw Data'!F176),"\$([A-Z]+)\$[0-9]+"))),_xlfn.REGEXEXTRACT(CELL("address",'Raw Data'!F176),"\$([A-Z]+)\$[0-9]+"))</f>
        <v/>
      </c>
      <c r="G176" s="7" t="str" cm="1">
        <f t="array" aca="1" ref="G176" ca="1">IFERROR(IF(OR('Raw Data'!G176="",LEN(TRIM('Raw Data'!G176))=0),"",IF(AND(ISNUMBER('Raw Data'!G176), IFERROR('Raw Data'!G176 = ROUND('Raw Data'!G176, 2),FALSE)),"",_xlfn.REGEXEXTRACT(CELL("address",G176), "\$([A-Z]+)\$[0-9]+"))),_xlfn.REGEXEXTRACT(CELL("address",G176), "\$([A-Z]+)\$[0-9]+"))</f>
        <v/>
      </c>
      <c r="H176" s="7" t="str" cm="1">
        <f t="array" aca="1" ref="H176" ca="1">IFERROR(IF(OR('Raw Data'!H176="",LEN(TRIM('Raw Data'!H176))=0),"",IF(AND(ISNUMBER('Raw Data'!H176), IFERROR('Raw Data'!H176 = ROUND('Raw Data'!H176, 2),FALSE)),"",_xlfn.REGEXEXTRACT(CELL("address",H176), "\$([A-Z]+)\$[0-9]+"))),_xlfn.REGEXEXTRACT(CELL("address",H176), "\$([A-Z]+)\$[0-9]+"))</f>
        <v/>
      </c>
      <c r="I176" s="7" t="str" cm="1">
        <f t="array" aca="1" ref="I176" ca="1">IFERROR(IF(OR('Raw Data'!I176="",LEN(TRIM('Raw Data'!I176))=0),"",IF(AND(LEN('Raw Data'!I176) &lt;= 50,LEN('Raw Data'!I176)&gt; 0),"",_xlfn.REGEXEXTRACT(CELL("address",'Raw Data'!I176),"\$([A-Z]+)\$[0-9]+"))),_xlfn.REGEXEXTRACT(CELL("address",'Raw Data'!I176),"\$([A-Z]+)\$[0-9]+"))</f>
        <v/>
      </c>
      <c r="J176" s="7" t="str" cm="1">
        <f t="array" aca="1" ref="J176" ca="1">IFERROR(IF(OR('Raw Data'!J176="",LEN(TRIM('Raw Data'!J176))=0),"",IF(AND(ISNUMBER('Raw Data'!J176),'Raw Data'!J176&gt;=Configuration!$D$2),"",_xlfn.REGEXEXTRACT(CELL("address",'Raw Data'!J176),"\$([A-Z]+)\$[0-9]+"))),_xlfn.REGEXEXTRACT(CELL("address",J176), "\$([A-Z]+)\$[0-9]+"))</f>
        <v/>
      </c>
      <c r="K176" s="7" t="str" cm="1">
        <f t="array" aca="1" ref="K176" ca="1">IFERROR(IF(OR('Raw Data'!K176="",LEN(TRIM('Raw Data'!K176))=0),"",IF(AND(ISNUMBER('Raw Data'!K176), IFERROR('Raw Data'!K176 = ROUND('Raw Data'!K176, 2),FALSE)),"",_xlfn.REGEXEXTRACT(CELL("address",K176), "\$([A-Z]+)\$[0-9]+"))),_xlfn.REGEXEXTRACT(CELL("address",K176), "\$([A-Z]+)\$[0-9]+"))</f>
        <v/>
      </c>
      <c r="L176" s="7" t="str" cm="1">
        <f t="array" aca="1" ref="L176" ca="1">IFERROR(IF(OR('Raw Data'!L176="",LEN(TRIM('Raw Data'!L176))=0),"",IF(AND(ISNUMBER('Raw Data'!L176), IFERROR('Raw Data'!L176 = ROUND('Raw Data'!L176, 2),FALSE)),"",_xlfn.REGEXEXTRACT(CELL("address",L176), "\$([A-Z]+)\$[0-9]+"))),_xlfn.REGEXEXTRACT(CELL("address",L176), "\$([A-Z]+)\$[0-9]+"))</f>
        <v/>
      </c>
      <c r="M176" s="7" t="str" cm="1">
        <f t="array" aca="1" ref="M176" ca="1">IFERROR(IF(OR('Raw Data'!M176="",LEN(TRIM('Raw Data'!M176))=0),"",IF(AND(ISNUMBER('Raw Data'!M176), IFERROR('Raw Data'!M176 = ROUND('Raw Data'!M176, 2),FALSE)),"",_xlfn.REGEXEXTRACT(CELL("address",M176), "\$([A-Z]+)\$[0-9]+"))),_xlfn.REGEXEXTRACT(CELL("address",M176), "\$([A-Z]+)\$[0-9]+"))</f>
        <v/>
      </c>
      <c r="N176" s="7" t="str" cm="1">
        <f t="array" aca="1" ref="N176" ca="1">IFERROR(IF(OR('Raw Data'!N176="",LEN(TRIM('Raw Data'!N176))=0),"",IF(AND(ISNUMBER('Raw Data'!N176), IFERROR('Raw Data'!N176 = ROUND('Raw Data'!N176, 2),FALSE)),"",_xlfn.REGEXEXTRACT(CELL("address",N176), "\$([A-Z]+)\$[0-9]+"))),_xlfn.REGEXEXTRACT(CELL("address",N176), "\$([A-Z]+)\$[0-9]+"))</f>
        <v/>
      </c>
      <c r="O176" s="7" t="str" cm="1">
        <f t="array" aca="1" ref="O176" ca="1">IFERROR(IF(OR('Raw Data'!O176="",LEN(TRIM('Raw Data'!O176))=0),"",IF(AND(ISNUMBER('Raw Data'!O176), IFERROR('Raw Data'!O176 = ROUND('Raw Data'!O176, 2),FALSE)),"",_xlfn.REGEXEXTRACT(CELL("address",O176), "\$([A-Z]+)\$[0-9]+"))),_xlfn.REGEXEXTRACT(CELL("address",O176), "\$([A-Z]+)\$[0-9]+"))</f>
        <v/>
      </c>
      <c r="P176" s="7" t="str" cm="1">
        <f t="array" aca="1" ref="P176" ca="1">IFERROR(IF(OR('Raw Data'!P176="",LEN(TRIM('Raw Data'!P176))=0),"",IF(AND(ISNUMBER('Raw Data'!P176),'Raw Data'!P176&gt;=Configuration!$D$2),"",_xlfn.REGEXEXTRACT(CELL("address",'Raw Data'!P176),"\$([A-Z]+)\$[0-9]+"))),_xlfn.REGEXEXTRACT(CELL("address",P176), "\$([A-Z]+)\$[0-9]+"))</f>
        <v/>
      </c>
      <c r="Q176" s="7" t="str" cm="1">
        <f t="array" aca="1" ref="Q176" ca="1">IFERROR(IF(OR('Raw Data'!Q176="",LEN(TRIM('Raw Data'!Q176))=0),"",IF(AND(ISNUMBER('Raw Data'!Q176),'Raw Data'!Q176&gt;=Configuration!$D$2),"",_xlfn.REGEXEXTRACT(CELL("address",'Raw Data'!Q176),"\$([A-Z]+)\$[0-9]+"))),_xlfn.REGEXEXTRACT(CELL("address",Q176), "\$([A-Z]+)\$[0-9]+"))</f>
        <v/>
      </c>
      <c r="R176" s="7" t="str" cm="1">
        <f t="array" aca="1" ref="R176" ca="1">IFERROR(IF(OR('Raw Data'!R176="",LEN(TRIM('Raw Data'!R176))=0),"",IF(AND(ISNUMBER('Raw Data'!R176), IFERROR('Raw Data'!R176 = ROUND('Raw Data'!R176, 2),FALSE)),"",_xlfn.REGEXEXTRACT(CELL("address",R176), "\$([A-Z]+)\$[0-9]+"))),_xlfn.REGEXEXTRACT(CELL("address",R176), "\$([A-Z]+)\$[0-9]+"))</f>
        <v/>
      </c>
      <c r="S176" s="7" t="str" cm="1">
        <f t="array" aca="1" ref="S176" ca="1">IFERROR(IF(OR('Raw Data'!S176="",LEN(TRIM('Raw Data'!S176))=0),"",IF(AND(ISNUMBER('Raw Data'!S176), IFERROR('Raw Data'!S176 = ROUND('Raw Data'!S176, 2),FALSE)),"",_xlfn.REGEXEXTRACT(CELL("address",S176), "\$([A-Z]+)\$[0-9]+"))),_xlfn.REGEXEXTRACT(CELL("address",S176), "\$([A-Z]+)\$[0-9]+"))</f>
        <v/>
      </c>
      <c r="T176" s="7" t="str" cm="1">
        <f t="array" aca="1" ref="T176" ca="1">IFERROR(IF(OR('Raw Data'!T176="",LEN(TRIM('Raw Data'!T176))=0),"",IF(AND(ISNUMBER('Raw Data'!T176), IFERROR('Raw Data'!T176 = ROUND('Raw Data'!T176, 2),FALSE)),"",_xlfn.REGEXEXTRACT(CELL("address",T176), "\$([A-Z]+)\$[0-9]+"))),_xlfn.REGEXEXTRACT(CELL("address",T176), "\$([A-Z]+)\$[0-9]+"))</f>
        <v/>
      </c>
      <c r="U176" s="7" t="str" cm="1">
        <f t="array" aca="1" ref="U176" ca="1">IFERROR(IF(OR('Raw Data'!U176="",LEN(TRIM('Raw Data'!U176))=0),"",IF(AND(LEN('Raw Data'!U176) &lt;= 5,LEN('Raw Data'!U176)&gt; 0),"",_xlfn.REGEXEXTRACT(CELL("address",'Raw Data'!U176),"\$([A-Z]+)\$[0-9]+"))),_xlfn.REGEXEXTRACT(CELL("address",'Raw Data'!U176),"\$([A-Z]+)\$[0-9]+"))</f>
        <v/>
      </c>
      <c r="V176" s="7" t="str" cm="1">
        <f t="array" aca="1" ref="V176" ca="1">IFERROR(IF(OR('Raw Data'!V176="",LEN(TRIM('Raw Data'!V176))=0),"",IF(AND(ISNUMBER('Raw Data'!V176), IFERROR('Raw Data'!V176 = ROUND('Raw Data'!V176, 2),FALSE)),"",_xlfn.REGEXEXTRACT(CELL("address",V176), "\$([A-Z]+)\$[0-9]+"))),_xlfn.REGEXEXTRACT(CELL("address",V176), "\$([A-Z]+)\$[0-9]+"))</f>
        <v/>
      </c>
      <c r="W176" s="7" t="str" cm="1">
        <f t="array" aca="1" ref="W176" ca="1">IFERROR(IF(OR('Raw Data'!W176="",LEN(TRIM('Raw Data'!W176))=0),"",IF(AND(ISNUMBER('Raw Data'!W176), IFERROR('Raw Data'!W176 = ROUND('Raw Data'!W176, 2),FALSE)),"",_xlfn.REGEXEXTRACT(CELL("address",W176), "\$([A-Z]+)\$[0-9]+"))),_xlfn.REGEXEXTRACT(CELL("address",W176), "\$([A-Z]+)\$[0-9]+"))</f>
        <v/>
      </c>
      <c r="X176" s="7" t="str" cm="1">
        <f t="array" aca="1" ref="X176" ca="1">IFERROR(IF(OR('Raw Data'!X176="",LEN(TRIM('Raw Data'!X176))=0),"",IF(AND(ISNUMBER('Raw Data'!X176), IFERROR('Raw Data'!X176 = ROUND('Raw Data'!X176, 2),FALSE)),"",_xlfn.REGEXEXTRACT(CELL("address",X176), "\$([A-Z]+)\$[0-9]+"))),_xlfn.REGEXEXTRACT(CELL("address",X176), "\$([A-Z]+)\$[0-9]+"))</f>
        <v/>
      </c>
    </row>
    <row r="177" spans="2:24" x14ac:dyDescent="0.25">
      <c r="B177" s="7" t="str" cm="1">
        <f t="array" aca="1" ref="B177" ca="1">IFERROR(IF(OR('Raw Data'!B177="",LEN(TRIM('Raw Data'!B177))=0),"",IF(AND(LEN('Raw Data'!B177) &lt;= 50,LEN('Raw Data'!B177)&gt; 0),"",_xlfn.REGEXEXTRACT(CELL("address",'Raw Data'!B177),"\$([A-Z]+)\$[0-9]+"))),_xlfn.REGEXEXTRACT(CELL("address",'Raw Data'!B177),"\$([A-Z]+)\$[0-9]+"))</f>
        <v/>
      </c>
      <c r="C177" s="7" t="str" cm="1">
        <f t="array" aca="1" ref="C177" ca="1">IFERROR(IF(OR('Raw Data'!C177="",LEN(TRIM('Raw Data'!C177))=0),"",IF(AND(LEN('Raw Data'!C177) &lt;= 50,LEN('Raw Data'!C177)&gt; 0),"",_xlfn.REGEXEXTRACT(CELL("address",'Raw Data'!C177),"\$([A-Z]+)\$[0-9]+"))),_xlfn.REGEXEXTRACT(CELL("address",'Raw Data'!C177),"\$([A-Z]+)\$[0-9]+"))</f>
        <v/>
      </c>
      <c r="D177" s="7" t="str" cm="1">
        <f t="array" aca="1" ref="D177" ca="1">IFERROR(IF(OR('Raw Data'!D177="",LEN(TRIM('Raw Data'!D177))=0),"",IF(AND(LEN('Raw Data'!D177) &lt;= 255,LEN('Raw Data'!D177)&gt; 0),"",_xlfn.REGEXEXTRACT(CELL("address",'Raw Data'!D177),"\$([A-Z]+)\$[0-9]+"))),_xlfn.REGEXEXTRACT(CELL("address",'Raw Data'!D177),"\$([A-Z]+)\$[0-9]+"))</f>
        <v/>
      </c>
      <c r="E177" s="7" t="str" cm="1">
        <f t="array" aca="1" ref="E177" ca="1">IFERROR(IF(OR('Raw Data'!E177="",LEN(TRIM('Raw Data'!E177))=0),"",IF(AND(ISNUMBER('Raw Data'!E177),'Raw Data'!E177&gt;=Configuration!$D$2),"",_xlfn.REGEXEXTRACT(CELL("address",'Raw Data'!E177),"\$([A-Z]+)\$[0-9]+"))),_xlfn.REGEXEXTRACT(CELL("address",E177), "\$([A-Z]+)\$[0-9]+"))</f>
        <v/>
      </c>
      <c r="F177" s="7" t="str" cm="1">
        <f t="array" aca="1" ref="F177" ca="1">IFERROR(IF(OR('Raw Data'!F177="",LEN(TRIM('Raw Data'!F177))=0),"",IF(AND(LEN('Raw Data'!F177) &lt;= 20,LEN('Raw Data'!F177)&gt; 0),"",_xlfn.REGEXEXTRACT(CELL("address",'Raw Data'!F177),"\$([A-Z]+)\$[0-9]+"))),_xlfn.REGEXEXTRACT(CELL("address",'Raw Data'!F177),"\$([A-Z]+)\$[0-9]+"))</f>
        <v/>
      </c>
      <c r="G177" s="7" t="str" cm="1">
        <f t="array" aca="1" ref="G177" ca="1">IFERROR(IF(OR('Raw Data'!G177="",LEN(TRIM('Raw Data'!G177))=0),"",IF(AND(ISNUMBER('Raw Data'!G177), IFERROR('Raw Data'!G177 = ROUND('Raw Data'!G177, 2),FALSE)),"",_xlfn.REGEXEXTRACT(CELL("address",G177), "\$([A-Z]+)\$[0-9]+"))),_xlfn.REGEXEXTRACT(CELL("address",G177), "\$([A-Z]+)\$[0-9]+"))</f>
        <v/>
      </c>
      <c r="H177" s="7" t="str" cm="1">
        <f t="array" aca="1" ref="H177" ca="1">IFERROR(IF(OR('Raw Data'!H177="",LEN(TRIM('Raw Data'!H177))=0),"",IF(AND(ISNUMBER('Raw Data'!H177), IFERROR('Raw Data'!H177 = ROUND('Raw Data'!H177, 2),FALSE)),"",_xlfn.REGEXEXTRACT(CELL("address",H177), "\$([A-Z]+)\$[0-9]+"))),_xlfn.REGEXEXTRACT(CELL("address",H177), "\$([A-Z]+)\$[0-9]+"))</f>
        <v/>
      </c>
      <c r="I177" s="7" t="str" cm="1">
        <f t="array" aca="1" ref="I177" ca="1">IFERROR(IF(OR('Raw Data'!I177="",LEN(TRIM('Raw Data'!I177))=0),"",IF(AND(LEN('Raw Data'!I177) &lt;= 50,LEN('Raw Data'!I177)&gt; 0),"",_xlfn.REGEXEXTRACT(CELL("address",'Raw Data'!I177),"\$([A-Z]+)\$[0-9]+"))),_xlfn.REGEXEXTRACT(CELL("address",'Raw Data'!I177),"\$([A-Z]+)\$[0-9]+"))</f>
        <v/>
      </c>
      <c r="J177" s="7" t="str" cm="1">
        <f t="array" aca="1" ref="J177" ca="1">IFERROR(IF(OR('Raw Data'!J177="",LEN(TRIM('Raw Data'!J177))=0),"",IF(AND(ISNUMBER('Raw Data'!J177),'Raw Data'!J177&gt;=Configuration!$D$2),"",_xlfn.REGEXEXTRACT(CELL("address",'Raw Data'!J177),"\$([A-Z]+)\$[0-9]+"))),_xlfn.REGEXEXTRACT(CELL("address",J177), "\$([A-Z]+)\$[0-9]+"))</f>
        <v/>
      </c>
      <c r="K177" s="7" t="str" cm="1">
        <f t="array" aca="1" ref="K177" ca="1">IFERROR(IF(OR('Raw Data'!K177="",LEN(TRIM('Raw Data'!K177))=0),"",IF(AND(ISNUMBER('Raw Data'!K177), IFERROR('Raw Data'!K177 = ROUND('Raw Data'!K177, 2),FALSE)),"",_xlfn.REGEXEXTRACT(CELL("address",K177), "\$([A-Z]+)\$[0-9]+"))),_xlfn.REGEXEXTRACT(CELL("address",K177), "\$([A-Z]+)\$[0-9]+"))</f>
        <v/>
      </c>
      <c r="L177" s="7" t="str" cm="1">
        <f t="array" aca="1" ref="L177" ca="1">IFERROR(IF(OR('Raw Data'!L177="",LEN(TRIM('Raw Data'!L177))=0),"",IF(AND(ISNUMBER('Raw Data'!L177), IFERROR('Raw Data'!L177 = ROUND('Raw Data'!L177, 2),FALSE)),"",_xlfn.REGEXEXTRACT(CELL("address",L177), "\$([A-Z]+)\$[0-9]+"))),_xlfn.REGEXEXTRACT(CELL("address",L177), "\$([A-Z]+)\$[0-9]+"))</f>
        <v/>
      </c>
      <c r="M177" s="7" t="str" cm="1">
        <f t="array" aca="1" ref="M177" ca="1">IFERROR(IF(OR('Raw Data'!M177="",LEN(TRIM('Raw Data'!M177))=0),"",IF(AND(ISNUMBER('Raw Data'!M177), IFERROR('Raw Data'!M177 = ROUND('Raw Data'!M177, 2),FALSE)),"",_xlfn.REGEXEXTRACT(CELL("address",M177), "\$([A-Z]+)\$[0-9]+"))),_xlfn.REGEXEXTRACT(CELL("address",M177), "\$([A-Z]+)\$[0-9]+"))</f>
        <v/>
      </c>
      <c r="N177" s="7" t="str" cm="1">
        <f t="array" aca="1" ref="N177" ca="1">IFERROR(IF(OR('Raw Data'!N177="",LEN(TRIM('Raw Data'!N177))=0),"",IF(AND(ISNUMBER('Raw Data'!N177), IFERROR('Raw Data'!N177 = ROUND('Raw Data'!N177, 2),FALSE)),"",_xlfn.REGEXEXTRACT(CELL("address",N177), "\$([A-Z]+)\$[0-9]+"))),_xlfn.REGEXEXTRACT(CELL("address",N177), "\$([A-Z]+)\$[0-9]+"))</f>
        <v/>
      </c>
      <c r="O177" s="7" t="str" cm="1">
        <f t="array" aca="1" ref="O177" ca="1">IFERROR(IF(OR('Raw Data'!O177="",LEN(TRIM('Raw Data'!O177))=0),"",IF(AND(ISNUMBER('Raw Data'!O177), IFERROR('Raw Data'!O177 = ROUND('Raw Data'!O177, 2),FALSE)),"",_xlfn.REGEXEXTRACT(CELL("address",O177), "\$([A-Z]+)\$[0-9]+"))),_xlfn.REGEXEXTRACT(CELL("address",O177), "\$([A-Z]+)\$[0-9]+"))</f>
        <v/>
      </c>
      <c r="P177" s="7" t="str" cm="1">
        <f t="array" aca="1" ref="P177" ca="1">IFERROR(IF(OR('Raw Data'!P177="",LEN(TRIM('Raw Data'!P177))=0),"",IF(AND(ISNUMBER('Raw Data'!P177),'Raw Data'!P177&gt;=Configuration!$D$2),"",_xlfn.REGEXEXTRACT(CELL("address",'Raw Data'!P177),"\$([A-Z]+)\$[0-9]+"))),_xlfn.REGEXEXTRACT(CELL("address",P177), "\$([A-Z]+)\$[0-9]+"))</f>
        <v/>
      </c>
      <c r="Q177" s="7" t="str" cm="1">
        <f t="array" aca="1" ref="Q177" ca="1">IFERROR(IF(OR('Raw Data'!Q177="",LEN(TRIM('Raw Data'!Q177))=0),"",IF(AND(ISNUMBER('Raw Data'!Q177),'Raw Data'!Q177&gt;=Configuration!$D$2),"",_xlfn.REGEXEXTRACT(CELL("address",'Raw Data'!Q177),"\$([A-Z]+)\$[0-9]+"))),_xlfn.REGEXEXTRACT(CELL("address",Q177), "\$([A-Z]+)\$[0-9]+"))</f>
        <v/>
      </c>
      <c r="R177" s="7" t="str" cm="1">
        <f t="array" aca="1" ref="R177" ca="1">IFERROR(IF(OR('Raw Data'!R177="",LEN(TRIM('Raw Data'!R177))=0),"",IF(AND(ISNUMBER('Raw Data'!R177), IFERROR('Raw Data'!R177 = ROUND('Raw Data'!R177, 2),FALSE)),"",_xlfn.REGEXEXTRACT(CELL("address",R177), "\$([A-Z]+)\$[0-9]+"))),_xlfn.REGEXEXTRACT(CELL("address",R177), "\$([A-Z]+)\$[0-9]+"))</f>
        <v/>
      </c>
      <c r="S177" s="7" t="str" cm="1">
        <f t="array" aca="1" ref="S177" ca="1">IFERROR(IF(OR('Raw Data'!S177="",LEN(TRIM('Raw Data'!S177))=0),"",IF(AND(ISNUMBER('Raw Data'!S177), IFERROR('Raw Data'!S177 = ROUND('Raw Data'!S177, 2),FALSE)),"",_xlfn.REGEXEXTRACT(CELL("address",S177), "\$([A-Z]+)\$[0-9]+"))),_xlfn.REGEXEXTRACT(CELL("address",S177), "\$([A-Z]+)\$[0-9]+"))</f>
        <v/>
      </c>
      <c r="T177" s="7" t="str" cm="1">
        <f t="array" aca="1" ref="T177" ca="1">IFERROR(IF(OR('Raw Data'!T177="",LEN(TRIM('Raw Data'!T177))=0),"",IF(AND(ISNUMBER('Raw Data'!T177), IFERROR('Raw Data'!T177 = ROUND('Raw Data'!T177, 2),FALSE)),"",_xlfn.REGEXEXTRACT(CELL("address",T177), "\$([A-Z]+)\$[0-9]+"))),_xlfn.REGEXEXTRACT(CELL("address",T177), "\$([A-Z]+)\$[0-9]+"))</f>
        <v/>
      </c>
      <c r="U177" s="7" t="str" cm="1">
        <f t="array" aca="1" ref="U177" ca="1">IFERROR(IF(OR('Raw Data'!U177="",LEN(TRIM('Raw Data'!U177))=0),"",IF(AND(LEN('Raw Data'!U177) &lt;= 5,LEN('Raw Data'!U177)&gt; 0),"",_xlfn.REGEXEXTRACT(CELL("address",'Raw Data'!U177),"\$([A-Z]+)\$[0-9]+"))),_xlfn.REGEXEXTRACT(CELL("address",'Raw Data'!U177),"\$([A-Z]+)\$[0-9]+"))</f>
        <v/>
      </c>
      <c r="V177" s="7" t="str" cm="1">
        <f t="array" aca="1" ref="V177" ca="1">IFERROR(IF(OR('Raw Data'!V177="",LEN(TRIM('Raw Data'!V177))=0),"",IF(AND(ISNUMBER('Raw Data'!V177), IFERROR('Raw Data'!V177 = ROUND('Raw Data'!V177, 2),FALSE)),"",_xlfn.REGEXEXTRACT(CELL("address",V177), "\$([A-Z]+)\$[0-9]+"))),_xlfn.REGEXEXTRACT(CELL("address",V177), "\$([A-Z]+)\$[0-9]+"))</f>
        <v/>
      </c>
      <c r="W177" s="7" t="str" cm="1">
        <f t="array" aca="1" ref="W177" ca="1">IFERROR(IF(OR('Raw Data'!W177="",LEN(TRIM('Raw Data'!W177))=0),"",IF(AND(ISNUMBER('Raw Data'!W177), IFERROR('Raw Data'!W177 = ROUND('Raw Data'!W177, 2),FALSE)),"",_xlfn.REGEXEXTRACT(CELL("address",W177), "\$([A-Z]+)\$[0-9]+"))),_xlfn.REGEXEXTRACT(CELL("address",W177), "\$([A-Z]+)\$[0-9]+"))</f>
        <v/>
      </c>
      <c r="X177" s="7" t="str" cm="1">
        <f t="array" aca="1" ref="X177" ca="1">IFERROR(IF(OR('Raw Data'!X177="",LEN(TRIM('Raw Data'!X177))=0),"",IF(AND(ISNUMBER('Raw Data'!X177), IFERROR('Raw Data'!X177 = ROUND('Raw Data'!X177, 2),FALSE)),"",_xlfn.REGEXEXTRACT(CELL("address",X177), "\$([A-Z]+)\$[0-9]+"))),_xlfn.REGEXEXTRACT(CELL("address",X177), "\$([A-Z]+)\$[0-9]+"))</f>
        <v/>
      </c>
    </row>
    <row r="178" spans="2:24" x14ac:dyDescent="0.25">
      <c r="B178" s="7" t="str" cm="1">
        <f t="array" aca="1" ref="B178" ca="1">IFERROR(IF(OR('Raw Data'!B178="",LEN(TRIM('Raw Data'!B178))=0),"",IF(AND(LEN('Raw Data'!B178) &lt;= 50,LEN('Raw Data'!B178)&gt; 0),"",_xlfn.REGEXEXTRACT(CELL("address",'Raw Data'!B178),"\$([A-Z]+)\$[0-9]+"))),_xlfn.REGEXEXTRACT(CELL("address",'Raw Data'!B178),"\$([A-Z]+)\$[0-9]+"))</f>
        <v/>
      </c>
      <c r="C178" s="7" t="str" cm="1">
        <f t="array" aca="1" ref="C178" ca="1">IFERROR(IF(OR('Raw Data'!C178="",LEN(TRIM('Raw Data'!C178))=0),"",IF(AND(LEN('Raw Data'!C178) &lt;= 50,LEN('Raw Data'!C178)&gt; 0),"",_xlfn.REGEXEXTRACT(CELL("address",'Raw Data'!C178),"\$([A-Z]+)\$[0-9]+"))),_xlfn.REGEXEXTRACT(CELL("address",'Raw Data'!C178),"\$([A-Z]+)\$[0-9]+"))</f>
        <v/>
      </c>
      <c r="D178" s="7" t="str" cm="1">
        <f t="array" aca="1" ref="D178" ca="1">IFERROR(IF(OR('Raw Data'!D178="",LEN(TRIM('Raw Data'!D178))=0),"",IF(AND(LEN('Raw Data'!D178) &lt;= 255,LEN('Raw Data'!D178)&gt; 0),"",_xlfn.REGEXEXTRACT(CELL("address",'Raw Data'!D178),"\$([A-Z]+)\$[0-9]+"))),_xlfn.REGEXEXTRACT(CELL("address",'Raw Data'!D178),"\$([A-Z]+)\$[0-9]+"))</f>
        <v/>
      </c>
      <c r="E178" s="7" t="str" cm="1">
        <f t="array" aca="1" ref="E178" ca="1">IFERROR(IF(OR('Raw Data'!E178="",LEN(TRIM('Raw Data'!E178))=0),"",IF(AND(ISNUMBER('Raw Data'!E178),'Raw Data'!E178&gt;=Configuration!$D$2),"",_xlfn.REGEXEXTRACT(CELL("address",'Raw Data'!E178),"\$([A-Z]+)\$[0-9]+"))),_xlfn.REGEXEXTRACT(CELL("address",E178), "\$([A-Z]+)\$[0-9]+"))</f>
        <v/>
      </c>
      <c r="F178" s="7" t="str" cm="1">
        <f t="array" aca="1" ref="F178" ca="1">IFERROR(IF(OR('Raw Data'!F178="",LEN(TRIM('Raw Data'!F178))=0),"",IF(AND(LEN('Raw Data'!F178) &lt;= 20,LEN('Raw Data'!F178)&gt; 0),"",_xlfn.REGEXEXTRACT(CELL("address",'Raw Data'!F178),"\$([A-Z]+)\$[0-9]+"))),_xlfn.REGEXEXTRACT(CELL("address",'Raw Data'!F178),"\$([A-Z]+)\$[0-9]+"))</f>
        <v/>
      </c>
      <c r="G178" s="7" t="str" cm="1">
        <f t="array" aca="1" ref="G178" ca="1">IFERROR(IF(OR('Raw Data'!G178="",LEN(TRIM('Raw Data'!G178))=0),"",IF(AND(ISNUMBER('Raw Data'!G178), IFERROR('Raw Data'!G178 = ROUND('Raw Data'!G178, 2),FALSE)),"",_xlfn.REGEXEXTRACT(CELL("address",G178), "\$([A-Z]+)\$[0-9]+"))),_xlfn.REGEXEXTRACT(CELL("address",G178), "\$([A-Z]+)\$[0-9]+"))</f>
        <v/>
      </c>
      <c r="H178" s="7" t="str" cm="1">
        <f t="array" aca="1" ref="H178" ca="1">IFERROR(IF(OR('Raw Data'!H178="",LEN(TRIM('Raw Data'!H178))=0),"",IF(AND(ISNUMBER('Raw Data'!H178), IFERROR('Raw Data'!H178 = ROUND('Raw Data'!H178, 2),FALSE)),"",_xlfn.REGEXEXTRACT(CELL("address",H178), "\$([A-Z]+)\$[0-9]+"))),_xlfn.REGEXEXTRACT(CELL("address",H178), "\$([A-Z]+)\$[0-9]+"))</f>
        <v/>
      </c>
      <c r="I178" s="7" t="str" cm="1">
        <f t="array" aca="1" ref="I178" ca="1">IFERROR(IF(OR('Raw Data'!I178="",LEN(TRIM('Raw Data'!I178))=0),"",IF(AND(LEN('Raw Data'!I178) &lt;= 50,LEN('Raw Data'!I178)&gt; 0),"",_xlfn.REGEXEXTRACT(CELL("address",'Raw Data'!I178),"\$([A-Z]+)\$[0-9]+"))),_xlfn.REGEXEXTRACT(CELL("address",'Raw Data'!I178),"\$([A-Z]+)\$[0-9]+"))</f>
        <v/>
      </c>
      <c r="J178" s="7" t="str" cm="1">
        <f t="array" aca="1" ref="J178" ca="1">IFERROR(IF(OR('Raw Data'!J178="",LEN(TRIM('Raw Data'!J178))=0),"",IF(AND(ISNUMBER('Raw Data'!J178),'Raw Data'!J178&gt;=Configuration!$D$2),"",_xlfn.REGEXEXTRACT(CELL("address",'Raw Data'!J178),"\$([A-Z]+)\$[0-9]+"))),_xlfn.REGEXEXTRACT(CELL("address",J178), "\$([A-Z]+)\$[0-9]+"))</f>
        <v/>
      </c>
      <c r="K178" s="7" t="str" cm="1">
        <f t="array" aca="1" ref="K178" ca="1">IFERROR(IF(OR('Raw Data'!K178="",LEN(TRIM('Raw Data'!K178))=0),"",IF(AND(ISNUMBER('Raw Data'!K178), IFERROR('Raw Data'!K178 = ROUND('Raw Data'!K178, 2),FALSE)),"",_xlfn.REGEXEXTRACT(CELL("address",K178), "\$([A-Z]+)\$[0-9]+"))),_xlfn.REGEXEXTRACT(CELL("address",K178), "\$([A-Z]+)\$[0-9]+"))</f>
        <v/>
      </c>
      <c r="L178" s="7" t="str" cm="1">
        <f t="array" aca="1" ref="L178" ca="1">IFERROR(IF(OR('Raw Data'!L178="",LEN(TRIM('Raw Data'!L178))=0),"",IF(AND(ISNUMBER('Raw Data'!L178), IFERROR('Raw Data'!L178 = ROUND('Raw Data'!L178, 2),FALSE)),"",_xlfn.REGEXEXTRACT(CELL("address",L178), "\$([A-Z]+)\$[0-9]+"))),_xlfn.REGEXEXTRACT(CELL("address",L178), "\$([A-Z]+)\$[0-9]+"))</f>
        <v/>
      </c>
      <c r="M178" s="7" t="str" cm="1">
        <f t="array" aca="1" ref="M178" ca="1">IFERROR(IF(OR('Raw Data'!M178="",LEN(TRIM('Raw Data'!M178))=0),"",IF(AND(ISNUMBER('Raw Data'!M178), IFERROR('Raw Data'!M178 = ROUND('Raw Data'!M178, 2),FALSE)),"",_xlfn.REGEXEXTRACT(CELL("address",M178), "\$([A-Z]+)\$[0-9]+"))),_xlfn.REGEXEXTRACT(CELL("address",M178), "\$([A-Z]+)\$[0-9]+"))</f>
        <v/>
      </c>
      <c r="N178" s="7" t="str" cm="1">
        <f t="array" aca="1" ref="N178" ca="1">IFERROR(IF(OR('Raw Data'!N178="",LEN(TRIM('Raw Data'!N178))=0),"",IF(AND(ISNUMBER('Raw Data'!N178), IFERROR('Raw Data'!N178 = ROUND('Raw Data'!N178, 2),FALSE)),"",_xlfn.REGEXEXTRACT(CELL("address",N178), "\$([A-Z]+)\$[0-9]+"))),_xlfn.REGEXEXTRACT(CELL("address",N178), "\$([A-Z]+)\$[0-9]+"))</f>
        <v/>
      </c>
      <c r="O178" s="7" t="str" cm="1">
        <f t="array" aca="1" ref="O178" ca="1">IFERROR(IF(OR('Raw Data'!O178="",LEN(TRIM('Raw Data'!O178))=0),"",IF(AND(ISNUMBER('Raw Data'!O178), IFERROR('Raw Data'!O178 = ROUND('Raw Data'!O178, 2),FALSE)),"",_xlfn.REGEXEXTRACT(CELL("address",O178), "\$([A-Z]+)\$[0-9]+"))),_xlfn.REGEXEXTRACT(CELL("address",O178), "\$([A-Z]+)\$[0-9]+"))</f>
        <v/>
      </c>
      <c r="P178" s="7" t="str" cm="1">
        <f t="array" aca="1" ref="P178" ca="1">IFERROR(IF(OR('Raw Data'!P178="",LEN(TRIM('Raw Data'!P178))=0),"",IF(AND(ISNUMBER('Raw Data'!P178),'Raw Data'!P178&gt;=Configuration!$D$2),"",_xlfn.REGEXEXTRACT(CELL("address",'Raw Data'!P178),"\$([A-Z]+)\$[0-9]+"))),_xlfn.REGEXEXTRACT(CELL("address",P178), "\$([A-Z]+)\$[0-9]+"))</f>
        <v/>
      </c>
      <c r="Q178" s="7" t="str" cm="1">
        <f t="array" aca="1" ref="Q178" ca="1">IFERROR(IF(OR('Raw Data'!Q178="",LEN(TRIM('Raw Data'!Q178))=0),"",IF(AND(ISNUMBER('Raw Data'!Q178),'Raw Data'!Q178&gt;=Configuration!$D$2),"",_xlfn.REGEXEXTRACT(CELL("address",'Raw Data'!Q178),"\$([A-Z]+)\$[0-9]+"))),_xlfn.REGEXEXTRACT(CELL("address",Q178), "\$([A-Z]+)\$[0-9]+"))</f>
        <v/>
      </c>
      <c r="R178" s="7" t="str" cm="1">
        <f t="array" aca="1" ref="R178" ca="1">IFERROR(IF(OR('Raw Data'!R178="",LEN(TRIM('Raw Data'!R178))=0),"",IF(AND(ISNUMBER('Raw Data'!R178), IFERROR('Raw Data'!R178 = ROUND('Raw Data'!R178, 2),FALSE)),"",_xlfn.REGEXEXTRACT(CELL("address",R178), "\$([A-Z]+)\$[0-9]+"))),_xlfn.REGEXEXTRACT(CELL("address",R178), "\$([A-Z]+)\$[0-9]+"))</f>
        <v/>
      </c>
      <c r="S178" s="7" t="str" cm="1">
        <f t="array" aca="1" ref="S178" ca="1">IFERROR(IF(OR('Raw Data'!S178="",LEN(TRIM('Raw Data'!S178))=0),"",IF(AND(ISNUMBER('Raw Data'!S178), IFERROR('Raw Data'!S178 = ROUND('Raw Data'!S178, 2),FALSE)),"",_xlfn.REGEXEXTRACT(CELL("address",S178), "\$([A-Z]+)\$[0-9]+"))),_xlfn.REGEXEXTRACT(CELL("address",S178), "\$([A-Z]+)\$[0-9]+"))</f>
        <v/>
      </c>
      <c r="T178" s="7" t="str" cm="1">
        <f t="array" aca="1" ref="T178" ca="1">IFERROR(IF(OR('Raw Data'!T178="",LEN(TRIM('Raw Data'!T178))=0),"",IF(AND(ISNUMBER('Raw Data'!T178), IFERROR('Raw Data'!T178 = ROUND('Raw Data'!T178, 2),FALSE)),"",_xlfn.REGEXEXTRACT(CELL("address",T178), "\$([A-Z]+)\$[0-9]+"))),_xlfn.REGEXEXTRACT(CELL("address",T178), "\$([A-Z]+)\$[0-9]+"))</f>
        <v/>
      </c>
      <c r="U178" s="7" t="str" cm="1">
        <f t="array" aca="1" ref="U178" ca="1">IFERROR(IF(OR('Raw Data'!U178="",LEN(TRIM('Raw Data'!U178))=0),"",IF(AND(LEN('Raw Data'!U178) &lt;= 5,LEN('Raw Data'!U178)&gt; 0),"",_xlfn.REGEXEXTRACT(CELL("address",'Raw Data'!U178),"\$([A-Z]+)\$[0-9]+"))),_xlfn.REGEXEXTRACT(CELL("address",'Raw Data'!U178),"\$([A-Z]+)\$[0-9]+"))</f>
        <v/>
      </c>
      <c r="V178" s="7" t="str" cm="1">
        <f t="array" aca="1" ref="V178" ca="1">IFERROR(IF(OR('Raw Data'!V178="",LEN(TRIM('Raw Data'!V178))=0),"",IF(AND(ISNUMBER('Raw Data'!V178), IFERROR('Raw Data'!V178 = ROUND('Raw Data'!V178, 2),FALSE)),"",_xlfn.REGEXEXTRACT(CELL("address",V178), "\$([A-Z]+)\$[0-9]+"))),_xlfn.REGEXEXTRACT(CELL("address",V178), "\$([A-Z]+)\$[0-9]+"))</f>
        <v/>
      </c>
      <c r="W178" s="7" t="str" cm="1">
        <f t="array" aca="1" ref="W178" ca="1">IFERROR(IF(OR('Raw Data'!W178="",LEN(TRIM('Raw Data'!W178))=0),"",IF(AND(ISNUMBER('Raw Data'!W178), IFERROR('Raw Data'!W178 = ROUND('Raw Data'!W178, 2),FALSE)),"",_xlfn.REGEXEXTRACT(CELL("address",W178), "\$([A-Z]+)\$[0-9]+"))),_xlfn.REGEXEXTRACT(CELL("address",W178), "\$([A-Z]+)\$[0-9]+"))</f>
        <v/>
      </c>
      <c r="X178" s="7" t="str" cm="1">
        <f t="array" aca="1" ref="X178" ca="1">IFERROR(IF(OR('Raw Data'!X178="",LEN(TRIM('Raw Data'!X178))=0),"",IF(AND(ISNUMBER('Raw Data'!X178), IFERROR('Raw Data'!X178 = ROUND('Raw Data'!X178, 2),FALSE)),"",_xlfn.REGEXEXTRACT(CELL("address",X178), "\$([A-Z]+)\$[0-9]+"))),_xlfn.REGEXEXTRACT(CELL("address",X178), "\$([A-Z]+)\$[0-9]+"))</f>
        <v/>
      </c>
    </row>
    <row r="179" spans="2:24" x14ac:dyDescent="0.25">
      <c r="B179" s="7" t="str" cm="1">
        <f t="array" aca="1" ref="B179" ca="1">IFERROR(IF(OR('Raw Data'!B179="",LEN(TRIM('Raw Data'!B179))=0),"",IF(AND(LEN('Raw Data'!B179) &lt;= 50,LEN('Raw Data'!B179)&gt; 0),"",_xlfn.REGEXEXTRACT(CELL("address",'Raw Data'!B179),"\$([A-Z]+)\$[0-9]+"))),_xlfn.REGEXEXTRACT(CELL("address",'Raw Data'!B179),"\$([A-Z]+)\$[0-9]+"))</f>
        <v/>
      </c>
      <c r="C179" s="7" t="str" cm="1">
        <f t="array" aca="1" ref="C179" ca="1">IFERROR(IF(OR('Raw Data'!C179="",LEN(TRIM('Raw Data'!C179))=0),"",IF(AND(LEN('Raw Data'!C179) &lt;= 50,LEN('Raw Data'!C179)&gt; 0),"",_xlfn.REGEXEXTRACT(CELL("address",'Raw Data'!C179),"\$([A-Z]+)\$[0-9]+"))),_xlfn.REGEXEXTRACT(CELL("address",'Raw Data'!C179),"\$([A-Z]+)\$[0-9]+"))</f>
        <v/>
      </c>
      <c r="D179" s="7" t="str" cm="1">
        <f t="array" aca="1" ref="D179" ca="1">IFERROR(IF(OR('Raw Data'!D179="",LEN(TRIM('Raw Data'!D179))=0),"",IF(AND(LEN('Raw Data'!D179) &lt;= 255,LEN('Raw Data'!D179)&gt; 0),"",_xlfn.REGEXEXTRACT(CELL("address",'Raw Data'!D179),"\$([A-Z]+)\$[0-9]+"))),_xlfn.REGEXEXTRACT(CELL("address",'Raw Data'!D179),"\$([A-Z]+)\$[0-9]+"))</f>
        <v/>
      </c>
      <c r="E179" s="7" t="str" cm="1">
        <f t="array" aca="1" ref="E179" ca="1">IFERROR(IF(OR('Raw Data'!E179="",LEN(TRIM('Raw Data'!E179))=0),"",IF(AND(ISNUMBER('Raw Data'!E179),'Raw Data'!E179&gt;=Configuration!$D$2),"",_xlfn.REGEXEXTRACT(CELL("address",'Raw Data'!E179),"\$([A-Z]+)\$[0-9]+"))),_xlfn.REGEXEXTRACT(CELL("address",E179), "\$([A-Z]+)\$[0-9]+"))</f>
        <v/>
      </c>
      <c r="F179" s="7" t="str" cm="1">
        <f t="array" aca="1" ref="F179" ca="1">IFERROR(IF(OR('Raw Data'!F179="",LEN(TRIM('Raw Data'!F179))=0),"",IF(AND(LEN('Raw Data'!F179) &lt;= 20,LEN('Raw Data'!F179)&gt; 0),"",_xlfn.REGEXEXTRACT(CELL("address",'Raw Data'!F179),"\$([A-Z]+)\$[0-9]+"))),_xlfn.REGEXEXTRACT(CELL("address",'Raw Data'!F179),"\$([A-Z]+)\$[0-9]+"))</f>
        <v/>
      </c>
      <c r="G179" s="7" t="str" cm="1">
        <f t="array" aca="1" ref="G179" ca="1">IFERROR(IF(OR('Raw Data'!G179="",LEN(TRIM('Raw Data'!G179))=0),"",IF(AND(ISNUMBER('Raw Data'!G179), IFERROR('Raw Data'!G179 = ROUND('Raw Data'!G179, 2),FALSE)),"",_xlfn.REGEXEXTRACT(CELL("address",G179), "\$([A-Z]+)\$[0-9]+"))),_xlfn.REGEXEXTRACT(CELL("address",G179), "\$([A-Z]+)\$[0-9]+"))</f>
        <v/>
      </c>
      <c r="H179" s="7" t="str" cm="1">
        <f t="array" aca="1" ref="H179" ca="1">IFERROR(IF(OR('Raw Data'!H179="",LEN(TRIM('Raw Data'!H179))=0),"",IF(AND(ISNUMBER('Raw Data'!H179), IFERROR('Raw Data'!H179 = ROUND('Raw Data'!H179, 2),FALSE)),"",_xlfn.REGEXEXTRACT(CELL("address",H179), "\$([A-Z]+)\$[0-9]+"))),_xlfn.REGEXEXTRACT(CELL("address",H179), "\$([A-Z]+)\$[0-9]+"))</f>
        <v/>
      </c>
      <c r="I179" s="7" t="str" cm="1">
        <f t="array" aca="1" ref="I179" ca="1">IFERROR(IF(OR('Raw Data'!I179="",LEN(TRIM('Raw Data'!I179))=0),"",IF(AND(LEN('Raw Data'!I179) &lt;= 50,LEN('Raw Data'!I179)&gt; 0),"",_xlfn.REGEXEXTRACT(CELL("address",'Raw Data'!I179),"\$([A-Z]+)\$[0-9]+"))),_xlfn.REGEXEXTRACT(CELL("address",'Raw Data'!I179),"\$([A-Z]+)\$[0-9]+"))</f>
        <v/>
      </c>
      <c r="J179" s="7" t="str" cm="1">
        <f t="array" aca="1" ref="J179" ca="1">IFERROR(IF(OR('Raw Data'!J179="",LEN(TRIM('Raw Data'!J179))=0),"",IF(AND(ISNUMBER('Raw Data'!J179),'Raw Data'!J179&gt;=Configuration!$D$2),"",_xlfn.REGEXEXTRACT(CELL("address",'Raw Data'!J179),"\$([A-Z]+)\$[0-9]+"))),_xlfn.REGEXEXTRACT(CELL("address",J179), "\$([A-Z]+)\$[0-9]+"))</f>
        <v/>
      </c>
      <c r="K179" s="7" t="str" cm="1">
        <f t="array" aca="1" ref="K179" ca="1">IFERROR(IF(OR('Raw Data'!K179="",LEN(TRIM('Raw Data'!K179))=0),"",IF(AND(ISNUMBER('Raw Data'!K179), IFERROR('Raw Data'!K179 = ROUND('Raw Data'!K179, 2),FALSE)),"",_xlfn.REGEXEXTRACT(CELL("address",K179), "\$([A-Z]+)\$[0-9]+"))),_xlfn.REGEXEXTRACT(CELL("address",K179), "\$([A-Z]+)\$[0-9]+"))</f>
        <v/>
      </c>
      <c r="L179" s="7" t="str" cm="1">
        <f t="array" aca="1" ref="L179" ca="1">IFERROR(IF(OR('Raw Data'!L179="",LEN(TRIM('Raw Data'!L179))=0),"",IF(AND(ISNUMBER('Raw Data'!L179), IFERROR('Raw Data'!L179 = ROUND('Raw Data'!L179, 2),FALSE)),"",_xlfn.REGEXEXTRACT(CELL("address",L179), "\$([A-Z]+)\$[0-9]+"))),_xlfn.REGEXEXTRACT(CELL("address",L179), "\$([A-Z]+)\$[0-9]+"))</f>
        <v/>
      </c>
      <c r="M179" s="7" t="str" cm="1">
        <f t="array" aca="1" ref="M179" ca="1">IFERROR(IF(OR('Raw Data'!M179="",LEN(TRIM('Raw Data'!M179))=0),"",IF(AND(ISNUMBER('Raw Data'!M179), IFERROR('Raw Data'!M179 = ROUND('Raw Data'!M179, 2),FALSE)),"",_xlfn.REGEXEXTRACT(CELL("address",M179), "\$([A-Z]+)\$[0-9]+"))),_xlfn.REGEXEXTRACT(CELL("address",M179), "\$([A-Z]+)\$[0-9]+"))</f>
        <v/>
      </c>
      <c r="N179" s="7" t="str" cm="1">
        <f t="array" aca="1" ref="N179" ca="1">IFERROR(IF(OR('Raw Data'!N179="",LEN(TRIM('Raw Data'!N179))=0),"",IF(AND(ISNUMBER('Raw Data'!N179), IFERROR('Raw Data'!N179 = ROUND('Raw Data'!N179, 2),FALSE)),"",_xlfn.REGEXEXTRACT(CELL("address",N179), "\$([A-Z]+)\$[0-9]+"))),_xlfn.REGEXEXTRACT(CELL("address",N179), "\$([A-Z]+)\$[0-9]+"))</f>
        <v/>
      </c>
      <c r="O179" s="7" t="str" cm="1">
        <f t="array" aca="1" ref="O179" ca="1">IFERROR(IF(OR('Raw Data'!O179="",LEN(TRIM('Raw Data'!O179))=0),"",IF(AND(ISNUMBER('Raw Data'!O179), IFERROR('Raw Data'!O179 = ROUND('Raw Data'!O179, 2),FALSE)),"",_xlfn.REGEXEXTRACT(CELL("address",O179), "\$([A-Z]+)\$[0-9]+"))),_xlfn.REGEXEXTRACT(CELL("address",O179), "\$([A-Z]+)\$[0-9]+"))</f>
        <v/>
      </c>
      <c r="P179" s="7" t="str" cm="1">
        <f t="array" aca="1" ref="P179" ca="1">IFERROR(IF(OR('Raw Data'!P179="",LEN(TRIM('Raw Data'!P179))=0),"",IF(AND(ISNUMBER('Raw Data'!P179),'Raw Data'!P179&gt;=Configuration!$D$2),"",_xlfn.REGEXEXTRACT(CELL("address",'Raw Data'!P179),"\$([A-Z]+)\$[0-9]+"))),_xlfn.REGEXEXTRACT(CELL("address",P179), "\$([A-Z]+)\$[0-9]+"))</f>
        <v/>
      </c>
      <c r="Q179" s="7" t="str" cm="1">
        <f t="array" aca="1" ref="Q179" ca="1">IFERROR(IF(OR('Raw Data'!Q179="",LEN(TRIM('Raw Data'!Q179))=0),"",IF(AND(ISNUMBER('Raw Data'!Q179),'Raw Data'!Q179&gt;=Configuration!$D$2),"",_xlfn.REGEXEXTRACT(CELL("address",'Raw Data'!Q179),"\$([A-Z]+)\$[0-9]+"))),_xlfn.REGEXEXTRACT(CELL("address",Q179), "\$([A-Z]+)\$[0-9]+"))</f>
        <v/>
      </c>
      <c r="R179" s="7" t="str" cm="1">
        <f t="array" aca="1" ref="R179" ca="1">IFERROR(IF(OR('Raw Data'!R179="",LEN(TRIM('Raw Data'!R179))=0),"",IF(AND(ISNUMBER('Raw Data'!R179), IFERROR('Raw Data'!R179 = ROUND('Raw Data'!R179, 2),FALSE)),"",_xlfn.REGEXEXTRACT(CELL("address",R179), "\$([A-Z]+)\$[0-9]+"))),_xlfn.REGEXEXTRACT(CELL("address",R179), "\$([A-Z]+)\$[0-9]+"))</f>
        <v/>
      </c>
      <c r="S179" s="7" t="str" cm="1">
        <f t="array" aca="1" ref="S179" ca="1">IFERROR(IF(OR('Raw Data'!S179="",LEN(TRIM('Raw Data'!S179))=0),"",IF(AND(ISNUMBER('Raw Data'!S179), IFERROR('Raw Data'!S179 = ROUND('Raw Data'!S179, 2),FALSE)),"",_xlfn.REGEXEXTRACT(CELL("address",S179), "\$([A-Z]+)\$[0-9]+"))),_xlfn.REGEXEXTRACT(CELL("address",S179), "\$([A-Z]+)\$[0-9]+"))</f>
        <v/>
      </c>
      <c r="T179" s="7" t="str" cm="1">
        <f t="array" aca="1" ref="T179" ca="1">IFERROR(IF(OR('Raw Data'!T179="",LEN(TRIM('Raw Data'!T179))=0),"",IF(AND(ISNUMBER('Raw Data'!T179), IFERROR('Raw Data'!T179 = ROUND('Raw Data'!T179, 2),FALSE)),"",_xlfn.REGEXEXTRACT(CELL("address",T179), "\$([A-Z]+)\$[0-9]+"))),_xlfn.REGEXEXTRACT(CELL("address",T179), "\$([A-Z]+)\$[0-9]+"))</f>
        <v/>
      </c>
      <c r="U179" s="7" t="str" cm="1">
        <f t="array" aca="1" ref="U179" ca="1">IFERROR(IF(OR('Raw Data'!U179="",LEN(TRIM('Raw Data'!U179))=0),"",IF(AND(LEN('Raw Data'!U179) &lt;= 5,LEN('Raw Data'!U179)&gt; 0),"",_xlfn.REGEXEXTRACT(CELL("address",'Raw Data'!U179),"\$([A-Z]+)\$[0-9]+"))),_xlfn.REGEXEXTRACT(CELL("address",'Raw Data'!U179),"\$([A-Z]+)\$[0-9]+"))</f>
        <v/>
      </c>
      <c r="V179" s="7" t="str" cm="1">
        <f t="array" aca="1" ref="V179" ca="1">IFERROR(IF(OR('Raw Data'!V179="",LEN(TRIM('Raw Data'!V179))=0),"",IF(AND(ISNUMBER('Raw Data'!V179), IFERROR('Raw Data'!V179 = ROUND('Raw Data'!V179, 2),FALSE)),"",_xlfn.REGEXEXTRACT(CELL("address",V179), "\$([A-Z]+)\$[0-9]+"))),_xlfn.REGEXEXTRACT(CELL("address",V179), "\$([A-Z]+)\$[0-9]+"))</f>
        <v/>
      </c>
      <c r="W179" s="7" t="str" cm="1">
        <f t="array" aca="1" ref="W179" ca="1">IFERROR(IF(OR('Raw Data'!W179="",LEN(TRIM('Raw Data'!W179))=0),"",IF(AND(ISNUMBER('Raw Data'!W179), IFERROR('Raw Data'!W179 = ROUND('Raw Data'!W179, 2),FALSE)),"",_xlfn.REGEXEXTRACT(CELL("address",W179), "\$([A-Z]+)\$[0-9]+"))),_xlfn.REGEXEXTRACT(CELL("address",W179), "\$([A-Z]+)\$[0-9]+"))</f>
        <v/>
      </c>
      <c r="X179" s="7" t="str" cm="1">
        <f t="array" aca="1" ref="X179" ca="1">IFERROR(IF(OR('Raw Data'!X179="",LEN(TRIM('Raw Data'!X179))=0),"",IF(AND(ISNUMBER('Raw Data'!X179), IFERROR('Raw Data'!X179 = ROUND('Raw Data'!X179, 2),FALSE)),"",_xlfn.REGEXEXTRACT(CELL("address",X179), "\$([A-Z]+)\$[0-9]+"))),_xlfn.REGEXEXTRACT(CELL("address",X179), "\$([A-Z]+)\$[0-9]+"))</f>
        <v/>
      </c>
    </row>
    <row r="180" spans="2:24" x14ac:dyDescent="0.25">
      <c r="B180" s="7" t="str" cm="1">
        <f t="array" aca="1" ref="B180" ca="1">IFERROR(IF(OR('Raw Data'!B180="",LEN(TRIM('Raw Data'!B180))=0),"",IF(AND(LEN('Raw Data'!B180) &lt;= 50,LEN('Raw Data'!B180)&gt; 0),"",_xlfn.REGEXEXTRACT(CELL("address",'Raw Data'!B180),"\$([A-Z]+)\$[0-9]+"))),_xlfn.REGEXEXTRACT(CELL("address",'Raw Data'!B180),"\$([A-Z]+)\$[0-9]+"))</f>
        <v/>
      </c>
      <c r="C180" s="7" t="str" cm="1">
        <f t="array" aca="1" ref="C180" ca="1">IFERROR(IF(OR('Raw Data'!C180="",LEN(TRIM('Raw Data'!C180))=0),"",IF(AND(LEN('Raw Data'!C180) &lt;= 50,LEN('Raw Data'!C180)&gt; 0),"",_xlfn.REGEXEXTRACT(CELL("address",'Raw Data'!C180),"\$([A-Z]+)\$[0-9]+"))),_xlfn.REGEXEXTRACT(CELL("address",'Raw Data'!C180),"\$([A-Z]+)\$[0-9]+"))</f>
        <v/>
      </c>
      <c r="D180" s="7" t="str" cm="1">
        <f t="array" aca="1" ref="D180" ca="1">IFERROR(IF(OR('Raw Data'!D180="",LEN(TRIM('Raw Data'!D180))=0),"",IF(AND(LEN('Raw Data'!D180) &lt;= 255,LEN('Raw Data'!D180)&gt; 0),"",_xlfn.REGEXEXTRACT(CELL("address",'Raw Data'!D180),"\$([A-Z]+)\$[0-9]+"))),_xlfn.REGEXEXTRACT(CELL("address",'Raw Data'!D180),"\$([A-Z]+)\$[0-9]+"))</f>
        <v/>
      </c>
      <c r="E180" s="7" t="str" cm="1">
        <f t="array" aca="1" ref="E180" ca="1">IFERROR(IF(OR('Raw Data'!E180="",LEN(TRIM('Raw Data'!E180))=0),"",IF(AND(ISNUMBER('Raw Data'!E180),'Raw Data'!E180&gt;=Configuration!$D$2),"",_xlfn.REGEXEXTRACT(CELL("address",'Raw Data'!E180),"\$([A-Z]+)\$[0-9]+"))),_xlfn.REGEXEXTRACT(CELL("address",E180), "\$([A-Z]+)\$[0-9]+"))</f>
        <v/>
      </c>
      <c r="F180" s="7" t="str" cm="1">
        <f t="array" aca="1" ref="F180" ca="1">IFERROR(IF(OR('Raw Data'!F180="",LEN(TRIM('Raw Data'!F180))=0),"",IF(AND(LEN('Raw Data'!F180) &lt;= 20,LEN('Raw Data'!F180)&gt; 0),"",_xlfn.REGEXEXTRACT(CELL("address",'Raw Data'!F180),"\$([A-Z]+)\$[0-9]+"))),_xlfn.REGEXEXTRACT(CELL("address",'Raw Data'!F180),"\$([A-Z]+)\$[0-9]+"))</f>
        <v/>
      </c>
      <c r="G180" s="7" t="str" cm="1">
        <f t="array" aca="1" ref="G180" ca="1">IFERROR(IF(OR('Raw Data'!G180="",LEN(TRIM('Raw Data'!G180))=0),"",IF(AND(ISNUMBER('Raw Data'!G180), IFERROR('Raw Data'!G180 = ROUND('Raw Data'!G180, 2),FALSE)),"",_xlfn.REGEXEXTRACT(CELL("address",G180), "\$([A-Z]+)\$[0-9]+"))),_xlfn.REGEXEXTRACT(CELL("address",G180), "\$([A-Z]+)\$[0-9]+"))</f>
        <v/>
      </c>
      <c r="H180" s="7" t="str" cm="1">
        <f t="array" aca="1" ref="H180" ca="1">IFERROR(IF(OR('Raw Data'!H180="",LEN(TRIM('Raw Data'!H180))=0),"",IF(AND(ISNUMBER('Raw Data'!H180), IFERROR('Raw Data'!H180 = ROUND('Raw Data'!H180, 2),FALSE)),"",_xlfn.REGEXEXTRACT(CELL("address",H180), "\$([A-Z]+)\$[0-9]+"))),_xlfn.REGEXEXTRACT(CELL("address",H180), "\$([A-Z]+)\$[0-9]+"))</f>
        <v/>
      </c>
      <c r="I180" s="7" t="str" cm="1">
        <f t="array" aca="1" ref="I180" ca="1">IFERROR(IF(OR('Raw Data'!I180="",LEN(TRIM('Raw Data'!I180))=0),"",IF(AND(LEN('Raw Data'!I180) &lt;= 50,LEN('Raw Data'!I180)&gt; 0),"",_xlfn.REGEXEXTRACT(CELL("address",'Raw Data'!I180),"\$([A-Z]+)\$[0-9]+"))),_xlfn.REGEXEXTRACT(CELL("address",'Raw Data'!I180),"\$([A-Z]+)\$[0-9]+"))</f>
        <v/>
      </c>
      <c r="J180" s="7" t="str" cm="1">
        <f t="array" aca="1" ref="J180" ca="1">IFERROR(IF(OR('Raw Data'!J180="",LEN(TRIM('Raw Data'!J180))=0),"",IF(AND(ISNUMBER('Raw Data'!J180),'Raw Data'!J180&gt;=Configuration!$D$2),"",_xlfn.REGEXEXTRACT(CELL("address",'Raw Data'!J180),"\$([A-Z]+)\$[0-9]+"))),_xlfn.REGEXEXTRACT(CELL("address",J180), "\$([A-Z]+)\$[0-9]+"))</f>
        <v/>
      </c>
      <c r="K180" s="7" t="str" cm="1">
        <f t="array" aca="1" ref="K180" ca="1">IFERROR(IF(OR('Raw Data'!K180="",LEN(TRIM('Raw Data'!K180))=0),"",IF(AND(ISNUMBER('Raw Data'!K180), IFERROR('Raw Data'!K180 = ROUND('Raw Data'!K180, 2),FALSE)),"",_xlfn.REGEXEXTRACT(CELL("address",K180), "\$([A-Z]+)\$[0-9]+"))),_xlfn.REGEXEXTRACT(CELL("address",K180), "\$([A-Z]+)\$[0-9]+"))</f>
        <v/>
      </c>
      <c r="L180" s="7" t="str" cm="1">
        <f t="array" aca="1" ref="L180" ca="1">IFERROR(IF(OR('Raw Data'!L180="",LEN(TRIM('Raw Data'!L180))=0),"",IF(AND(ISNUMBER('Raw Data'!L180), IFERROR('Raw Data'!L180 = ROUND('Raw Data'!L180, 2),FALSE)),"",_xlfn.REGEXEXTRACT(CELL("address",L180), "\$([A-Z]+)\$[0-9]+"))),_xlfn.REGEXEXTRACT(CELL("address",L180), "\$([A-Z]+)\$[0-9]+"))</f>
        <v/>
      </c>
      <c r="M180" s="7" t="str" cm="1">
        <f t="array" aca="1" ref="M180" ca="1">IFERROR(IF(OR('Raw Data'!M180="",LEN(TRIM('Raw Data'!M180))=0),"",IF(AND(ISNUMBER('Raw Data'!M180), IFERROR('Raw Data'!M180 = ROUND('Raw Data'!M180, 2),FALSE)),"",_xlfn.REGEXEXTRACT(CELL("address",M180), "\$([A-Z]+)\$[0-9]+"))),_xlfn.REGEXEXTRACT(CELL("address",M180), "\$([A-Z]+)\$[0-9]+"))</f>
        <v/>
      </c>
      <c r="N180" s="7" t="str" cm="1">
        <f t="array" aca="1" ref="N180" ca="1">IFERROR(IF(OR('Raw Data'!N180="",LEN(TRIM('Raw Data'!N180))=0),"",IF(AND(ISNUMBER('Raw Data'!N180), IFERROR('Raw Data'!N180 = ROUND('Raw Data'!N180, 2),FALSE)),"",_xlfn.REGEXEXTRACT(CELL("address",N180), "\$([A-Z]+)\$[0-9]+"))),_xlfn.REGEXEXTRACT(CELL("address",N180), "\$([A-Z]+)\$[0-9]+"))</f>
        <v/>
      </c>
      <c r="O180" s="7" t="str" cm="1">
        <f t="array" aca="1" ref="O180" ca="1">IFERROR(IF(OR('Raw Data'!O180="",LEN(TRIM('Raw Data'!O180))=0),"",IF(AND(ISNUMBER('Raw Data'!O180), IFERROR('Raw Data'!O180 = ROUND('Raw Data'!O180, 2),FALSE)),"",_xlfn.REGEXEXTRACT(CELL("address",O180), "\$([A-Z]+)\$[0-9]+"))),_xlfn.REGEXEXTRACT(CELL("address",O180), "\$([A-Z]+)\$[0-9]+"))</f>
        <v/>
      </c>
      <c r="P180" s="7" t="str" cm="1">
        <f t="array" aca="1" ref="P180" ca="1">IFERROR(IF(OR('Raw Data'!P180="",LEN(TRIM('Raw Data'!P180))=0),"",IF(AND(ISNUMBER('Raw Data'!P180),'Raw Data'!P180&gt;=Configuration!$D$2),"",_xlfn.REGEXEXTRACT(CELL("address",'Raw Data'!P180),"\$([A-Z]+)\$[0-9]+"))),_xlfn.REGEXEXTRACT(CELL("address",P180), "\$([A-Z]+)\$[0-9]+"))</f>
        <v/>
      </c>
      <c r="Q180" s="7" t="str" cm="1">
        <f t="array" aca="1" ref="Q180" ca="1">IFERROR(IF(OR('Raw Data'!Q180="",LEN(TRIM('Raw Data'!Q180))=0),"",IF(AND(ISNUMBER('Raw Data'!Q180),'Raw Data'!Q180&gt;=Configuration!$D$2),"",_xlfn.REGEXEXTRACT(CELL("address",'Raw Data'!Q180),"\$([A-Z]+)\$[0-9]+"))),_xlfn.REGEXEXTRACT(CELL("address",Q180), "\$([A-Z]+)\$[0-9]+"))</f>
        <v/>
      </c>
      <c r="R180" s="7" t="str" cm="1">
        <f t="array" aca="1" ref="R180" ca="1">IFERROR(IF(OR('Raw Data'!R180="",LEN(TRIM('Raw Data'!R180))=0),"",IF(AND(ISNUMBER('Raw Data'!R180), IFERROR('Raw Data'!R180 = ROUND('Raw Data'!R180, 2),FALSE)),"",_xlfn.REGEXEXTRACT(CELL("address",R180), "\$([A-Z]+)\$[0-9]+"))),_xlfn.REGEXEXTRACT(CELL("address",R180), "\$([A-Z]+)\$[0-9]+"))</f>
        <v/>
      </c>
      <c r="S180" s="7" t="str" cm="1">
        <f t="array" aca="1" ref="S180" ca="1">IFERROR(IF(OR('Raw Data'!S180="",LEN(TRIM('Raw Data'!S180))=0),"",IF(AND(ISNUMBER('Raw Data'!S180), IFERROR('Raw Data'!S180 = ROUND('Raw Data'!S180, 2),FALSE)),"",_xlfn.REGEXEXTRACT(CELL("address",S180), "\$([A-Z]+)\$[0-9]+"))),_xlfn.REGEXEXTRACT(CELL("address",S180), "\$([A-Z]+)\$[0-9]+"))</f>
        <v/>
      </c>
      <c r="T180" s="7" t="str" cm="1">
        <f t="array" aca="1" ref="T180" ca="1">IFERROR(IF(OR('Raw Data'!T180="",LEN(TRIM('Raw Data'!T180))=0),"",IF(AND(ISNUMBER('Raw Data'!T180), IFERROR('Raw Data'!T180 = ROUND('Raw Data'!T180, 2),FALSE)),"",_xlfn.REGEXEXTRACT(CELL("address",T180), "\$([A-Z]+)\$[0-9]+"))),_xlfn.REGEXEXTRACT(CELL("address",T180), "\$([A-Z]+)\$[0-9]+"))</f>
        <v/>
      </c>
      <c r="U180" s="7" t="str" cm="1">
        <f t="array" aca="1" ref="U180" ca="1">IFERROR(IF(OR('Raw Data'!U180="",LEN(TRIM('Raw Data'!U180))=0),"",IF(AND(LEN('Raw Data'!U180) &lt;= 5,LEN('Raw Data'!U180)&gt; 0),"",_xlfn.REGEXEXTRACT(CELL("address",'Raw Data'!U180),"\$([A-Z]+)\$[0-9]+"))),_xlfn.REGEXEXTRACT(CELL("address",'Raw Data'!U180),"\$([A-Z]+)\$[0-9]+"))</f>
        <v/>
      </c>
      <c r="V180" s="7" t="str" cm="1">
        <f t="array" aca="1" ref="V180" ca="1">IFERROR(IF(OR('Raw Data'!V180="",LEN(TRIM('Raw Data'!V180))=0),"",IF(AND(ISNUMBER('Raw Data'!V180), IFERROR('Raw Data'!V180 = ROUND('Raw Data'!V180, 2),FALSE)),"",_xlfn.REGEXEXTRACT(CELL("address",V180), "\$([A-Z]+)\$[0-9]+"))),_xlfn.REGEXEXTRACT(CELL("address",V180), "\$([A-Z]+)\$[0-9]+"))</f>
        <v/>
      </c>
      <c r="W180" s="7" t="str" cm="1">
        <f t="array" aca="1" ref="W180" ca="1">IFERROR(IF(OR('Raw Data'!W180="",LEN(TRIM('Raw Data'!W180))=0),"",IF(AND(ISNUMBER('Raw Data'!W180), IFERROR('Raw Data'!W180 = ROUND('Raw Data'!W180, 2),FALSE)),"",_xlfn.REGEXEXTRACT(CELL("address",W180), "\$([A-Z]+)\$[0-9]+"))),_xlfn.REGEXEXTRACT(CELL("address",W180), "\$([A-Z]+)\$[0-9]+"))</f>
        <v/>
      </c>
      <c r="X180" s="7" t="str" cm="1">
        <f t="array" aca="1" ref="X180" ca="1">IFERROR(IF(OR('Raw Data'!X180="",LEN(TRIM('Raw Data'!X180))=0),"",IF(AND(ISNUMBER('Raw Data'!X180), IFERROR('Raw Data'!X180 = ROUND('Raw Data'!X180, 2),FALSE)),"",_xlfn.REGEXEXTRACT(CELL("address",X180), "\$([A-Z]+)\$[0-9]+"))),_xlfn.REGEXEXTRACT(CELL("address",X180), "\$([A-Z]+)\$[0-9]+"))</f>
        <v/>
      </c>
    </row>
    <row r="181" spans="2:24" x14ac:dyDescent="0.25">
      <c r="B181" s="7" t="str" cm="1">
        <f t="array" aca="1" ref="B181" ca="1">IFERROR(IF(OR('Raw Data'!B181="",LEN(TRIM('Raw Data'!B181))=0),"",IF(AND(LEN('Raw Data'!B181) &lt;= 50,LEN('Raw Data'!B181)&gt; 0),"",_xlfn.REGEXEXTRACT(CELL("address",'Raw Data'!B181),"\$([A-Z]+)\$[0-9]+"))),_xlfn.REGEXEXTRACT(CELL("address",'Raw Data'!B181),"\$([A-Z]+)\$[0-9]+"))</f>
        <v/>
      </c>
      <c r="C181" s="7" t="str" cm="1">
        <f t="array" aca="1" ref="C181" ca="1">IFERROR(IF(OR('Raw Data'!C181="",LEN(TRIM('Raw Data'!C181))=0),"",IF(AND(LEN('Raw Data'!C181) &lt;= 50,LEN('Raw Data'!C181)&gt; 0),"",_xlfn.REGEXEXTRACT(CELL("address",'Raw Data'!C181),"\$([A-Z]+)\$[0-9]+"))),_xlfn.REGEXEXTRACT(CELL("address",'Raw Data'!C181),"\$([A-Z]+)\$[0-9]+"))</f>
        <v/>
      </c>
      <c r="D181" s="7" t="str" cm="1">
        <f t="array" aca="1" ref="D181" ca="1">IFERROR(IF(OR('Raw Data'!D181="",LEN(TRIM('Raw Data'!D181))=0),"",IF(AND(LEN('Raw Data'!D181) &lt;= 255,LEN('Raw Data'!D181)&gt; 0),"",_xlfn.REGEXEXTRACT(CELL("address",'Raw Data'!D181),"\$([A-Z]+)\$[0-9]+"))),_xlfn.REGEXEXTRACT(CELL("address",'Raw Data'!D181),"\$([A-Z]+)\$[0-9]+"))</f>
        <v/>
      </c>
      <c r="E181" s="7" t="str" cm="1">
        <f t="array" aca="1" ref="E181" ca="1">IFERROR(IF(OR('Raw Data'!E181="",LEN(TRIM('Raw Data'!E181))=0),"",IF(AND(ISNUMBER('Raw Data'!E181),'Raw Data'!E181&gt;=Configuration!$D$2),"",_xlfn.REGEXEXTRACT(CELL("address",'Raw Data'!E181),"\$([A-Z]+)\$[0-9]+"))),_xlfn.REGEXEXTRACT(CELL("address",E181), "\$([A-Z]+)\$[0-9]+"))</f>
        <v/>
      </c>
      <c r="F181" s="7" t="str" cm="1">
        <f t="array" aca="1" ref="F181" ca="1">IFERROR(IF(OR('Raw Data'!F181="",LEN(TRIM('Raw Data'!F181))=0),"",IF(AND(LEN('Raw Data'!F181) &lt;= 20,LEN('Raw Data'!F181)&gt; 0),"",_xlfn.REGEXEXTRACT(CELL("address",'Raw Data'!F181),"\$([A-Z]+)\$[0-9]+"))),_xlfn.REGEXEXTRACT(CELL("address",'Raw Data'!F181),"\$([A-Z]+)\$[0-9]+"))</f>
        <v/>
      </c>
      <c r="G181" s="7" t="str" cm="1">
        <f t="array" aca="1" ref="G181" ca="1">IFERROR(IF(OR('Raw Data'!G181="",LEN(TRIM('Raw Data'!G181))=0),"",IF(AND(ISNUMBER('Raw Data'!G181), IFERROR('Raw Data'!G181 = ROUND('Raw Data'!G181, 2),FALSE)),"",_xlfn.REGEXEXTRACT(CELL("address",G181), "\$([A-Z]+)\$[0-9]+"))),_xlfn.REGEXEXTRACT(CELL("address",G181), "\$([A-Z]+)\$[0-9]+"))</f>
        <v/>
      </c>
      <c r="H181" s="7" t="str" cm="1">
        <f t="array" aca="1" ref="H181" ca="1">IFERROR(IF(OR('Raw Data'!H181="",LEN(TRIM('Raw Data'!H181))=0),"",IF(AND(ISNUMBER('Raw Data'!H181), IFERROR('Raw Data'!H181 = ROUND('Raw Data'!H181, 2),FALSE)),"",_xlfn.REGEXEXTRACT(CELL("address",H181), "\$([A-Z]+)\$[0-9]+"))),_xlfn.REGEXEXTRACT(CELL("address",H181), "\$([A-Z]+)\$[0-9]+"))</f>
        <v/>
      </c>
      <c r="I181" s="7" t="str" cm="1">
        <f t="array" aca="1" ref="I181" ca="1">IFERROR(IF(OR('Raw Data'!I181="",LEN(TRIM('Raw Data'!I181))=0),"",IF(AND(LEN('Raw Data'!I181) &lt;= 50,LEN('Raw Data'!I181)&gt; 0),"",_xlfn.REGEXEXTRACT(CELL("address",'Raw Data'!I181),"\$([A-Z]+)\$[0-9]+"))),_xlfn.REGEXEXTRACT(CELL("address",'Raw Data'!I181),"\$([A-Z]+)\$[0-9]+"))</f>
        <v/>
      </c>
      <c r="J181" s="7" t="str" cm="1">
        <f t="array" aca="1" ref="J181" ca="1">IFERROR(IF(OR('Raw Data'!J181="",LEN(TRIM('Raw Data'!J181))=0),"",IF(AND(ISNUMBER('Raw Data'!J181),'Raw Data'!J181&gt;=Configuration!$D$2),"",_xlfn.REGEXEXTRACT(CELL("address",'Raw Data'!J181),"\$([A-Z]+)\$[0-9]+"))),_xlfn.REGEXEXTRACT(CELL("address",J181), "\$([A-Z]+)\$[0-9]+"))</f>
        <v/>
      </c>
      <c r="K181" s="7" t="str" cm="1">
        <f t="array" aca="1" ref="K181" ca="1">IFERROR(IF(OR('Raw Data'!K181="",LEN(TRIM('Raw Data'!K181))=0),"",IF(AND(ISNUMBER('Raw Data'!K181), IFERROR('Raw Data'!K181 = ROUND('Raw Data'!K181, 2),FALSE)),"",_xlfn.REGEXEXTRACT(CELL("address",K181), "\$([A-Z]+)\$[0-9]+"))),_xlfn.REGEXEXTRACT(CELL("address",K181), "\$([A-Z]+)\$[0-9]+"))</f>
        <v/>
      </c>
      <c r="L181" s="7" t="str" cm="1">
        <f t="array" aca="1" ref="L181" ca="1">IFERROR(IF(OR('Raw Data'!L181="",LEN(TRIM('Raw Data'!L181))=0),"",IF(AND(ISNUMBER('Raw Data'!L181), IFERROR('Raw Data'!L181 = ROUND('Raw Data'!L181, 2),FALSE)),"",_xlfn.REGEXEXTRACT(CELL("address",L181), "\$([A-Z]+)\$[0-9]+"))),_xlfn.REGEXEXTRACT(CELL("address",L181), "\$([A-Z]+)\$[0-9]+"))</f>
        <v/>
      </c>
      <c r="M181" s="7" t="str" cm="1">
        <f t="array" aca="1" ref="M181" ca="1">IFERROR(IF(OR('Raw Data'!M181="",LEN(TRIM('Raw Data'!M181))=0),"",IF(AND(ISNUMBER('Raw Data'!M181), IFERROR('Raw Data'!M181 = ROUND('Raw Data'!M181, 2),FALSE)),"",_xlfn.REGEXEXTRACT(CELL("address",M181), "\$([A-Z]+)\$[0-9]+"))),_xlfn.REGEXEXTRACT(CELL("address",M181), "\$([A-Z]+)\$[0-9]+"))</f>
        <v/>
      </c>
      <c r="N181" s="7" t="str" cm="1">
        <f t="array" aca="1" ref="N181" ca="1">IFERROR(IF(OR('Raw Data'!N181="",LEN(TRIM('Raw Data'!N181))=0),"",IF(AND(ISNUMBER('Raw Data'!N181), IFERROR('Raw Data'!N181 = ROUND('Raw Data'!N181, 2),FALSE)),"",_xlfn.REGEXEXTRACT(CELL("address",N181), "\$([A-Z]+)\$[0-9]+"))),_xlfn.REGEXEXTRACT(CELL("address",N181), "\$([A-Z]+)\$[0-9]+"))</f>
        <v/>
      </c>
      <c r="O181" s="7" t="str" cm="1">
        <f t="array" aca="1" ref="O181" ca="1">IFERROR(IF(OR('Raw Data'!O181="",LEN(TRIM('Raw Data'!O181))=0),"",IF(AND(ISNUMBER('Raw Data'!O181), IFERROR('Raw Data'!O181 = ROUND('Raw Data'!O181, 2),FALSE)),"",_xlfn.REGEXEXTRACT(CELL("address",O181), "\$([A-Z]+)\$[0-9]+"))),_xlfn.REGEXEXTRACT(CELL("address",O181), "\$([A-Z]+)\$[0-9]+"))</f>
        <v/>
      </c>
      <c r="P181" s="7" t="str" cm="1">
        <f t="array" aca="1" ref="P181" ca="1">IFERROR(IF(OR('Raw Data'!P181="",LEN(TRIM('Raw Data'!P181))=0),"",IF(AND(ISNUMBER('Raw Data'!P181),'Raw Data'!P181&gt;=Configuration!$D$2),"",_xlfn.REGEXEXTRACT(CELL("address",'Raw Data'!P181),"\$([A-Z]+)\$[0-9]+"))),_xlfn.REGEXEXTRACT(CELL("address",P181), "\$([A-Z]+)\$[0-9]+"))</f>
        <v/>
      </c>
      <c r="Q181" s="7" t="str" cm="1">
        <f t="array" aca="1" ref="Q181" ca="1">IFERROR(IF(OR('Raw Data'!Q181="",LEN(TRIM('Raw Data'!Q181))=0),"",IF(AND(ISNUMBER('Raw Data'!Q181),'Raw Data'!Q181&gt;=Configuration!$D$2),"",_xlfn.REGEXEXTRACT(CELL("address",'Raw Data'!Q181),"\$([A-Z]+)\$[0-9]+"))),_xlfn.REGEXEXTRACT(CELL("address",Q181), "\$([A-Z]+)\$[0-9]+"))</f>
        <v/>
      </c>
      <c r="R181" s="7" t="str" cm="1">
        <f t="array" aca="1" ref="R181" ca="1">IFERROR(IF(OR('Raw Data'!R181="",LEN(TRIM('Raw Data'!R181))=0),"",IF(AND(ISNUMBER('Raw Data'!R181), IFERROR('Raw Data'!R181 = ROUND('Raw Data'!R181, 2),FALSE)),"",_xlfn.REGEXEXTRACT(CELL("address",R181), "\$([A-Z]+)\$[0-9]+"))),_xlfn.REGEXEXTRACT(CELL("address",R181), "\$([A-Z]+)\$[0-9]+"))</f>
        <v/>
      </c>
      <c r="S181" s="7" t="str" cm="1">
        <f t="array" aca="1" ref="S181" ca="1">IFERROR(IF(OR('Raw Data'!S181="",LEN(TRIM('Raw Data'!S181))=0),"",IF(AND(ISNUMBER('Raw Data'!S181), IFERROR('Raw Data'!S181 = ROUND('Raw Data'!S181, 2),FALSE)),"",_xlfn.REGEXEXTRACT(CELL("address",S181), "\$([A-Z]+)\$[0-9]+"))),_xlfn.REGEXEXTRACT(CELL("address",S181), "\$([A-Z]+)\$[0-9]+"))</f>
        <v/>
      </c>
      <c r="T181" s="7" t="str" cm="1">
        <f t="array" aca="1" ref="T181" ca="1">IFERROR(IF(OR('Raw Data'!T181="",LEN(TRIM('Raw Data'!T181))=0),"",IF(AND(ISNUMBER('Raw Data'!T181), IFERROR('Raw Data'!T181 = ROUND('Raw Data'!T181, 2),FALSE)),"",_xlfn.REGEXEXTRACT(CELL("address",T181), "\$([A-Z]+)\$[0-9]+"))),_xlfn.REGEXEXTRACT(CELL("address",T181), "\$([A-Z]+)\$[0-9]+"))</f>
        <v/>
      </c>
      <c r="U181" s="7" t="str" cm="1">
        <f t="array" aca="1" ref="U181" ca="1">IFERROR(IF(OR('Raw Data'!U181="",LEN(TRIM('Raw Data'!U181))=0),"",IF(AND(LEN('Raw Data'!U181) &lt;= 5,LEN('Raw Data'!U181)&gt; 0),"",_xlfn.REGEXEXTRACT(CELL("address",'Raw Data'!U181),"\$([A-Z]+)\$[0-9]+"))),_xlfn.REGEXEXTRACT(CELL("address",'Raw Data'!U181),"\$([A-Z]+)\$[0-9]+"))</f>
        <v/>
      </c>
      <c r="V181" s="7" t="str" cm="1">
        <f t="array" aca="1" ref="V181" ca="1">IFERROR(IF(OR('Raw Data'!V181="",LEN(TRIM('Raw Data'!V181))=0),"",IF(AND(ISNUMBER('Raw Data'!V181), IFERROR('Raw Data'!V181 = ROUND('Raw Data'!V181, 2),FALSE)),"",_xlfn.REGEXEXTRACT(CELL("address",V181), "\$([A-Z]+)\$[0-9]+"))),_xlfn.REGEXEXTRACT(CELL("address",V181), "\$([A-Z]+)\$[0-9]+"))</f>
        <v/>
      </c>
      <c r="W181" s="7" t="str" cm="1">
        <f t="array" aca="1" ref="W181" ca="1">IFERROR(IF(OR('Raw Data'!W181="",LEN(TRIM('Raw Data'!W181))=0),"",IF(AND(ISNUMBER('Raw Data'!W181), IFERROR('Raw Data'!W181 = ROUND('Raw Data'!W181, 2),FALSE)),"",_xlfn.REGEXEXTRACT(CELL("address",W181), "\$([A-Z]+)\$[0-9]+"))),_xlfn.REGEXEXTRACT(CELL("address",W181), "\$([A-Z]+)\$[0-9]+"))</f>
        <v/>
      </c>
      <c r="X181" s="7" t="str" cm="1">
        <f t="array" aca="1" ref="X181" ca="1">IFERROR(IF(OR('Raw Data'!X181="",LEN(TRIM('Raw Data'!X181))=0),"",IF(AND(ISNUMBER('Raw Data'!X181), IFERROR('Raw Data'!X181 = ROUND('Raw Data'!X181, 2),FALSE)),"",_xlfn.REGEXEXTRACT(CELL("address",X181), "\$([A-Z]+)\$[0-9]+"))),_xlfn.REGEXEXTRACT(CELL("address",X181), "\$([A-Z]+)\$[0-9]+"))</f>
        <v/>
      </c>
    </row>
    <row r="182" spans="2:24" x14ac:dyDescent="0.25">
      <c r="B182" s="7" t="str" cm="1">
        <f t="array" aca="1" ref="B182" ca="1">IFERROR(IF(OR('Raw Data'!B182="",LEN(TRIM('Raw Data'!B182))=0),"",IF(AND(LEN('Raw Data'!B182) &lt;= 50,LEN('Raw Data'!B182)&gt; 0),"",_xlfn.REGEXEXTRACT(CELL("address",'Raw Data'!B182),"\$([A-Z]+)\$[0-9]+"))),_xlfn.REGEXEXTRACT(CELL("address",'Raw Data'!B182),"\$([A-Z]+)\$[0-9]+"))</f>
        <v/>
      </c>
      <c r="C182" s="7" t="str" cm="1">
        <f t="array" aca="1" ref="C182" ca="1">IFERROR(IF(OR('Raw Data'!C182="",LEN(TRIM('Raw Data'!C182))=0),"",IF(AND(LEN('Raw Data'!C182) &lt;= 50,LEN('Raw Data'!C182)&gt; 0),"",_xlfn.REGEXEXTRACT(CELL("address",'Raw Data'!C182),"\$([A-Z]+)\$[0-9]+"))),_xlfn.REGEXEXTRACT(CELL("address",'Raw Data'!C182),"\$([A-Z]+)\$[0-9]+"))</f>
        <v/>
      </c>
      <c r="D182" s="7" t="str" cm="1">
        <f t="array" aca="1" ref="D182" ca="1">IFERROR(IF(OR('Raw Data'!D182="",LEN(TRIM('Raw Data'!D182))=0),"",IF(AND(LEN('Raw Data'!D182) &lt;= 255,LEN('Raw Data'!D182)&gt; 0),"",_xlfn.REGEXEXTRACT(CELL("address",'Raw Data'!D182),"\$([A-Z]+)\$[0-9]+"))),_xlfn.REGEXEXTRACT(CELL("address",'Raw Data'!D182),"\$([A-Z]+)\$[0-9]+"))</f>
        <v/>
      </c>
      <c r="E182" s="7" t="str" cm="1">
        <f t="array" aca="1" ref="E182" ca="1">IFERROR(IF(OR('Raw Data'!E182="",LEN(TRIM('Raw Data'!E182))=0),"",IF(AND(ISNUMBER('Raw Data'!E182),'Raw Data'!E182&gt;=Configuration!$D$2),"",_xlfn.REGEXEXTRACT(CELL("address",'Raw Data'!E182),"\$([A-Z]+)\$[0-9]+"))),_xlfn.REGEXEXTRACT(CELL("address",E182), "\$([A-Z]+)\$[0-9]+"))</f>
        <v/>
      </c>
      <c r="F182" s="7" t="str" cm="1">
        <f t="array" aca="1" ref="F182" ca="1">IFERROR(IF(OR('Raw Data'!F182="",LEN(TRIM('Raw Data'!F182))=0),"",IF(AND(LEN('Raw Data'!F182) &lt;= 20,LEN('Raw Data'!F182)&gt; 0),"",_xlfn.REGEXEXTRACT(CELL("address",'Raw Data'!F182),"\$([A-Z]+)\$[0-9]+"))),_xlfn.REGEXEXTRACT(CELL("address",'Raw Data'!F182),"\$([A-Z]+)\$[0-9]+"))</f>
        <v/>
      </c>
      <c r="G182" s="7" t="str" cm="1">
        <f t="array" aca="1" ref="G182" ca="1">IFERROR(IF(OR('Raw Data'!G182="",LEN(TRIM('Raw Data'!G182))=0),"",IF(AND(ISNUMBER('Raw Data'!G182), IFERROR('Raw Data'!G182 = ROUND('Raw Data'!G182, 2),FALSE)),"",_xlfn.REGEXEXTRACT(CELL("address",G182), "\$([A-Z]+)\$[0-9]+"))),_xlfn.REGEXEXTRACT(CELL("address",G182), "\$([A-Z]+)\$[0-9]+"))</f>
        <v/>
      </c>
      <c r="H182" s="7" t="str" cm="1">
        <f t="array" aca="1" ref="H182" ca="1">IFERROR(IF(OR('Raw Data'!H182="",LEN(TRIM('Raw Data'!H182))=0),"",IF(AND(ISNUMBER('Raw Data'!H182), IFERROR('Raw Data'!H182 = ROUND('Raw Data'!H182, 2),FALSE)),"",_xlfn.REGEXEXTRACT(CELL("address",H182), "\$([A-Z]+)\$[0-9]+"))),_xlfn.REGEXEXTRACT(CELL("address",H182), "\$([A-Z]+)\$[0-9]+"))</f>
        <v/>
      </c>
      <c r="I182" s="7" t="str" cm="1">
        <f t="array" aca="1" ref="I182" ca="1">IFERROR(IF(OR('Raw Data'!I182="",LEN(TRIM('Raw Data'!I182))=0),"",IF(AND(LEN('Raw Data'!I182) &lt;= 50,LEN('Raw Data'!I182)&gt; 0),"",_xlfn.REGEXEXTRACT(CELL("address",'Raw Data'!I182),"\$([A-Z]+)\$[0-9]+"))),_xlfn.REGEXEXTRACT(CELL("address",'Raw Data'!I182),"\$([A-Z]+)\$[0-9]+"))</f>
        <v/>
      </c>
      <c r="J182" s="7" t="str" cm="1">
        <f t="array" aca="1" ref="J182" ca="1">IFERROR(IF(OR('Raw Data'!J182="",LEN(TRIM('Raw Data'!J182))=0),"",IF(AND(ISNUMBER('Raw Data'!J182),'Raw Data'!J182&gt;=Configuration!$D$2),"",_xlfn.REGEXEXTRACT(CELL("address",'Raw Data'!J182),"\$([A-Z]+)\$[0-9]+"))),_xlfn.REGEXEXTRACT(CELL("address",J182), "\$([A-Z]+)\$[0-9]+"))</f>
        <v/>
      </c>
      <c r="K182" s="7" t="str" cm="1">
        <f t="array" aca="1" ref="K182" ca="1">IFERROR(IF(OR('Raw Data'!K182="",LEN(TRIM('Raw Data'!K182))=0),"",IF(AND(ISNUMBER('Raw Data'!K182), IFERROR('Raw Data'!K182 = ROUND('Raw Data'!K182, 2),FALSE)),"",_xlfn.REGEXEXTRACT(CELL("address",K182), "\$([A-Z]+)\$[0-9]+"))),_xlfn.REGEXEXTRACT(CELL("address",K182), "\$([A-Z]+)\$[0-9]+"))</f>
        <v/>
      </c>
      <c r="L182" s="7" t="str" cm="1">
        <f t="array" aca="1" ref="L182" ca="1">IFERROR(IF(OR('Raw Data'!L182="",LEN(TRIM('Raw Data'!L182))=0),"",IF(AND(ISNUMBER('Raw Data'!L182), IFERROR('Raw Data'!L182 = ROUND('Raw Data'!L182, 2),FALSE)),"",_xlfn.REGEXEXTRACT(CELL("address",L182), "\$([A-Z]+)\$[0-9]+"))),_xlfn.REGEXEXTRACT(CELL("address",L182), "\$([A-Z]+)\$[0-9]+"))</f>
        <v/>
      </c>
      <c r="M182" s="7" t="str" cm="1">
        <f t="array" aca="1" ref="M182" ca="1">IFERROR(IF(OR('Raw Data'!M182="",LEN(TRIM('Raw Data'!M182))=0),"",IF(AND(ISNUMBER('Raw Data'!M182), IFERROR('Raw Data'!M182 = ROUND('Raw Data'!M182, 2),FALSE)),"",_xlfn.REGEXEXTRACT(CELL("address",M182), "\$([A-Z]+)\$[0-9]+"))),_xlfn.REGEXEXTRACT(CELL("address",M182), "\$([A-Z]+)\$[0-9]+"))</f>
        <v/>
      </c>
      <c r="N182" s="7" t="str" cm="1">
        <f t="array" aca="1" ref="N182" ca="1">IFERROR(IF(OR('Raw Data'!N182="",LEN(TRIM('Raw Data'!N182))=0),"",IF(AND(ISNUMBER('Raw Data'!N182), IFERROR('Raw Data'!N182 = ROUND('Raw Data'!N182, 2),FALSE)),"",_xlfn.REGEXEXTRACT(CELL("address",N182), "\$([A-Z]+)\$[0-9]+"))),_xlfn.REGEXEXTRACT(CELL("address",N182), "\$([A-Z]+)\$[0-9]+"))</f>
        <v/>
      </c>
      <c r="O182" s="7" t="str" cm="1">
        <f t="array" aca="1" ref="O182" ca="1">IFERROR(IF(OR('Raw Data'!O182="",LEN(TRIM('Raw Data'!O182))=0),"",IF(AND(ISNUMBER('Raw Data'!O182), IFERROR('Raw Data'!O182 = ROUND('Raw Data'!O182, 2),FALSE)),"",_xlfn.REGEXEXTRACT(CELL("address",O182), "\$([A-Z]+)\$[0-9]+"))),_xlfn.REGEXEXTRACT(CELL("address",O182), "\$([A-Z]+)\$[0-9]+"))</f>
        <v/>
      </c>
      <c r="P182" s="7" t="str" cm="1">
        <f t="array" aca="1" ref="P182" ca="1">IFERROR(IF(OR('Raw Data'!P182="",LEN(TRIM('Raw Data'!P182))=0),"",IF(AND(ISNUMBER('Raw Data'!P182),'Raw Data'!P182&gt;=Configuration!$D$2),"",_xlfn.REGEXEXTRACT(CELL("address",'Raw Data'!P182),"\$([A-Z]+)\$[0-9]+"))),_xlfn.REGEXEXTRACT(CELL("address",P182), "\$([A-Z]+)\$[0-9]+"))</f>
        <v/>
      </c>
      <c r="Q182" s="7" t="str" cm="1">
        <f t="array" aca="1" ref="Q182" ca="1">IFERROR(IF(OR('Raw Data'!Q182="",LEN(TRIM('Raw Data'!Q182))=0),"",IF(AND(ISNUMBER('Raw Data'!Q182),'Raw Data'!Q182&gt;=Configuration!$D$2),"",_xlfn.REGEXEXTRACT(CELL("address",'Raw Data'!Q182),"\$([A-Z]+)\$[0-9]+"))),_xlfn.REGEXEXTRACT(CELL("address",Q182), "\$([A-Z]+)\$[0-9]+"))</f>
        <v/>
      </c>
      <c r="R182" s="7" t="str" cm="1">
        <f t="array" aca="1" ref="R182" ca="1">IFERROR(IF(OR('Raw Data'!R182="",LEN(TRIM('Raw Data'!R182))=0),"",IF(AND(ISNUMBER('Raw Data'!R182), IFERROR('Raw Data'!R182 = ROUND('Raw Data'!R182, 2),FALSE)),"",_xlfn.REGEXEXTRACT(CELL("address",R182), "\$([A-Z]+)\$[0-9]+"))),_xlfn.REGEXEXTRACT(CELL("address",R182), "\$([A-Z]+)\$[0-9]+"))</f>
        <v/>
      </c>
      <c r="S182" s="7" t="str" cm="1">
        <f t="array" aca="1" ref="S182" ca="1">IFERROR(IF(OR('Raw Data'!S182="",LEN(TRIM('Raw Data'!S182))=0),"",IF(AND(ISNUMBER('Raw Data'!S182), IFERROR('Raw Data'!S182 = ROUND('Raw Data'!S182, 2),FALSE)),"",_xlfn.REGEXEXTRACT(CELL("address",S182), "\$([A-Z]+)\$[0-9]+"))),_xlfn.REGEXEXTRACT(CELL("address",S182), "\$([A-Z]+)\$[0-9]+"))</f>
        <v/>
      </c>
      <c r="T182" s="7" t="str" cm="1">
        <f t="array" aca="1" ref="T182" ca="1">IFERROR(IF(OR('Raw Data'!T182="",LEN(TRIM('Raw Data'!T182))=0),"",IF(AND(ISNUMBER('Raw Data'!T182), IFERROR('Raw Data'!T182 = ROUND('Raw Data'!T182, 2),FALSE)),"",_xlfn.REGEXEXTRACT(CELL("address",T182), "\$([A-Z]+)\$[0-9]+"))),_xlfn.REGEXEXTRACT(CELL("address",T182), "\$([A-Z]+)\$[0-9]+"))</f>
        <v/>
      </c>
      <c r="U182" s="7" t="str" cm="1">
        <f t="array" aca="1" ref="U182" ca="1">IFERROR(IF(OR('Raw Data'!U182="",LEN(TRIM('Raw Data'!U182))=0),"",IF(AND(LEN('Raw Data'!U182) &lt;= 5,LEN('Raw Data'!U182)&gt; 0),"",_xlfn.REGEXEXTRACT(CELL("address",'Raw Data'!U182),"\$([A-Z]+)\$[0-9]+"))),_xlfn.REGEXEXTRACT(CELL("address",'Raw Data'!U182),"\$([A-Z]+)\$[0-9]+"))</f>
        <v/>
      </c>
      <c r="V182" s="7" t="str" cm="1">
        <f t="array" aca="1" ref="V182" ca="1">IFERROR(IF(OR('Raw Data'!V182="",LEN(TRIM('Raw Data'!V182))=0),"",IF(AND(ISNUMBER('Raw Data'!V182), IFERROR('Raw Data'!V182 = ROUND('Raw Data'!V182, 2),FALSE)),"",_xlfn.REGEXEXTRACT(CELL("address",V182), "\$([A-Z]+)\$[0-9]+"))),_xlfn.REGEXEXTRACT(CELL("address",V182), "\$([A-Z]+)\$[0-9]+"))</f>
        <v/>
      </c>
      <c r="W182" s="7" t="str" cm="1">
        <f t="array" aca="1" ref="W182" ca="1">IFERROR(IF(OR('Raw Data'!W182="",LEN(TRIM('Raw Data'!W182))=0),"",IF(AND(ISNUMBER('Raw Data'!W182), IFERROR('Raw Data'!W182 = ROUND('Raw Data'!W182, 2),FALSE)),"",_xlfn.REGEXEXTRACT(CELL("address",W182), "\$([A-Z]+)\$[0-9]+"))),_xlfn.REGEXEXTRACT(CELL("address",W182), "\$([A-Z]+)\$[0-9]+"))</f>
        <v/>
      </c>
      <c r="X182" s="7" t="str" cm="1">
        <f t="array" aca="1" ref="X182" ca="1">IFERROR(IF(OR('Raw Data'!X182="",LEN(TRIM('Raw Data'!X182))=0),"",IF(AND(ISNUMBER('Raw Data'!X182), IFERROR('Raw Data'!X182 = ROUND('Raw Data'!X182, 2),FALSE)),"",_xlfn.REGEXEXTRACT(CELL("address",X182), "\$([A-Z]+)\$[0-9]+"))),_xlfn.REGEXEXTRACT(CELL("address",X182), "\$([A-Z]+)\$[0-9]+"))</f>
        <v/>
      </c>
    </row>
    <row r="183" spans="2:24" x14ac:dyDescent="0.25">
      <c r="B183" s="7" t="str" cm="1">
        <f t="array" aca="1" ref="B183" ca="1">IFERROR(IF(OR('Raw Data'!B183="",LEN(TRIM('Raw Data'!B183))=0),"",IF(AND(LEN('Raw Data'!B183) &lt;= 50,LEN('Raw Data'!B183)&gt; 0),"",_xlfn.REGEXEXTRACT(CELL("address",'Raw Data'!B183),"\$([A-Z]+)\$[0-9]+"))),_xlfn.REGEXEXTRACT(CELL("address",'Raw Data'!B183),"\$([A-Z]+)\$[0-9]+"))</f>
        <v/>
      </c>
      <c r="C183" s="7" t="str" cm="1">
        <f t="array" aca="1" ref="C183" ca="1">IFERROR(IF(OR('Raw Data'!C183="",LEN(TRIM('Raw Data'!C183))=0),"",IF(AND(LEN('Raw Data'!C183) &lt;= 50,LEN('Raw Data'!C183)&gt; 0),"",_xlfn.REGEXEXTRACT(CELL("address",'Raw Data'!C183),"\$([A-Z]+)\$[0-9]+"))),_xlfn.REGEXEXTRACT(CELL("address",'Raw Data'!C183),"\$([A-Z]+)\$[0-9]+"))</f>
        <v/>
      </c>
      <c r="D183" s="7" t="str" cm="1">
        <f t="array" aca="1" ref="D183" ca="1">IFERROR(IF(OR('Raw Data'!D183="",LEN(TRIM('Raw Data'!D183))=0),"",IF(AND(LEN('Raw Data'!D183) &lt;= 255,LEN('Raw Data'!D183)&gt; 0),"",_xlfn.REGEXEXTRACT(CELL("address",'Raw Data'!D183),"\$([A-Z]+)\$[0-9]+"))),_xlfn.REGEXEXTRACT(CELL("address",'Raw Data'!D183),"\$([A-Z]+)\$[0-9]+"))</f>
        <v/>
      </c>
      <c r="E183" s="7" t="str" cm="1">
        <f t="array" aca="1" ref="E183" ca="1">IFERROR(IF(OR('Raw Data'!E183="",LEN(TRIM('Raw Data'!E183))=0),"",IF(AND(ISNUMBER('Raw Data'!E183),'Raw Data'!E183&gt;=Configuration!$D$2),"",_xlfn.REGEXEXTRACT(CELL("address",'Raw Data'!E183),"\$([A-Z]+)\$[0-9]+"))),_xlfn.REGEXEXTRACT(CELL("address",E183), "\$([A-Z]+)\$[0-9]+"))</f>
        <v/>
      </c>
      <c r="F183" s="7" t="str" cm="1">
        <f t="array" aca="1" ref="F183" ca="1">IFERROR(IF(OR('Raw Data'!F183="",LEN(TRIM('Raw Data'!F183))=0),"",IF(AND(LEN('Raw Data'!F183) &lt;= 20,LEN('Raw Data'!F183)&gt; 0),"",_xlfn.REGEXEXTRACT(CELL("address",'Raw Data'!F183),"\$([A-Z]+)\$[0-9]+"))),_xlfn.REGEXEXTRACT(CELL("address",'Raw Data'!F183),"\$([A-Z]+)\$[0-9]+"))</f>
        <v/>
      </c>
      <c r="G183" s="7" t="str" cm="1">
        <f t="array" aca="1" ref="G183" ca="1">IFERROR(IF(OR('Raw Data'!G183="",LEN(TRIM('Raw Data'!G183))=0),"",IF(AND(ISNUMBER('Raw Data'!G183), IFERROR('Raw Data'!G183 = ROUND('Raw Data'!G183, 2),FALSE)),"",_xlfn.REGEXEXTRACT(CELL("address",G183), "\$([A-Z]+)\$[0-9]+"))),_xlfn.REGEXEXTRACT(CELL("address",G183), "\$([A-Z]+)\$[0-9]+"))</f>
        <v/>
      </c>
      <c r="H183" s="7" t="str" cm="1">
        <f t="array" aca="1" ref="H183" ca="1">IFERROR(IF(OR('Raw Data'!H183="",LEN(TRIM('Raw Data'!H183))=0),"",IF(AND(ISNUMBER('Raw Data'!H183), IFERROR('Raw Data'!H183 = ROUND('Raw Data'!H183, 2),FALSE)),"",_xlfn.REGEXEXTRACT(CELL("address",H183), "\$([A-Z]+)\$[0-9]+"))),_xlfn.REGEXEXTRACT(CELL("address",H183), "\$([A-Z]+)\$[0-9]+"))</f>
        <v/>
      </c>
      <c r="I183" s="7" t="str" cm="1">
        <f t="array" aca="1" ref="I183" ca="1">IFERROR(IF(OR('Raw Data'!I183="",LEN(TRIM('Raw Data'!I183))=0),"",IF(AND(LEN('Raw Data'!I183) &lt;= 50,LEN('Raw Data'!I183)&gt; 0),"",_xlfn.REGEXEXTRACT(CELL("address",'Raw Data'!I183),"\$([A-Z]+)\$[0-9]+"))),_xlfn.REGEXEXTRACT(CELL("address",'Raw Data'!I183),"\$([A-Z]+)\$[0-9]+"))</f>
        <v/>
      </c>
      <c r="J183" s="7" t="str" cm="1">
        <f t="array" aca="1" ref="J183" ca="1">IFERROR(IF(OR('Raw Data'!J183="",LEN(TRIM('Raw Data'!J183))=0),"",IF(AND(ISNUMBER('Raw Data'!J183),'Raw Data'!J183&gt;=Configuration!$D$2),"",_xlfn.REGEXEXTRACT(CELL("address",'Raw Data'!J183),"\$([A-Z]+)\$[0-9]+"))),_xlfn.REGEXEXTRACT(CELL("address",J183), "\$([A-Z]+)\$[0-9]+"))</f>
        <v/>
      </c>
      <c r="K183" s="7" t="str" cm="1">
        <f t="array" aca="1" ref="K183" ca="1">IFERROR(IF(OR('Raw Data'!K183="",LEN(TRIM('Raw Data'!K183))=0),"",IF(AND(ISNUMBER('Raw Data'!K183), IFERROR('Raw Data'!K183 = ROUND('Raw Data'!K183, 2),FALSE)),"",_xlfn.REGEXEXTRACT(CELL("address",K183), "\$([A-Z]+)\$[0-9]+"))),_xlfn.REGEXEXTRACT(CELL("address",K183), "\$([A-Z]+)\$[0-9]+"))</f>
        <v/>
      </c>
      <c r="L183" s="7" t="str" cm="1">
        <f t="array" aca="1" ref="L183" ca="1">IFERROR(IF(OR('Raw Data'!L183="",LEN(TRIM('Raw Data'!L183))=0),"",IF(AND(ISNUMBER('Raw Data'!L183), IFERROR('Raw Data'!L183 = ROUND('Raw Data'!L183, 2),FALSE)),"",_xlfn.REGEXEXTRACT(CELL("address",L183), "\$([A-Z]+)\$[0-9]+"))),_xlfn.REGEXEXTRACT(CELL("address",L183), "\$([A-Z]+)\$[0-9]+"))</f>
        <v/>
      </c>
      <c r="M183" s="7" t="str" cm="1">
        <f t="array" aca="1" ref="M183" ca="1">IFERROR(IF(OR('Raw Data'!M183="",LEN(TRIM('Raw Data'!M183))=0),"",IF(AND(ISNUMBER('Raw Data'!M183), IFERROR('Raw Data'!M183 = ROUND('Raw Data'!M183, 2),FALSE)),"",_xlfn.REGEXEXTRACT(CELL("address",M183), "\$([A-Z]+)\$[0-9]+"))),_xlfn.REGEXEXTRACT(CELL("address",M183), "\$([A-Z]+)\$[0-9]+"))</f>
        <v/>
      </c>
      <c r="N183" s="7" t="str" cm="1">
        <f t="array" aca="1" ref="N183" ca="1">IFERROR(IF(OR('Raw Data'!N183="",LEN(TRIM('Raw Data'!N183))=0),"",IF(AND(ISNUMBER('Raw Data'!N183), IFERROR('Raw Data'!N183 = ROUND('Raw Data'!N183, 2),FALSE)),"",_xlfn.REGEXEXTRACT(CELL("address",N183), "\$([A-Z]+)\$[0-9]+"))),_xlfn.REGEXEXTRACT(CELL("address",N183), "\$([A-Z]+)\$[0-9]+"))</f>
        <v/>
      </c>
      <c r="O183" s="7" t="str" cm="1">
        <f t="array" aca="1" ref="O183" ca="1">IFERROR(IF(OR('Raw Data'!O183="",LEN(TRIM('Raw Data'!O183))=0),"",IF(AND(ISNUMBER('Raw Data'!O183), IFERROR('Raw Data'!O183 = ROUND('Raw Data'!O183, 2),FALSE)),"",_xlfn.REGEXEXTRACT(CELL("address",O183), "\$([A-Z]+)\$[0-9]+"))),_xlfn.REGEXEXTRACT(CELL("address",O183), "\$([A-Z]+)\$[0-9]+"))</f>
        <v/>
      </c>
      <c r="P183" s="7" t="str" cm="1">
        <f t="array" aca="1" ref="P183" ca="1">IFERROR(IF(OR('Raw Data'!P183="",LEN(TRIM('Raw Data'!P183))=0),"",IF(AND(ISNUMBER('Raw Data'!P183),'Raw Data'!P183&gt;=Configuration!$D$2),"",_xlfn.REGEXEXTRACT(CELL("address",'Raw Data'!P183),"\$([A-Z]+)\$[0-9]+"))),_xlfn.REGEXEXTRACT(CELL("address",P183), "\$([A-Z]+)\$[0-9]+"))</f>
        <v/>
      </c>
      <c r="Q183" s="7" t="str" cm="1">
        <f t="array" aca="1" ref="Q183" ca="1">IFERROR(IF(OR('Raw Data'!Q183="",LEN(TRIM('Raw Data'!Q183))=0),"",IF(AND(ISNUMBER('Raw Data'!Q183),'Raw Data'!Q183&gt;=Configuration!$D$2),"",_xlfn.REGEXEXTRACT(CELL("address",'Raw Data'!Q183),"\$([A-Z]+)\$[0-9]+"))),_xlfn.REGEXEXTRACT(CELL("address",Q183), "\$([A-Z]+)\$[0-9]+"))</f>
        <v/>
      </c>
      <c r="R183" s="7" t="str" cm="1">
        <f t="array" aca="1" ref="R183" ca="1">IFERROR(IF(OR('Raw Data'!R183="",LEN(TRIM('Raw Data'!R183))=0),"",IF(AND(ISNUMBER('Raw Data'!R183), IFERROR('Raw Data'!R183 = ROUND('Raw Data'!R183, 2),FALSE)),"",_xlfn.REGEXEXTRACT(CELL("address",R183), "\$([A-Z]+)\$[0-9]+"))),_xlfn.REGEXEXTRACT(CELL("address",R183), "\$([A-Z]+)\$[0-9]+"))</f>
        <v/>
      </c>
      <c r="S183" s="7" t="str" cm="1">
        <f t="array" aca="1" ref="S183" ca="1">IFERROR(IF(OR('Raw Data'!S183="",LEN(TRIM('Raw Data'!S183))=0),"",IF(AND(ISNUMBER('Raw Data'!S183), IFERROR('Raw Data'!S183 = ROUND('Raw Data'!S183, 2),FALSE)),"",_xlfn.REGEXEXTRACT(CELL("address",S183), "\$([A-Z]+)\$[0-9]+"))),_xlfn.REGEXEXTRACT(CELL("address",S183), "\$([A-Z]+)\$[0-9]+"))</f>
        <v/>
      </c>
      <c r="T183" s="7" t="str" cm="1">
        <f t="array" aca="1" ref="T183" ca="1">IFERROR(IF(OR('Raw Data'!T183="",LEN(TRIM('Raw Data'!T183))=0),"",IF(AND(ISNUMBER('Raw Data'!T183), IFERROR('Raw Data'!T183 = ROUND('Raw Data'!T183, 2),FALSE)),"",_xlfn.REGEXEXTRACT(CELL("address",T183), "\$([A-Z]+)\$[0-9]+"))),_xlfn.REGEXEXTRACT(CELL("address",T183), "\$([A-Z]+)\$[0-9]+"))</f>
        <v/>
      </c>
      <c r="U183" s="7" t="str" cm="1">
        <f t="array" aca="1" ref="U183" ca="1">IFERROR(IF(OR('Raw Data'!U183="",LEN(TRIM('Raw Data'!U183))=0),"",IF(AND(LEN('Raw Data'!U183) &lt;= 5,LEN('Raw Data'!U183)&gt; 0),"",_xlfn.REGEXEXTRACT(CELL("address",'Raw Data'!U183),"\$([A-Z]+)\$[0-9]+"))),_xlfn.REGEXEXTRACT(CELL("address",'Raw Data'!U183),"\$([A-Z]+)\$[0-9]+"))</f>
        <v/>
      </c>
      <c r="V183" s="7" t="str" cm="1">
        <f t="array" aca="1" ref="V183" ca="1">IFERROR(IF(OR('Raw Data'!V183="",LEN(TRIM('Raw Data'!V183))=0),"",IF(AND(ISNUMBER('Raw Data'!V183), IFERROR('Raw Data'!V183 = ROUND('Raw Data'!V183, 2),FALSE)),"",_xlfn.REGEXEXTRACT(CELL("address",V183), "\$([A-Z]+)\$[0-9]+"))),_xlfn.REGEXEXTRACT(CELL("address",V183), "\$([A-Z]+)\$[0-9]+"))</f>
        <v/>
      </c>
      <c r="W183" s="7" t="str" cm="1">
        <f t="array" aca="1" ref="W183" ca="1">IFERROR(IF(OR('Raw Data'!W183="",LEN(TRIM('Raw Data'!W183))=0),"",IF(AND(ISNUMBER('Raw Data'!W183), IFERROR('Raw Data'!W183 = ROUND('Raw Data'!W183, 2),FALSE)),"",_xlfn.REGEXEXTRACT(CELL("address",W183), "\$([A-Z]+)\$[0-9]+"))),_xlfn.REGEXEXTRACT(CELL("address",W183), "\$([A-Z]+)\$[0-9]+"))</f>
        <v/>
      </c>
      <c r="X183" s="7" t="str" cm="1">
        <f t="array" aca="1" ref="X183" ca="1">IFERROR(IF(OR('Raw Data'!X183="",LEN(TRIM('Raw Data'!X183))=0),"",IF(AND(ISNUMBER('Raw Data'!X183), IFERROR('Raw Data'!X183 = ROUND('Raw Data'!X183, 2),FALSE)),"",_xlfn.REGEXEXTRACT(CELL("address",X183), "\$([A-Z]+)\$[0-9]+"))),_xlfn.REGEXEXTRACT(CELL("address",X183), "\$([A-Z]+)\$[0-9]+"))</f>
        <v/>
      </c>
    </row>
    <row r="184" spans="2:24" x14ac:dyDescent="0.25">
      <c r="B184" s="7" t="str" cm="1">
        <f t="array" aca="1" ref="B184" ca="1">IFERROR(IF(OR('Raw Data'!B184="",LEN(TRIM('Raw Data'!B184))=0),"",IF(AND(LEN('Raw Data'!B184) &lt;= 50,LEN('Raw Data'!B184)&gt; 0),"",_xlfn.REGEXEXTRACT(CELL("address",'Raw Data'!B184),"\$([A-Z]+)\$[0-9]+"))),_xlfn.REGEXEXTRACT(CELL("address",'Raw Data'!B184),"\$([A-Z]+)\$[0-9]+"))</f>
        <v/>
      </c>
      <c r="C184" s="7" t="str" cm="1">
        <f t="array" aca="1" ref="C184" ca="1">IFERROR(IF(OR('Raw Data'!C184="",LEN(TRIM('Raw Data'!C184))=0),"",IF(AND(LEN('Raw Data'!C184) &lt;= 50,LEN('Raw Data'!C184)&gt; 0),"",_xlfn.REGEXEXTRACT(CELL("address",'Raw Data'!C184),"\$([A-Z]+)\$[0-9]+"))),_xlfn.REGEXEXTRACT(CELL("address",'Raw Data'!C184),"\$([A-Z]+)\$[0-9]+"))</f>
        <v/>
      </c>
      <c r="D184" s="7" t="str" cm="1">
        <f t="array" aca="1" ref="D184" ca="1">IFERROR(IF(OR('Raw Data'!D184="",LEN(TRIM('Raw Data'!D184))=0),"",IF(AND(LEN('Raw Data'!D184) &lt;= 255,LEN('Raw Data'!D184)&gt; 0),"",_xlfn.REGEXEXTRACT(CELL("address",'Raw Data'!D184),"\$([A-Z]+)\$[0-9]+"))),_xlfn.REGEXEXTRACT(CELL("address",'Raw Data'!D184),"\$([A-Z]+)\$[0-9]+"))</f>
        <v/>
      </c>
      <c r="E184" s="7" t="str" cm="1">
        <f t="array" aca="1" ref="E184" ca="1">IFERROR(IF(OR('Raw Data'!E184="",LEN(TRIM('Raw Data'!E184))=0),"",IF(AND(ISNUMBER('Raw Data'!E184),'Raw Data'!E184&gt;=Configuration!$D$2),"",_xlfn.REGEXEXTRACT(CELL("address",'Raw Data'!E184),"\$([A-Z]+)\$[0-9]+"))),_xlfn.REGEXEXTRACT(CELL("address",E184), "\$([A-Z]+)\$[0-9]+"))</f>
        <v/>
      </c>
      <c r="F184" s="7" t="str" cm="1">
        <f t="array" aca="1" ref="F184" ca="1">IFERROR(IF(OR('Raw Data'!F184="",LEN(TRIM('Raw Data'!F184))=0),"",IF(AND(LEN('Raw Data'!F184) &lt;= 20,LEN('Raw Data'!F184)&gt; 0),"",_xlfn.REGEXEXTRACT(CELL("address",'Raw Data'!F184),"\$([A-Z]+)\$[0-9]+"))),_xlfn.REGEXEXTRACT(CELL("address",'Raw Data'!F184),"\$([A-Z]+)\$[0-9]+"))</f>
        <v/>
      </c>
      <c r="G184" s="7" t="str" cm="1">
        <f t="array" aca="1" ref="G184" ca="1">IFERROR(IF(OR('Raw Data'!G184="",LEN(TRIM('Raw Data'!G184))=0),"",IF(AND(ISNUMBER('Raw Data'!G184), IFERROR('Raw Data'!G184 = ROUND('Raw Data'!G184, 2),FALSE)),"",_xlfn.REGEXEXTRACT(CELL("address",G184), "\$([A-Z]+)\$[0-9]+"))),_xlfn.REGEXEXTRACT(CELL("address",G184), "\$([A-Z]+)\$[0-9]+"))</f>
        <v/>
      </c>
      <c r="H184" s="7" t="str" cm="1">
        <f t="array" aca="1" ref="H184" ca="1">IFERROR(IF(OR('Raw Data'!H184="",LEN(TRIM('Raw Data'!H184))=0),"",IF(AND(ISNUMBER('Raw Data'!H184), IFERROR('Raw Data'!H184 = ROUND('Raw Data'!H184, 2),FALSE)),"",_xlfn.REGEXEXTRACT(CELL("address",H184), "\$([A-Z]+)\$[0-9]+"))),_xlfn.REGEXEXTRACT(CELL("address",H184), "\$([A-Z]+)\$[0-9]+"))</f>
        <v/>
      </c>
      <c r="I184" s="7" t="str" cm="1">
        <f t="array" aca="1" ref="I184" ca="1">IFERROR(IF(OR('Raw Data'!I184="",LEN(TRIM('Raw Data'!I184))=0),"",IF(AND(LEN('Raw Data'!I184) &lt;= 50,LEN('Raw Data'!I184)&gt; 0),"",_xlfn.REGEXEXTRACT(CELL("address",'Raw Data'!I184),"\$([A-Z]+)\$[0-9]+"))),_xlfn.REGEXEXTRACT(CELL("address",'Raw Data'!I184),"\$([A-Z]+)\$[0-9]+"))</f>
        <v/>
      </c>
      <c r="J184" s="7" t="str" cm="1">
        <f t="array" aca="1" ref="J184" ca="1">IFERROR(IF(OR('Raw Data'!J184="",LEN(TRIM('Raw Data'!J184))=0),"",IF(AND(ISNUMBER('Raw Data'!J184),'Raw Data'!J184&gt;=Configuration!$D$2),"",_xlfn.REGEXEXTRACT(CELL("address",'Raw Data'!J184),"\$([A-Z]+)\$[0-9]+"))),_xlfn.REGEXEXTRACT(CELL("address",J184), "\$([A-Z]+)\$[0-9]+"))</f>
        <v/>
      </c>
      <c r="K184" s="7" t="str" cm="1">
        <f t="array" aca="1" ref="K184" ca="1">IFERROR(IF(OR('Raw Data'!K184="",LEN(TRIM('Raw Data'!K184))=0),"",IF(AND(ISNUMBER('Raw Data'!K184), IFERROR('Raw Data'!K184 = ROUND('Raw Data'!K184, 2),FALSE)),"",_xlfn.REGEXEXTRACT(CELL("address",K184), "\$([A-Z]+)\$[0-9]+"))),_xlfn.REGEXEXTRACT(CELL("address",K184), "\$([A-Z]+)\$[0-9]+"))</f>
        <v/>
      </c>
      <c r="L184" s="7" t="str" cm="1">
        <f t="array" aca="1" ref="L184" ca="1">IFERROR(IF(OR('Raw Data'!L184="",LEN(TRIM('Raw Data'!L184))=0),"",IF(AND(ISNUMBER('Raw Data'!L184), IFERROR('Raw Data'!L184 = ROUND('Raw Data'!L184, 2),FALSE)),"",_xlfn.REGEXEXTRACT(CELL("address",L184), "\$([A-Z]+)\$[0-9]+"))),_xlfn.REGEXEXTRACT(CELL("address",L184), "\$([A-Z]+)\$[0-9]+"))</f>
        <v/>
      </c>
      <c r="M184" s="7" t="str" cm="1">
        <f t="array" aca="1" ref="M184" ca="1">IFERROR(IF(OR('Raw Data'!M184="",LEN(TRIM('Raw Data'!M184))=0),"",IF(AND(ISNUMBER('Raw Data'!M184), IFERROR('Raw Data'!M184 = ROUND('Raw Data'!M184, 2),FALSE)),"",_xlfn.REGEXEXTRACT(CELL("address",M184), "\$([A-Z]+)\$[0-9]+"))),_xlfn.REGEXEXTRACT(CELL("address",M184), "\$([A-Z]+)\$[0-9]+"))</f>
        <v/>
      </c>
      <c r="N184" s="7" t="str" cm="1">
        <f t="array" aca="1" ref="N184" ca="1">IFERROR(IF(OR('Raw Data'!N184="",LEN(TRIM('Raw Data'!N184))=0),"",IF(AND(ISNUMBER('Raw Data'!N184), IFERROR('Raw Data'!N184 = ROUND('Raw Data'!N184, 2),FALSE)),"",_xlfn.REGEXEXTRACT(CELL("address",N184), "\$([A-Z]+)\$[0-9]+"))),_xlfn.REGEXEXTRACT(CELL("address",N184), "\$([A-Z]+)\$[0-9]+"))</f>
        <v/>
      </c>
      <c r="O184" s="7" t="str" cm="1">
        <f t="array" aca="1" ref="O184" ca="1">IFERROR(IF(OR('Raw Data'!O184="",LEN(TRIM('Raw Data'!O184))=0),"",IF(AND(ISNUMBER('Raw Data'!O184), IFERROR('Raw Data'!O184 = ROUND('Raw Data'!O184, 2),FALSE)),"",_xlfn.REGEXEXTRACT(CELL("address",O184), "\$([A-Z]+)\$[0-9]+"))),_xlfn.REGEXEXTRACT(CELL("address",O184), "\$([A-Z]+)\$[0-9]+"))</f>
        <v/>
      </c>
      <c r="P184" s="7" t="str" cm="1">
        <f t="array" aca="1" ref="P184" ca="1">IFERROR(IF(OR('Raw Data'!P184="",LEN(TRIM('Raw Data'!P184))=0),"",IF(AND(ISNUMBER('Raw Data'!P184),'Raw Data'!P184&gt;=Configuration!$D$2),"",_xlfn.REGEXEXTRACT(CELL("address",'Raw Data'!P184),"\$([A-Z]+)\$[0-9]+"))),_xlfn.REGEXEXTRACT(CELL("address",P184), "\$([A-Z]+)\$[0-9]+"))</f>
        <v/>
      </c>
      <c r="Q184" s="7" t="str" cm="1">
        <f t="array" aca="1" ref="Q184" ca="1">IFERROR(IF(OR('Raw Data'!Q184="",LEN(TRIM('Raw Data'!Q184))=0),"",IF(AND(ISNUMBER('Raw Data'!Q184),'Raw Data'!Q184&gt;=Configuration!$D$2),"",_xlfn.REGEXEXTRACT(CELL("address",'Raw Data'!Q184),"\$([A-Z]+)\$[0-9]+"))),_xlfn.REGEXEXTRACT(CELL("address",Q184), "\$([A-Z]+)\$[0-9]+"))</f>
        <v/>
      </c>
      <c r="R184" s="7" t="str" cm="1">
        <f t="array" aca="1" ref="R184" ca="1">IFERROR(IF(OR('Raw Data'!R184="",LEN(TRIM('Raw Data'!R184))=0),"",IF(AND(ISNUMBER('Raw Data'!R184), IFERROR('Raw Data'!R184 = ROUND('Raw Data'!R184, 2),FALSE)),"",_xlfn.REGEXEXTRACT(CELL("address",R184), "\$([A-Z]+)\$[0-9]+"))),_xlfn.REGEXEXTRACT(CELL("address",R184), "\$([A-Z]+)\$[0-9]+"))</f>
        <v/>
      </c>
      <c r="S184" s="7" t="str" cm="1">
        <f t="array" aca="1" ref="S184" ca="1">IFERROR(IF(OR('Raw Data'!S184="",LEN(TRIM('Raw Data'!S184))=0),"",IF(AND(ISNUMBER('Raw Data'!S184), IFERROR('Raw Data'!S184 = ROUND('Raw Data'!S184, 2),FALSE)),"",_xlfn.REGEXEXTRACT(CELL("address",S184), "\$([A-Z]+)\$[0-9]+"))),_xlfn.REGEXEXTRACT(CELL("address",S184), "\$([A-Z]+)\$[0-9]+"))</f>
        <v/>
      </c>
      <c r="T184" s="7" t="str" cm="1">
        <f t="array" aca="1" ref="T184" ca="1">IFERROR(IF(OR('Raw Data'!T184="",LEN(TRIM('Raw Data'!T184))=0),"",IF(AND(ISNUMBER('Raw Data'!T184), IFERROR('Raw Data'!T184 = ROUND('Raw Data'!T184, 2),FALSE)),"",_xlfn.REGEXEXTRACT(CELL("address",T184), "\$([A-Z]+)\$[0-9]+"))),_xlfn.REGEXEXTRACT(CELL("address",T184), "\$([A-Z]+)\$[0-9]+"))</f>
        <v/>
      </c>
      <c r="U184" s="7" t="str" cm="1">
        <f t="array" aca="1" ref="U184" ca="1">IFERROR(IF(OR('Raw Data'!U184="",LEN(TRIM('Raw Data'!U184))=0),"",IF(AND(LEN('Raw Data'!U184) &lt;= 5,LEN('Raw Data'!U184)&gt; 0),"",_xlfn.REGEXEXTRACT(CELL("address",'Raw Data'!U184),"\$([A-Z]+)\$[0-9]+"))),_xlfn.REGEXEXTRACT(CELL("address",'Raw Data'!U184),"\$([A-Z]+)\$[0-9]+"))</f>
        <v/>
      </c>
      <c r="V184" s="7" t="str" cm="1">
        <f t="array" aca="1" ref="V184" ca="1">IFERROR(IF(OR('Raw Data'!V184="",LEN(TRIM('Raw Data'!V184))=0),"",IF(AND(ISNUMBER('Raw Data'!V184), IFERROR('Raw Data'!V184 = ROUND('Raw Data'!V184, 2),FALSE)),"",_xlfn.REGEXEXTRACT(CELL("address",V184), "\$([A-Z]+)\$[0-9]+"))),_xlfn.REGEXEXTRACT(CELL("address",V184), "\$([A-Z]+)\$[0-9]+"))</f>
        <v/>
      </c>
      <c r="W184" s="7" t="str" cm="1">
        <f t="array" aca="1" ref="W184" ca="1">IFERROR(IF(OR('Raw Data'!W184="",LEN(TRIM('Raw Data'!W184))=0),"",IF(AND(ISNUMBER('Raw Data'!W184), IFERROR('Raw Data'!W184 = ROUND('Raw Data'!W184, 2),FALSE)),"",_xlfn.REGEXEXTRACT(CELL("address",W184), "\$([A-Z]+)\$[0-9]+"))),_xlfn.REGEXEXTRACT(CELL("address",W184), "\$([A-Z]+)\$[0-9]+"))</f>
        <v/>
      </c>
      <c r="X184" s="7" t="str" cm="1">
        <f t="array" aca="1" ref="X184" ca="1">IFERROR(IF(OR('Raw Data'!X184="",LEN(TRIM('Raw Data'!X184))=0),"",IF(AND(ISNUMBER('Raw Data'!X184), IFERROR('Raw Data'!X184 = ROUND('Raw Data'!X184, 2),FALSE)),"",_xlfn.REGEXEXTRACT(CELL("address",X184), "\$([A-Z]+)\$[0-9]+"))),_xlfn.REGEXEXTRACT(CELL("address",X184), "\$([A-Z]+)\$[0-9]+"))</f>
        <v/>
      </c>
    </row>
    <row r="185" spans="2:24" x14ac:dyDescent="0.25">
      <c r="B185" s="7" t="str" cm="1">
        <f t="array" aca="1" ref="B185" ca="1">IFERROR(IF(OR('Raw Data'!B185="",LEN(TRIM('Raw Data'!B185))=0),"",IF(AND(LEN('Raw Data'!B185) &lt;= 50,LEN('Raw Data'!B185)&gt; 0),"",_xlfn.REGEXEXTRACT(CELL("address",'Raw Data'!B185),"\$([A-Z]+)\$[0-9]+"))),_xlfn.REGEXEXTRACT(CELL("address",'Raw Data'!B185),"\$([A-Z]+)\$[0-9]+"))</f>
        <v/>
      </c>
      <c r="C185" s="7" t="str" cm="1">
        <f t="array" aca="1" ref="C185" ca="1">IFERROR(IF(OR('Raw Data'!C185="",LEN(TRIM('Raw Data'!C185))=0),"",IF(AND(LEN('Raw Data'!C185) &lt;= 50,LEN('Raw Data'!C185)&gt; 0),"",_xlfn.REGEXEXTRACT(CELL("address",'Raw Data'!C185),"\$([A-Z]+)\$[0-9]+"))),_xlfn.REGEXEXTRACT(CELL("address",'Raw Data'!C185),"\$([A-Z]+)\$[0-9]+"))</f>
        <v/>
      </c>
      <c r="D185" s="7" t="str" cm="1">
        <f t="array" aca="1" ref="D185" ca="1">IFERROR(IF(OR('Raw Data'!D185="",LEN(TRIM('Raw Data'!D185))=0),"",IF(AND(LEN('Raw Data'!D185) &lt;= 255,LEN('Raw Data'!D185)&gt; 0),"",_xlfn.REGEXEXTRACT(CELL("address",'Raw Data'!D185),"\$([A-Z]+)\$[0-9]+"))),_xlfn.REGEXEXTRACT(CELL("address",'Raw Data'!D185),"\$([A-Z]+)\$[0-9]+"))</f>
        <v/>
      </c>
      <c r="E185" s="7" t="str" cm="1">
        <f t="array" aca="1" ref="E185" ca="1">IFERROR(IF(OR('Raw Data'!E185="",LEN(TRIM('Raw Data'!E185))=0),"",IF(AND(ISNUMBER('Raw Data'!E185),'Raw Data'!E185&gt;=Configuration!$D$2),"",_xlfn.REGEXEXTRACT(CELL("address",'Raw Data'!E185),"\$([A-Z]+)\$[0-9]+"))),_xlfn.REGEXEXTRACT(CELL("address",E185), "\$([A-Z]+)\$[0-9]+"))</f>
        <v/>
      </c>
      <c r="F185" s="7" t="str" cm="1">
        <f t="array" aca="1" ref="F185" ca="1">IFERROR(IF(OR('Raw Data'!F185="",LEN(TRIM('Raw Data'!F185))=0),"",IF(AND(LEN('Raw Data'!F185) &lt;= 20,LEN('Raw Data'!F185)&gt; 0),"",_xlfn.REGEXEXTRACT(CELL("address",'Raw Data'!F185),"\$([A-Z]+)\$[0-9]+"))),_xlfn.REGEXEXTRACT(CELL("address",'Raw Data'!F185),"\$([A-Z]+)\$[0-9]+"))</f>
        <v/>
      </c>
      <c r="G185" s="7" t="str" cm="1">
        <f t="array" aca="1" ref="G185" ca="1">IFERROR(IF(OR('Raw Data'!G185="",LEN(TRIM('Raw Data'!G185))=0),"",IF(AND(ISNUMBER('Raw Data'!G185), IFERROR('Raw Data'!G185 = ROUND('Raw Data'!G185, 2),FALSE)),"",_xlfn.REGEXEXTRACT(CELL("address",G185), "\$([A-Z]+)\$[0-9]+"))),_xlfn.REGEXEXTRACT(CELL("address",G185), "\$([A-Z]+)\$[0-9]+"))</f>
        <v/>
      </c>
      <c r="H185" s="7" t="str" cm="1">
        <f t="array" aca="1" ref="H185" ca="1">IFERROR(IF(OR('Raw Data'!H185="",LEN(TRIM('Raw Data'!H185))=0),"",IF(AND(ISNUMBER('Raw Data'!H185), IFERROR('Raw Data'!H185 = ROUND('Raw Data'!H185, 2),FALSE)),"",_xlfn.REGEXEXTRACT(CELL("address",H185), "\$([A-Z]+)\$[0-9]+"))),_xlfn.REGEXEXTRACT(CELL("address",H185), "\$([A-Z]+)\$[0-9]+"))</f>
        <v/>
      </c>
      <c r="I185" s="7" t="str" cm="1">
        <f t="array" aca="1" ref="I185" ca="1">IFERROR(IF(OR('Raw Data'!I185="",LEN(TRIM('Raw Data'!I185))=0),"",IF(AND(LEN('Raw Data'!I185) &lt;= 50,LEN('Raw Data'!I185)&gt; 0),"",_xlfn.REGEXEXTRACT(CELL("address",'Raw Data'!I185),"\$([A-Z]+)\$[0-9]+"))),_xlfn.REGEXEXTRACT(CELL("address",'Raw Data'!I185),"\$([A-Z]+)\$[0-9]+"))</f>
        <v/>
      </c>
      <c r="J185" s="7" t="str" cm="1">
        <f t="array" aca="1" ref="J185" ca="1">IFERROR(IF(OR('Raw Data'!J185="",LEN(TRIM('Raw Data'!J185))=0),"",IF(AND(ISNUMBER('Raw Data'!J185),'Raw Data'!J185&gt;=Configuration!$D$2),"",_xlfn.REGEXEXTRACT(CELL("address",'Raw Data'!J185),"\$([A-Z]+)\$[0-9]+"))),_xlfn.REGEXEXTRACT(CELL("address",J185), "\$([A-Z]+)\$[0-9]+"))</f>
        <v/>
      </c>
      <c r="K185" s="7" t="str" cm="1">
        <f t="array" aca="1" ref="K185" ca="1">IFERROR(IF(OR('Raw Data'!K185="",LEN(TRIM('Raw Data'!K185))=0),"",IF(AND(ISNUMBER('Raw Data'!K185), IFERROR('Raw Data'!K185 = ROUND('Raw Data'!K185, 2),FALSE)),"",_xlfn.REGEXEXTRACT(CELL("address",K185), "\$([A-Z]+)\$[0-9]+"))),_xlfn.REGEXEXTRACT(CELL("address",K185), "\$([A-Z]+)\$[0-9]+"))</f>
        <v/>
      </c>
      <c r="L185" s="7" t="str" cm="1">
        <f t="array" aca="1" ref="L185" ca="1">IFERROR(IF(OR('Raw Data'!L185="",LEN(TRIM('Raw Data'!L185))=0),"",IF(AND(ISNUMBER('Raw Data'!L185), IFERROR('Raw Data'!L185 = ROUND('Raw Data'!L185, 2),FALSE)),"",_xlfn.REGEXEXTRACT(CELL("address",L185), "\$([A-Z]+)\$[0-9]+"))),_xlfn.REGEXEXTRACT(CELL("address",L185), "\$([A-Z]+)\$[0-9]+"))</f>
        <v/>
      </c>
      <c r="M185" s="7" t="str" cm="1">
        <f t="array" aca="1" ref="M185" ca="1">IFERROR(IF(OR('Raw Data'!M185="",LEN(TRIM('Raw Data'!M185))=0),"",IF(AND(ISNUMBER('Raw Data'!M185), IFERROR('Raw Data'!M185 = ROUND('Raw Data'!M185, 2),FALSE)),"",_xlfn.REGEXEXTRACT(CELL("address",M185), "\$([A-Z]+)\$[0-9]+"))),_xlfn.REGEXEXTRACT(CELL("address",M185), "\$([A-Z]+)\$[0-9]+"))</f>
        <v/>
      </c>
      <c r="N185" s="7" t="str" cm="1">
        <f t="array" aca="1" ref="N185" ca="1">IFERROR(IF(OR('Raw Data'!N185="",LEN(TRIM('Raw Data'!N185))=0),"",IF(AND(ISNUMBER('Raw Data'!N185), IFERROR('Raw Data'!N185 = ROUND('Raw Data'!N185, 2),FALSE)),"",_xlfn.REGEXEXTRACT(CELL("address",N185), "\$([A-Z]+)\$[0-9]+"))),_xlfn.REGEXEXTRACT(CELL("address",N185), "\$([A-Z]+)\$[0-9]+"))</f>
        <v/>
      </c>
      <c r="O185" s="7" t="str" cm="1">
        <f t="array" aca="1" ref="O185" ca="1">IFERROR(IF(OR('Raw Data'!O185="",LEN(TRIM('Raw Data'!O185))=0),"",IF(AND(ISNUMBER('Raw Data'!O185), IFERROR('Raw Data'!O185 = ROUND('Raw Data'!O185, 2),FALSE)),"",_xlfn.REGEXEXTRACT(CELL("address",O185), "\$([A-Z]+)\$[0-9]+"))),_xlfn.REGEXEXTRACT(CELL("address",O185), "\$([A-Z]+)\$[0-9]+"))</f>
        <v/>
      </c>
      <c r="P185" s="7" t="str" cm="1">
        <f t="array" aca="1" ref="P185" ca="1">IFERROR(IF(OR('Raw Data'!P185="",LEN(TRIM('Raw Data'!P185))=0),"",IF(AND(ISNUMBER('Raw Data'!P185),'Raw Data'!P185&gt;=Configuration!$D$2),"",_xlfn.REGEXEXTRACT(CELL("address",'Raw Data'!P185),"\$([A-Z]+)\$[0-9]+"))),_xlfn.REGEXEXTRACT(CELL("address",P185), "\$([A-Z]+)\$[0-9]+"))</f>
        <v/>
      </c>
      <c r="Q185" s="7" t="str" cm="1">
        <f t="array" aca="1" ref="Q185" ca="1">IFERROR(IF(OR('Raw Data'!Q185="",LEN(TRIM('Raw Data'!Q185))=0),"",IF(AND(ISNUMBER('Raw Data'!Q185),'Raw Data'!Q185&gt;=Configuration!$D$2),"",_xlfn.REGEXEXTRACT(CELL("address",'Raw Data'!Q185),"\$([A-Z]+)\$[0-9]+"))),_xlfn.REGEXEXTRACT(CELL("address",Q185), "\$([A-Z]+)\$[0-9]+"))</f>
        <v/>
      </c>
      <c r="R185" s="7" t="str" cm="1">
        <f t="array" aca="1" ref="R185" ca="1">IFERROR(IF(OR('Raw Data'!R185="",LEN(TRIM('Raw Data'!R185))=0),"",IF(AND(ISNUMBER('Raw Data'!R185), IFERROR('Raw Data'!R185 = ROUND('Raw Data'!R185, 2),FALSE)),"",_xlfn.REGEXEXTRACT(CELL("address",R185), "\$([A-Z]+)\$[0-9]+"))),_xlfn.REGEXEXTRACT(CELL("address",R185), "\$([A-Z]+)\$[0-9]+"))</f>
        <v/>
      </c>
      <c r="S185" s="7" t="str" cm="1">
        <f t="array" aca="1" ref="S185" ca="1">IFERROR(IF(OR('Raw Data'!S185="",LEN(TRIM('Raw Data'!S185))=0),"",IF(AND(ISNUMBER('Raw Data'!S185), IFERROR('Raw Data'!S185 = ROUND('Raw Data'!S185, 2),FALSE)),"",_xlfn.REGEXEXTRACT(CELL("address",S185), "\$([A-Z]+)\$[0-9]+"))),_xlfn.REGEXEXTRACT(CELL("address",S185), "\$([A-Z]+)\$[0-9]+"))</f>
        <v/>
      </c>
      <c r="T185" s="7" t="str" cm="1">
        <f t="array" aca="1" ref="T185" ca="1">IFERROR(IF(OR('Raw Data'!T185="",LEN(TRIM('Raw Data'!T185))=0),"",IF(AND(ISNUMBER('Raw Data'!T185), IFERROR('Raw Data'!T185 = ROUND('Raw Data'!T185, 2),FALSE)),"",_xlfn.REGEXEXTRACT(CELL("address",T185), "\$([A-Z]+)\$[0-9]+"))),_xlfn.REGEXEXTRACT(CELL("address",T185), "\$([A-Z]+)\$[0-9]+"))</f>
        <v/>
      </c>
      <c r="U185" s="7" t="str" cm="1">
        <f t="array" aca="1" ref="U185" ca="1">IFERROR(IF(OR('Raw Data'!U185="",LEN(TRIM('Raw Data'!U185))=0),"",IF(AND(LEN('Raw Data'!U185) &lt;= 5,LEN('Raw Data'!U185)&gt; 0),"",_xlfn.REGEXEXTRACT(CELL("address",'Raw Data'!U185),"\$([A-Z]+)\$[0-9]+"))),_xlfn.REGEXEXTRACT(CELL("address",'Raw Data'!U185),"\$([A-Z]+)\$[0-9]+"))</f>
        <v/>
      </c>
      <c r="V185" s="7" t="str" cm="1">
        <f t="array" aca="1" ref="V185" ca="1">IFERROR(IF(OR('Raw Data'!V185="",LEN(TRIM('Raw Data'!V185))=0),"",IF(AND(ISNUMBER('Raw Data'!V185), IFERROR('Raw Data'!V185 = ROUND('Raw Data'!V185, 2),FALSE)),"",_xlfn.REGEXEXTRACT(CELL("address",V185), "\$([A-Z]+)\$[0-9]+"))),_xlfn.REGEXEXTRACT(CELL("address",V185), "\$([A-Z]+)\$[0-9]+"))</f>
        <v/>
      </c>
      <c r="W185" s="7" t="str" cm="1">
        <f t="array" aca="1" ref="W185" ca="1">IFERROR(IF(OR('Raw Data'!W185="",LEN(TRIM('Raw Data'!W185))=0),"",IF(AND(ISNUMBER('Raw Data'!W185), IFERROR('Raw Data'!W185 = ROUND('Raw Data'!W185, 2),FALSE)),"",_xlfn.REGEXEXTRACT(CELL("address",W185), "\$([A-Z]+)\$[0-9]+"))),_xlfn.REGEXEXTRACT(CELL("address",W185), "\$([A-Z]+)\$[0-9]+"))</f>
        <v/>
      </c>
      <c r="X185" s="7" t="str" cm="1">
        <f t="array" aca="1" ref="X185" ca="1">IFERROR(IF(OR('Raw Data'!X185="",LEN(TRIM('Raw Data'!X185))=0),"",IF(AND(ISNUMBER('Raw Data'!X185), IFERROR('Raw Data'!X185 = ROUND('Raw Data'!X185, 2),FALSE)),"",_xlfn.REGEXEXTRACT(CELL("address",X185), "\$([A-Z]+)\$[0-9]+"))),_xlfn.REGEXEXTRACT(CELL("address",X185), "\$([A-Z]+)\$[0-9]+"))</f>
        <v/>
      </c>
    </row>
    <row r="186" spans="2:24" x14ac:dyDescent="0.25">
      <c r="B186" s="7" t="str" cm="1">
        <f t="array" aca="1" ref="B186" ca="1">IFERROR(IF(OR('Raw Data'!B186="",LEN(TRIM('Raw Data'!B186))=0),"",IF(AND(LEN('Raw Data'!B186) &lt;= 50,LEN('Raw Data'!B186)&gt; 0),"",_xlfn.REGEXEXTRACT(CELL("address",'Raw Data'!B186),"\$([A-Z]+)\$[0-9]+"))),_xlfn.REGEXEXTRACT(CELL("address",'Raw Data'!B186),"\$([A-Z]+)\$[0-9]+"))</f>
        <v/>
      </c>
      <c r="C186" s="7" t="str" cm="1">
        <f t="array" aca="1" ref="C186" ca="1">IFERROR(IF(OR('Raw Data'!C186="",LEN(TRIM('Raw Data'!C186))=0),"",IF(AND(LEN('Raw Data'!C186) &lt;= 50,LEN('Raw Data'!C186)&gt; 0),"",_xlfn.REGEXEXTRACT(CELL("address",'Raw Data'!C186),"\$([A-Z]+)\$[0-9]+"))),_xlfn.REGEXEXTRACT(CELL("address",'Raw Data'!C186),"\$([A-Z]+)\$[0-9]+"))</f>
        <v/>
      </c>
      <c r="D186" s="7" t="str" cm="1">
        <f t="array" aca="1" ref="D186" ca="1">IFERROR(IF(OR('Raw Data'!D186="",LEN(TRIM('Raw Data'!D186))=0),"",IF(AND(LEN('Raw Data'!D186) &lt;= 255,LEN('Raw Data'!D186)&gt; 0),"",_xlfn.REGEXEXTRACT(CELL("address",'Raw Data'!D186),"\$([A-Z]+)\$[0-9]+"))),_xlfn.REGEXEXTRACT(CELL("address",'Raw Data'!D186),"\$([A-Z]+)\$[0-9]+"))</f>
        <v/>
      </c>
      <c r="E186" s="7" t="str" cm="1">
        <f t="array" aca="1" ref="E186" ca="1">IFERROR(IF(OR('Raw Data'!E186="",LEN(TRIM('Raw Data'!E186))=0),"",IF(AND(ISNUMBER('Raw Data'!E186),'Raw Data'!E186&gt;=Configuration!$D$2),"",_xlfn.REGEXEXTRACT(CELL("address",'Raw Data'!E186),"\$([A-Z]+)\$[0-9]+"))),_xlfn.REGEXEXTRACT(CELL("address",E186), "\$([A-Z]+)\$[0-9]+"))</f>
        <v/>
      </c>
      <c r="F186" s="7" t="str" cm="1">
        <f t="array" aca="1" ref="F186" ca="1">IFERROR(IF(OR('Raw Data'!F186="",LEN(TRIM('Raw Data'!F186))=0),"",IF(AND(LEN('Raw Data'!F186) &lt;= 20,LEN('Raw Data'!F186)&gt; 0),"",_xlfn.REGEXEXTRACT(CELL("address",'Raw Data'!F186),"\$([A-Z]+)\$[0-9]+"))),_xlfn.REGEXEXTRACT(CELL("address",'Raw Data'!F186),"\$([A-Z]+)\$[0-9]+"))</f>
        <v/>
      </c>
      <c r="G186" s="7" t="str" cm="1">
        <f t="array" aca="1" ref="G186" ca="1">IFERROR(IF(OR('Raw Data'!G186="",LEN(TRIM('Raw Data'!G186))=0),"",IF(AND(ISNUMBER('Raw Data'!G186), IFERROR('Raw Data'!G186 = ROUND('Raw Data'!G186, 2),FALSE)),"",_xlfn.REGEXEXTRACT(CELL("address",G186), "\$([A-Z]+)\$[0-9]+"))),_xlfn.REGEXEXTRACT(CELL("address",G186), "\$([A-Z]+)\$[0-9]+"))</f>
        <v/>
      </c>
      <c r="H186" s="7" t="str" cm="1">
        <f t="array" aca="1" ref="H186" ca="1">IFERROR(IF(OR('Raw Data'!H186="",LEN(TRIM('Raw Data'!H186))=0),"",IF(AND(ISNUMBER('Raw Data'!H186), IFERROR('Raw Data'!H186 = ROUND('Raw Data'!H186, 2),FALSE)),"",_xlfn.REGEXEXTRACT(CELL("address",H186), "\$([A-Z]+)\$[0-9]+"))),_xlfn.REGEXEXTRACT(CELL("address",H186), "\$([A-Z]+)\$[0-9]+"))</f>
        <v/>
      </c>
      <c r="I186" s="7" t="str" cm="1">
        <f t="array" aca="1" ref="I186" ca="1">IFERROR(IF(OR('Raw Data'!I186="",LEN(TRIM('Raw Data'!I186))=0),"",IF(AND(LEN('Raw Data'!I186) &lt;= 50,LEN('Raw Data'!I186)&gt; 0),"",_xlfn.REGEXEXTRACT(CELL("address",'Raw Data'!I186),"\$([A-Z]+)\$[0-9]+"))),_xlfn.REGEXEXTRACT(CELL("address",'Raw Data'!I186),"\$([A-Z]+)\$[0-9]+"))</f>
        <v/>
      </c>
      <c r="J186" s="7" t="str" cm="1">
        <f t="array" aca="1" ref="J186" ca="1">IFERROR(IF(OR('Raw Data'!J186="",LEN(TRIM('Raw Data'!J186))=0),"",IF(AND(ISNUMBER('Raw Data'!J186),'Raw Data'!J186&gt;=Configuration!$D$2),"",_xlfn.REGEXEXTRACT(CELL("address",'Raw Data'!J186),"\$([A-Z]+)\$[0-9]+"))),_xlfn.REGEXEXTRACT(CELL("address",J186), "\$([A-Z]+)\$[0-9]+"))</f>
        <v/>
      </c>
      <c r="K186" s="7" t="str" cm="1">
        <f t="array" aca="1" ref="K186" ca="1">IFERROR(IF(OR('Raw Data'!K186="",LEN(TRIM('Raw Data'!K186))=0),"",IF(AND(ISNUMBER('Raw Data'!K186), IFERROR('Raw Data'!K186 = ROUND('Raw Data'!K186, 2),FALSE)),"",_xlfn.REGEXEXTRACT(CELL("address",K186), "\$([A-Z]+)\$[0-9]+"))),_xlfn.REGEXEXTRACT(CELL("address",K186), "\$([A-Z]+)\$[0-9]+"))</f>
        <v/>
      </c>
      <c r="L186" s="7" t="str" cm="1">
        <f t="array" aca="1" ref="L186" ca="1">IFERROR(IF(OR('Raw Data'!L186="",LEN(TRIM('Raw Data'!L186))=0),"",IF(AND(ISNUMBER('Raw Data'!L186), IFERROR('Raw Data'!L186 = ROUND('Raw Data'!L186, 2),FALSE)),"",_xlfn.REGEXEXTRACT(CELL("address",L186), "\$([A-Z]+)\$[0-9]+"))),_xlfn.REGEXEXTRACT(CELL("address",L186), "\$([A-Z]+)\$[0-9]+"))</f>
        <v/>
      </c>
      <c r="M186" s="7" t="str" cm="1">
        <f t="array" aca="1" ref="M186" ca="1">IFERROR(IF(OR('Raw Data'!M186="",LEN(TRIM('Raw Data'!M186))=0),"",IF(AND(ISNUMBER('Raw Data'!M186), IFERROR('Raw Data'!M186 = ROUND('Raw Data'!M186, 2),FALSE)),"",_xlfn.REGEXEXTRACT(CELL("address",M186), "\$([A-Z]+)\$[0-9]+"))),_xlfn.REGEXEXTRACT(CELL("address",M186), "\$([A-Z]+)\$[0-9]+"))</f>
        <v/>
      </c>
      <c r="N186" s="7" t="str" cm="1">
        <f t="array" aca="1" ref="N186" ca="1">IFERROR(IF(OR('Raw Data'!N186="",LEN(TRIM('Raw Data'!N186))=0),"",IF(AND(ISNUMBER('Raw Data'!N186), IFERROR('Raw Data'!N186 = ROUND('Raw Data'!N186, 2),FALSE)),"",_xlfn.REGEXEXTRACT(CELL("address",N186), "\$([A-Z]+)\$[0-9]+"))),_xlfn.REGEXEXTRACT(CELL("address",N186), "\$([A-Z]+)\$[0-9]+"))</f>
        <v/>
      </c>
      <c r="O186" s="7" t="str" cm="1">
        <f t="array" aca="1" ref="O186" ca="1">IFERROR(IF(OR('Raw Data'!O186="",LEN(TRIM('Raw Data'!O186))=0),"",IF(AND(ISNUMBER('Raw Data'!O186), IFERROR('Raw Data'!O186 = ROUND('Raw Data'!O186, 2),FALSE)),"",_xlfn.REGEXEXTRACT(CELL("address",O186), "\$([A-Z]+)\$[0-9]+"))),_xlfn.REGEXEXTRACT(CELL("address",O186), "\$([A-Z]+)\$[0-9]+"))</f>
        <v/>
      </c>
      <c r="P186" s="7" t="str" cm="1">
        <f t="array" aca="1" ref="P186" ca="1">IFERROR(IF(OR('Raw Data'!P186="",LEN(TRIM('Raw Data'!P186))=0),"",IF(AND(ISNUMBER('Raw Data'!P186),'Raw Data'!P186&gt;=Configuration!$D$2),"",_xlfn.REGEXEXTRACT(CELL("address",'Raw Data'!P186),"\$([A-Z]+)\$[0-9]+"))),_xlfn.REGEXEXTRACT(CELL("address",P186), "\$([A-Z]+)\$[0-9]+"))</f>
        <v/>
      </c>
      <c r="Q186" s="7" t="str" cm="1">
        <f t="array" aca="1" ref="Q186" ca="1">IFERROR(IF(OR('Raw Data'!Q186="",LEN(TRIM('Raw Data'!Q186))=0),"",IF(AND(ISNUMBER('Raw Data'!Q186),'Raw Data'!Q186&gt;=Configuration!$D$2),"",_xlfn.REGEXEXTRACT(CELL("address",'Raw Data'!Q186),"\$([A-Z]+)\$[0-9]+"))),_xlfn.REGEXEXTRACT(CELL("address",Q186), "\$([A-Z]+)\$[0-9]+"))</f>
        <v/>
      </c>
      <c r="R186" s="7" t="str" cm="1">
        <f t="array" aca="1" ref="R186" ca="1">IFERROR(IF(OR('Raw Data'!R186="",LEN(TRIM('Raw Data'!R186))=0),"",IF(AND(ISNUMBER('Raw Data'!R186), IFERROR('Raw Data'!R186 = ROUND('Raw Data'!R186, 2),FALSE)),"",_xlfn.REGEXEXTRACT(CELL("address",R186), "\$([A-Z]+)\$[0-9]+"))),_xlfn.REGEXEXTRACT(CELL("address",R186), "\$([A-Z]+)\$[0-9]+"))</f>
        <v/>
      </c>
      <c r="S186" s="7" t="str" cm="1">
        <f t="array" aca="1" ref="S186" ca="1">IFERROR(IF(OR('Raw Data'!S186="",LEN(TRIM('Raw Data'!S186))=0),"",IF(AND(ISNUMBER('Raw Data'!S186), IFERROR('Raw Data'!S186 = ROUND('Raw Data'!S186, 2),FALSE)),"",_xlfn.REGEXEXTRACT(CELL("address",S186), "\$([A-Z]+)\$[0-9]+"))),_xlfn.REGEXEXTRACT(CELL("address",S186), "\$([A-Z]+)\$[0-9]+"))</f>
        <v/>
      </c>
      <c r="T186" s="7" t="str" cm="1">
        <f t="array" aca="1" ref="T186" ca="1">IFERROR(IF(OR('Raw Data'!T186="",LEN(TRIM('Raw Data'!T186))=0),"",IF(AND(ISNUMBER('Raw Data'!T186), IFERROR('Raw Data'!T186 = ROUND('Raw Data'!T186, 2),FALSE)),"",_xlfn.REGEXEXTRACT(CELL("address",T186), "\$([A-Z]+)\$[0-9]+"))),_xlfn.REGEXEXTRACT(CELL("address",T186), "\$([A-Z]+)\$[0-9]+"))</f>
        <v/>
      </c>
      <c r="U186" s="7" t="str" cm="1">
        <f t="array" aca="1" ref="U186" ca="1">IFERROR(IF(OR('Raw Data'!U186="",LEN(TRIM('Raw Data'!U186))=0),"",IF(AND(LEN('Raw Data'!U186) &lt;= 5,LEN('Raw Data'!U186)&gt; 0),"",_xlfn.REGEXEXTRACT(CELL("address",'Raw Data'!U186),"\$([A-Z]+)\$[0-9]+"))),_xlfn.REGEXEXTRACT(CELL("address",'Raw Data'!U186),"\$([A-Z]+)\$[0-9]+"))</f>
        <v/>
      </c>
      <c r="V186" s="7" t="str" cm="1">
        <f t="array" aca="1" ref="V186" ca="1">IFERROR(IF(OR('Raw Data'!V186="",LEN(TRIM('Raw Data'!V186))=0),"",IF(AND(ISNUMBER('Raw Data'!V186), IFERROR('Raw Data'!V186 = ROUND('Raw Data'!V186, 2),FALSE)),"",_xlfn.REGEXEXTRACT(CELL("address",V186), "\$([A-Z]+)\$[0-9]+"))),_xlfn.REGEXEXTRACT(CELL("address",V186), "\$([A-Z]+)\$[0-9]+"))</f>
        <v/>
      </c>
      <c r="W186" s="7" t="str" cm="1">
        <f t="array" aca="1" ref="W186" ca="1">IFERROR(IF(OR('Raw Data'!W186="",LEN(TRIM('Raw Data'!W186))=0),"",IF(AND(ISNUMBER('Raw Data'!W186), IFERROR('Raw Data'!W186 = ROUND('Raw Data'!W186, 2),FALSE)),"",_xlfn.REGEXEXTRACT(CELL("address",W186), "\$([A-Z]+)\$[0-9]+"))),_xlfn.REGEXEXTRACT(CELL("address",W186), "\$([A-Z]+)\$[0-9]+"))</f>
        <v/>
      </c>
      <c r="X186" s="7" t="str" cm="1">
        <f t="array" aca="1" ref="X186" ca="1">IFERROR(IF(OR('Raw Data'!X186="",LEN(TRIM('Raw Data'!X186))=0),"",IF(AND(ISNUMBER('Raw Data'!X186), IFERROR('Raw Data'!X186 = ROUND('Raw Data'!X186, 2),FALSE)),"",_xlfn.REGEXEXTRACT(CELL("address",X186), "\$([A-Z]+)\$[0-9]+"))),_xlfn.REGEXEXTRACT(CELL("address",X186), "\$([A-Z]+)\$[0-9]+"))</f>
        <v/>
      </c>
    </row>
    <row r="187" spans="2:24" x14ac:dyDescent="0.25">
      <c r="B187" s="7" t="str" cm="1">
        <f t="array" aca="1" ref="B187" ca="1">IFERROR(IF(OR('Raw Data'!B187="",LEN(TRIM('Raw Data'!B187))=0),"",IF(AND(LEN('Raw Data'!B187) &lt;= 50,LEN('Raw Data'!B187)&gt; 0),"",_xlfn.REGEXEXTRACT(CELL("address",'Raw Data'!B187),"\$([A-Z]+)\$[0-9]+"))),_xlfn.REGEXEXTRACT(CELL("address",'Raw Data'!B187),"\$([A-Z]+)\$[0-9]+"))</f>
        <v/>
      </c>
      <c r="C187" s="7" t="str" cm="1">
        <f t="array" aca="1" ref="C187" ca="1">IFERROR(IF(OR('Raw Data'!C187="",LEN(TRIM('Raw Data'!C187))=0),"",IF(AND(LEN('Raw Data'!C187) &lt;= 50,LEN('Raw Data'!C187)&gt; 0),"",_xlfn.REGEXEXTRACT(CELL("address",'Raw Data'!C187),"\$([A-Z]+)\$[0-9]+"))),_xlfn.REGEXEXTRACT(CELL("address",'Raw Data'!C187),"\$([A-Z]+)\$[0-9]+"))</f>
        <v/>
      </c>
      <c r="D187" s="7" t="str" cm="1">
        <f t="array" aca="1" ref="D187" ca="1">IFERROR(IF(OR('Raw Data'!D187="",LEN(TRIM('Raw Data'!D187))=0),"",IF(AND(LEN('Raw Data'!D187) &lt;= 255,LEN('Raw Data'!D187)&gt; 0),"",_xlfn.REGEXEXTRACT(CELL("address",'Raw Data'!D187),"\$([A-Z]+)\$[0-9]+"))),_xlfn.REGEXEXTRACT(CELL("address",'Raw Data'!D187),"\$([A-Z]+)\$[0-9]+"))</f>
        <v/>
      </c>
      <c r="E187" s="7" t="str" cm="1">
        <f t="array" aca="1" ref="E187" ca="1">IFERROR(IF(OR('Raw Data'!E187="",LEN(TRIM('Raw Data'!E187))=0),"",IF(AND(ISNUMBER('Raw Data'!E187),'Raw Data'!E187&gt;=Configuration!$D$2),"",_xlfn.REGEXEXTRACT(CELL("address",'Raw Data'!E187),"\$([A-Z]+)\$[0-9]+"))),_xlfn.REGEXEXTRACT(CELL("address",E187), "\$([A-Z]+)\$[0-9]+"))</f>
        <v/>
      </c>
      <c r="F187" s="7" t="str" cm="1">
        <f t="array" aca="1" ref="F187" ca="1">IFERROR(IF(OR('Raw Data'!F187="",LEN(TRIM('Raw Data'!F187))=0),"",IF(AND(LEN('Raw Data'!F187) &lt;= 20,LEN('Raw Data'!F187)&gt; 0),"",_xlfn.REGEXEXTRACT(CELL("address",'Raw Data'!F187),"\$([A-Z]+)\$[0-9]+"))),_xlfn.REGEXEXTRACT(CELL("address",'Raw Data'!F187),"\$([A-Z]+)\$[0-9]+"))</f>
        <v/>
      </c>
      <c r="G187" s="7" t="str" cm="1">
        <f t="array" aca="1" ref="G187" ca="1">IFERROR(IF(OR('Raw Data'!G187="",LEN(TRIM('Raw Data'!G187))=0),"",IF(AND(ISNUMBER('Raw Data'!G187), IFERROR('Raw Data'!G187 = ROUND('Raw Data'!G187, 2),FALSE)),"",_xlfn.REGEXEXTRACT(CELL("address",G187), "\$([A-Z]+)\$[0-9]+"))),_xlfn.REGEXEXTRACT(CELL("address",G187), "\$([A-Z]+)\$[0-9]+"))</f>
        <v/>
      </c>
      <c r="H187" s="7" t="str" cm="1">
        <f t="array" aca="1" ref="H187" ca="1">IFERROR(IF(OR('Raw Data'!H187="",LEN(TRIM('Raw Data'!H187))=0),"",IF(AND(ISNUMBER('Raw Data'!H187), IFERROR('Raw Data'!H187 = ROUND('Raw Data'!H187, 2),FALSE)),"",_xlfn.REGEXEXTRACT(CELL("address",H187), "\$([A-Z]+)\$[0-9]+"))),_xlfn.REGEXEXTRACT(CELL("address",H187), "\$([A-Z]+)\$[0-9]+"))</f>
        <v/>
      </c>
      <c r="I187" s="7" t="str" cm="1">
        <f t="array" aca="1" ref="I187" ca="1">IFERROR(IF(OR('Raw Data'!I187="",LEN(TRIM('Raw Data'!I187))=0),"",IF(AND(LEN('Raw Data'!I187) &lt;= 50,LEN('Raw Data'!I187)&gt; 0),"",_xlfn.REGEXEXTRACT(CELL("address",'Raw Data'!I187),"\$([A-Z]+)\$[0-9]+"))),_xlfn.REGEXEXTRACT(CELL("address",'Raw Data'!I187),"\$([A-Z]+)\$[0-9]+"))</f>
        <v/>
      </c>
      <c r="J187" s="7" t="str" cm="1">
        <f t="array" aca="1" ref="J187" ca="1">IFERROR(IF(OR('Raw Data'!J187="",LEN(TRIM('Raw Data'!J187))=0),"",IF(AND(ISNUMBER('Raw Data'!J187),'Raw Data'!J187&gt;=Configuration!$D$2),"",_xlfn.REGEXEXTRACT(CELL("address",'Raw Data'!J187),"\$([A-Z]+)\$[0-9]+"))),_xlfn.REGEXEXTRACT(CELL("address",J187), "\$([A-Z]+)\$[0-9]+"))</f>
        <v/>
      </c>
      <c r="K187" s="7" t="str" cm="1">
        <f t="array" aca="1" ref="K187" ca="1">IFERROR(IF(OR('Raw Data'!K187="",LEN(TRIM('Raw Data'!K187))=0),"",IF(AND(ISNUMBER('Raw Data'!K187), IFERROR('Raw Data'!K187 = ROUND('Raw Data'!K187, 2),FALSE)),"",_xlfn.REGEXEXTRACT(CELL("address",K187), "\$([A-Z]+)\$[0-9]+"))),_xlfn.REGEXEXTRACT(CELL("address",K187), "\$([A-Z]+)\$[0-9]+"))</f>
        <v/>
      </c>
      <c r="L187" s="7" t="str" cm="1">
        <f t="array" aca="1" ref="L187" ca="1">IFERROR(IF(OR('Raw Data'!L187="",LEN(TRIM('Raw Data'!L187))=0),"",IF(AND(ISNUMBER('Raw Data'!L187), IFERROR('Raw Data'!L187 = ROUND('Raw Data'!L187, 2),FALSE)),"",_xlfn.REGEXEXTRACT(CELL("address",L187), "\$([A-Z]+)\$[0-9]+"))),_xlfn.REGEXEXTRACT(CELL("address",L187), "\$([A-Z]+)\$[0-9]+"))</f>
        <v/>
      </c>
      <c r="M187" s="7" t="str" cm="1">
        <f t="array" aca="1" ref="M187" ca="1">IFERROR(IF(OR('Raw Data'!M187="",LEN(TRIM('Raw Data'!M187))=0),"",IF(AND(ISNUMBER('Raw Data'!M187), IFERROR('Raw Data'!M187 = ROUND('Raw Data'!M187, 2),FALSE)),"",_xlfn.REGEXEXTRACT(CELL("address",M187), "\$([A-Z]+)\$[0-9]+"))),_xlfn.REGEXEXTRACT(CELL("address",M187), "\$([A-Z]+)\$[0-9]+"))</f>
        <v/>
      </c>
      <c r="N187" s="7" t="str" cm="1">
        <f t="array" aca="1" ref="N187" ca="1">IFERROR(IF(OR('Raw Data'!N187="",LEN(TRIM('Raw Data'!N187))=0),"",IF(AND(ISNUMBER('Raw Data'!N187), IFERROR('Raw Data'!N187 = ROUND('Raw Data'!N187, 2),FALSE)),"",_xlfn.REGEXEXTRACT(CELL("address",N187), "\$([A-Z]+)\$[0-9]+"))),_xlfn.REGEXEXTRACT(CELL("address",N187), "\$([A-Z]+)\$[0-9]+"))</f>
        <v/>
      </c>
      <c r="O187" s="7" t="str" cm="1">
        <f t="array" aca="1" ref="O187" ca="1">IFERROR(IF(OR('Raw Data'!O187="",LEN(TRIM('Raw Data'!O187))=0),"",IF(AND(ISNUMBER('Raw Data'!O187), IFERROR('Raw Data'!O187 = ROUND('Raw Data'!O187, 2),FALSE)),"",_xlfn.REGEXEXTRACT(CELL("address",O187), "\$([A-Z]+)\$[0-9]+"))),_xlfn.REGEXEXTRACT(CELL("address",O187), "\$([A-Z]+)\$[0-9]+"))</f>
        <v/>
      </c>
      <c r="P187" s="7" t="str" cm="1">
        <f t="array" aca="1" ref="P187" ca="1">IFERROR(IF(OR('Raw Data'!P187="",LEN(TRIM('Raw Data'!P187))=0),"",IF(AND(ISNUMBER('Raw Data'!P187),'Raw Data'!P187&gt;=Configuration!$D$2),"",_xlfn.REGEXEXTRACT(CELL("address",'Raw Data'!P187),"\$([A-Z]+)\$[0-9]+"))),_xlfn.REGEXEXTRACT(CELL("address",P187), "\$([A-Z]+)\$[0-9]+"))</f>
        <v/>
      </c>
      <c r="Q187" s="7" t="str" cm="1">
        <f t="array" aca="1" ref="Q187" ca="1">IFERROR(IF(OR('Raw Data'!Q187="",LEN(TRIM('Raw Data'!Q187))=0),"",IF(AND(ISNUMBER('Raw Data'!Q187),'Raw Data'!Q187&gt;=Configuration!$D$2),"",_xlfn.REGEXEXTRACT(CELL("address",'Raw Data'!Q187),"\$([A-Z]+)\$[0-9]+"))),_xlfn.REGEXEXTRACT(CELL("address",Q187), "\$([A-Z]+)\$[0-9]+"))</f>
        <v/>
      </c>
      <c r="R187" s="7" t="str" cm="1">
        <f t="array" aca="1" ref="R187" ca="1">IFERROR(IF(OR('Raw Data'!R187="",LEN(TRIM('Raw Data'!R187))=0),"",IF(AND(ISNUMBER('Raw Data'!R187), IFERROR('Raw Data'!R187 = ROUND('Raw Data'!R187, 2),FALSE)),"",_xlfn.REGEXEXTRACT(CELL("address",R187), "\$([A-Z]+)\$[0-9]+"))),_xlfn.REGEXEXTRACT(CELL("address",R187), "\$([A-Z]+)\$[0-9]+"))</f>
        <v/>
      </c>
      <c r="S187" s="7" t="str" cm="1">
        <f t="array" aca="1" ref="S187" ca="1">IFERROR(IF(OR('Raw Data'!S187="",LEN(TRIM('Raw Data'!S187))=0),"",IF(AND(ISNUMBER('Raw Data'!S187), IFERROR('Raw Data'!S187 = ROUND('Raw Data'!S187, 2),FALSE)),"",_xlfn.REGEXEXTRACT(CELL("address",S187), "\$([A-Z]+)\$[0-9]+"))),_xlfn.REGEXEXTRACT(CELL("address",S187), "\$([A-Z]+)\$[0-9]+"))</f>
        <v/>
      </c>
      <c r="T187" s="7" t="str" cm="1">
        <f t="array" aca="1" ref="T187" ca="1">IFERROR(IF(OR('Raw Data'!T187="",LEN(TRIM('Raw Data'!T187))=0),"",IF(AND(ISNUMBER('Raw Data'!T187), IFERROR('Raw Data'!T187 = ROUND('Raw Data'!T187, 2),FALSE)),"",_xlfn.REGEXEXTRACT(CELL("address",T187), "\$([A-Z]+)\$[0-9]+"))),_xlfn.REGEXEXTRACT(CELL("address",T187), "\$([A-Z]+)\$[0-9]+"))</f>
        <v/>
      </c>
      <c r="U187" s="7" t="str" cm="1">
        <f t="array" aca="1" ref="U187" ca="1">IFERROR(IF(OR('Raw Data'!U187="",LEN(TRIM('Raw Data'!U187))=0),"",IF(AND(LEN('Raw Data'!U187) &lt;= 5,LEN('Raw Data'!U187)&gt; 0),"",_xlfn.REGEXEXTRACT(CELL("address",'Raw Data'!U187),"\$([A-Z]+)\$[0-9]+"))),_xlfn.REGEXEXTRACT(CELL("address",'Raw Data'!U187),"\$([A-Z]+)\$[0-9]+"))</f>
        <v/>
      </c>
      <c r="V187" s="7" t="str" cm="1">
        <f t="array" aca="1" ref="V187" ca="1">IFERROR(IF(OR('Raw Data'!V187="",LEN(TRIM('Raw Data'!V187))=0),"",IF(AND(ISNUMBER('Raw Data'!V187), IFERROR('Raw Data'!V187 = ROUND('Raw Data'!V187, 2),FALSE)),"",_xlfn.REGEXEXTRACT(CELL("address",V187), "\$([A-Z]+)\$[0-9]+"))),_xlfn.REGEXEXTRACT(CELL("address",V187), "\$([A-Z]+)\$[0-9]+"))</f>
        <v/>
      </c>
      <c r="W187" s="7" t="str" cm="1">
        <f t="array" aca="1" ref="W187" ca="1">IFERROR(IF(OR('Raw Data'!W187="",LEN(TRIM('Raw Data'!W187))=0),"",IF(AND(ISNUMBER('Raw Data'!W187), IFERROR('Raw Data'!W187 = ROUND('Raw Data'!W187, 2),FALSE)),"",_xlfn.REGEXEXTRACT(CELL("address",W187), "\$([A-Z]+)\$[0-9]+"))),_xlfn.REGEXEXTRACT(CELL("address",W187), "\$([A-Z]+)\$[0-9]+"))</f>
        <v/>
      </c>
      <c r="X187" s="7" t="str" cm="1">
        <f t="array" aca="1" ref="X187" ca="1">IFERROR(IF(OR('Raw Data'!X187="",LEN(TRIM('Raw Data'!X187))=0),"",IF(AND(ISNUMBER('Raw Data'!X187), IFERROR('Raw Data'!X187 = ROUND('Raw Data'!X187, 2),FALSE)),"",_xlfn.REGEXEXTRACT(CELL("address",X187), "\$([A-Z]+)\$[0-9]+"))),_xlfn.REGEXEXTRACT(CELL("address",X187), "\$([A-Z]+)\$[0-9]+"))</f>
        <v/>
      </c>
    </row>
    <row r="188" spans="2:24" x14ac:dyDescent="0.25">
      <c r="B188" s="7" t="str" cm="1">
        <f t="array" aca="1" ref="B188" ca="1">IFERROR(IF(OR('Raw Data'!B188="",LEN(TRIM('Raw Data'!B188))=0),"",IF(AND(LEN('Raw Data'!B188) &lt;= 50,LEN('Raw Data'!B188)&gt; 0),"",_xlfn.REGEXEXTRACT(CELL("address",'Raw Data'!B188),"\$([A-Z]+)\$[0-9]+"))),_xlfn.REGEXEXTRACT(CELL("address",'Raw Data'!B188),"\$([A-Z]+)\$[0-9]+"))</f>
        <v/>
      </c>
      <c r="C188" s="7" t="str" cm="1">
        <f t="array" aca="1" ref="C188" ca="1">IFERROR(IF(OR('Raw Data'!C188="",LEN(TRIM('Raw Data'!C188))=0),"",IF(AND(LEN('Raw Data'!C188) &lt;= 50,LEN('Raw Data'!C188)&gt; 0),"",_xlfn.REGEXEXTRACT(CELL("address",'Raw Data'!C188),"\$([A-Z]+)\$[0-9]+"))),_xlfn.REGEXEXTRACT(CELL("address",'Raw Data'!C188),"\$([A-Z]+)\$[0-9]+"))</f>
        <v/>
      </c>
      <c r="D188" s="7" t="str" cm="1">
        <f t="array" aca="1" ref="D188" ca="1">IFERROR(IF(OR('Raw Data'!D188="",LEN(TRIM('Raw Data'!D188))=0),"",IF(AND(LEN('Raw Data'!D188) &lt;= 255,LEN('Raw Data'!D188)&gt; 0),"",_xlfn.REGEXEXTRACT(CELL("address",'Raw Data'!D188),"\$([A-Z]+)\$[0-9]+"))),_xlfn.REGEXEXTRACT(CELL("address",'Raw Data'!D188),"\$([A-Z]+)\$[0-9]+"))</f>
        <v/>
      </c>
      <c r="E188" s="7" t="str" cm="1">
        <f t="array" aca="1" ref="E188" ca="1">IFERROR(IF(OR('Raw Data'!E188="",LEN(TRIM('Raw Data'!E188))=0),"",IF(AND(ISNUMBER('Raw Data'!E188),'Raw Data'!E188&gt;=Configuration!$D$2),"",_xlfn.REGEXEXTRACT(CELL("address",'Raw Data'!E188),"\$([A-Z]+)\$[0-9]+"))),_xlfn.REGEXEXTRACT(CELL("address",E188), "\$([A-Z]+)\$[0-9]+"))</f>
        <v/>
      </c>
      <c r="F188" s="7" t="str" cm="1">
        <f t="array" aca="1" ref="F188" ca="1">IFERROR(IF(OR('Raw Data'!F188="",LEN(TRIM('Raw Data'!F188))=0),"",IF(AND(LEN('Raw Data'!F188) &lt;= 20,LEN('Raw Data'!F188)&gt; 0),"",_xlfn.REGEXEXTRACT(CELL("address",'Raw Data'!F188),"\$([A-Z]+)\$[0-9]+"))),_xlfn.REGEXEXTRACT(CELL("address",'Raw Data'!F188),"\$([A-Z]+)\$[0-9]+"))</f>
        <v/>
      </c>
      <c r="G188" s="7" t="str" cm="1">
        <f t="array" aca="1" ref="G188" ca="1">IFERROR(IF(OR('Raw Data'!G188="",LEN(TRIM('Raw Data'!G188))=0),"",IF(AND(ISNUMBER('Raw Data'!G188), IFERROR('Raw Data'!G188 = ROUND('Raw Data'!G188, 2),FALSE)),"",_xlfn.REGEXEXTRACT(CELL("address",G188), "\$([A-Z]+)\$[0-9]+"))),_xlfn.REGEXEXTRACT(CELL("address",G188), "\$([A-Z]+)\$[0-9]+"))</f>
        <v/>
      </c>
      <c r="H188" s="7" t="str" cm="1">
        <f t="array" aca="1" ref="H188" ca="1">IFERROR(IF(OR('Raw Data'!H188="",LEN(TRIM('Raw Data'!H188))=0),"",IF(AND(ISNUMBER('Raw Data'!H188), IFERROR('Raw Data'!H188 = ROUND('Raw Data'!H188, 2),FALSE)),"",_xlfn.REGEXEXTRACT(CELL("address",H188), "\$([A-Z]+)\$[0-9]+"))),_xlfn.REGEXEXTRACT(CELL("address",H188), "\$([A-Z]+)\$[0-9]+"))</f>
        <v/>
      </c>
      <c r="I188" s="7" t="str" cm="1">
        <f t="array" aca="1" ref="I188" ca="1">IFERROR(IF(OR('Raw Data'!I188="",LEN(TRIM('Raw Data'!I188))=0),"",IF(AND(LEN('Raw Data'!I188) &lt;= 50,LEN('Raw Data'!I188)&gt; 0),"",_xlfn.REGEXEXTRACT(CELL("address",'Raw Data'!I188),"\$([A-Z]+)\$[0-9]+"))),_xlfn.REGEXEXTRACT(CELL("address",'Raw Data'!I188),"\$([A-Z]+)\$[0-9]+"))</f>
        <v/>
      </c>
      <c r="J188" s="7" t="str" cm="1">
        <f t="array" aca="1" ref="J188" ca="1">IFERROR(IF(OR('Raw Data'!J188="",LEN(TRIM('Raw Data'!J188))=0),"",IF(AND(ISNUMBER('Raw Data'!J188),'Raw Data'!J188&gt;=Configuration!$D$2),"",_xlfn.REGEXEXTRACT(CELL("address",'Raw Data'!J188),"\$([A-Z]+)\$[0-9]+"))),_xlfn.REGEXEXTRACT(CELL("address",J188), "\$([A-Z]+)\$[0-9]+"))</f>
        <v/>
      </c>
      <c r="K188" s="7" t="str" cm="1">
        <f t="array" aca="1" ref="K188" ca="1">IFERROR(IF(OR('Raw Data'!K188="",LEN(TRIM('Raw Data'!K188))=0),"",IF(AND(ISNUMBER('Raw Data'!K188), IFERROR('Raw Data'!K188 = ROUND('Raw Data'!K188, 2),FALSE)),"",_xlfn.REGEXEXTRACT(CELL("address",K188), "\$([A-Z]+)\$[0-9]+"))),_xlfn.REGEXEXTRACT(CELL("address",K188), "\$([A-Z]+)\$[0-9]+"))</f>
        <v/>
      </c>
      <c r="L188" s="7" t="str" cm="1">
        <f t="array" aca="1" ref="L188" ca="1">IFERROR(IF(OR('Raw Data'!L188="",LEN(TRIM('Raw Data'!L188))=0),"",IF(AND(ISNUMBER('Raw Data'!L188), IFERROR('Raw Data'!L188 = ROUND('Raw Data'!L188, 2),FALSE)),"",_xlfn.REGEXEXTRACT(CELL("address",L188), "\$([A-Z]+)\$[0-9]+"))),_xlfn.REGEXEXTRACT(CELL("address",L188), "\$([A-Z]+)\$[0-9]+"))</f>
        <v/>
      </c>
      <c r="M188" s="7" t="str" cm="1">
        <f t="array" aca="1" ref="M188" ca="1">IFERROR(IF(OR('Raw Data'!M188="",LEN(TRIM('Raw Data'!M188))=0),"",IF(AND(ISNUMBER('Raw Data'!M188), IFERROR('Raw Data'!M188 = ROUND('Raw Data'!M188, 2),FALSE)),"",_xlfn.REGEXEXTRACT(CELL("address",M188), "\$([A-Z]+)\$[0-9]+"))),_xlfn.REGEXEXTRACT(CELL("address",M188), "\$([A-Z]+)\$[0-9]+"))</f>
        <v/>
      </c>
      <c r="N188" s="7" t="str" cm="1">
        <f t="array" aca="1" ref="N188" ca="1">IFERROR(IF(OR('Raw Data'!N188="",LEN(TRIM('Raw Data'!N188))=0),"",IF(AND(ISNUMBER('Raw Data'!N188), IFERROR('Raw Data'!N188 = ROUND('Raw Data'!N188, 2),FALSE)),"",_xlfn.REGEXEXTRACT(CELL("address",N188), "\$([A-Z]+)\$[0-9]+"))),_xlfn.REGEXEXTRACT(CELL("address",N188), "\$([A-Z]+)\$[0-9]+"))</f>
        <v/>
      </c>
      <c r="O188" s="7" t="str" cm="1">
        <f t="array" aca="1" ref="O188" ca="1">IFERROR(IF(OR('Raw Data'!O188="",LEN(TRIM('Raw Data'!O188))=0),"",IF(AND(ISNUMBER('Raw Data'!O188), IFERROR('Raw Data'!O188 = ROUND('Raw Data'!O188, 2),FALSE)),"",_xlfn.REGEXEXTRACT(CELL("address",O188), "\$([A-Z]+)\$[0-9]+"))),_xlfn.REGEXEXTRACT(CELL("address",O188), "\$([A-Z]+)\$[0-9]+"))</f>
        <v/>
      </c>
      <c r="P188" s="7" t="str" cm="1">
        <f t="array" aca="1" ref="P188" ca="1">IFERROR(IF(OR('Raw Data'!P188="",LEN(TRIM('Raw Data'!P188))=0),"",IF(AND(ISNUMBER('Raw Data'!P188),'Raw Data'!P188&gt;=Configuration!$D$2),"",_xlfn.REGEXEXTRACT(CELL("address",'Raw Data'!P188),"\$([A-Z]+)\$[0-9]+"))),_xlfn.REGEXEXTRACT(CELL("address",P188), "\$([A-Z]+)\$[0-9]+"))</f>
        <v/>
      </c>
      <c r="Q188" s="7" t="str" cm="1">
        <f t="array" aca="1" ref="Q188" ca="1">IFERROR(IF(OR('Raw Data'!Q188="",LEN(TRIM('Raw Data'!Q188))=0),"",IF(AND(ISNUMBER('Raw Data'!Q188),'Raw Data'!Q188&gt;=Configuration!$D$2),"",_xlfn.REGEXEXTRACT(CELL("address",'Raw Data'!Q188),"\$([A-Z]+)\$[0-9]+"))),_xlfn.REGEXEXTRACT(CELL("address",Q188), "\$([A-Z]+)\$[0-9]+"))</f>
        <v/>
      </c>
      <c r="R188" s="7" t="str" cm="1">
        <f t="array" aca="1" ref="R188" ca="1">IFERROR(IF(OR('Raw Data'!R188="",LEN(TRIM('Raw Data'!R188))=0),"",IF(AND(ISNUMBER('Raw Data'!R188), IFERROR('Raw Data'!R188 = ROUND('Raw Data'!R188, 2),FALSE)),"",_xlfn.REGEXEXTRACT(CELL("address",R188), "\$([A-Z]+)\$[0-9]+"))),_xlfn.REGEXEXTRACT(CELL("address",R188), "\$([A-Z]+)\$[0-9]+"))</f>
        <v/>
      </c>
      <c r="S188" s="7" t="str" cm="1">
        <f t="array" aca="1" ref="S188" ca="1">IFERROR(IF(OR('Raw Data'!S188="",LEN(TRIM('Raw Data'!S188))=0),"",IF(AND(ISNUMBER('Raw Data'!S188), IFERROR('Raw Data'!S188 = ROUND('Raw Data'!S188, 2),FALSE)),"",_xlfn.REGEXEXTRACT(CELL("address",S188), "\$([A-Z]+)\$[0-9]+"))),_xlfn.REGEXEXTRACT(CELL("address",S188), "\$([A-Z]+)\$[0-9]+"))</f>
        <v/>
      </c>
      <c r="T188" s="7" t="str" cm="1">
        <f t="array" aca="1" ref="T188" ca="1">IFERROR(IF(OR('Raw Data'!T188="",LEN(TRIM('Raw Data'!T188))=0),"",IF(AND(ISNUMBER('Raw Data'!T188), IFERROR('Raw Data'!T188 = ROUND('Raw Data'!T188, 2),FALSE)),"",_xlfn.REGEXEXTRACT(CELL("address",T188), "\$([A-Z]+)\$[0-9]+"))),_xlfn.REGEXEXTRACT(CELL("address",T188), "\$([A-Z]+)\$[0-9]+"))</f>
        <v/>
      </c>
      <c r="U188" s="7" t="str" cm="1">
        <f t="array" aca="1" ref="U188" ca="1">IFERROR(IF(OR('Raw Data'!U188="",LEN(TRIM('Raw Data'!U188))=0),"",IF(AND(LEN('Raw Data'!U188) &lt;= 5,LEN('Raw Data'!U188)&gt; 0),"",_xlfn.REGEXEXTRACT(CELL("address",'Raw Data'!U188),"\$([A-Z]+)\$[0-9]+"))),_xlfn.REGEXEXTRACT(CELL("address",'Raw Data'!U188),"\$([A-Z]+)\$[0-9]+"))</f>
        <v/>
      </c>
      <c r="V188" s="7" t="str" cm="1">
        <f t="array" aca="1" ref="V188" ca="1">IFERROR(IF(OR('Raw Data'!V188="",LEN(TRIM('Raw Data'!V188))=0),"",IF(AND(ISNUMBER('Raw Data'!V188), IFERROR('Raw Data'!V188 = ROUND('Raw Data'!V188, 2),FALSE)),"",_xlfn.REGEXEXTRACT(CELL("address",V188), "\$([A-Z]+)\$[0-9]+"))),_xlfn.REGEXEXTRACT(CELL("address",V188), "\$([A-Z]+)\$[0-9]+"))</f>
        <v/>
      </c>
      <c r="W188" s="7" t="str" cm="1">
        <f t="array" aca="1" ref="W188" ca="1">IFERROR(IF(OR('Raw Data'!W188="",LEN(TRIM('Raw Data'!W188))=0),"",IF(AND(ISNUMBER('Raw Data'!W188), IFERROR('Raw Data'!W188 = ROUND('Raw Data'!W188, 2),FALSE)),"",_xlfn.REGEXEXTRACT(CELL("address",W188), "\$([A-Z]+)\$[0-9]+"))),_xlfn.REGEXEXTRACT(CELL("address",W188), "\$([A-Z]+)\$[0-9]+"))</f>
        <v/>
      </c>
      <c r="X188" s="7" t="str" cm="1">
        <f t="array" aca="1" ref="X188" ca="1">IFERROR(IF(OR('Raw Data'!X188="",LEN(TRIM('Raw Data'!X188))=0),"",IF(AND(ISNUMBER('Raw Data'!X188), IFERROR('Raw Data'!X188 = ROUND('Raw Data'!X188, 2),FALSE)),"",_xlfn.REGEXEXTRACT(CELL("address",X188), "\$([A-Z]+)\$[0-9]+"))),_xlfn.REGEXEXTRACT(CELL("address",X188), "\$([A-Z]+)\$[0-9]+"))</f>
        <v/>
      </c>
    </row>
    <row r="189" spans="2:24" x14ac:dyDescent="0.25">
      <c r="B189" s="7" t="str" cm="1">
        <f t="array" aca="1" ref="B189" ca="1">IFERROR(IF(OR('Raw Data'!B189="",LEN(TRIM('Raw Data'!B189))=0),"",IF(AND(LEN('Raw Data'!B189) &lt;= 50,LEN('Raw Data'!B189)&gt; 0),"",_xlfn.REGEXEXTRACT(CELL("address",'Raw Data'!B189),"\$([A-Z]+)\$[0-9]+"))),_xlfn.REGEXEXTRACT(CELL("address",'Raw Data'!B189),"\$([A-Z]+)\$[0-9]+"))</f>
        <v/>
      </c>
      <c r="C189" s="7" t="str" cm="1">
        <f t="array" aca="1" ref="C189" ca="1">IFERROR(IF(OR('Raw Data'!C189="",LEN(TRIM('Raw Data'!C189))=0),"",IF(AND(LEN('Raw Data'!C189) &lt;= 50,LEN('Raw Data'!C189)&gt; 0),"",_xlfn.REGEXEXTRACT(CELL("address",'Raw Data'!C189),"\$([A-Z]+)\$[0-9]+"))),_xlfn.REGEXEXTRACT(CELL("address",'Raw Data'!C189),"\$([A-Z]+)\$[0-9]+"))</f>
        <v/>
      </c>
      <c r="D189" s="7" t="str" cm="1">
        <f t="array" aca="1" ref="D189" ca="1">IFERROR(IF(OR('Raw Data'!D189="",LEN(TRIM('Raw Data'!D189))=0),"",IF(AND(LEN('Raw Data'!D189) &lt;= 255,LEN('Raw Data'!D189)&gt; 0),"",_xlfn.REGEXEXTRACT(CELL("address",'Raw Data'!D189),"\$([A-Z]+)\$[0-9]+"))),_xlfn.REGEXEXTRACT(CELL("address",'Raw Data'!D189),"\$([A-Z]+)\$[0-9]+"))</f>
        <v/>
      </c>
      <c r="E189" s="7" t="str" cm="1">
        <f t="array" aca="1" ref="E189" ca="1">IFERROR(IF(OR('Raw Data'!E189="",LEN(TRIM('Raw Data'!E189))=0),"",IF(AND(ISNUMBER('Raw Data'!E189),'Raw Data'!E189&gt;=Configuration!$D$2),"",_xlfn.REGEXEXTRACT(CELL("address",'Raw Data'!E189),"\$([A-Z]+)\$[0-9]+"))),_xlfn.REGEXEXTRACT(CELL("address",E189), "\$([A-Z]+)\$[0-9]+"))</f>
        <v/>
      </c>
      <c r="F189" s="7" t="str" cm="1">
        <f t="array" aca="1" ref="F189" ca="1">IFERROR(IF(OR('Raw Data'!F189="",LEN(TRIM('Raw Data'!F189))=0),"",IF(AND(LEN('Raw Data'!F189) &lt;= 20,LEN('Raw Data'!F189)&gt; 0),"",_xlfn.REGEXEXTRACT(CELL("address",'Raw Data'!F189),"\$([A-Z]+)\$[0-9]+"))),_xlfn.REGEXEXTRACT(CELL("address",'Raw Data'!F189),"\$([A-Z]+)\$[0-9]+"))</f>
        <v/>
      </c>
      <c r="G189" s="7" t="str" cm="1">
        <f t="array" aca="1" ref="G189" ca="1">IFERROR(IF(OR('Raw Data'!G189="",LEN(TRIM('Raw Data'!G189))=0),"",IF(AND(ISNUMBER('Raw Data'!G189), IFERROR('Raw Data'!G189 = ROUND('Raw Data'!G189, 2),FALSE)),"",_xlfn.REGEXEXTRACT(CELL("address",G189), "\$([A-Z]+)\$[0-9]+"))),_xlfn.REGEXEXTRACT(CELL("address",G189), "\$([A-Z]+)\$[0-9]+"))</f>
        <v/>
      </c>
      <c r="H189" s="7" t="str" cm="1">
        <f t="array" aca="1" ref="H189" ca="1">IFERROR(IF(OR('Raw Data'!H189="",LEN(TRIM('Raw Data'!H189))=0),"",IF(AND(ISNUMBER('Raw Data'!H189), IFERROR('Raw Data'!H189 = ROUND('Raw Data'!H189, 2),FALSE)),"",_xlfn.REGEXEXTRACT(CELL("address",H189), "\$([A-Z]+)\$[0-9]+"))),_xlfn.REGEXEXTRACT(CELL("address",H189), "\$([A-Z]+)\$[0-9]+"))</f>
        <v/>
      </c>
      <c r="I189" s="7" t="str" cm="1">
        <f t="array" aca="1" ref="I189" ca="1">IFERROR(IF(OR('Raw Data'!I189="",LEN(TRIM('Raw Data'!I189))=0),"",IF(AND(LEN('Raw Data'!I189) &lt;= 50,LEN('Raw Data'!I189)&gt; 0),"",_xlfn.REGEXEXTRACT(CELL("address",'Raw Data'!I189),"\$([A-Z]+)\$[0-9]+"))),_xlfn.REGEXEXTRACT(CELL("address",'Raw Data'!I189),"\$([A-Z]+)\$[0-9]+"))</f>
        <v/>
      </c>
      <c r="J189" s="7" t="str" cm="1">
        <f t="array" aca="1" ref="J189" ca="1">IFERROR(IF(OR('Raw Data'!J189="",LEN(TRIM('Raw Data'!J189))=0),"",IF(AND(ISNUMBER('Raw Data'!J189),'Raw Data'!J189&gt;=Configuration!$D$2),"",_xlfn.REGEXEXTRACT(CELL("address",'Raw Data'!J189),"\$([A-Z]+)\$[0-9]+"))),_xlfn.REGEXEXTRACT(CELL("address",J189), "\$([A-Z]+)\$[0-9]+"))</f>
        <v/>
      </c>
      <c r="K189" s="7" t="str" cm="1">
        <f t="array" aca="1" ref="K189" ca="1">IFERROR(IF(OR('Raw Data'!K189="",LEN(TRIM('Raw Data'!K189))=0),"",IF(AND(ISNUMBER('Raw Data'!K189), IFERROR('Raw Data'!K189 = ROUND('Raw Data'!K189, 2),FALSE)),"",_xlfn.REGEXEXTRACT(CELL("address",K189), "\$([A-Z]+)\$[0-9]+"))),_xlfn.REGEXEXTRACT(CELL("address",K189), "\$([A-Z]+)\$[0-9]+"))</f>
        <v/>
      </c>
      <c r="L189" s="7" t="str" cm="1">
        <f t="array" aca="1" ref="L189" ca="1">IFERROR(IF(OR('Raw Data'!L189="",LEN(TRIM('Raw Data'!L189))=0),"",IF(AND(ISNUMBER('Raw Data'!L189), IFERROR('Raw Data'!L189 = ROUND('Raw Data'!L189, 2),FALSE)),"",_xlfn.REGEXEXTRACT(CELL("address",L189), "\$([A-Z]+)\$[0-9]+"))),_xlfn.REGEXEXTRACT(CELL("address",L189), "\$([A-Z]+)\$[0-9]+"))</f>
        <v/>
      </c>
      <c r="M189" s="7" t="str" cm="1">
        <f t="array" aca="1" ref="M189" ca="1">IFERROR(IF(OR('Raw Data'!M189="",LEN(TRIM('Raw Data'!M189))=0),"",IF(AND(ISNUMBER('Raw Data'!M189), IFERROR('Raw Data'!M189 = ROUND('Raw Data'!M189, 2),FALSE)),"",_xlfn.REGEXEXTRACT(CELL("address",M189), "\$([A-Z]+)\$[0-9]+"))),_xlfn.REGEXEXTRACT(CELL("address",M189), "\$([A-Z]+)\$[0-9]+"))</f>
        <v/>
      </c>
      <c r="N189" s="7" t="str" cm="1">
        <f t="array" aca="1" ref="N189" ca="1">IFERROR(IF(OR('Raw Data'!N189="",LEN(TRIM('Raw Data'!N189))=0),"",IF(AND(ISNUMBER('Raw Data'!N189), IFERROR('Raw Data'!N189 = ROUND('Raw Data'!N189, 2),FALSE)),"",_xlfn.REGEXEXTRACT(CELL("address",N189), "\$([A-Z]+)\$[0-9]+"))),_xlfn.REGEXEXTRACT(CELL("address",N189), "\$([A-Z]+)\$[0-9]+"))</f>
        <v/>
      </c>
      <c r="O189" s="7" t="str" cm="1">
        <f t="array" aca="1" ref="O189" ca="1">IFERROR(IF(OR('Raw Data'!O189="",LEN(TRIM('Raw Data'!O189))=0),"",IF(AND(ISNUMBER('Raw Data'!O189), IFERROR('Raw Data'!O189 = ROUND('Raw Data'!O189, 2),FALSE)),"",_xlfn.REGEXEXTRACT(CELL("address",O189), "\$([A-Z]+)\$[0-9]+"))),_xlfn.REGEXEXTRACT(CELL("address",O189), "\$([A-Z]+)\$[0-9]+"))</f>
        <v/>
      </c>
      <c r="P189" s="7" t="str" cm="1">
        <f t="array" aca="1" ref="P189" ca="1">IFERROR(IF(OR('Raw Data'!P189="",LEN(TRIM('Raw Data'!P189))=0),"",IF(AND(ISNUMBER('Raw Data'!P189),'Raw Data'!P189&gt;=Configuration!$D$2),"",_xlfn.REGEXEXTRACT(CELL("address",'Raw Data'!P189),"\$([A-Z]+)\$[0-9]+"))),_xlfn.REGEXEXTRACT(CELL("address",P189), "\$([A-Z]+)\$[0-9]+"))</f>
        <v/>
      </c>
      <c r="Q189" s="7" t="str" cm="1">
        <f t="array" aca="1" ref="Q189" ca="1">IFERROR(IF(OR('Raw Data'!Q189="",LEN(TRIM('Raw Data'!Q189))=0),"",IF(AND(ISNUMBER('Raw Data'!Q189),'Raw Data'!Q189&gt;=Configuration!$D$2),"",_xlfn.REGEXEXTRACT(CELL("address",'Raw Data'!Q189),"\$([A-Z]+)\$[0-9]+"))),_xlfn.REGEXEXTRACT(CELL("address",Q189), "\$([A-Z]+)\$[0-9]+"))</f>
        <v/>
      </c>
      <c r="R189" s="7" t="str" cm="1">
        <f t="array" aca="1" ref="R189" ca="1">IFERROR(IF(OR('Raw Data'!R189="",LEN(TRIM('Raw Data'!R189))=0),"",IF(AND(ISNUMBER('Raw Data'!R189), IFERROR('Raw Data'!R189 = ROUND('Raw Data'!R189, 2),FALSE)),"",_xlfn.REGEXEXTRACT(CELL("address",R189), "\$([A-Z]+)\$[0-9]+"))),_xlfn.REGEXEXTRACT(CELL("address",R189), "\$([A-Z]+)\$[0-9]+"))</f>
        <v/>
      </c>
      <c r="S189" s="7" t="str" cm="1">
        <f t="array" aca="1" ref="S189" ca="1">IFERROR(IF(OR('Raw Data'!S189="",LEN(TRIM('Raw Data'!S189))=0),"",IF(AND(ISNUMBER('Raw Data'!S189), IFERROR('Raw Data'!S189 = ROUND('Raw Data'!S189, 2),FALSE)),"",_xlfn.REGEXEXTRACT(CELL("address",S189), "\$([A-Z]+)\$[0-9]+"))),_xlfn.REGEXEXTRACT(CELL("address",S189), "\$([A-Z]+)\$[0-9]+"))</f>
        <v/>
      </c>
      <c r="T189" s="7" t="str" cm="1">
        <f t="array" aca="1" ref="T189" ca="1">IFERROR(IF(OR('Raw Data'!T189="",LEN(TRIM('Raw Data'!T189))=0),"",IF(AND(ISNUMBER('Raw Data'!T189), IFERROR('Raw Data'!T189 = ROUND('Raw Data'!T189, 2),FALSE)),"",_xlfn.REGEXEXTRACT(CELL("address",T189), "\$([A-Z]+)\$[0-9]+"))),_xlfn.REGEXEXTRACT(CELL("address",T189), "\$([A-Z]+)\$[0-9]+"))</f>
        <v/>
      </c>
      <c r="U189" s="7" t="str" cm="1">
        <f t="array" aca="1" ref="U189" ca="1">IFERROR(IF(OR('Raw Data'!U189="",LEN(TRIM('Raw Data'!U189))=0),"",IF(AND(LEN('Raw Data'!U189) &lt;= 5,LEN('Raw Data'!U189)&gt; 0),"",_xlfn.REGEXEXTRACT(CELL("address",'Raw Data'!U189),"\$([A-Z]+)\$[0-9]+"))),_xlfn.REGEXEXTRACT(CELL("address",'Raw Data'!U189),"\$([A-Z]+)\$[0-9]+"))</f>
        <v/>
      </c>
      <c r="V189" s="7" t="str" cm="1">
        <f t="array" aca="1" ref="V189" ca="1">IFERROR(IF(OR('Raw Data'!V189="",LEN(TRIM('Raw Data'!V189))=0),"",IF(AND(ISNUMBER('Raw Data'!V189), IFERROR('Raw Data'!V189 = ROUND('Raw Data'!V189, 2),FALSE)),"",_xlfn.REGEXEXTRACT(CELL("address",V189), "\$([A-Z]+)\$[0-9]+"))),_xlfn.REGEXEXTRACT(CELL("address",V189), "\$([A-Z]+)\$[0-9]+"))</f>
        <v/>
      </c>
      <c r="W189" s="7" t="str" cm="1">
        <f t="array" aca="1" ref="W189" ca="1">IFERROR(IF(OR('Raw Data'!W189="",LEN(TRIM('Raw Data'!W189))=0),"",IF(AND(ISNUMBER('Raw Data'!W189), IFERROR('Raw Data'!W189 = ROUND('Raw Data'!W189, 2),FALSE)),"",_xlfn.REGEXEXTRACT(CELL("address",W189), "\$([A-Z]+)\$[0-9]+"))),_xlfn.REGEXEXTRACT(CELL("address",W189), "\$([A-Z]+)\$[0-9]+"))</f>
        <v/>
      </c>
      <c r="X189" s="7" t="str" cm="1">
        <f t="array" aca="1" ref="X189" ca="1">IFERROR(IF(OR('Raw Data'!X189="",LEN(TRIM('Raw Data'!X189))=0),"",IF(AND(ISNUMBER('Raw Data'!X189), IFERROR('Raw Data'!X189 = ROUND('Raw Data'!X189, 2),FALSE)),"",_xlfn.REGEXEXTRACT(CELL("address",X189), "\$([A-Z]+)\$[0-9]+"))),_xlfn.REGEXEXTRACT(CELL("address",X189), "\$([A-Z]+)\$[0-9]+"))</f>
        <v/>
      </c>
    </row>
    <row r="190" spans="2:24" x14ac:dyDescent="0.25">
      <c r="B190" s="7" t="str" cm="1">
        <f t="array" aca="1" ref="B190" ca="1">IFERROR(IF(OR('Raw Data'!B190="",LEN(TRIM('Raw Data'!B190))=0),"",IF(AND(LEN('Raw Data'!B190) &lt;= 50,LEN('Raw Data'!B190)&gt; 0),"",_xlfn.REGEXEXTRACT(CELL("address",'Raw Data'!B190),"\$([A-Z]+)\$[0-9]+"))),_xlfn.REGEXEXTRACT(CELL("address",'Raw Data'!B190),"\$([A-Z]+)\$[0-9]+"))</f>
        <v/>
      </c>
      <c r="C190" s="7" t="str" cm="1">
        <f t="array" aca="1" ref="C190" ca="1">IFERROR(IF(OR('Raw Data'!C190="",LEN(TRIM('Raw Data'!C190))=0),"",IF(AND(LEN('Raw Data'!C190) &lt;= 50,LEN('Raw Data'!C190)&gt; 0),"",_xlfn.REGEXEXTRACT(CELL("address",'Raw Data'!C190),"\$([A-Z]+)\$[0-9]+"))),_xlfn.REGEXEXTRACT(CELL("address",'Raw Data'!C190),"\$([A-Z]+)\$[0-9]+"))</f>
        <v/>
      </c>
      <c r="D190" s="7" t="str" cm="1">
        <f t="array" aca="1" ref="D190" ca="1">IFERROR(IF(OR('Raw Data'!D190="",LEN(TRIM('Raw Data'!D190))=0),"",IF(AND(LEN('Raw Data'!D190) &lt;= 255,LEN('Raw Data'!D190)&gt; 0),"",_xlfn.REGEXEXTRACT(CELL("address",'Raw Data'!D190),"\$([A-Z]+)\$[0-9]+"))),_xlfn.REGEXEXTRACT(CELL("address",'Raw Data'!D190),"\$([A-Z]+)\$[0-9]+"))</f>
        <v/>
      </c>
      <c r="E190" s="7" t="str" cm="1">
        <f t="array" aca="1" ref="E190" ca="1">IFERROR(IF(OR('Raw Data'!E190="",LEN(TRIM('Raw Data'!E190))=0),"",IF(AND(ISNUMBER('Raw Data'!E190),'Raw Data'!E190&gt;=Configuration!$D$2),"",_xlfn.REGEXEXTRACT(CELL("address",'Raw Data'!E190),"\$([A-Z]+)\$[0-9]+"))),_xlfn.REGEXEXTRACT(CELL("address",E190), "\$([A-Z]+)\$[0-9]+"))</f>
        <v/>
      </c>
      <c r="F190" s="7" t="str" cm="1">
        <f t="array" aca="1" ref="F190" ca="1">IFERROR(IF(OR('Raw Data'!F190="",LEN(TRIM('Raw Data'!F190))=0),"",IF(AND(LEN('Raw Data'!F190) &lt;= 20,LEN('Raw Data'!F190)&gt; 0),"",_xlfn.REGEXEXTRACT(CELL("address",'Raw Data'!F190),"\$([A-Z]+)\$[0-9]+"))),_xlfn.REGEXEXTRACT(CELL("address",'Raw Data'!F190),"\$([A-Z]+)\$[0-9]+"))</f>
        <v/>
      </c>
      <c r="G190" s="7" t="str" cm="1">
        <f t="array" aca="1" ref="G190" ca="1">IFERROR(IF(OR('Raw Data'!G190="",LEN(TRIM('Raw Data'!G190))=0),"",IF(AND(ISNUMBER('Raw Data'!G190), IFERROR('Raw Data'!G190 = ROUND('Raw Data'!G190, 2),FALSE)),"",_xlfn.REGEXEXTRACT(CELL("address",G190), "\$([A-Z]+)\$[0-9]+"))),_xlfn.REGEXEXTRACT(CELL("address",G190), "\$([A-Z]+)\$[0-9]+"))</f>
        <v/>
      </c>
      <c r="H190" s="7" t="str" cm="1">
        <f t="array" aca="1" ref="H190" ca="1">IFERROR(IF(OR('Raw Data'!H190="",LEN(TRIM('Raw Data'!H190))=0),"",IF(AND(ISNUMBER('Raw Data'!H190), IFERROR('Raw Data'!H190 = ROUND('Raw Data'!H190, 2),FALSE)),"",_xlfn.REGEXEXTRACT(CELL("address",H190), "\$([A-Z]+)\$[0-9]+"))),_xlfn.REGEXEXTRACT(CELL("address",H190), "\$([A-Z]+)\$[0-9]+"))</f>
        <v/>
      </c>
      <c r="I190" s="7" t="str" cm="1">
        <f t="array" aca="1" ref="I190" ca="1">IFERROR(IF(OR('Raw Data'!I190="",LEN(TRIM('Raw Data'!I190))=0),"",IF(AND(LEN('Raw Data'!I190) &lt;= 50,LEN('Raw Data'!I190)&gt; 0),"",_xlfn.REGEXEXTRACT(CELL("address",'Raw Data'!I190),"\$([A-Z]+)\$[0-9]+"))),_xlfn.REGEXEXTRACT(CELL("address",'Raw Data'!I190),"\$([A-Z]+)\$[0-9]+"))</f>
        <v/>
      </c>
      <c r="J190" s="7" t="str" cm="1">
        <f t="array" aca="1" ref="J190" ca="1">IFERROR(IF(OR('Raw Data'!J190="",LEN(TRIM('Raw Data'!J190))=0),"",IF(AND(ISNUMBER('Raw Data'!J190),'Raw Data'!J190&gt;=Configuration!$D$2),"",_xlfn.REGEXEXTRACT(CELL("address",'Raw Data'!J190),"\$([A-Z]+)\$[0-9]+"))),_xlfn.REGEXEXTRACT(CELL("address",J190), "\$([A-Z]+)\$[0-9]+"))</f>
        <v/>
      </c>
      <c r="K190" s="7" t="str" cm="1">
        <f t="array" aca="1" ref="K190" ca="1">IFERROR(IF(OR('Raw Data'!K190="",LEN(TRIM('Raw Data'!K190))=0),"",IF(AND(ISNUMBER('Raw Data'!K190), IFERROR('Raw Data'!K190 = ROUND('Raw Data'!K190, 2),FALSE)),"",_xlfn.REGEXEXTRACT(CELL("address",K190), "\$([A-Z]+)\$[0-9]+"))),_xlfn.REGEXEXTRACT(CELL("address",K190), "\$([A-Z]+)\$[0-9]+"))</f>
        <v/>
      </c>
      <c r="L190" s="7" t="str" cm="1">
        <f t="array" aca="1" ref="L190" ca="1">IFERROR(IF(OR('Raw Data'!L190="",LEN(TRIM('Raw Data'!L190))=0),"",IF(AND(ISNUMBER('Raw Data'!L190), IFERROR('Raw Data'!L190 = ROUND('Raw Data'!L190, 2),FALSE)),"",_xlfn.REGEXEXTRACT(CELL("address",L190), "\$([A-Z]+)\$[0-9]+"))),_xlfn.REGEXEXTRACT(CELL("address",L190), "\$([A-Z]+)\$[0-9]+"))</f>
        <v/>
      </c>
      <c r="M190" s="7" t="str" cm="1">
        <f t="array" aca="1" ref="M190" ca="1">IFERROR(IF(OR('Raw Data'!M190="",LEN(TRIM('Raw Data'!M190))=0),"",IF(AND(ISNUMBER('Raw Data'!M190), IFERROR('Raw Data'!M190 = ROUND('Raw Data'!M190, 2),FALSE)),"",_xlfn.REGEXEXTRACT(CELL("address",M190), "\$([A-Z]+)\$[0-9]+"))),_xlfn.REGEXEXTRACT(CELL("address",M190), "\$([A-Z]+)\$[0-9]+"))</f>
        <v/>
      </c>
      <c r="N190" s="7" t="str" cm="1">
        <f t="array" aca="1" ref="N190" ca="1">IFERROR(IF(OR('Raw Data'!N190="",LEN(TRIM('Raw Data'!N190))=0),"",IF(AND(ISNUMBER('Raw Data'!N190), IFERROR('Raw Data'!N190 = ROUND('Raw Data'!N190, 2),FALSE)),"",_xlfn.REGEXEXTRACT(CELL("address",N190), "\$([A-Z]+)\$[0-9]+"))),_xlfn.REGEXEXTRACT(CELL("address",N190), "\$([A-Z]+)\$[0-9]+"))</f>
        <v/>
      </c>
      <c r="O190" s="7" t="str" cm="1">
        <f t="array" aca="1" ref="O190" ca="1">IFERROR(IF(OR('Raw Data'!O190="",LEN(TRIM('Raw Data'!O190))=0),"",IF(AND(ISNUMBER('Raw Data'!O190), IFERROR('Raw Data'!O190 = ROUND('Raw Data'!O190, 2),FALSE)),"",_xlfn.REGEXEXTRACT(CELL("address",O190), "\$([A-Z]+)\$[0-9]+"))),_xlfn.REGEXEXTRACT(CELL("address",O190), "\$([A-Z]+)\$[0-9]+"))</f>
        <v/>
      </c>
      <c r="P190" s="7" t="str" cm="1">
        <f t="array" aca="1" ref="P190" ca="1">IFERROR(IF(OR('Raw Data'!P190="",LEN(TRIM('Raw Data'!P190))=0),"",IF(AND(ISNUMBER('Raw Data'!P190),'Raw Data'!P190&gt;=Configuration!$D$2),"",_xlfn.REGEXEXTRACT(CELL("address",'Raw Data'!P190),"\$([A-Z]+)\$[0-9]+"))),_xlfn.REGEXEXTRACT(CELL("address",P190), "\$([A-Z]+)\$[0-9]+"))</f>
        <v/>
      </c>
      <c r="Q190" s="7" t="str" cm="1">
        <f t="array" aca="1" ref="Q190" ca="1">IFERROR(IF(OR('Raw Data'!Q190="",LEN(TRIM('Raw Data'!Q190))=0),"",IF(AND(ISNUMBER('Raw Data'!Q190),'Raw Data'!Q190&gt;=Configuration!$D$2),"",_xlfn.REGEXEXTRACT(CELL("address",'Raw Data'!Q190),"\$([A-Z]+)\$[0-9]+"))),_xlfn.REGEXEXTRACT(CELL("address",Q190), "\$([A-Z]+)\$[0-9]+"))</f>
        <v/>
      </c>
      <c r="R190" s="7" t="str" cm="1">
        <f t="array" aca="1" ref="R190" ca="1">IFERROR(IF(OR('Raw Data'!R190="",LEN(TRIM('Raw Data'!R190))=0),"",IF(AND(ISNUMBER('Raw Data'!R190), IFERROR('Raw Data'!R190 = ROUND('Raw Data'!R190, 2),FALSE)),"",_xlfn.REGEXEXTRACT(CELL("address",R190), "\$([A-Z]+)\$[0-9]+"))),_xlfn.REGEXEXTRACT(CELL("address",R190), "\$([A-Z]+)\$[0-9]+"))</f>
        <v/>
      </c>
      <c r="S190" s="7" t="str" cm="1">
        <f t="array" aca="1" ref="S190" ca="1">IFERROR(IF(OR('Raw Data'!S190="",LEN(TRIM('Raw Data'!S190))=0),"",IF(AND(ISNUMBER('Raw Data'!S190), IFERROR('Raw Data'!S190 = ROUND('Raw Data'!S190, 2),FALSE)),"",_xlfn.REGEXEXTRACT(CELL("address",S190), "\$([A-Z]+)\$[0-9]+"))),_xlfn.REGEXEXTRACT(CELL("address",S190), "\$([A-Z]+)\$[0-9]+"))</f>
        <v/>
      </c>
      <c r="T190" s="7" t="str" cm="1">
        <f t="array" aca="1" ref="T190" ca="1">IFERROR(IF(OR('Raw Data'!T190="",LEN(TRIM('Raw Data'!T190))=0),"",IF(AND(ISNUMBER('Raw Data'!T190), IFERROR('Raw Data'!T190 = ROUND('Raw Data'!T190, 2),FALSE)),"",_xlfn.REGEXEXTRACT(CELL("address",T190), "\$([A-Z]+)\$[0-9]+"))),_xlfn.REGEXEXTRACT(CELL("address",T190), "\$([A-Z]+)\$[0-9]+"))</f>
        <v/>
      </c>
      <c r="U190" s="7" t="str" cm="1">
        <f t="array" aca="1" ref="U190" ca="1">IFERROR(IF(OR('Raw Data'!U190="",LEN(TRIM('Raw Data'!U190))=0),"",IF(AND(LEN('Raw Data'!U190) &lt;= 5,LEN('Raw Data'!U190)&gt; 0),"",_xlfn.REGEXEXTRACT(CELL("address",'Raw Data'!U190),"\$([A-Z]+)\$[0-9]+"))),_xlfn.REGEXEXTRACT(CELL("address",'Raw Data'!U190),"\$([A-Z]+)\$[0-9]+"))</f>
        <v/>
      </c>
      <c r="V190" s="7" t="str" cm="1">
        <f t="array" aca="1" ref="V190" ca="1">IFERROR(IF(OR('Raw Data'!V190="",LEN(TRIM('Raw Data'!V190))=0),"",IF(AND(ISNUMBER('Raw Data'!V190), IFERROR('Raw Data'!V190 = ROUND('Raw Data'!V190, 2),FALSE)),"",_xlfn.REGEXEXTRACT(CELL("address",V190), "\$([A-Z]+)\$[0-9]+"))),_xlfn.REGEXEXTRACT(CELL("address",V190), "\$([A-Z]+)\$[0-9]+"))</f>
        <v/>
      </c>
      <c r="W190" s="7" t="str" cm="1">
        <f t="array" aca="1" ref="W190" ca="1">IFERROR(IF(OR('Raw Data'!W190="",LEN(TRIM('Raw Data'!W190))=0),"",IF(AND(ISNUMBER('Raw Data'!W190), IFERROR('Raw Data'!W190 = ROUND('Raw Data'!W190, 2),FALSE)),"",_xlfn.REGEXEXTRACT(CELL("address",W190), "\$([A-Z]+)\$[0-9]+"))),_xlfn.REGEXEXTRACT(CELL("address",W190), "\$([A-Z]+)\$[0-9]+"))</f>
        <v/>
      </c>
      <c r="X190" s="7" t="str" cm="1">
        <f t="array" aca="1" ref="X190" ca="1">IFERROR(IF(OR('Raw Data'!X190="",LEN(TRIM('Raw Data'!X190))=0),"",IF(AND(ISNUMBER('Raw Data'!X190), IFERROR('Raw Data'!X190 = ROUND('Raw Data'!X190, 2),FALSE)),"",_xlfn.REGEXEXTRACT(CELL("address",X190), "\$([A-Z]+)\$[0-9]+"))),_xlfn.REGEXEXTRACT(CELL("address",X190), "\$([A-Z]+)\$[0-9]+"))</f>
        <v/>
      </c>
    </row>
    <row r="191" spans="2:24" x14ac:dyDescent="0.25">
      <c r="B191" s="7" t="str" cm="1">
        <f t="array" aca="1" ref="B191" ca="1">IFERROR(IF(OR('Raw Data'!B191="",LEN(TRIM('Raw Data'!B191))=0),"",IF(AND(LEN('Raw Data'!B191) &lt;= 50,LEN('Raw Data'!B191)&gt; 0),"",_xlfn.REGEXEXTRACT(CELL("address",'Raw Data'!B191),"\$([A-Z]+)\$[0-9]+"))),_xlfn.REGEXEXTRACT(CELL("address",'Raw Data'!B191),"\$([A-Z]+)\$[0-9]+"))</f>
        <v/>
      </c>
      <c r="C191" s="7" t="str" cm="1">
        <f t="array" aca="1" ref="C191" ca="1">IFERROR(IF(OR('Raw Data'!C191="",LEN(TRIM('Raw Data'!C191))=0),"",IF(AND(LEN('Raw Data'!C191) &lt;= 50,LEN('Raw Data'!C191)&gt; 0),"",_xlfn.REGEXEXTRACT(CELL("address",'Raw Data'!C191),"\$([A-Z]+)\$[0-9]+"))),_xlfn.REGEXEXTRACT(CELL("address",'Raw Data'!C191),"\$([A-Z]+)\$[0-9]+"))</f>
        <v/>
      </c>
      <c r="D191" s="7" t="str" cm="1">
        <f t="array" aca="1" ref="D191" ca="1">IFERROR(IF(OR('Raw Data'!D191="",LEN(TRIM('Raw Data'!D191))=0),"",IF(AND(LEN('Raw Data'!D191) &lt;= 255,LEN('Raw Data'!D191)&gt; 0),"",_xlfn.REGEXEXTRACT(CELL("address",'Raw Data'!D191),"\$([A-Z]+)\$[0-9]+"))),_xlfn.REGEXEXTRACT(CELL("address",'Raw Data'!D191),"\$([A-Z]+)\$[0-9]+"))</f>
        <v/>
      </c>
      <c r="E191" s="7" t="str" cm="1">
        <f t="array" aca="1" ref="E191" ca="1">IFERROR(IF(OR('Raw Data'!E191="",LEN(TRIM('Raw Data'!E191))=0),"",IF(AND(ISNUMBER('Raw Data'!E191),'Raw Data'!E191&gt;=Configuration!$D$2),"",_xlfn.REGEXEXTRACT(CELL("address",'Raw Data'!E191),"\$([A-Z]+)\$[0-9]+"))),_xlfn.REGEXEXTRACT(CELL("address",E191), "\$([A-Z]+)\$[0-9]+"))</f>
        <v/>
      </c>
      <c r="F191" s="7" t="str" cm="1">
        <f t="array" aca="1" ref="F191" ca="1">IFERROR(IF(OR('Raw Data'!F191="",LEN(TRIM('Raw Data'!F191))=0),"",IF(AND(LEN('Raw Data'!F191) &lt;= 20,LEN('Raw Data'!F191)&gt; 0),"",_xlfn.REGEXEXTRACT(CELL("address",'Raw Data'!F191),"\$([A-Z]+)\$[0-9]+"))),_xlfn.REGEXEXTRACT(CELL("address",'Raw Data'!F191),"\$([A-Z]+)\$[0-9]+"))</f>
        <v/>
      </c>
      <c r="G191" s="7" t="str" cm="1">
        <f t="array" aca="1" ref="G191" ca="1">IFERROR(IF(OR('Raw Data'!G191="",LEN(TRIM('Raw Data'!G191))=0),"",IF(AND(ISNUMBER('Raw Data'!G191), IFERROR('Raw Data'!G191 = ROUND('Raw Data'!G191, 2),FALSE)),"",_xlfn.REGEXEXTRACT(CELL("address",G191), "\$([A-Z]+)\$[0-9]+"))),_xlfn.REGEXEXTRACT(CELL("address",G191), "\$([A-Z]+)\$[0-9]+"))</f>
        <v/>
      </c>
      <c r="H191" s="7" t="str" cm="1">
        <f t="array" aca="1" ref="H191" ca="1">IFERROR(IF(OR('Raw Data'!H191="",LEN(TRIM('Raw Data'!H191))=0),"",IF(AND(ISNUMBER('Raw Data'!H191), IFERROR('Raw Data'!H191 = ROUND('Raw Data'!H191, 2),FALSE)),"",_xlfn.REGEXEXTRACT(CELL("address",H191), "\$([A-Z]+)\$[0-9]+"))),_xlfn.REGEXEXTRACT(CELL("address",H191), "\$([A-Z]+)\$[0-9]+"))</f>
        <v/>
      </c>
      <c r="I191" s="7" t="str" cm="1">
        <f t="array" aca="1" ref="I191" ca="1">IFERROR(IF(OR('Raw Data'!I191="",LEN(TRIM('Raw Data'!I191))=0),"",IF(AND(LEN('Raw Data'!I191) &lt;= 50,LEN('Raw Data'!I191)&gt; 0),"",_xlfn.REGEXEXTRACT(CELL("address",'Raw Data'!I191),"\$([A-Z]+)\$[0-9]+"))),_xlfn.REGEXEXTRACT(CELL("address",'Raw Data'!I191),"\$([A-Z]+)\$[0-9]+"))</f>
        <v/>
      </c>
      <c r="J191" s="7" t="str" cm="1">
        <f t="array" aca="1" ref="J191" ca="1">IFERROR(IF(OR('Raw Data'!J191="",LEN(TRIM('Raw Data'!J191))=0),"",IF(AND(ISNUMBER('Raw Data'!J191),'Raw Data'!J191&gt;=Configuration!$D$2),"",_xlfn.REGEXEXTRACT(CELL("address",'Raw Data'!J191),"\$([A-Z]+)\$[0-9]+"))),_xlfn.REGEXEXTRACT(CELL("address",J191), "\$([A-Z]+)\$[0-9]+"))</f>
        <v/>
      </c>
      <c r="K191" s="7" t="str" cm="1">
        <f t="array" aca="1" ref="K191" ca="1">IFERROR(IF(OR('Raw Data'!K191="",LEN(TRIM('Raw Data'!K191))=0),"",IF(AND(ISNUMBER('Raw Data'!K191), IFERROR('Raw Data'!K191 = ROUND('Raw Data'!K191, 2),FALSE)),"",_xlfn.REGEXEXTRACT(CELL("address",K191), "\$([A-Z]+)\$[0-9]+"))),_xlfn.REGEXEXTRACT(CELL("address",K191), "\$([A-Z]+)\$[0-9]+"))</f>
        <v/>
      </c>
      <c r="L191" s="7" t="str" cm="1">
        <f t="array" aca="1" ref="L191" ca="1">IFERROR(IF(OR('Raw Data'!L191="",LEN(TRIM('Raw Data'!L191))=0),"",IF(AND(ISNUMBER('Raw Data'!L191), IFERROR('Raw Data'!L191 = ROUND('Raw Data'!L191, 2),FALSE)),"",_xlfn.REGEXEXTRACT(CELL("address",L191), "\$([A-Z]+)\$[0-9]+"))),_xlfn.REGEXEXTRACT(CELL("address",L191), "\$([A-Z]+)\$[0-9]+"))</f>
        <v/>
      </c>
      <c r="M191" s="7" t="str" cm="1">
        <f t="array" aca="1" ref="M191" ca="1">IFERROR(IF(OR('Raw Data'!M191="",LEN(TRIM('Raw Data'!M191))=0),"",IF(AND(ISNUMBER('Raw Data'!M191), IFERROR('Raw Data'!M191 = ROUND('Raw Data'!M191, 2),FALSE)),"",_xlfn.REGEXEXTRACT(CELL("address",M191), "\$([A-Z]+)\$[0-9]+"))),_xlfn.REGEXEXTRACT(CELL("address",M191), "\$([A-Z]+)\$[0-9]+"))</f>
        <v/>
      </c>
      <c r="N191" s="7" t="str" cm="1">
        <f t="array" aca="1" ref="N191" ca="1">IFERROR(IF(OR('Raw Data'!N191="",LEN(TRIM('Raw Data'!N191))=0),"",IF(AND(ISNUMBER('Raw Data'!N191), IFERROR('Raw Data'!N191 = ROUND('Raw Data'!N191, 2),FALSE)),"",_xlfn.REGEXEXTRACT(CELL("address",N191), "\$([A-Z]+)\$[0-9]+"))),_xlfn.REGEXEXTRACT(CELL("address",N191), "\$([A-Z]+)\$[0-9]+"))</f>
        <v/>
      </c>
      <c r="O191" s="7" t="str" cm="1">
        <f t="array" aca="1" ref="O191" ca="1">IFERROR(IF(OR('Raw Data'!O191="",LEN(TRIM('Raw Data'!O191))=0),"",IF(AND(ISNUMBER('Raw Data'!O191), IFERROR('Raw Data'!O191 = ROUND('Raw Data'!O191, 2),FALSE)),"",_xlfn.REGEXEXTRACT(CELL("address",O191), "\$([A-Z]+)\$[0-9]+"))),_xlfn.REGEXEXTRACT(CELL("address",O191), "\$([A-Z]+)\$[0-9]+"))</f>
        <v/>
      </c>
      <c r="P191" s="7" t="str" cm="1">
        <f t="array" aca="1" ref="P191" ca="1">IFERROR(IF(OR('Raw Data'!P191="",LEN(TRIM('Raw Data'!P191))=0),"",IF(AND(ISNUMBER('Raw Data'!P191),'Raw Data'!P191&gt;=Configuration!$D$2),"",_xlfn.REGEXEXTRACT(CELL("address",'Raw Data'!P191),"\$([A-Z]+)\$[0-9]+"))),_xlfn.REGEXEXTRACT(CELL("address",P191), "\$([A-Z]+)\$[0-9]+"))</f>
        <v/>
      </c>
      <c r="Q191" s="7" t="str" cm="1">
        <f t="array" aca="1" ref="Q191" ca="1">IFERROR(IF(OR('Raw Data'!Q191="",LEN(TRIM('Raw Data'!Q191))=0),"",IF(AND(ISNUMBER('Raw Data'!Q191),'Raw Data'!Q191&gt;=Configuration!$D$2),"",_xlfn.REGEXEXTRACT(CELL("address",'Raw Data'!Q191),"\$([A-Z]+)\$[0-9]+"))),_xlfn.REGEXEXTRACT(CELL("address",Q191), "\$([A-Z]+)\$[0-9]+"))</f>
        <v/>
      </c>
      <c r="R191" s="7" t="str" cm="1">
        <f t="array" aca="1" ref="R191" ca="1">IFERROR(IF(OR('Raw Data'!R191="",LEN(TRIM('Raw Data'!R191))=0),"",IF(AND(ISNUMBER('Raw Data'!R191), IFERROR('Raw Data'!R191 = ROUND('Raw Data'!R191, 2),FALSE)),"",_xlfn.REGEXEXTRACT(CELL("address",R191), "\$([A-Z]+)\$[0-9]+"))),_xlfn.REGEXEXTRACT(CELL("address",R191), "\$([A-Z]+)\$[0-9]+"))</f>
        <v/>
      </c>
      <c r="S191" s="7" t="str" cm="1">
        <f t="array" aca="1" ref="S191" ca="1">IFERROR(IF(OR('Raw Data'!S191="",LEN(TRIM('Raw Data'!S191))=0),"",IF(AND(ISNUMBER('Raw Data'!S191), IFERROR('Raw Data'!S191 = ROUND('Raw Data'!S191, 2),FALSE)),"",_xlfn.REGEXEXTRACT(CELL("address",S191), "\$([A-Z]+)\$[0-9]+"))),_xlfn.REGEXEXTRACT(CELL("address",S191), "\$([A-Z]+)\$[0-9]+"))</f>
        <v/>
      </c>
      <c r="T191" s="7" t="str" cm="1">
        <f t="array" aca="1" ref="T191" ca="1">IFERROR(IF(OR('Raw Data'!T191="",LEN(TRIM('Raw Data'!T191))=0),"",IF(AND(ISNUMBER('Raw Data'!T191), IFERROR('Raw Data'!T191 = ROUND('Raw Data'!T191, 2),FALSE)),"",_xlfn.REGEXEXTRACT(CELL("address",T191), "\$([A-Z]+)\$[0-9]+"))),_xlfn.REGEXEXTRACT(CELL("address",T191), "\$([A-Z]+)\$[0-9]+"))</f>
        <v/>
      </c>
      <c r="U191" s="7" t="str" cm="1">
        <f t="array" aca="1" ref="U191" ca="1">IFERROR(IF(OR('Raw Data'!U191="",LEN(TRIM('Raw Data'!U191))=0),"",IF(AND(LEN('Raw Data'!U191) &lt;= 5,LEN('Raw Data'!U191)&gt; 0),"",_xlfn.REGEXEXTRACT(CELL("address",'Raw Data'!U191),"\$([A-Z]+)\$[0-9]+"))),_xlfn.REGEXEXTRACT(CELL("address",'Raw Data'!U191),"\$([A-Z]+)\$[0-9]+"))</f>
        <v/>
      </c>
      <c r="V191" s="7" t="str" cm="1">
        <f t="array" aca="1" ref="V191" ca="1">IFERROR(IF(OR('Raw Data'!V191="",LEN(TRIM('Raw Data'!V191))=0),"",IF(AND(ISNUMBER('Raw Data'!V191), IFERROR('Raw Data'!V191 = ROUND('Raw Data'!V191, 2),FALSE)),"",_xlfn.REGEXEXTRACT(CELL("address",V191), "\$([A-Z]+)\$[0-9]+"))),_xlfn.REGEXEXTRACT(CELL("address",V191), "\$([A-Z]+)\$[0-9]+"))</f>
        <v/>
      </c>
      <c r="W191" s="7" t="str" cm="1">
        <f t="array" aca="1" ref="W191" ca="1">IFERROR(IF(OR('Raw Data'!W191="",LEN(TRIM('Raw Data'!W191))=0),"",IF(AND(ISNUMBER('Raw Data'!W191), IFERROR('Raw Data'!W191 = ROUND('Raw Data'!W191, 2),FALSE)),"",_xlfn.REGEXEXTRACT(CELL("address",W191), "\$([A-Z]+)\$[0-9]+"))),_xlfn.REGEXEXTRACT(CELL("address",W191), "\$([A-Z]+)\$[0-9]+"))</f>
        <v/>
      </c>
      <c r="X191" s="7" t="str" cm="1">
        <f t="array" aca="1" ref="X191" ca="1">IFERROR(IF(OR('Raw Data'!X191="",LEN(TRIM('Raw Data'!X191))=0),"",IF(AND(ISNUMBER('Raw Data'!X191), IFERROR('Raw Data'!X191 = ROUND('Raw Data'!X191, 2),FALSE)),"",_xlfn.REGEXEXTRACT(CELL("address",X191), "\$([A-Z]+)\$[0-9]+"))),_xlfn.REGEXEXTRACT(CELL("address",X191), "\$([A-Z]+)\$[0-9]+"))</f>
        <v/>
      </c>
    </row>
    <row r="192" spans="2:24" x14ac:dyDescent="0.25">
      <c r="B192" s="7" t="str" cm="1">
        <f t="array" aca="1" ref="B192" ca="1">IFERROR(IF(OR('Raw Data'!B192="",LEN(TRIM('Raw Data'!B192))=0),"",IF(AND(LEN('Raw Data'!B192) &lt;= 50,LEN('Raw Data'!B192)&gt; 0),"",_xlfn.REGEXEXTRACT(CELL("address",'Raw Data'!B192),"\$([A-Z]+)\$[0-9]+"))),_xlfn.REGEXEXTRACT(CELL("address",'Raw Data'!B192),"\$([A-Z]+)\$[0-9]+"))</f>
        <v/>
      </c>
      <c r="C192" s="7" t="str" cm="1">
        <f t="array" aca="1" ref="C192" ca="1">IFERROR(IF(OR('Raw Data'!C192="",LEN(TRIM('Raw Data'!C192))=0),"",IF(AND(LEN('Raw Data'!C192) &lt;= 50,LEN('Raw Data'!C192)&gt; 0),"",_xlfn.REGEXEXTRACT(CELL("address",'Raw Data'!C192),"\$([A-Z]+)\$[0-9]+"))),_xlfn.REGEXEXTRACT(CELL("address",'Raw Data'!C192),"\$([A-Z]+)\$[0-9]+"))</f>
        <v/>
      </c>
      <c r="D192" s="7" t="str" cm="1">
        <f t="array" aca="1" ref="D192" ca="1">IFERROR(IF(OR('Raw Data'!D192="",LEN(TRIM('Raw Data'!D192))=0),"",IF(AND(LEN('Raw Data'!D192) &lt;= 255,LEN('Raw Data'!D192)&gt; 0),"",_xlfn.REGEXEXTRACT(CELL("address",'Raw Data'!D192),"\$([A-Z]+)\$[0-9]+"))),_xlfn.REGEXEXTRACT(CELL("address",'Raw Data'!D192),"\$([A-Z]+)\$[0-9]+"))</f>
        <v/>
      </c>
      <c r="E192" s="7" t="str" cm="1">
        <f t="array" aca="1" ref="E192" ca="1">IFERROR(IF(OR('Raw Data'!E192="",LEN(TRIM('Raw Data'!E192))=0),"",IF(AND(ISNUMBER('Raw Data'!E192),'Raw Data'!E192&gt;=Configuration!$D$2),"",_xlfn.REGEXEXTRACT(CELL("address",'Raw Data'!E192),"\$([A-Z]+)\$[0-9]+"))),_xlfn.REGEXEXTRACT(CELL("address",E192), "\$([A-Z]+)\$[0-9]+"))</f>
        <v/>
      </c>
      <c r="F192" s="7" t="str" cm="1">
        <f t="array" aca="1" ref="F192" ca="1">IFERROR(IF(OR('Raw Data'!F192="",LEN(TRIM('Raw Data'!F192))=0),"",IF(AND(LEN('Raw Data'!F192) &lt;= 20,LEN('Raw Data'!F192)&gt; 0),"",_xlfn.REGEXEXTRACT(CELL("address",'Raw Data'!F192),"\$([A-Z]+)\$[0-9]+"))),_xlfn.REGEXEXTRACT(CELL("address",'Raw Data'!F192),"\$([A-Z]+)\$[0-9]+"))</f>
        <v/>
      </c>
      <c r="G192" s="7" t="str" cm="1">
        <f t="array" aca="1" ref="G192" ca="1">IFERROR(IF(OR('Raw Data'!G192="",LEN(TRIM('Raw Data'!G192))=0),"",IF(AND(ISNUMBER('Raw Data'!G192), IFERROR('Raw Data'!G192 = ROUND('Raw Data'!G192, 2),FALSE)),"",_xlfn.REGEXEXTRACT(CELL("address",G192), "\$([A-Z]+)\$[0-9]+"))),_xlfn.REGEXEXTRACT(CELL("address",G192), "\$([A-Z]+)\$[0-9]+"))</f>
        <v/>
      </c>
      <c r="H192" s="7" t="str" cm="1">
        <f t="array" aca="1" ref="H192" ca="1">IFERROR(IF(OR('Raw Data'!H192="",LEN(TRIM('Raw Data'!H192))=0),"",IF(AND(ISNUMBER('Raw Data'!H192), IFERROR('Raw Data'!H192 = ROUND('Raw Data'!H192, 2),FALSE)),"",_xlfn.REGEXEXTRACT(CELL("address",H192), "\$([A-Z]+)\$[0-9]+"))),_xlfn.REGEXEXTRACT(CELL("address",H192), "\$([A-Z]+)\$[0-9]+"))</f>
        <v/>
      </c>
      <c r="I192" s="7" t="str" cm="1">
        <f t="array" aca="1" ref="I192" ca="1">IFERROR(IF(OR('Raw Data'!I192="",LEN(TRIM('Raw Data'!I192))=0),"",IF(AND(LEN('Raw Data'!I192) &lt;= 50,LEN('Raw Data'!I192)&gt; 0),"",_xlfn.REGEXEXTRACT(CELL("address",'Raw Data'!I192),"\$([A-Z]+)\$[0-9]+"))),_xlfn.REGEXEXTRACT(CELL("address",'Raw Data'!I192),"\$([A-Z]+)\$[0-9]+"))</f>
        <v/>
      </c>
      <c r="J192" s="7" t="str" cm="1">
        <f t="array" aca="1" ref="J192" ca="1">IFERROR(IF(OR('Raw Data'!J192="",LEN(TRIM('Raw Data'!J192))=0),"",IF(AND(ISNUMBER('Raw Data'!J192),'Raw Data'!J192&gt;=Configuration!$D$2),"",_xlfn.REGEXEXTRACT(CELL("address",'Raw Data'!J192),"\$([A-Z]+)\$[0-9]+"))),_xlfn.REGEXEXTRACT(CELL("address",J192), "\$([A-Z]+)\$[0-9]+"))</f>
        <v/>
      </c>
      <c r="K192" s="7" t="str" cm="1">
        <f t="array" aca="1" ref="K192" ca="1">IFERROR(IF(OR('Raw Data'!K192="",LEN(TRIM('Raw Data'!K192))=0),"",IF(AND(ISNUMBER('Raw Data'!K192), IFERROR('Raw Data'!K192 = ROUND('Raw Data'!K192, 2),FALSE)),"",_xlfn.REGEXEXTRACT(CELL("address",K192), "\$([A-Z]+)\$[0-9]+"))),_xlfn.REGEXEXTRACT(CELL("address",K192), "\$([A-Z]+)\$[0-9]+"))</f>
        <v/>
      </c>
      <c r="L192" s="7" t="str" cm="1">
        <f t="array" aca="1" ref="L192" ca="1">IFERROR(IF(OR('Raw Data'!L192="",LEN(TRIM('Raw Data'!L192))=0),"",IF(AND(ISNUMBER('Raw Data'!L192), IFERROR('Raw Data'!L192 = ROUND('Raw Data'!L192, 2),FALSE)),"",_xlfn.REGEXEXTRACT(CELL("address",L192), "\$([A-Z]+)\$[0-9]+"))),_xlfn.REGEXEXTRACT(CELL("address",L192), "\$([A-Z]+)\$[0-9]+"))</f>
        <v/>
      </c>
      <c r="M192" s="7" t="str" cm="1">
        <f t="array" aca="1" ref="M192" ca="1">IFERROR(IF(OR('Raw Data'!M192="",LEN(TRIM('Raw Data'!M192))=0),"",IF(AND(ISNUMBER('Raw Data'!M192), IFERROR('Raw Data'!M192 = ROUND('Raw Data'!M192, 2),FALSE)),"",_xlfn.REGEXEXTRACT(CELL("address",M192), "\$([A-Z]+)\$[0-9]+"))),_xlfn.REGEXEXTRACT(CELL("address",M192), "\$([A-Z]+)\$[0-9]+"))</f>
        <v/>
      </c>
      <c r="N192" s="7" t="str" cm="1">
        <f t="array" aca="1" ref="N192" ca="1">IFERROR(IF(OR('Raw Data'!N192="",LEN(TRIM('Raw Data'!N192))=0),"",IF(AND(ISNUMBER('Raw Data'!N192), IFERROR('Raw Data'!N192 = ROUND('Raw Data'!N192, 2),FALSE)),"",_xlfn.REGEXEXTRACT(CELL("address",N192), "\$([A-Z]+)\$[0-9]+"))),_xlfn.REGEXEXTRACT(CELL("address",N192), "\$([A-Z]+)\$[0-9]+"))</f>
        <v/>
      </c>
      <c r="O192" s="7" t="str" cm="1">
        <f t="array" aca="1" ref="O192" ca="1">IFERROR(IF(OR('Raw Data'!O192="",LEN(TRIM('Raw Data'!O192))=0),"",IF(AND(ISNUMBER('Raw Data'!O192), IFERROR('Raw Data'!O192 = ROUND('Raw Data'!O192, 2),FALSE)),"",_xlfn.REGEXEXTRACT(CELL("address",O192), "\$([A-Z]+)\$[0-9]+"))),_xlfn.REGEXEXTRACT(CELL("address",O192), "\$([A-Z]+)\$[0-9]+"))</f>
        <v/>
      </c>
      <c r="P192" s="7" t="str" cm="1">
        <f t="array" aca="1" ref="P192" ca="1">IFERROR(IF(OR('Raw Data'!P192="",LEN(TRIM('Raw Data'!P192))=0),"",IF(AND(ISNUMBER('Raw Data'!P192),'Raw Data'!P192&gt;=Configuration!$D$2),"",_xlfn.REGEXEXTRACT(CELL("address",'Raw Data'!P192),"\$([A-Z]+)\$[0-9]+"))),_xlfn.REGEXEXTRACT(CELL("address",P192), "\$([A-Z]+)\$[0-9]+"))</f>
        <v/>
      </c>
      <c r="Q192" s="7" t="str" cm="1">
        <f t="array" aca="1" ref="Q192" ca="1">IFERROR(IF(OR('Raw Data'!Q192="",LEN(TRIM('Raw Data'!Q192))=0),"",IF(AND(ISNUMBER('Raw Data'!Q192),'Raw Data'!Q192&gt;=Configuration!$D$2),"",_xlfn.REGEXEXTRACT(CELL("address",'Raw Data'!Q192),"\$([A-Z]+)\$[0-9]+"))),_xlfn.REGEXEXTRACT(CELL("address",Q192), "\$([A-Z]+)\$[0-9]+"))</f>
        <v/>
      </c>
      <c r="R192" s="7" t="str" cm="1">
        <f t="array" aca="1" ref="R192" ca="1">IFERROR(IF(OR('Raw Data'!R192="",LEN(TRIM('Raw Data'!R192))=0),"",IF(AND(ISNUMBER('Raw Data'!R192), IFERROR('Raw Data'!R192 = ROUND('Raw Data'!R192, 2),FALSE)),"",_xlfn.REGEXEXTRACT(CELL("address",R192), "\$([A-Z]+)\$[0-9]+"))),_xlfn.REGEXEXTRACT(CELL("address",R192), "\$([A-Z]+)\$[0-9]+"))</f>
        <v/>
      </c>
      <c r="S192" s="7" t="str" cm="1">
        <f t="array" aca="1" ref="S192" ca="1">IFERROR(IF(OR('Raw Data'!S192="",LEN(TRIM('Raw Data'!S192))=0),"",IF(AND(ISNUMBER('Raw Data'!S192), IFERROR('Raw Data'!S192 = ROUND('Raw Data'!S192, 2),FALSE)),"",_xlfn.REGEXEXTRACT(CELL("address",S192), "\$([A-Z]+)\$[0-9]+"))),_xlfn.REGEXEXTRACT(CELL("address",S192), "\$([A-Z]+)\$[0-9]+"))</f>
        <v/>
      </c>
      <c r="T192" s="7" t="str" cm="1">
        <f t="array" aca="1" ref="T192" ca="1">IFERROR(IF(OR('Raw Data'!T192="",LEN(TRIM('Raw Data'!T192))=0),"",IF(AND(ISNUMBER('Raw Data'!T192), IFERROR('Raw Data'!T192 = ROUND('Raw Data'!T192, 2),FALSE)),"",_xlfn.REGEXEXTRACT(CELL("address",T192), "\$([A-Z]+)\$[0-9]+"))),_xlfn.REGEXEXTRACT(CELL("address",T192), "\$([A-Z]+)\$[0-9]+"))</f>
        <v/>
      </c>
      <c r="U192" s="7" t="str" cm="1">
        <f t="array" aca="1" ref="U192" ca="1">IFERROR(IF(OR('Raw Data'!U192="",LEN(TRIM('Raw Data'!U192))=0),"",IF(AND(LEN('Raw Data'!U192) &lt;= 5,LEN('Raw Data'!U192)&gt; 0),"",_xlfn.REGEXEXTRACT(CELL("address",'Raw Data'!U192),"\$([A-Z]+)\$[0-9]+"))),_xlfn.REGEXEXTRACT(CELL("address",'Raw Data'!U192),"\$([A-Z]+)\$[0-9]+"))</f>
        <v/>
      </c>
      <c r="V192" s="7" t="str" cm="1">
        <f t="array" aca="1" ref="V192" ca="1">IFERROR(IF(OR('Raw Data'!V192="",LEN(TRIM('Raw Data'!V192))=0),"",IF(AND(ISNUMBER('Raw Data'!V192), IFERROR('Raw Data'!V192 = ROUND('Raw Data'!V192, 2),FALSE)),"",_xlfn.REGEXEXTRACT(CELL("address",V192), "\$([A-Z]+)\$[0-9]+"))),_xlfn.REGEXEXTRACT(CELL("address",V192), "\$([A-Z]+)\$[0-9]+"))</f>
        <v/>
      </c>
      <c r="W192" s="7" t="str" cm="1">
        <f t="array" aca="1" ref="W192" ca="1">IFERROR(IF(OR('Raw Data'!W192="",LEN(TRIM('Raw Data'!W192))=0),"",IF(AND(ISNUMBER('Raw Data'!W192), IFERROR('Raw Data'!W192 = ROUND('Raw Data'!W192, 2),FALSE)),"",_xlfn.REGEXEXTRACT(CELL("address",W192), "\$([A-Z]+)\$[0-9]+"))),_xlfn.REGEXEXTRACT(CELL("address",W192), "\$([A-Z]+)\$[0-9]+"))</f>
        <v/>
      </c>
      <c r="X192" s="7" t="str" cm="1">
        <f t="array" aca="1" ref="X192" ca="1">IFERROR(IF(OR('Raw Data'!X192="",LEN(TRIM('Raw Data'!X192))=0),"",IF(AND(ISNUMBER('Raw Data'!X192), IFERROR('Raw Data'!X192 = ROUND('Raw Data'!X192, 2),FALSE)),"",_xlfn.REGEXEXTRACT(CELL("address",X192), "\$([A-Z]+)\$[0-9]+"))),_xlfn.REGEXEXTRACT(CELL("address",X192), "\$([A-Z]+)\$[0-9]+"))</f>
        <v/>
      </c>
    </row>
    <row r="193" spans="2:24" x14ac:dyDescent="0.25">
      <c r="B193" s="7" t="str" cm="1">
        <f t="array" aca="1" ref="B193" ca="1">IFERROR(IF(OR('Raw Data'!B193="",LEN(TRIM('Raw Data'!B193))=0),"",IF(AND(LEN('Raw Data'!B193) &lt;= 50,LEN('Raw Data'!B193)&gt; 0),"",_xlfn.REGEXEXTRACT(CELL("address",'Raw Data'!B193),"\$([A-Z]+)\$[0-9]+"))),_xlfn.REGEXEXTRACT(CELL("address",'Raw Data'!B193),"\$([A-Z]+)\$[0-9]+"))</f>
        <v/>
      </c>
      <c r="C193" s="7" t="str" cm="1">
        <f t="array" aca="1" ref="C193" ca="1">IFERROR(IF(OR('Raw Data'!C193="",LEN(TRIM('Raw Data'!C193))=0),"",IF(AND(LEN('Raw Data'!C193) &lt;= 50,LEN('Raw Data'!C193)&gt; 0),"",_xlfn.REGEXEXTRACT(CELL("address",'Raw Data'!C193),"\$([A-Z]+)\$[0-9]+"))),_xlfn.REGEXEXTRACT(CELL("address",'Raw Data'!C193),"\$([A-Z]+)\$[0-9]+"))</f>
        <v/>
      </c>
      <c r="D193" s="7" t="str" cm="1">
        <f t="array" aca="1" ref="D193" ca="1">IFERROR(IF(OR('Raw Data'!D193="",LEN(TRIM('Raw Data'!D193))=0),"",IF(AND(LEN('Raw Data'!D193) &lt;= 255,LEN('Raw Data'!D193)&gt; 0),"",_xlfn.REGEXEXTRACT(CELL("address",'Raw Data'!D193),"\$([A-Z]+)\$[0-9]+"))),_xlfn.REGEXEXTRACT(CELL("address",'Raw Data'!D193),"\$([A-Z]+)\$[0-9]+"))</f>
        <v/>
      </c>
      <c r="E193" s="7" t="str" cm="1">
        <f t="array" aca="1" ref="E193" ca="1">IFERROR(IF(OR('Raw Data'!E193="",LEN(TRIM('Raw Data'!E193))=0),"",IF(AND(ISNUMBER('Raw Data'!E193),'Raw Data'!E193&gt;=Configuration!$D$2),"",_xlfn.REGEXEXTRACT(CELL("address",'Raw Data'!E193),"\$([A-Z]+)\$[0-9]+"))),_xlfn.REGEXEXTRACT(CELL("address",E193), "\$([A-Z]+)\$[0-9]+"))</f>
        <v/>
      </c>
      <c r="F193" s="7" t="str" cm="1">
        <f t="array" aca="1" ref="F193" ca="1">IFERROR(IF(OR('Raw Data'!F193="",LEN(TRIM('Raw Data'!F193))=0),"",IF(AND(LEN('Raw Data'!F193) &lt;= 20,LEN('Raw Data'!F193)&gt; 0),"",_xlfn.REGEXEXTRACT(CELL("address",'Raw Data'!F193),"\$([A-Z]+)\$[0-9]+"))),_xlfn.REGEXEXTRACT(CELL("address",'Raw Data'!F193),"\$([A-Z]+)\$[0-9]+"))</f>
        <v/>
      </c>
      <c r="G193" s="7" t="str" cm="1">
        <f t="array" aca="1" ref="G193" ca="1">IFERROR(IF(OR('Raw Data'!G193="",LEN(TRIM('Raw Data'!G193))=0),"",IF(AND(ISNUMBER('Raw Data'!G193), IFERROR('Raw Data'!G193 = ROUND('Raw Data'!G193, 2),FALSE)),"",_xlfn.REGEXEXTRACT(CELL("address",G193), "\$([A-Z]+)\$[0-9]+"))),_xlfn.REGEXEXTRACT(CELL("address",G193), "\$([A-Z]+)\$[0-9]+"))</f>
        <v/>
      </c>
      <c r="H193" s="7" t="str" cm="1">
        <f t="array" aca="1" ref="H193" ca="1">IFERROR(IF(OR('Raw Data'!H193="",LEN(TRIM('Raw Data'!H193))=0),"",IF(AND(ISNUMBER('Raw Data'!H193), IFERROR('Raw Data'!H193 = ROUND('Raw Data'!H193, 2),FALSE)),"",_xlfn.REGEXEXTRACT(CELL("address",H193), "\$([A-Z]+)\$[0-9]+"))),_xlfn.REGEXEXTRACT(CELL("address",H193), "\$([A-Z]+)\$[0-9]+"))</f>
        <v/>
      </c>
      <c r="I193" s="7" t="str" cm="1">
        <f t="array" aca="1" ref="I193" ca="1">IFERROR(IF(OR('Raw Data'!I193="",LEN(TRIM('Raw Data'!I193))=0),"",IF(AND(LEN('Raw Data'!I193) &lt;= 50,LEN('Raw Data'!I193)&gt; 0),"",_xlfn.REGEXEXTRACT(CELL("address",'Raw Data'!I193),"\$([A-Z]+)\$[0-9]+"))),_xlfn.REGEXEXTRACT(CELL("address",'Raw Data'!I193),"\$([A-Z]+)\$[0-9]+"))</f>
        <v/>
      </c>
      <c r="J193" s="7" t="str" cm="1">
        <f t="array" aca="1" ref="J193" ca="1">IFERROR(IF(OR('Raw Data'!J193="",LEN(TRIM('Raw Data'!J193))=0),"",IF(AND(ISNUMBER('Raw Data'!J193),'Raw Data'!J193&gt;=Configuration!$D$2),"",_xlfn.REGEXEXTRACT(CELL("address",'Raw Data'!J193),"\$([A-Z]+)\$[0-9]+"))),_xlfn.REGEXEXTRACT(CELL("address",J193), "\$([A-Z]+)\$[0-9]+"))</f>
        <v/>
      </c>
      <c r="K193" s="7" t="str" cm="1">
        <f t="array" aca="1" ref="K193" ca="1">IFERROR(IF(OR('Raw Data'!K193="",LEN(TRIM('Raw Data'!K193))=0),"",IF(AND(ISNUMBER('Raw Data'!K193), IFERROR('Raw Data'!K193 = ROUND('Raw Data'!K193, 2),FALSE)),"",_xlfn.REGEXEXTRACT(CELL("address",K193), "\$([A-Z]+)\$[0-9]+"))),_xlfn.REGEXEXTRACT(CELL("address",K193), "\$([A-Z]+)\$[0-9]+"))</f>
        <v/>
      </c>
      <c r="L193" s="7" t="str" cm="1">
        <f t="array" aca="1" ref="L193" ca="1">IFERROR(IF(OR('Raw Data'!L193="",LEN(TRIM('Raw Data'!L193))=0),"",IF(AND(ISNUMBER('Raw Data'!L193), IFERROR('Raw Data'!L193 = ROUND('Raw Data'!L193, 2),FALSE)),"",_xlfn.REGEXEXTRACT(CELL("address",L193), "\$([A-Z]+)\$[0-9]+"))),_xlfn.REGEXEXTRACT(CELL("address",L193), "\$([A-Z]+)\$[0-9]+"))</f>
        <v/>
      </c>
      <c r="M193" s="7" t="str" cm="1">
        <f t="array" aca="1" ref="M193" ca="1">IFERROR(IF(OR('Raw Data'!M193="",LEN(TRIM('Raw Data'!M193))=0),"",IF(AND(ISNUMBER('Raw Data'!M193), IFERROR('Raw Data'!M193 = ROUND('Raw Data'!M193, 2),FALSE)),"",_xlfn.REGEXEXTRACT(CELL("address",M193), "\$([A-Z]+)\$[0-9]+"))),_xlfn.REGEXEXTRACT(CELL("address",M193), "\$([A-Z]+)\$[0-9]+"))</f>
        <v/>
      </c>
      <c r="N193" s="7" t="str" cm="1">
        <f t="array" aca="1" ref="N193" ca="1">IFERROR(IF(OR('Raw Data'!N193="",LEN(TRIM('Raw Data'!N193))=0),"",IF(AND(ISNUMBER('Raw Data'!N193), IFERROR('Raw Data'!N193 = ROUND('Raw Data'!N193, 2),FALSE)),"",_xlfn.REGEXEXTRACT(CELL("address",N193), "\$([A-Z]+)\$[0-9]+"))),_xlfn.REGEXEXTRACT(CELL("address",N193), "\$([A-Z]+)\$[0-9]+"))</f>
        <v/>
      </c>
      <c r="O193" s="7" t="str" cm="1">
        <f t="array" aca="1" ref="O193" ca="1">IFERROR(IF(OR('Raw Data'!O193="",LEN(TRIM('Raw Data'!O193))=0),"",IF(AND(ISNUMBER('Raw Data'!O193), IFERROR('Raw Data'!O193 = ROUND('Raw Data'!O193, 2),FALSE)),"",_xlfn.REGEXEXTRACT(CELL("address",O193), "\$([A-Z]+)\$[0-9]+"))),_xlfn.REGEXEXTRACT(CELL("address",O193), "\$([A-Z]+)\$[0-9]+"))</f>
        <v/>
      </c>
      <c r="P193" s="7" t="str" cm="1">
        <f t="array" aca="1" ref="P193" ca="1">IFERROR(IF(OR('Raw Data'!P193="",LEN(TRIM('Raw Data'!P193))=0),"",IF(AND(ISNUMBER('Raw Data'!P193),'Raw Data'!P193&gt;=Configuration!$D$2),"",_xlfn.REGEXEXTRACT(CELL("address",'Raw Data'!P193),"\$([A-Z]+)\$[0-9]+"))),_xlfn.REGEXEXTRACT(CELL("address",P193), "\$([A-Z]+)\$[0-9]+"))</f>
        <v/>
      </c>
      <c r="Q193" s="7" t="str" cm="1">
        <f t="array" aca="1" ref="Q193" ca="1">IFERROR(IF(OR('Raw Data'!Q193="",LEN(TRIM('Raw Data'!Q193))=0),"",IF(AND(ISNUMBER('Raw Data'!Q193),'Raw Data'!Q193&gt;=Configuration!$D$2),"",_xlfn.REGEXEXTRACT(CELL("address",'Raw Data'!Q193),"\$([A-Z]+)\$[0-9]+"))),_xlfn.REGEXEXTRACT(CELL("address",Q193), "\$([A-Z]+)\$[0-9]+"))</f>
        <v/>
      </c>
      <c r="R193" s="7" t="str" cm="1">
        <f t="array" aca="1" ref="R193" ca="1">IFERROR(IF(OR('Raw Data'!R193="",LEN(TRIM('Raw Data'!R193))=0),"",IF(AND(ISNUMBER('Raw Data'!R193), IFERROR('Raw Data'!R193 = ROUND('Raw Data'!R193, 2),FALSE)),"",_xlfn.REGEXEXTRACT(CELL("address",R193), "\$([A-Z]+)\$[0-9]+"))),_xlfn.REGEXEXTRACT(CELL("address",R193), "\$([A-Z]+)\$[0-9]+"))</f>
        <v/>
      </c>
      <c r="S193" s="7" t="str" cm="1">
        <f t="array" aca="1" ref="S193" ca="1">IFERROR(IF(OR('Raw Data'!S193="",LEN(TRIM('Raw Data'!S193))=0),"",IF(AND(ISNUMBER('Raw Data'!S193), IFERROR('Raw Data'!S193 = ROUND('Raw Data'!S193, 2),FALSE)),"",_xlfn.REGEXEXTRACT(CELL("address",S193), "\$([A-Z]+)\$[0-9]+"))),_xlfn.REGEXEXTRACT(CELL("address",S193), "\$([A-Z]+)\$[0-9]+"))</f>
        <v/>
      </c>
      <c r="T193" s="7" t="str" cm="1">
        <f t="array" aca="1" ref="T193" ca="1">IFERROR(IF(OR('Raw Data'!T193="",LEN(TRIM('Raw Data'!T193))=0),"",IF(AND(ISNUMBER('Raw Data'!T193), IFERROR('Raw Data'!T193 = ROUND('Raw Data'!T193, 2),FALSE)),"",_xlfn.REGEXEXTRACT(CELL("address",T193), "\$([A-Z]+)\$[0-9]+"))),_xlfn.REGEXEXTRACT(CELL("address",T193), "\$([A-Z]+)\$[0-9]+"))</f>
        <v/>
      </c>
      <c r="U193" s="7" t="str" cm="1">
        <f t="array" aca="1" ref="U193" ca="1">IFERROR(IF(OR('Raw Data'!U193="",LEN(TRIM('Raw Data'!U193))=0),"",IF(AND(LEN('Raw Data'!U193) &lt;= 5,LEN('Raw Data'!U193)&gt; 0),"",_xlfn.REGEXEXTRACT(CELL("address",'Raw Data'!U193),"\$([A-Z]+)\$[0-9]+"))),_xlfn.REGEXEXTRACT(CELL("address",'Raw Data'!U193),"\$([A-Z]+)\$[0-9]+"))</f>
        <v/>
      </c>
      <c r="V193" s="7" t="str" cm="1">
        <f t="array" aca="1" ref="V193" ca="1">IFERROR(IF(OR('Raw Data'!V193="",LEN(TRIM('Raw Data'!V193))=0),"",IF(AND(ISNUMBER('Raw Data'!V193), IFERROR('Raw Data'!V193 = ROUND('Raw Data'!V193, 2),FALSE)),"",_xlfn.REGEXEXTRACT(CELL("address",V193), "\$([A-Z]+)\$[0-9]+"))),_xlfn.REGEXEXTRACT(CELL("address",V193), "\$([A-Z]+)\$[0-9]+"))</f>
        <v/>
      </c>
      <c r="W193" s="7" t="str" cm="1">
        <f t="array" aca="1" ref="W193" ca="1">IFERROR(IF(OR('Raw Data'!W193="",LEN(TRIM('Raw Data'!W193))=0),"",IF(AND(ISNUMBER('Raw Data'!W193), IFERROR('Raw Data'!W193 = ROUND('Raw Data'!W193, 2),FALSE)),"",_xlfn.REGEXEXTRACT(CELL("address",W193), "\$([A-Z]+)\$[0-9]+"))),_xlfn.REGEXEXTRACT(CELL("address",W193), "\$([A-Z]+)\$[0-9]+"))</f>
        <v/>
      </c>
      <c r="X193" s="7" t="str" cm="1">
        <f t="array" aca="1" ref="X193" ca="1">IFERROR(IF(OR('Raw Data'!X193="",LEN(TRIM('Raw Data'!X193))=0),"",IF(AND(ISNUMBER('Raw Data'!X193), IFERROR('Raw Data'!X193 = ROUND('Raw Data'!X193, 2),FALSE)),"",_xlfn.REGEXEXTRACT(CELL("address",X193), "\$([A-Z]+)\$[0-9]+"))),_xlfn.REGEXEXTRACT(CELL("address",X193), "\$([A-Z]+)\$[0-9]+"))</f>
        <v/>
      </c>
    </row>
    <row r="194" spans="2:24" x14ac:dyDescent="0.25">
      <c r="B194" s="7" t="str" cm="1">
        <f t="array" aca="1" ref="B194" ca="1">IFERROR(IF(OR('Raw Data'!B194="",LEN(TRIM('Raw Data'!B194))=0),"",IF(AND(LEN('Raw Data'!B194) &lt;= 50,LEN('Raw Data'!B194)&gt; 0),"",_xlfn.REGEXEXTRACT(CELL("address",'Raw Data'!B194),"\$([A-Z]+)\$[0-9]+"))),_xlfn.REGEXEXTRACT(CELL("address",'Raw Data'!B194),"\$([A-Z]+)\$[0-9]+"))</f>
        <v/>
      </c>
      <c r="C194" s="7" t="str" cm="1">
        <f t="array" aca="1" ref="C194" ca="1">IFERROR(IF(OR('Raw Data'!C194="",LEN(TRIM('Raw Data'!C194))=0),"",IF(AND(LEN('Raw Data'!C194) &lt;= 50,LEN('Raw Data'!C194)&gt; 0),"",_xlfn.REGEXEXTRACT(CELL("address",'Raw Data'!C194),"\$([A-Z]+)\$[0-9]+"))),_xlfn.REGEXEXTRACT(CELL("address",'Raw Data'!C194),"\$([A-Z]+)\$[0-9]+"))</f>
        <v/>
      </c>
      <c r="D194" s="7" t="str" cm="1">
        <f t="array" aca="1" ref="D194" ca="1">IFERROR(IF(OR('Raw Data'!D194="",LEN(TRIM('Raw Data'!D194))=0),"",IF(AND(LEN('Raw Data'!D194) &lt;= 255,LEN('Raw Data'!D194)&gt; 0),"",_xlfn.REGEXEXTRACT(CELL("address",'Raw Data'!D194),"\$([A-Z]+)\$[0-9]+"))),_xlfn.REGEXEXTRACT(CELL("address",'Raw Data'!D194),"\$([A-Z]+)\$[0-9]+"))</f>
        <v/>
      </c>
      <c r="E194" s="7" t="str" cm="1">
        <f t="array" aca="1" ref="E194" ca="1">IFERROR(IF(OR('Raw Data'!E194="",LEN(TRIM('Raw Data'!E194))=0),"",IF(AND(ISNUMBER('Raw Data'!E194),'Raw Data'!E194&gt;=Configuration!$D$2),"",_xlfn.REGEXEXTRACT(CELL("address",'Raw Data'!E194),"\$([A-Z]+)\$[0-9]+"))),_xlfn.REGEXEXTRACT(CELL("address",E194), "\$([A-Z]+)\$[0-9]+"))</f>
        <v/>
      </c>
      <c r="F194" s="7" t="str" cm="1">
        <f t="array" aca="1" ref="F194" ca="1">IFERROR(IF(OR('Raw Data'!F194="",LEN(TRIM('Raw Data'!F194))=0),"",IF(AND(LEN('Raw Data'!F194) &lt;= 20,LEN('Raw Data'!F194)&gt; 0),"",_xlfn.REGEXEXTRACT(CELL("address",'Raw Data'!F194),"\$([A-Z]+)\$[0-9]+"))),_xlfn.REGEXEXTRACT(CELL("address",'Raw Data'!F194),"\$([A-Z]+)\$[0-9]+"))</f>
        <v/>
      </c>
      <c r="G194" s="7" t="str" cm="1">
        <f t="array" aca="1" ref="G194" ca="1">IFERROR(IF(OR('Raw Data'!G194="",LEN(TRIM('Raw Data'!G194))=0),"",IF(AND(ISNUMBER('Raw Data'!G194), IFERROR('Raw Data'!G194 = ROUND('Raw Data'!G194, 2),FALSE)),"",_xlfn.REGEXEXTRACT(CELL("address",G194), "\$([A-Z]+)\$[0-9]+"))),_xlfn.REGEXEXTRACT(CELL("address",G194), "\$([A-Z]+)\$[0-9]+"))</f>
        <v/>
      </c>
      <c r="H194" s="7" t="str" cm="1">
        <f t="array" aca="1" ref="H194" ca="1">IFERROR(IF(OR('Raw Data'!H194="",LEN(TRIM('Raw Data'!H194))=0),"",IF(AND(ISNUMBER('Raw Data'!H194), IFERROR('Raw Data'!H194 = ROUND('Raw Data'!H194, 2),FALSE)),"",_xlfn.REGEXEXTRACT(CELL("address",H194), "\$([A-Z]+)\$[0-9]+"))),_xlfn.REGEXEXTRACT(CELL("address",H194), "\$([A-Z]+)\$[0-9]+"))</f>
        <v/>
      </c>
      <c r="I194" s="7" t="str" cm="1">
        <f t="array" aca="1" ref="I194" ca="1">IFERROR(IF(OR('Raw Data'!I194="",LEN(TRIM('Raw Data'!I194))=0),"",IF(AND(LEN('Raw Data'!I194) &lt;= 50,LEN('Raw Data'!I194)&gt; 0),"",_xlfn.REGEXEXTRACT(CELL("address",'Raw Data'!I194),"\$([A-Z]+)\$[0-9]+"))),_xlfn.REGEXEXTRACT(CELL("address",'Raw Data'!I194),"\$([A-Z]+)\$[0-9]+"))</f>
        <v/>
      </c>
      <c r="J194" s="7" t="str" cm="1">
        <f t="array" aca="1" ref="J194" ca="1">IFERROR(IF(OR('Raw Data'!J194="",LEN(TRIM('Raw Data'!J194))=0),"",IF(AND(ISNUMBER('Raw Data'!J194),'Raw Data'!J194&gt;=Configuration!$D$2),"",_xlfn.REGEXEXTRACT(CELL("address",'Raw Data'!J194),"\$([A-Z]+)\$[0-9]+"))),_xlfn.REGEXEXTRACT(CELL("address",J194), "\$([A-Z]+)\$[0-9]+"))</f>
        <v/>
      </c>
      <c r="K194" s="7" t="str" cm="1">
        <f t="array" aca="1" ref="K194" ca="1">IFERROR(IF(OR('Raw Data'!K194="",LEN(TRIM('Raw Data'!K194))=0),"",IF(AND(ISNUMBER('Raw Data'!K194), IFERROR('Raw Data'!K194 = ROUND('Raw Data'!K194, 2),FALSE)),"",_xlfn.REGEXEXTRACT(CELL("address",K194), "\$([A-Z]+)\$[0-9]+"))),_xlfn.REGEXEXTRACT(CELL("address",K194), "\$([A-Z]+)\$[0-9]+"))</f>
        <v/>
      </c>
      <c r="L194" s="7" t="str" cm="1">
        <f t="array" aca="1" ref="L194" ca="1">IFERROR(IF(OR('Raw Data'!L194="",LEN(TRIM('Raw Data'!L194))=0),"",IF(AND(ISNUMBER('Raw Data'!L194), IFERROR('Raw Data'!L194 = ROUND('Raw Data'!L194, 2),FALSE)),"",_xlfn.REGEXEXTRACT(CELL("address",L194), "\$([A-Z]+)\$[0-9]+"))),_xlfn.REGEXEXTRACT(CELL("address",L194), "\$([A-Z]+)\$[0-9]+"))</f>
        <v/>
      </c>
      <c r="M194" s="7" t="str" cm="1">
        <f t="array" aca="1" ref="M194" ca="1">IFERROR(IF(OR('Raw Data'!M194="",LEN(TRIM('Raw Data'!M194))=0),"",IF(AND(ISNUMBER('Raw Data'!M194), IFERROR('Raw Data'!M194 = ROUND('Raw Data'!M194, 2),FALSE)),"",_xlfn.REGEXEXTRACT(CELL("address",M194), "\$([A-Z]+)\$[0-9]+"))),_xlfn.REGEXEXTRACT(CELL("address",M194), "\$([A-Z]+)\$[0-9]+"))</f>
        <v/>
      </c>
      <c r="N194" s="7" t="str" cm="1">
        <f t="array" aca="1" ref="N194" ca="1">IFERROR(IF(OR('Raw Data'!N194="",LEN(TRIM('Raw Data'!N194))=0),"",IF(AND(ISNUMBER('Raw Data'!N194), IFERROR('Raw Data'!N194 = ROUND('Raw Data'!N194, 2),FALSE)),"",_xlfn.REGEXEXTRACT(CELL("address",N194), "\$([A-Z]+)\$[0-9]+"))),_xlfn.REGEXEXTRACT(CELL("address",N194), "\$([A-Z]+)\$[0-9]+"))</f>
        <v/>
      </c>
      <c r="O194" s="7" t="str" cm="1">
        <f t="array" aca="1" ref="O194" ca="1">IFERROR(IF(OR('Raw Data'!O194="",LEN(TRIM('Raw Data'!O194))=0),"",IF(AND(ISNUMBER('Raw Data'!O194), IFERROR('Raw Data'!O194 = ROUND('Raw Data'!O194, 2),FALSE)),"",_xlfn.REGEXEXTRACT(CELL("address",O194), "\$([A-Z]+)\$[0-9]+"))),_xlfn.REGEXEXTRACT(CELL("address",O194), "\$([A-Z]+)\$[0-9]+"))</f>
        <v/>
      </c>
      <c r="P194" s="7" t="str" cm="1">
        <f t="array" aca="1" ref="P194" ca="1">IFERROR(IF(OR('Raw Data'!P194="",LEN(TRIM('Raw Data'!P194))=0),"",IF(AND(ISNUMBER('Raw Data'!P194),'Raw Data'!P194&gt;=Configuration!$D$2),"",_xlfn.REGEXEXTRACT(CELL("address",'Raw Data'!P194),"\$([A-Z]+)\$[0-9]+"))),_xlfn.REGEXEXTRACT(CELL("address",P194), "\$([A-Z]+)\$[0-9]+"))</f>
        <v/>
      </c>
      <c r="Q194" s="7" t="str" cm="1">
        <f t="array" aca="1" ref="Q194" ca="1">IFERROR(IF(OR('Raw Data'!Q194="",LEN(TRIM('Raw Data'!Q194))=0),"",IF(AND(ISNUMBER('Raw Data'!Q194),'Raw Data'!Q194&gt;=Configuration!$D$2),"",_xlfn.REGEXEXTRACT(CELL("address",'Raw Data'!Q194),"\$([A-Z]+)\$[0-9]+"))),_xlfn.REGEXEXTRACT(CELL("address",Q194), "\$([A-Z]+)\$[0-9]+"))</f>
        <v/>
      </c>
      <c r="R194" s="7" t="str" cm="1">
        <f t="array" aca="1" ref="R194" ca="1">IFERROR(IF(OR('Raw Data'!R194="",LEN(TRIM('Raw Data'!R194))=0),"",IF(AND(ISNUMBER('Raw Data'!R194), IFERROR('Raw Data'!R194 = ROUND('Raw Data'!R194, 2),FALSE)),"",_xlfn.REGEXEXTRACT(CELL("address",R194), "\$([A-Z]+)\$[0-9]+"))),_xlfn.REGEXEXTRACT(CELL("address",R194), "\$([A-Z]+)\$[0-9]+"))</f>
        <v/>
      </c>
      <c r="S194" s="7" t="str" cm="1">
        <f t="array" aca="1" ref="S194" ca="1">IFERROR(IF(OR('Raw Data'!S194="",LEN(TRIM('Raw Data'!S194))=0),"",IF(AND(ISNUMBER('Raw Data'!S194), IFERROR('Raw Data'!S194 = ROUND('Raw Data'!S194, 2),FALSE)),"",_xlfn.REGEXEXTRACT(CELL("address",S194), "\$([A-Z]+)\$[0-9]+"))),_xlfn.REGEXEXTRACT(CELL("address",S194), "\$([A-Z]+)\$[0-9]+"))</f>
        <v/>
      </c>
      <c r="T194" s="7" t="str" cm="1">
        <f t="array" aca="1" ref="T194" ca="1">IFERROR(IF(OR('Raw Data'!T194="",LEN(TRIM('Raw Data'!T194))=0),"",IF(AND(ISNUMBER('Raw Data'!T194), IFERROR('Raw Data'!T194 = ROUND('Raw Data'!T194, 2),FALSE)),"",_xlfn.REGEXEXTRACT(CELL("address",T194), "\$([A-Z]+)\$[0-9]+"))),_xlfn.REGEXEXTRACT(CELL("address",T194), "\$([A-Z]+)\$[0-9]+"))</f>
        <v/>
      </c>
      <c r="U194" s="7" t="str" cm="1">
        <f t="array" aca="1" ref="U194" ca="1">IFERROR(IF(OR('Raw Data'!U194="",LEN(TRIM('Raw Data'!U194))=0),"",IF(AND(LEN('Raw Data'!U194) &lt;= 5,LEN('Raw Data'!U194)&gt; 0),"",_xlfn.REGEXEXTRACT(CELL("address",'Raw Data'!U194),"\$([A-Z]+)\$[0-9]+"))),_xlfn.REGEXEXTRACT(CELL("address",'Raw Data'!U194),"\$([A-Z]+)\$[0-9]+"))</f>
        <v/>
      </c>
      <c r="V194" s="7" t="str" cm="1">
        <f t="array" aca="1" ref="V194" ca="1">IFERROR(IF(OR('Raw Data'!V194="",LEN(TRIM('Raw Data'!V194))=0),"",IF(AND(ISNUMBER('Raw Data'!V194), IFERROR('Raw Data'!V194 = ROUND('Raw Data'!V194, 2),FALSE)),"",_xlfn.REGEXEXTRACT(CELL("address",V194), "\$([A-Z]+)\$[0-9]+"))),_xlfn.REGEXEXTRACT(CELL("address",V194), "\$([A-Z]+)\$[0-9]+"))</f>
        <v/>
      </c>
      <c r="W194" s="7" t="str" cm="1">
        <f t="array" aca="1" ref="W194" ca="1">IFERROR(IF(OR('Raw Data'!W194="",LEN(TRIM('Raw Data'!W194))=0),"",IF(AND(ISNUMBER('Raw Data'!W194), IFERROR('Raw Data'!W194 = ROUND('Raw Data'!W194, 2),FALSE)),"",_xlfn.REGEXEXTRACT(CELL("address",W194), "\$([A-Z]+)\$[0-9]+"))),_xlfn.REGEXEXTRACT(CELL("address",W194), "\$([A-Z]+)\$[0-9]+"))</f>
        <v/>
      </c>
      <c r="X194" s="7" t="str" cm="1">
        <f t="array" aca="1" ref="X194" ca="1">IFERROR(IF(OR('Raw Data'!X194="",LEN(TRIM('Raw Data'!X194))=0),"",IF(AND(ISNUMBER('Raw Data'!X194), IFERROR('Raw Data'!X194 = ROUND('Raw Data'!X194, 2),FALSE)),"",_xlfn.REGEXEXTRACT(CELL("address",X194), "\$([A-Z]+)\$[0-9]+"))),_xlfn.REGEXEXTRACT(CELL("address",X194), "\$([A-Z]+)\$[0-9]+"))</f>
        <v/>
      </c>
    </row>
    <row r="195" spans="2:24" x14ac:dyDescent="0.25">
      <c r="B195" s="7" t="str" cm="1">
        <f t="array" aca="1" ref="B195" ca="1">IFERROR(IF(OR('Raw Data'!B195="",LEN(TRIM('Raw Data'!B195))=0),"",IF(AND(LEN('Raw Data'!B195) &lt;= 50,LEN('Raw Data'!B195)&gt; 0),"",_xlfn.REGEXEXTRACT(CELL("address",'Raw Data'!B195),"\$([A-Z]+)\$[0-9]+"))),_xlfn.REGEXEXTRACT(CELL("address",'Raw Data'!B195),"\$([A-Z]+)\$[0-9]+"))</f>
        <v/>
      </c>
      <c r="C195" s="7" t="str" cm="1">
        <f t="array" aca="1" ref="C195" ca="1">IFERROR(IF(OR('Raw Data'!C195="",LEN(TRIM('Raw Data'!C195))=0),"",IF(AND(LEN('Raw Data'!C195) &lt;= 50,LEN('Raw Data'!C195)&gt; 0),"",_xlfn.REGEXEXTRACT(CELL("address",'Raw Data'!C195),"\$([A-Z]+)\$[0-9]+"))),_xlfn.REGEXEXTRACT(CELL("address",'Raw Data'!C195),"\$([A-Z]+)\$[0-9]+"))</f>
        <v/>
      </c>
      <c r="D195" s="7" t="str" cm="1">
        <f t="array" aca="1" ref="D195" ca="1">IFERROR(IF(OR('Raw Data'!D195="",LEN(TRIM('Raw Data'!D195))=0),"",IF(AND(LEN('Raw Data'!D195) &lt;= 255,LEN('Raw Data'!D195)&gt; 0),"",_xlfn.REGEXEXTRACT(CELL("address",'Raw Data'!D195),"\$([A-Z]+)\$[0-9]+"))),_xlfn.REGEXEXTRACT(CELL("address",'Raw Data'!D195),"\$([A-Z]+)\$[0-9]+"))</f>
        <v/>
      </c>
      <c r="E195" s="7" t="str" cm="1">
        <f t="array" aca="1" ref="E195" ca="1">IFERROR(IF(OR('Raw Data'!E195="",LEN(TRIM('Raw Data'!E195))=0),"",IF(AND(ISNUMBER('Raw Data'!E195),'Raw Data'!E195&gt;=Configuration!$D$2),"",_xlfn.REGEXEXTRACT(CELL("address",'Raw Data'!E195),"\$([A-Z]+)\$[0-9]+"))),_xlfn.REGEXEXTRACT(CELL("address",E195), "\$([A-Z]+)\$[0-9]+"))</f>
        <v/>
      </c>
      <c r="F195" s="7" t="str" cm="1">
        <f t="array" aca="1" ref="F195" ca="1">IFERROR(IF(OR('Raw Data'!F195="",LEN(TRIM('Raw Data'!F195))=0),"",IF(AND(LEN('Raw Data'!F195) &lt;= 20,LEN('Raw Data'!F195)&gt; 0),"",_xlfn.REGEXEXTRACT(CELL("address",'Raw Data'!F195),"\$([A-Z]+)\$[0-9]+"))),_xlfn.REGEXEXTRACT(CELL("address",'Raw Data'!F195),"\$([A-Z]+)\$[0-9]+"))</f>
        <v/>
      </c>
      <c r="G195" s="7" t="str" cm="1">
        <f t="array" aca="1" ref="G195" ca="1">IFERROR(IF(OR('Raw Data'!G195="",LEN(TRIM('Raw Data'!G195))=0),"",IF(AND(ISNUMBER('Raw Data'!G195), IFERROR('Raw Data'!G195 = ROUND('Raw Data'!G195, 2),FALSE)),"",_xlfn.REGEXEXTRACT(CELL("address",G195), "\$([A-Z]+)\$[0-9]+"))),_xlfn.REGEXEXTRACT(CELL("address",G195), "\$([A-Z]+)\$[0-9]+"))</f>
        <v/>
      </c>
      <c r="H195" s="7" t="str" cm="1">
        <f t="array" aca="1" ref="H195" ca="1">IFERROR(IF(OR('Raw Data'!H195="",LEN(TRIM('Raw Data'!H195))=0),"",IF(AND(ISNUMBER('Raw Data'!H195), IFERROR('Raw Data'!H195 = ROUND('Raw Data'!H195, 2),FALSE)),"",_xlfn.REGEXEXTRACT(CELL("address",H195), "\$([A-Z]+)\$[0-9]+"))),_xlfn.REGEXEXTRACT(CELL("address",H195), "\$([A-Z]+)\$[0-9]+"))</f>
        <v/>
      </c>
      <c r="I195" s="7" t="str" cm="1">
        <f t="array" aca="1" ref="I195" ca="1">IFERROR(IF(OR('Raw Data'!I195="",LEN(TRIM('Raw Data'!I195))=0),"",IF(AND(LEN('Raw Data'!I195) &lt;= 50,LEN('Raw Data'!I195)&gt; 0),"",_xlfn.REGEXEXTRACT(CELL("address",'Raw Data'!I195),"\$([A-Z]+)\$[0-9]+"))),_xlfn.REGEXEXTRACT(CELL("address",'Raw Data'!I195),"\$([A-Z]+)\$[0-9]+"))</f>
        <v/>
      </c>
      <c r="J195" s="7" t="str" cm="1">
        <f t="array" aca="1" ref="J195" ca="1">IFERROR(IF(OR('Raw Data'!J195="",LEN(TRIM('Raw Data'!J195))=0),"",IF(AND(ISNUMBER('Raw Data'!J195),'Raw Data'!J195&gt;=Configuration!$D$2),"",_xlfn.REGEXEXTRACT(CELL("address",'Raw Data'!J195),"\$([A-Z]+)\$[0-9]+"))),_xlfn.REGEXEXTRACT(CELL("address",J195), "\$([A-Z]+)\$[0-9]+"))</f>
        <v/>
      </c>
      <c r="K195" s="7" t="str" cm="1">
        <f t="array" aca="1" ref="K195" ca="1">IFERROR(IF(OR('Raw Data'!K195="",LEN(TRIM('Raw Data'!K195))=0),"",IF(AND(ISNUMBER('Raw Data'!K195), IFERROR('Raw Data'!K195 = ROUND('Raw Data'!K195, 2),FALSE)),"",_xlfn.REGEXEXTRACT(CELL("address",K195), "\$([A-Z]+)\$[0-9]+"))),_xlfn.REGEXEXTRACT(CELL("address",K195), "\$([A-Z]+)\$[0-9]+"))</f>
        <v/>
      </c>
      <c r="L195" s="7" t="str" cm="1">
        <f t="array" aca="1" ref="L195" ca="1">IFERROR(IF(OR('Raw Data'!L195="",LEN(TRIM('Raw Data'!L195))=0),"",IF(AND(ISNUMBER('Raw Data'!L195), IFERROR('Raw Data'!L195 = ROUND('Raw Data'!L195, 2),FALSE)),"",_xlfn.REGEXEXTRACT(CELL("address",L195), "\$([A-Z]+)\$[0-9]+"))),_xlfn.REGEXEXTRACT(CELL("address",L195), "\$([A-Z]+)\$[0-9]+"))</f>
        <v/>
      </c>
      <c r="M195" s="7" t="str" cm="1">
        <f t="array" aca="1" ref="M195" ca="1">IFERROR(IF(OR('Raw Data'!M195="",LEN(TRIM('Raw Data'!M195))=0),"",IF(AND(ISNUMBER('Raw Data'!M195), IFERROR('Raw Data'!M195 = ROUND('Raw Data'!M195, 2),FALSE)),"",_xlfn.REGEXEXTRACT(CELL("address",M195), "\$([A-Z]+)\$[0-9]+"))),_xlfn.REGEXEXTRACT(CELL("address",M195), "\$([A-Z]+)\$[0-9]+"))</f>
        <v/>
      </c>
      <c r="N195" s="7" t="str" cm="1">
        <f t="array" aca="1" ref="N195" ca="1">IFERROR(IF(OR('Raw Data'!N195="",LEN(TRIM('Raw Data'!N195))=0),"",IF(AND(ISNUMBER('Raw Data'!N195), IFERROR('Raw Data'!N195 = ROUND('Raw Data'!N195, 2),FALSE)),"",_xlfn.REGEXEXTRACT(CELL("address",N195), "\$([A-Z]+)\$[0-9]+"))),_xlfn.REGEXEXTRACT(CELL("address",N195), "\$([A-Z]+)\$[0-9]+"))</f>
        <v/>
      </c>
      <c r="O195" s="7" t="str" cm="1">
        <f t="array" aca="1" ref="O195" ca="1">IFERROR(IF(OR('Raw Data'!O195="",LEN(TRIM('Raw Data'!O195))=0),"",IF(AND(ISNUMBER('Raw Data'!O195), IFERROR('Raw Data'!O195 = ROUND('Raw Data'!O195, 2),FALSE)),"",_xlfn.REGEXEXTRACT(CELL("address",O195), "\$([A-Z]+)\$[0-9]+"))),_xlfn.REGEXEXTRACT(CELL("address",O195), "\$([A-Z]+)\$[0-9]+"))</f>
        <v/>
      </c>
      <c r="P195" s="7" t="str" cm="1">
        <f t="array" aca="1" ref="P195" ca="1">IFERROR(IF(OR('Raw Data'!P195="",LEN(TRIM('Raw Data'!P195))=0),"",IF(AND(ISNUMBER('Raw Data'!P195),'Raw Data'!P195&gt;=Configuration!$D$2),"",_xlfn.REGEXEXTRACT(CELL("address",'Raw Data'!P195),"\$([A-Z]+)\$[0-9]+"))),_xlfn.REGEXEXTRACT(CELL("address",P195), "\$([A-Z]+)\$[0-9]+"))</f>
        <v/>
      </c>
      <c r="Q195" s="7" t="str" cm="1">
        <f t="array" aca="1" ref="Q195" ca="1">IFERROR(IF(OR('Raw Data'!Q195="",LEN(TRIM('Raw Data'!Q195))=0),"",IF(AND(ISNUMBER('Raw Data'!Q195),'Raw Data'!Q195&gt;=Configuration!$D$2),"",_xlfn.REGEXEXTRACT(CELL("address",'Raw Data'!Q195),"\$([A-Z]+)\$[0-9]+"))),_xlfn.REGEXEXTRACT(CELL("address",Q195), "\$([A-Z]+)\$[0-9]+"))</f>
        <v/>
      </c>
      <c r="R195" s="7" t="str" cm="1">
        <f t="array" aca="1" ref="R195" ca="1">IFERROR(IF(OR('Raw Data'!R195="",LEN(TRIM('Raw Data'!R195))=0),"",IF(AND(ISNUMBER('Raw Data'!R195), IFERROR('Raw Data'!R195 = ROUND('Raw Data'!R195, 2),FALSE)),"",_xlfn.REGEXEXTRACT(CELL("address",R195), "\$([A-Z]+)\$[0-9]+"))),_xlfn.REGEXEXTRACT(CELL("address",R195), "\$([A-Z]+)\$[0-9]+"))</f>
        <v/>
      </c>
      <c r="S195" s="7" t="str" cm="1">
        <f t="array" aca="1" ref="S195" ca="1">IFERROR(IF(OR('Raw Data'!S195="",LEN(TRIM('Raw Data'!S195))=0),"",IF(AND(ISNUMBER('Raw Data'!S195), IFERROR('Raw Data'!S195 = ROUND('Raw Data'!S195, 2),FALSE)),"",_xlfn.REGEXEXTRACT(CELL("address",S195), "\$([A-Z]+)\$[0-9]+"))),_xlfn.REGEXEXTRACT(CELL("address",S195), "\$([A-Z]+)\$[0-9]+"))</f>
        <v/>
      </c>
      <c r="T195" s="7" t="str" cm="1">
        <f t="array" aca="1" ref="T195" ca="1">IFERROR(IF(OR('Raw Data'!T195="",LEN(TRIM('Raw Data'!T195))=0),"",IF(AND(ISNUMBER('Raw Data'!T195), IFERROR('Raw Data'!T195 = ROUND('Raw Data'!T195, 2),FALSE)),"",_xlfn.REGEXEXTRACT(CELL("address",T195), "\$([A-Z]+)\$[0-9]+"))),_xlfn.REGEXEXTRACT(CELL("address",T195), "\$([A-Z]+)\$[0-9]+"))</f>
        <v/>
      </c>
      <c r="U195" s="7" t="str" cm="1">
        <f t="array" aca="1" ref="U195" ca="1">IFERROR(IF(OR('Raw Data'!U195="",LEN(TRIM('Raw Data'!U195))=0),"",IF(AND(LEN('Raw Data'!U195) &lt;= 5,LEN('Raw Data'!U195)&gt; 0),"",_xlfn.REGEXEXTRACT(CELL("address",'Raw Data'!U195),"\$([A-Z]+)\$[0-9]+"))),_xlfn.REGEXEXTRACT(CELL("address",'Raw Data'!U195),"\$([A-Z]+)\$[0-9]+"))</f>
        <v/>
      </c>
      <c r="V195" s="7" t="str" cm="1">
        <f t="array" aca="1" ref="V195" ca="1">IFERROR(IF(OR('Raw Data'!V195="",LEN(TRIM('Raw Data'!V195))=0),"",IF(AND(ISNUMBER('Raw Data'!V195), IFERROR('Raw Data'!V195 = ROUND('Raw Data'!V195, 2),FALSE)),"",_xlfn.REGEXEXTRACT(CELL("address",V195), "\$([A-Z]+)\$[0-9]+"))),_xlfn.REGEXEXTRACT(CELL("address",V195), "\$([A-Z]+)\$[0-9]+"))</f>
        <v/>
      </c>
      <c r="W195" s="7" t="str" cm="1">
        <f t="array" aca="1" ref="W195" ca="1">IFERROR(IF(OR('Raw Data'!W195="",LEN(TRIM('Raw Data'!W195))=0),"",IF(AND(ISNUMBER('Raw Data'!W195), IFERROR('Raw Data'!W195 = ROUND('Raw Data'!W195, 2),FALSE)),"",_xlfn.REGEXEXTRACT(CELL("address",W195), "\$([A-Z]+)\$[0-9]+"))),_xlfn.REGEXEXTRACT(CELL("address",W195), "\$([A-Z]+)\$[0-9]+"))</f>
        <v/>
      </c>
      <c r="X195" s="7" t="str" cm="1">
        <f t="array" aca="1" ref="X195" ca="1">IFERROR(IF(OR('Raw Data'!X195="",LEN(TRIM('Raw Data'!X195))=0),"",IF(AND(ISNUMBER('Raw Data'!X195), IFERROR('Raw Data'!X195 = ROUND('Raw Data'!X195, 2),FALSE)),"",_xlfn.REGEXEXTRACT(CELL("address",X195), "\$([A-Z]+)\$[0-9]+"))),_xlfn.REGEXEXTRACT(CELL("address",X195), "\$([A-Z]+)\$[0-9]+"))</f>
        <v/>
      </c>
    </row>
    <row r="196" spans="2:24" x14ac:dyDescent="0.25">
      <c r="B196" s="7" t="str" cm="1">
        <f t="array" aca="1" ref="B196" ca="1">IFERROR(IF(OR('Raw Data'!B196="",LEN(TRIM('Raw Data'!B196))=0),"",IF(AND(LEN('Raw Data'!B196) &lt;= 50,LEN('Raw Data'!B196)&gt; 0),"",_xlfn.REGEXEXTRACT(CELL("address",'Raw Data'!B196),"\$([A-Z]+)\$[0-9]+"))),_xlfn.REGEXEXTRACT(CELL("address",'Raw Data'!B196),"\$([A-Z]+)\$[0-9]+"))</f>
        <v/>
      </c>
      <c r="C196" s="7" t="str" cm="1">
        <f t="array" aca="1" ref="C196" ca="1">IFERROR(IF(OR('Raw Data'!C196="",LEN(TRIM('Raw Data'!C196))=0),"",IF(AND(LEN('Raw Data'!C196) &lt;= 50,LEN('Raw Data'!C196)&gt; 0),"",_xlfn.REGEXEXTRACT(CELL("address",'Raw Data'!C196),"\$([A-Z]+)\$[0-9]+"))),_xlfn.REGEXEXTRACT(CELL("address",'Raw Data'!C196),"\$([A-Z]+)\$[0-9]+"))</f>
        <v/>
      </c>
      <c r="D196" s="7" t="str" cm="1">
        <f t="array" aca="1" ref="D196" ca="1">IFERROR(IF(OR('Raw Data'!D196="",LEN(TRIM('Raw Data'!D196))=0),"",IF(AND(LEN('Raw Data'!D196) &lt;= 255,LEN('Raw Data'!D196)&gt; 0),"",_xlfn.REGEXEXTRACT(CELL("address",'Raw Data'!D196),"\$([A-Z]+)\$[0-9]+"))),_xlfn.REGEXEXTRACT(CELL("address",'Raw Data'!D196),"\$([A-Z]+)\$[0-9]+"))</f>
        <v/>
      </c>
      <c r="E196" s="7" t="str" cm="1">
        <f t="array" aca="1" ref="E196" ca="1">IFERROR(IF(OR('Raw Data'!E196="",LEN(TRIM('Raw Data'!E196))=0),"",IF(AND(ISNUMBER('Raw Data'!E196),'Raw Data'!E196&gt;=Configuration!$D$2),"",_xlfn.REGEXEXTRACT(CELL("address",'Raw Data'!E196),"\$([A-Z]+)\$[0-9]+"))),_xlfn.REGEXEXTRACT(CELL("address",E196), "\$([A-Z]+)\$[0-9]+"))</f>
        <v/>
      </c>
      <c r="F196" s="7" t="str" cm="1">
        <f t="array" aca="1" ref="F196" ca="1">IFERROR(IF(OR('Raw Data'!F196="",LEN(TRIM('Raw Data'!F196))=0),"",IF(AND(LEN('Raw Data'!F196) &lt;= 20,LEN('Raw Data'!F196)&gt; 0),"",_xlfn.REGEXEXTRACT(CELL("address",'Raw Data'!F196),"\$([A-Z]+)\$[0-9]+"))),_xlfn.REGEXEXTRACT(CELL("address",'Raw Data'!F196),"\$([A-Z]+)\$[0-9]+"))</f>
        <v/>
      </c>
      <c r="G196" s="7" t="str" cm="1">
        <f t="array" aca="1" ref="G196" ca="1">IFERROR(IF(OR('Raw Data'!G196="",LEN(TRIM('Raw Data'!G196))=0),"",IF(AND(ISNUMBER('Raw Data'!G196), IFERROR('Raw Data'!G196 = ROUND('Raw Data'!G196, 2),FALSE)),"",_xlfn.REGEXEXTRACT(CELL("address",G196), "\$([A-Z]+)\$[0-9]+"))),_xlfn.REGEXEXTRACT(CELL("address",G196), "\$([A-Z]+)\$[0-9]+"))</f>
        <v/>
      </c>
      <c r="H196" s="7" t="str" cm="1">
        <f t="array" aca="1" ref="H196" ca="1">IFERROR(IF(OR('Raw Data'!H196="",LEN(TRIM('Raw Data'!H196))=0),"",IF(AND(ISNUMBER('Raw Data'!H196), IFERROR('Raw Data'!H196 = ROUND('Raw Data'!H196, 2),FALSE)),"",_xlfn.REGEXEXTRACT(CELL("address",H196), "\$([A-Z]+)\$[0-9]+"))),_xlfn.REGEXEXTRACT(CELL("address",H196), "\$([A-Z]+)\$[0-9]+"))</f>
        <v/>
      </c>
      <c r="I196" s="7" t="str" cm="1">
        <f t="array" aca="1" ref="I196" ca="1">IFERROR(IF(OR('Raw Data'!I196="",LEN(TRIM('Raw Data'!I196))=0),"",IF(AND(LEN('Raw Data'!I196) &lt;= 50,LEN('Raw Data'!I196)&gt; 0),"",_xlfn.REGEXEXTRACT(CELL("address",'Raw Data'!I196),"\$([A-Z]+)\$[0-9]+"))),_xlfn.REGEXEXTRACT(CELL("address",'Raw Data'!I196),"\$([A-Z]+)\$[0-9]+"))</f>
        <v/>
      </c>
      <c r="J196" s="7" t="str" cm="1">
        <f t="array" aca="1" ref="J196" ca="1">IFERROR(IF(OR('Raw Data'!J196="",LEN(TRIM('Raw Data'!J196))=0),"",IF(AND(ISNUMBER('Raw Data'!J196),'Raw Data'!J196&gt;=Configuration!$D$2),"",_xlfn.REGEXEXTRACT(CELL("address",'Raw Data'!J196),"\$([A-Z]+)\$[0-9]+"))),_xlfn.REGEXEXTRACT(CELL("address",J196), "\$([A-Z]+)\$[0-9]+"))</f>
        <v/>
      </c>
      <c r="K196" s="7" t="str" cm="1">
        <f t="array" aca="1" ref="K196" ca="1">IFERROR(IF(OR('Raw Data'!K196="",LEN(TRIM('Raw Data'!K196))=0),"",IF(AND(ISNUMBER('Raw Data'!K196), IFERROR('Raw Data'!K196 = ROUND('Raw Data'!K196, 2),FALSE)),"",_xlfn.REGEXEXTRACT(CELL("address",K196), "\$([A-Z]+)\$[0-9]+"))),_xlfn.REGEXEXTRACT(CELL("address",K196), "\$([A-Z]+)\$[0-9]+"))</f>
        <v/>
      </c>
      <c r="L196" s="7" t="str" cm="1">
        <f t="array" aca="1" ref="L196" ca="1">IFERROR(IF(OR('Raw Data'!L196="",LEN(TRIM('Raw Data'!L196))=0),"",IF(AND(ISNUMBER('Raw Data'!L196), IFERROR('Raw Data'!L196 = ROUND('Raw Data'!L196, 2),FALSE)),"",_xlfn.REGEXEXTRACT(CELL("address",L196), "\$([A-Z]+)\$[0-9]+"))),_xlfn.REGEXEXTRACT(CELL("address",L196), "\$([A-Z]+)\$[0-9]+"))</f>
        <v/>
      </c>
      <c r="M196" s="7" t="str" cm="1">
        <f t="array" aca="1" ref="M196" ca="1">IFERROR(IF(OR('Raw Data'!M196="",LEN(TRIM('Raw Data'!M196))=0),"",IF(AND(ISNUMBER('Raw Data'!M196), IFERROR('Raw Data'!M196 = ROUND('Raw Data'!M196, 2),FALSE)),"",_xlfn.REGEXEXTRACT(CELL("address",M196), "\$([A-Z]+)\$[0-9]+"))),_xlfn.REGEXEXTRACT(CELL("address",M196), "\$([A-Z]+)\$[0-9]+"))</f>
        <v/>
      </c>
      <c r="N196" s="7" t="str" cm="1">
        <f t="array" aca="1" ref="N196" ca="1">IFERROR(IF(OR('Raw Data'!N196="",LEN(TRIM('Raw Data'!N196))=0),"",IF(AND(ISNUMBER('Raw Data'!N196), IFERROR('Raw Data'!N196 = ROUND('Raw Data'!N196, 2),FALSE)),"",_xlfn.REGEXEXTRACT(CELL("address",N196), "\$([A-Z]+)\$[0-9]+"))),_xlfn.REGEXEXTRACT(CELL("address",N196), "\$([A-Z]+)\$[0-9]+"))</f>
        <v/>
      </c>
      <c r="O196" s="7" t="str" cm="1">
        <f t="array" aca="1" ref="O196" ca="1">IFERROR(IF(OR('Raw Data'!O196="",LEN(TRIM('Raw Data'!O196))=0),"",IF(AND(ISNUMBER('Raw Data'!O196), IFERROR('Raw Data'!O196 = ROUND('Raw Data'!O196, 2),FALSE)),"",_xlfn.REGEXEXTRACT(CELL("address",O196), "\$([A-Z]+)\$[0-9]+"))),_xlfn.REGEXEXTRACT(CELL("address",O196), "\$([A-Z]+)\$[0-9]+"))</f>
        <v/>
      </c>
      <c r="P196" s="7" t="str" cm="1">
        <f t="array" aca="1" ref="P196" ca="1">IFERROR(IF(OR('Raw Data'!P196="",LEN(TRIM('Raw Data'!P196))=0),"",IF(AND(ISNUMBER('Raw Data'!P196),'Raw Data'!P196&gt;=Configuration!$D$2),"",_xlfn.REGEXEXTRACT(CELL("address",'Raw Data'!P196),"\$([A-Z]+)\$[0-9]+"))),_xlfn.REGEXEXTRACT(CELL("address",P196), "\$([A-Z]+)\$[0-9]+"))</f>
        <v/>
      </c>
      <c r="Q196" s="7" t="str" cm="1">
        <f t="array" aca="1" ref="Q196" ca="1">IFERROR(IF(OR('Raw Data'!Q196="",LEN(TRIM('Raw Data'!Q196))=0),"",IF(AND(ISNUMBER('Raw Data'!Q196),'Raw Data'!Q196&gt;=Configuration!$D$2),"",_xlfn.REGEXEXTRACT(CELL("address",'Raw Data'!Q196),"\$([A-Z]+)\$[0-9]+"))),_xlfn.REGEXEXTRACT(CELL("address",Q196), "\$([A-Z]+)\$[0-9]+"))</f>
        <v/>
      </c>
      <c r="R196" s="7" t="str" cm="1">
        <f t="array" aca="1" ref="R196" ca="1">IFERROR(IF(OR('Raw Data'!R196="",LEN(TRIM('Raw Data'!R196))=0),"",IF(AND(ISNUMBER('Raw Data'!R196), IFERROR('Raw Data'!R196 = ROUND('Raw Data'!R196, 2),FALSE)),"",_xlfn.REGEXEXTRACT(CELL("address",R196), "\$([A-Z]+)\$[0-9]+"))),_xlfn.REGEXEXTRACT(CELL("address",R196), "\$([A-Z]+)\$[0-9]+"))</f>
        <v/>
      </c>
      <c r="S196" s="7" t="str" cm="1">
        <f t="array" aca="1" ref="S196" ca="1">IFERROR(IF(OR('Raw Data'!S196="",LEN(TRIM('Raw Data'!S196))=0),"",IF(AND(ISNUMBER('Raw Data'!S196), IFERROR('Raw Data'!S196 = ROUND('Raw Data'!S196, 2),FALSE)),"",_xlfn.REGEXEXTRACT(CELL("address",S196), "\$([A-Z]+)\$[0-9]+"))),_xlfn.REGEXEXTRACT(CELL("address",S196), "\$([A-Z]+)\$[0-9]+"))</f>
        <v/>
      </c>
      <c r="T196" s="7" t="str" cm="1">
        <f t="array" aca="1" ref="T196" ca="1">IFERROR(IF(OR('Raw Data'!T196="",LEN(TRIM('Raw Data'!T196))=0),"",IF(AND(ISNUMBER('Raw Data'!T196), IFERROR('Raw Data'!T196 = ROUND('Raw Data'!T196, 2),FALSE)),"",_xlfn.REGEXEXTRACT(CELL("address",T196), "\$([A-Z]+)\$[0-9]+"))),_xlfn.REGEXEXTRACT(CELL("address",T196), "\$([A-Z]+)\$[0-9]+"))</f>
        <v/>
      </c>
      <c r="U196" s="7" t="str" cm="1">
        <f t="array" aca="1" ref="U196" ca="1">IFERROR(IF(OR('Raw Data'!U196="",LEN(TRIM('Raw Data'!U196))=0),"",IF(AND(LEN('Raw Data'!U196) &lt;= 5,LEN('Raw Data'!U196)&gt; 0),"",_xlfn.REGEXEXTRACT(CELL("address",'Raw Data'!U196),"\$([A-Z]+)\$[0-9]+"))),_xlfn.REGEXEXTRACT(CELL("address",'Raw Data'!U196),"\$([A-Z]+)\$[0-9]+"))</f>
        <v/>
      </c>
      <c r="V196" s="7" t="str" cm="1">
        <f t="array" aca="1" ref="V196" ca="1">IFERROR(IF(OR('Raw Data'!V196="",LEN(TRIM('Raw Data'!V196))=0),"",IF(AND(ISNUMBER('Raw Data'!V196), IFERROR('Raw Data'!V196 = ROUND('Raw Data'!V196, 2),FALSE)),"",_xlfn.REGEXEXTRACT(CELL("address",V196), "\$([A-Z]+)\$[0-9]+"))),_xlfn.REGEXEXTRACT(CELL("address",V196), "\$([A-Z]+)\$[0-9]+"))</f>
        <v/>
      </c>
      <c r="W196" s="7" t="str" cm="1">
        <f t="array" aca="1" ref="W196" ca="1">IFERROR(IF(OR('Raw Data'!W196="",LEN(TRIM('Raw Data'!W196))=0),"",IF(AND(ISNUMBER('Raw Data'!W196), IFERROR('Raw Data'!W196 = ROUND('Raw Data'!W196, 2),FALSE)),"",_xlfn.REGEXEXTRACT(CELL("address",W196), "\$([A-Z]+)\$[0-9]+"))),_xlfn.REGEXEXTRACT(CELL("address",W196), "\$([A-Z]+)\$[0-9]+"))</f>
        <v/>
      </c>
      <c r="X196" s="7" t="str" cm="1">
        <f t="array" aca="1" ref="X196" ca="1">IFERROR(IF(OR('Raw Data'!X196="",LEN(TRIM('Raw Data'!X196))=0),"",IF(AND(ISNUMBER('Raw Data'!X196), IFERROR('Raw Data'!X196 = ROUND('Raw Data'!X196, 2),FALSE)),"",_xlfn.REGEXEXTRACT(CELL("address",X196), "\$([A-Z]+)\$[0-9]+"))),_xlfn.REGEXEXTRACT(CELL("address",X196), "\$([A-Z]+)\$[0-9]+"))</f>
        <v/>
      </c>
    </row>
    <row r="197" spans="2:24" x14ac:dyDescent="0.25">
      <c r="B197" s="7" t="str" cm="1">
        <f t="array" aca="1" ref="B197" ca="1">IFERROR(IF(OR('Raw Data'!B197="",LEN(TRIM('Raw Data'!B197))=0),"",IF(AND(LEN('Raw Data'!B197) &lt;= 50,LEN('Raw Data'!B197)&gt; 0),"",_xlfn.REGEXEXTRACT(CELL("address",'Raw Data'!B197),"\$([A-Z]+)\$[0-9]+"))),_xlfn.REGEXEXTRACT(CELL("address",'Raw Data'!B197),"\$([A-Z]+)\$[0-9]+"))</f>
        <v/>
      </c>
      <c r="C197" s="7" t="str" cm="1">
        <f t="array" aca="1" ref="C197" ca="1">IFERROR(IF(OR('Raw Data'!C197="",LEN(TRIM('Raw Data'!C197))=0),"",IF(AND(LEN('Raw Data'!C197) &lt;= 50,LEN('Raw Data'!C197)&gt; 0),"",_xlfn.REGEXEXTRACT(CELL("address",'Raw Data'!C197),"\$([A-Z]+)\$[0-9]+"))),_xlfn.REGEXEXTRACT(CELL("address",'Raw Data'!C197),"\$([A-Z]+)\$[0-9]+"))</f>
        <v/>
      </c>
      <c r="D197" s="7" t="str" cm="1">
        <f t="array" aca="1" ref="D197" ca="1">IFERROR(IF(OR('Raw Data'!D197="",LEN(TRIM('Raw Data'!D197))=0),"",IF(AND(LEN('Raw Data'!D197) &lt;= 255,LEN('Raw Data'!D197)&gt; 0),"",_xlfn.REGEXEXTRACT(CELL("address",'Raw Data'!D197),"\$([A-Z]+)\$[0-9]+"))),_xlfn.REGEXEXTRACT(CELL("address",'Raw Data'!D197),"\$([A-Z]+)\$[0-9]+"))</f>
        <v/>
      </c>
      <c r="E197" s="7" t="str" cm="1">
        <f t="array" aca="1" ref="E197" ca="1">IFERROR(IF(OR('Raw Data'!E197="",LEN(TRIM('Raw Data'!E197))=0),"",IF(AND(ISNUMBER('Raw Data'!E197),'Raw Data'!E197&gt;=Configuration!$D$2),"",_xlfn.REGEXEXTRACT(CELL("address",'Raw Data'!E197),"\$([A-Z]+)\$[0-9]+"))),_xlfn.REGEXEXTRACT(CELL("address",E197), "\$([A-Z]+)\$[0-9]+"))</f>
        <v/>
      </c>
      <c r="F197" s="7" t="str" cm="1">
        <f t="array" aca="1" ref="F197" ca="1">IFERROR(IF(OR('Raw Data'!F197="",LEN(TRIM('Raw Data'!F197))=0),"",IF(AND(LEN('Raw Data'!F197) &lt;= 20,LEN('Raw Data'!F197)&gt; 0),"",_xlfn.REGEXEXTRACT(CELL("address",'Raw Data'!F197),"\$([A-Z]+)\$[0-9]+"))),_xlfn.REGEXEXTRACT(CELL("address",'Raw Data'!F197),"\$([A-Z]+)\$[0-9]+"))</f>
        <v/>
      </c>
      <c r="G197" s="7" t="str" cm="1">
        <f t="array" aca="1" ref="G197" ca="1">IFERROR(IF(OR('Raw Data'!G197="",LEN(TRIM('Raw Data'!G197))=0),"",IF(AND(ISNUMBER('Raw Data'!G197), IFERROR('Raw Data'!G197 = ROUND('Raw Data'!G197, 2),FALSE)),"",_xlfn.REGEXEXTRACT(CELL("address",G197), "\$([A-Z]+)\$[0-9]+"))),_xlfn.REGEXEXTRACT(CELL("address",G197), "\$([A-Z]+)\$[0-9]+"))</f>
        <v/>
      </c>
      <c r="H197" s="7" t="str" cm="1">
        <f t="array" aca="1" ref="H197" ca="1">IFERROR(IF(OR('Raw Data'!H197="",LEN(TRIM('Raw Data'!H197))=0),"",IF(AND(ISNUMBER('Raw Data'!H197), IFERROR('Raw Data'!H197 = ROUND('Raw Data'!H197, 2),FALSE)),"",_xlfn.REGEXEXTRACT(CELL("address",H197), "\$([A-Z]+)\$[0-9]+"))),_xlfn.REGEXEXTRACT(CELL("address",H197), "\$([A-Z]+)\$[0-9]+"))</f>
        <v/>
      </c>
      <c r="I197" s="7" t="str" cm="1">
        <f t="array" aca="1" ref="I197" ca="1">IFERROR(IF(OR('Raw Data'!I197="",LEN(TRIM('Raw Data'!I197))=0),"",IF(AND(LEN('Raw Data'!I197) &lt;= 50,LEN('Raw Data'!I197)&gt; 0),"",_xlfn.REGEXEXTRACT(CELL("address",'Raw Data'!I197),"\$([A-Z]+)\$[0-9]+"))),_xlfn.REGEXEXTRACT(CELL("address",'Raw Data'!I197),"\$([A-Z]+)\$[0-9]+"))</f>
        <v/>
      </c>
      <c r="J197" s="7" t="str" cm="1">
        <f t="array" aca="1" ref="J197" ca="1">IFERROR(IF(OR('Raw Data'!J197="",LEN(TRIM('Raw Data'!J197))=0),"",IF(AND(ISNUMBER('Raw Data'!J197),'Raw Data'!J197&gt;=Configuration!$D$2),"",_xlfn.REGEXEXTRACT(CELL("address",'Raw Data'!J197),"\$([A-Z]+)\$[0-9]+"))),_xlfn.REGEXEXTRACT(CELL("address",J197), "\$([A-Z]+)\$[0-9]+"))</f>
        <v/>
      </c>
      <c r="K197" s="7" t="str" cm="1">
        <f t="array" aca="1" ref="K197" ca="1">IFERROR(IF(OR('Raw Data'!K197="",LEN(TRIM('Raw Data'!K197))=0),"",IF(AND(ISNUMBER('Raw Data'!K197), IFERROR('Raw Data'!K197 = ROUND('Raw Data'!K197, 2),FALSE)),"",_xlfn.REGEXEXTRACT(CELL("address",K197), "\$([A-Z]+)\$[0-9]+"))),_xlfn.REGEXEXTRACT(CELL("address",K197), "\$([A-Z]+)\$[0-9]+"))</f>
        <v/>
      </c>
      <c r="L197" s="7" t="str" cm="1">
        <f t="array" aca="1" ref="L197" ca="1">IFERROR(IF(OR('Raw Data'!L197="",LEN(TRIM('Raw Data'!L197))=0),"",IF(AND(ISNUMBER('Raw Data'!L197), IFERROR('Raw Data'!L197 = ROUND('Raw Data'!L197, 2),FALSE)),"",_xlfn.REGEXEXTRACT(CELL("address",L197), "\$([A-Z]+)\$[0-9]+"))),_xlfn.REGEXEXTRACT(CELL("address",L197), "\$([A-Z]+)\$[0-9]+"))</f>
        <v/>
      </c>
      <c r="M197" s="7" t="str" cm="1">
        <f t="array" aca="1" ref="M197" ca="1">IFERROR(IF(OR('Raw Data'!M197="",LEN(TRIM('Raw Data'!M197))=0),"",IF(AND(ISNUMBER('Raw Data'!M197), IFERROR('Raw Data'!M197 = ROUND('Raw Data'!M197, 2),FALSE)),"",_xlfn.REGEXEXTRACT(CELL("address",M197), "\$([A-Z]+)\$[0-9]+"))),_xlfn.REGEXEXTRACT(CELL("address",M197), "\$([A-Z]+)\$[0-9]+"))</f>
        <v/>
      </c>
      <c r="N197" s="7" t="str" cm="1">
        <f t="array" aca="1" ref="N197" ca="1">IFERROR(IF(OR('Raw Data'!N197="",LEN(TRIM('Raw Data'!N197))=0),"",IF(AND(ISNUMBER('Raw Data'!N197), IFERROR('Raw Data'!N197 = ROUND('Raw Data'!N197, 2),FALSE)),"",_xlfn.REGEXEXTRACT(CELL("address",N197), "\$([A-Z]+)\$[0-9]+"))),_xlfn.REGEXEXTRACT(CELL("address",N197), "\$([A-Z]+)\$[0-9]+"))</f>
        <v/>
      </c>
      <c r="O197" s="7" t="str" cm="1">
        <f t="array" aca="1" ref="O197" ca="1">IFERROR(IF(OR('Raw Data'!O197="",LEN(TRIM('Raw Data'!O197))=0),"",IF(AND(ISNUMBER('Raw Data'!O197), IFERROR('Raw Data'!O197 = ROUND('Raw Data'!O197, 2),FALSE)),"",_xlfn.REGEXEXTRACT(CELL("address",O197), "\$([A-Z]+)\$[0-9]+"))),_xlfn.REGEXEXTRACT(CELL("address",O197), "\$([A-Z]+)\$[0-9]+"))</f>
        <v/>
      </c>
      <c r="P197" s="7" t="str" cm="1">
        <f t="array" aca="1" ref="P197" ca="1">IFERROR(IF(OR('Raw Data'!P197="",LEN(TRIM('Raw Data'!P197))=0),"",IF(AND(ISNUMBER('Raw Data'!P197),'Raw Data'!P197&gt;=Configuration!$D$2),"",_xlfn.REGEXEXTRACT(CELL("address",'Raw Data'!P197),"\$([A-Z]+)\$[0-9]+"))),_xlfn.REGEXEXTRACT(CELL("address",P197), "\$([A-Z]+)\$[0-9]+"))</f>
        <v/>
      </c>
      <c r="Q197" s="7" t="str" cm="1">
        <f t="array" aca="1" ref="Q197" ca="1">IFERROR(IF(OR('Raw Data'!Q197="",LEN(TRIM('Raw Data'!Q197))=0),"",IF(AND(ISNUMBER('Raw Data'!Q197),'Raw Data'!Q197&gt;=Configuration!$D$2),"",_xlfn.REGEXEXTRACT(CELL("address",'Raw Data'!Q197),"\$([A-Z]+)\$[0-9]+"))),_xlfn.REGEXEXTRACT(CELL("address",Q197), "\$([A-Z]+)\$[0-9]+"))</f>
        <v/>
      </c>
      <c r="R197" s="7" t="str" cm="1">
        <f t="array" aca="1" ref="R197" ca="1">IFERROR(IF(OR('Raw Data'!R197="",LEN(TRIM('Raw Data'!R197))=0),"",IF(AND(ISNUMBER('Raw Data'!R197), IFERROR('Raw Data'!R197 = ROUND('Raw Data'!R197, 2),FALSE)),"",_xlfn.REGEXEXTRACT(CELL("address",R197), "\$([A-Z]+)\$[0-9]+"))),_xlfn.REGEXEXTRACT(CELL("address",R197), "\$([A-Z]+)\$[0-9]+"))</f>
        <v/>
      </c>
      <c r="S197" s="7" t="str" cm="1">
        <f t="array" aca="1" ref="S197" ca="1">IFERROR(IF(OR('Raw Data'!S197="",LEN(TRIM('Raw Data'!S197))=0),"",IF(AND(ISNUMBER('Raw Data'!S197), IFERROR('Raw Data'!S197 = ROUND('Raw Data'!S197, 2),FALSE)),"",_xlfn.REGEXEXTRACT(CELL("address",S197), "\$([A-Z]+)\$[0-9]+"))),_xlfn.REGEXEXTRACT(CELL("address",S197), "\$([A-Z]+)\$[0-9]+"))</f>
        <v/>
      </c>
      <c r="T197" s="7" t="str" cm="1">
        <f t="array" aca="1" ref="T197" ca="1">IFERROR(IF(OR('Raw Data'!T197="",LEN(TRIM('Raw Data'!T197))=0),"",IF(AND(ISNUMBER('Raw Data'!T197), IFERROR('Raw Data'!T197 = ROUND('Raw Data'!T197, 2),FALSE)),"",_xlfn.REGEXEXTRACT(CELL("address",T197), "\$([A-Z]+)\$[0-9]+"))),_xlfn.REGEXEXTRACT(CELL("address",T197), "\$([A-Z]+)\$[0-9]+"))</f>
        <v/>
      </c>
      <c r="U197" s="7" t="str" cm="1">
        <f t="array" aca="1" ref="U197" ca="1">IFERROR(IF(OR('Raw Data'!U197="",LEN(TRIM('Raw Data'!U197))=0),"",IF(AND(LEN('Raw Data'!U197) &lt;= 5,LEN('Raw Data'!U197)&gt; 0),"",_xlfn.REGEXEXTRACT(CELL("address",'Raw Data'!U197),"\$([A-Z]+)\$[0-9]+"))),_xlfn.REGEXEXTRACT(CELL("address",'Raw Data'!U197),"\$([A-Z]+)\$[0-9]+"))</f>
        <v/>
      </c>
      <c r="V197" s="7" t="str" cm="1">
        <f t="array" aca="1" ref="V197" ca="1">IFERROR(IF(OR('Raw Data'!V197="",LEN(TRIM('Raw Data'!V197))=0),"",IF(AND(ISNUMBER('Raw Data'!V197), IFERROR('Raw Data'!V197 = ROUND('Raw Data'!V197, 2),FALSE)),"",_xlfn.REGEXEXTRACT(CELL("address",V197), "\$([A-Z]+)\$[0-9]+"))),_xlfn.REGEXEXTRACT(CELL("address",V197), "\$([A-Z]+)\$[0-9]+"))</f>
        <v/>
      </c>
      <c r="W197" s="7" t="str" cm="1">
        <f t="array" aca="1" ref="W197" ca="1">IFERROR(IF(OR('Raw Data'!W197="",LEN(TRIM('Raw Data'!W197))=0),"",IF(AND(ISNUMBER('Raw Data'!W197), IFERROR('Raw Data'!W197 = ROUND('Raw Data'!W197, 2),FALSE)),"",_xlfn.REGEXEXTRACT(CELL("address",W197), "\$([A-Z]+)\$[0-9]+"))),_xlfn.REGEXEXTRACT(CELL("address",W197), "\$([A-Z]+)\$[0-9]+"))</f>
        <v/>
      </c>
      <c r="X197" s="7" t="str" cm="1">
        <f t="array" aca="1" ref="X197" ca="1">IFERROR(IF(OR('Raw Data'!X197="",LEN(TRIM('Raw Data'!X197))=0),"",IF(AND(ISNUMBER('Raw Data'!X197), IFERROR('Raw Data'!X197 = ROUND('Raw Data'!X197, 2),FALSE)),"",_xlfn.REGEXEXTRACT(CELL("address",X197), "\$([A-Z]+)\$[0-9]+"))),_xlfn.REGEXEXTRACT(CELL("address",X197), "\$([A-Z]+)\$[0-9]+"))</f>
        <v/>
      </c>
    </row>
    <row r="198" spans="2:24" x14ac:dyDescent="0.25">
      <c r="B198" s="7" t="str" cm="1">
        <f t="array" aca="1" ref="B198" ca="1">IFERROR(IF(OR('Raw Data'!B198="",LEN(TRIM('Raw Data'!B198))=0),"",IF(AND(LEN('Raw Data'!B198) &lt;= 50,LEN('Raw Data'!B198)&gt; 0),"",_xlfn.REGEXEXTRACT(CELL("address",'Raw Data'!B198),"\$([A-Z]+)\$[0-9]+"))),_xlfn.REGEXEXTRACT(CELL("address",'Raw Data'!B198),"\$([A-Z]+)\$[0-9]+"))</f>
        <v/>
      </c>
      <c r="C198" s="7" t="str" cm="1">
        <f t="array" aca="1" ref="C198" ca="1">IFERROR(IF(OR('Raw Data'!C198="",LEN(TRIM('Raw Data'!C198))=0),"",IF(AND(LEN('Raw Data'!C198) &lt;= 50,LEN('Raw Data'!C198)&gt; 0),"",_xlfn.REGEXEXTRACT(CELL("address",'Raw Data'!C198),"\$([A-Z]+)\$[0-9]+"))),_xlfn.REGEXEXTRACT(CELL("address",'Raw Data'!C198),"\$([A-Z]+)\$[0-9]+"))</f>
        <v/>
      </c>
      <c r="D198" s="7" t="str" cm="1">
        <f t="array" aca="1" ref="D198" ca="1">IFERROR(IF(OR('Raw Data'!D198="",LEN(TRIM('Raw Data'!D198))=0),"",IF(AND(LEN('Raw Data'!D198) &lt;= 255,LEN('Raw Data'!D198)&gt; 0),"",_xlfn.REGEXEXTRACT(CELL("address",'Raw Data'!D198),"\$([A-Z]+)\$[0-9]+"))),_xlfn.REGEXEXTRACT(CELL("address",'Raw Data'!D198),"\$([A-Z]+)\$[0-9]+"))</f>
        <v/>
      </c>
      <c r="E198" s="7" t="str" cm="1">
        <f t="array" aca="1" ref="E198" ca="1">IFERROR(IF(OR('Raw Data'!E198="",LEN(TRIM('Raw Data'!E198))=0),"",IF(AND(ISNUMBER('Raw Data'!E198),'Raw Data'!E198&gt;=Configuration!$D$2),"",_xlfn.REGEXEXTRACT(CELL("address",'Raw Data'!E198),"\$([A-Z]+)\$[0-9]+"))),_xlfn.REGEXEXTRACT(CELL("address",E198), "\$([A-Z]+)\$[0-9]+"))</f>
        <v/>
      </c>
      <c r="F198" s="7" t="str" cm="1">
        <f t="array" aca="1" ref="F198" ca="1">IFERROR(IF(OR('Raw Data'!F198="",LEN(TRIM('Raw Data'!F198))=0),"",IF(AND(LEN('Raw Data'!F198) &lt;= 20,LEN('Raw Data'!F198)&gt; 0),"",_xlfn.REGEXEXTRACT(CELL("address",'Raw Data'!F198),"\$([A-Z]+)\$[0-9]+"))),_xlfn.REGEXEXTRACT(CELL("address",'Raw Data'!F198),"\$([A-Z]+)\$[0-9]+"))</f>
        <v/>
      </c>
      <c r="G198" s="7" t="str" cm="1">
        <f t="array" aca="1" ref="G198" ca="1">IFERROR(IF(OR('Raw Data'!G198="",LEN(TRIM('Raw Data'!G198))=0),"",IF(AND(ISNUMBER('Raw Data'!G198), IFERROR('Raw Data'!G198 = ROUND('Raw Data'!G198, 2),FALSE)),"",_xlfn.REGEXEXTRACT(CELL("address",G198), "\$([A-Z]+)\$[0-9]+"))),_xlfn.REGEXEXTRACT(CELL("address",G198), "\$([A-Z]+)\$[0-9]+"))</f>
        <v/>
      </c>
      <c r="H198" s="7" t="str" cm="1">
        <f t="array" aca="1" ref="H198" ca="1">IFERROR(IF(OR('Raw Data'!H198="",LEN(TRIM('Raw Data'!H198))=0),"",IF(AND(ISNUMBER('Raw Data'!H198), IFERROR('Raw Data'!H198 = ROUND('Raw Data'!H198, 2),FALSE)),"",_xlfn.REGEXEXTRACT(CELL("address",H198), "\$([A-Z]+)\$[0-9]+"))),_xlfn.REGEXEXTRACT(CELL("address",H198), "\$([A-Z]+)\$[0-9]+"))</f>
        <v/>
      </c>
      <c r="I198" s="7" t="str" cm="1">
        <f t="array" aca="1" ref="I198" ca="1">IFERROR(IF(OR('Raw Data'!I198="",LEN(TRIM('Raw Data'!I198))=0),"",IF(AND(LEN('Raw Data'!I198) &lt;= 50,LEN('Raw Data'!I198)&gt; 0),"",_xlfn.REGEXEXTRACT(CELL("address",'Raw Data'!I198),"\$([A-Z]+)\$[0-9]+"))),_xlfn.REGEXEXTRACT(CELL("address",'Raw Data'!I198),"\$([A-Z]+)\$[0-9]+"))</f>
        <v/>
      </c>
      <c r="J198" s="7" t="str" cm="1">
        <f t="array" aca="1" ref="J198" ca="1">IFERROR(IF(OR('Raw Data'!J198="",LEN(TRIM('Raw Data'!J198))=0),"",IF(AND(ISNUMBER('Raw Data'!J198),'Raw Data'!J198&gt;=Configuration!$D$2),"",_xlfn.REGEXEXTRACT(CELL("address",'Raw Data'!J198),"\$([A-Z]+)\$[0-9]+"))),_xlfn.REGEXEXTRACT(CELL("address",J198), "\$([A-Z]+)\$[0-9]+"))</f>
        <v/>
      </c>
      <c r="K198" s="7" t="str" cm="1">
        <f t="array" aca="1" ref="K198" ca="1">IFERROR(IF(OR('Raw Data'!K198="",LEN(TRIM('Raw Data'!K198))=0),"",IF(AND(ISNUMBER('Raw Data'!K198), IFERROR('Raw Data'!K198 = ROUND('Raw Data'!K198, 2),FALSE)),"",_xlfn.REGEXEXTRACT(CELL("address",K198), "\$([A-Z]+)\$[0-9]+"))),_xlfn.REGEXEXTRACT(CELL("address",K198), "\$([A-Z]+)\$[0-9]+"))</f>
        <v/>
      </c>
      <c r="L198" s="7" t="str" cm="1">
        <f t="array" aca="1" ref="L198" ca="1">IFERROR(IF(OR('Raw Data'!L198="",LEN(TRIM('Raw Data'!L198))=0),"",IF(AND(ISNUMBER('Raw Data'!L198), IFERROR('Raw Data'!L198 = ROUND('Raw Data'!L198, 2),FALSE)),"",_xlfn.REGEXEXTRACT(CELL("address",L198), "\$([A-Z]+)\$[0-9]+"))),_xlfn.REGEXEXTRACT(CELL("address",L198), "\$([A-Z]+)\$[0-9]+"))</f>
        <v/>
      </c>
      <c r="M198" s="7" t="str" cm="1">
        <f t="array" aca="1" ref="M198" ca="1">IFERROR(IF(OR('Raw Data'!M198="",LEN(TRIM('Raw Data'!M198))=0),"",IF(AND(ISNUMBER('Raw Data'!M198), IFERROR('Raw Data'!M198 = ROUND('Raw Data'!M198, 2),FALSE)),"",_xlfn.REGEXEXTRACT(CELL("address",M198), "\$([A-Z]+)\$[0-9]+"))),_xlfn.REGEXEXTRACT(CELL("address",M198), "\$([A-Z]+)\$[0-9]+"))</f>
        <v/>
      </c>
      <c r="N198" s="7" t="str" cm="1">
        <f t="array" aca="1" ref="N198" ca="1">IFERROR(IF(OR('Raw Data'!N198="",LEN(TRIM('Raw Data'!N198))=0),"",IF(AND(ISNUMBER('Raw Data'!N198), IFERROR('Raw Data'!N198 = ROUND('Raw Data'!N198, 2),FALSE)),"",_xlfn.REGEXEXTRACT(CELL("address",N198), "\$([A-Z]+)\$[0-9]+"))),_xlfn.REGEXEXTRACT(CELL("address",N198), "\$([A-Z]+)\$[0-9]+"))</f>
        <v/>
      </c>
      <c r="O198" s="7" t="str" cm="1">
        <f t="array" aca="1" ref="O198" ca="1">IFERROR(IF(OR('Raw Data'!O198="",LEN(TRIM('Raw Data'!O198))=0),"",IF(AND(ISNUMBER('Raw Data'!O198), IFERROR('Raw Data'!O198 = ROUND('Raw Data'!O198, 2),FALSE)),"",_xlfn.REGEXEXTRACT(CELL("address",O198), "\$([A-Z]+)\$[0-9]+"))),_xlfn.REGEXEXTRACT(CELL("address",O198), "\$([A-Z]+)\$[0-9]+"))</f>
        <v/>
      </c>
      <c r="P198" s="7" t="str" cm="1">
        <f t="array" aca="1" ref="P198" ca="1">IFERROR(IF(OR('Raw Data'!P198="",LEN(TRIM('Raw Data'!P198))=0),"",IF(AND(ISNUMBER('Raw Data'!P198),'Raw Data'!P198&gt;=Configuration!$D$2),"",_xlfn.REGEXEXTRACT(CELL("address",'Raw Data'!P198),"\$([A-Z]+)\$[0-9]+"))),_xlfn.REGEXEXTRACT(CELL("address",P198), "\$([A-Z]+)\$[0-9]+"))</f>
        <v/>
      </c>
      <c r="Q198" s="7" t="str" cm="1">
        <f t="array" aca="1" ref="Q198" ca="1">IFERROR(IF(OR('Raw Data'!Q198="",LEN(TRIM('Raw Data'!Q198))=0),"",IF(AND(ISNUMBER('Raw Data'!Q198),'Raw Data'!Q198&gt;=Configuration!$D$2),"",_xlfn.REGEXEXTRACT(CELL("address",'Raw Data'!Q198),"\$([A-Z]+)\$[0-9]+"))),_xlfn.REGEXEXTRACT(CELL("address",Q198), "\$([A-Z]+)\$[0-9]+"))</f>
        <v/>
      </c>
      <c r="R198" s="7" t="str" cm="1">
        <f t="array" aca="1" ref="R198" ca="1">IFERROR(IF(OR('Raw Data'!R198="",LEN(TRIM('Raw Data'!R198))=0),"",IF(AND(ISNUMBER('Raw Data'!R198), IFERROR('Raw Data'!R198 = ROUND('Raw Data'!R198, 2),FALSE)),"",_xlfn.REGEXEXTRACT(CELL("address",R198), "\$([A-Z]+)\$[0-9]+"))),_xlfn.REGEXEXTRACT(CELL("address",R198), "\$([A-Z]+)\$[0-9]+"))</f>
        <v/>
      </c>
      <c r="S198" s="7" t="str" cm="1">
        <f t="array" aca="1" ref="S198" ca="1">IFERROR(IF(OR('Raw Data'!S198="",LEN(TRIM('Raw Data'!S198))=0),"",IF(AND(ISNUMBER('Raw Data'!S198), IFERROR('Raw Data'!S198 = ROUND('Raw Data'!S198, 2),FALSE)),"",_xlfn.REGEXEXTRACT(CELL("address",S198), "\$([A-Z]+)\$[0-9]+"))),_xlfn.REGEXEXTRACT(CELL("address",S198), "\$([A-Z]+)\$[0-9]+"))</f>
        <v/>
      </c>
      <c r="T198" s="7" t="str" cm="1">
        <f t="array" aca="1" ref="T198" ca="1">IFERROR(IF(OR('Raw Data'!T198="",LEN(TRIM('Raw Data'!T198))=0),"",IF(AND(ISNUMBER('Raw Data'!T198), IFERROR('Raw Data'!T198 = ROUND('Raw Data'!T198, 2),FALSE)),"",_xlfn.REGEXEXTRACT(CELL("address",T198), "\$([A-Z]+)\$[0-9]+"))),_xlfn.REGEXEXTRACT(CELL("address",T198), "\$([A-Z]+)\$[0-9]+"))</f>
        <v/>
      </c>
      <c r="U198" s="7" t="str" cm="1">
        <f t="array" aca="1" ref="U198" ca="1">IFERROR(IF(OR('Raw Data'!U198="",LEN(TRIM('Raw Data'!U198))=0),"",IF(AND(LEN('Raw Data'!U198) &lt;= 5,LEN('Raw Data'!U198)&gt; 0),"",_xlfn.REGEXEXTRACT(CELL("address",'Raw Data'!U198),"\$([A-Z]+)\$[0-9]+"))),_xlfn.REGEXEXTRACT(CELL("address",'Raw Data'!U198),"\$([A-Z]+)\$[0-9]+"))</f>
        <v/>
      </c>
      <c r="V198" s="7" t="str" cm="1">
        <f t="array" aca="1" ref="V198" ca="1">IFERROR(IF(OR('Raw Data'!V198="",LEN(TRIM('Raw Data'!V198))=0),"",IF(AND(ISNUMBER('Raw Data'!V198), IFERROR('Raw Data'!V198 = ROUND('Raw Data'!V198, 2),FALSE)),"",_xlfn.REGEXEXTRACT(CELL("address",V198), "\$([A-Z]+)\$[0-9]+"))),_xlfn.REGEXEXTRACT(CELL("address",V198), "\$([A-Z]+)\$[0-9]+"))</f>
        <v/>
      </c>
      <c r="W198" s="7" t="str" cm="1">
        <f t="array" aca="1" ref="W198" ca="1">IFERROR(IF(OR('Raw Data'!W198="",LEN(TRIM('Raw Data'!W198))=0),"",IF(AND(ISNUMBER('Raw Data'!W198), IFERROR('Raw Data'!W198 = ROUND('Raw Data'!W198, 2),FALSE)),"",_xlfn.REGEXEXTRACT(CELL("address",W198), "\$([A-Z]+)\$[0-9]+"))),_xlfn.REGEXEXTRACT(CELL("address",W198), "\$([A-Z]+)\$[0-9]+"))</f>
        <v/>
      </c>
      <c r="X198" s="7" t="str" cm="1">
        <f t="array" aca="1" ref="X198" ca="1">IFERROR(IF(OR('Raw Data'!X198="",LEN(TRIM('Raw Data'!X198))=0),"",IF(AND(ISNUMBER('Raw Data'!X198), IFERROR('Raw Data'!X198 = ROUND('Raw Data'!X198, 2),FALSE)),"",_xlfn.REGEXEXTRACT(CELL("address",X198), "\$([A-Z]+)\$[0-9]+"))),_xlfn.REGEXEXTRACT(CELL("address",X198), "\$([A-Z]+)\$[0-9]+"))</f>
        <v/>
      </c>
    </row>
    <row r="199" spans="2:24" x14ac:dyDescent="0.25">
      <c r="B199" s="7" t="str" cm="1">
        <f t="array" aca="1" ref="B199" ca="1">IFERROR(IF(OR('Raw Data'!B199="",LEN(TRIM('Raw Data'!B199))=0),"",IF(AND(LEN('Raw Data'!B199) &lt;= 50,LEN('Raw Data'!B199)&gt; 0),"",_xlfn.REGEXEXTRACT(CELL("address",'Raw Data'!B199),"\$([A-Z]+)\$[0-9]+"))),_xlfn.REGEXEXTRACT(CELL("address",'Raw Data'!B199),"\$([A-Z]+)\$[0-9]+"))</f>
        <v/>
      </c>
      <c r="C199" s="7" t="str" cm="1">
        <f t="array" aca="1" ref="C199" ca="1">IFERROR(IF(OR('Raw Data'!C199="",LEN(TRIM('Raw Data'!C199))=0),"",IF(AND(LEN('Raw Data'!C199) &lt;= 50,LEN('Raw Data'!C199)&gt; 0),"",_xlfn.REGEXEXTRACT(CELL("address",'Raw Data'!C199),"\$([A-Z]+)\$[0-9]+"))),_xlfn.REGEXEXTRACT(CELL("address",'Raw Data'!C199),"\$([A-Z]+)\$[0-9]+"))</f>
        <v/>
      </c>
      <c r="D199" s="7" t="str" cm="1">
        <f t="array" aca="1" ref="D199" ca="1">IFERROR(IF(OR('Raw Data'!D199="",LEN(TRIM('Raw Data'!D199))=0),"",IF(AND(LEN('Raw Data'!D199) &lt;= 255,LEN('Raw Data'!D199)&gt; 0),"",_xlfn.REGEXEXTRACT(CELL("address",'Raw Data'!D199),"\$([A-Z]+)\$[0-9]+"))),_xlfn.REGEXEXTRACT(CELL("address",'Raw Data'!D199),"\$([A-Z]+)\$[0-9]+"))</f>
        <v/>
      </c>
      <c r="E199" s="7" t="str" cm="1">
        <f t="array" aca="1" ref="E199" ca="1">IFERROR(IF(OR('Raw Data'!E199="",LEN(TRIM('Raw Data'!E199))=0),"",IF(AND(ISNUMBER('Raw Data'!E199),'Raw Data'!E199&gt;=Configuration!$D$2),"",_xlfn.REGEXEXTRACT(CELL("address",'Raw Data'!E199),"\$([A-Z]+)\$[0-9]+"))),_xlfn.REGEXEXTRACT(CELL("address",E199), "\$([A-Z]+)\$[0-9]+"))</f>
        <v/>
      </c>
      <c r="F199" s="7" t="str" cm="1">
        <f t="array" aca="1" ref="F199" ca="1">IFERROR(IF(OR('Raw Data'!F199="",LEN(TRIM('Raw Data'!F199))=0),"",IF(AND(LEN('Raw Data'!F199) &lt;= 20,LEN('Raw Data'!F199)&gt; 0),"",_xlfn.REGEXEXTRACT(CELL("address",'Raw Data'!F199),"\$([A-Z]+)\$[0-9]+"))),_xlfn.REGEXEXTRACT(CELL("address",'Raw Data'!F199),"\$([A-Z]+)\$[0-9]+"))</f>
        <v/>
      </c>
      <c r="G199" s="7" t="str" cm="1">
        <f t="array" aca="1" ref="G199" ca="1">IFERROR(IF(OR('Raw Data'!G199="",LEN(TRIM('Raw Data'!G199))=0),"",IF(AND(ISNUMBER('Raw Data'!G199), IFERROR('Raw Data'!G199 = ROUND('Raw Data'!G199, 2),FALSE)),"",_xlfn.REGEXEXTRACT(CELL("address",G199), "\$([A-Z]+)\$[0-9]+"))),_xlfn.REGEXEXTRACT(CELL("address",G199), "\$([A-Z]+)\$[0-9]+"))</f>
        <v/>
      </c>
      <c r="H199" s="7" t="str" cm="1">
        <f t="array" aca="1" ref="H199" ca="1">IFERROR(IF(OR('Raw Data'!H199="",LEN(TRIM('Raw Data'!H199))=0),"",IF(AND(ISNUMBER('Raw Data'!H199), IFERROR('Raw Data'!H199 = ROUND('Raw Data'!H199, 2),FALSE)),"",_xlfn.REGEXEXTRACT(CELL("address",H199), "\$([A-Z]+)\$[0-9]+"))),_xlfn.REGEXEXTRACT(CELL("address",H199), "\$([A-Z]+)\$[0-9]+"))</f>
        <v/>
      </c>
      <c r="I199" s="7" t="str" cm="1">
        <f t="array" aca="1" ref="I199" ca="1">IFERROR(IF(OR('Raw Data'!I199="",LEN(TRIM('Raw Data'!I199))=0),"",IF(AND(LEN('Raw Data'!I199) &lt;= 50,LEN('Raw Data'!I199)&gt; 0),"",_xlfn.REGEXEXTRACT(CELL("address",'Raw Data'!I199),"\$([A-Z]+)\$[0-9]+"))),_xlfn.REGEXEXTRACT(CELL("address",'Raw Data'!I199),"\$([A-Z]+)\$[0-9]+"))</f>
        <v/>
      </c>
      <c r="J199" s="7" t="str" cm="1">
        <f t="array" aca="1" ref="J199" ca="1">IFERROR(IF(OR('Raw Data'!J199="",LEN(TRIM('Raw Data'!J199))=0),"",IF(AND(ISNUMBER('Raw Data'!J199),'Raw Data'!J199&gt;=Configuration!$D$2),"",_xlfn.REGEXEXTRACT(CELL("address",'Raw Data'!J199),"\$([A-Z]+)\$[0-9]+"))),_xlfn.REGEXEXTRACT(CELL("address",J199), "\$([A-Z]+)\$[0-9]+"))</f>
        <v/>
      </c>
      <c r="K199" s="7" t="str" cm="1">
        <f t="array" aca="1" ref="K199" ca="1">IFERROR(IF(OR('Raw Data'!K199="",LEN(TRIM('Raw Data'!K199))=0),"",IF(AND(ISNUMBER('Raw Data'!K199), IFERROR('Raw Data'!K199 = ROUND('Raw Data'!K199, 2),FALSE)),"",_xlfn.REGEXEXTRACT(CELL("address",K199), "\$([A-Z]+)\$[0-9]+"))),_xlfn.REGEXEXTRACT(CELL("address",K199), "\$([A-Z]+)\$[0-9]+"))</f>
        <v/>
      </c>
      <c r="L199" s="7" t="str" cm="1">
        <f t="array" aca="1" ref="L199" ca="1">IFERROR(IF(OR('Raw Data'!L199="",LEN(TRIM('Raw Data'!L199))=0),"",IF(AND(ISNUMBER('Raw Data'!L199), IFERROR('Raw Data'!L199 = ROUND('Raw Data'!L199, 2),FALSE)),"",_xlfn.REGEXEXTRACT(CELL("address",L199), "\$([A-Z]+)\$[0-9]+"))),_xlfn.REGEXEXTRACT(CELL("address",L199), "\$([A-Z]+)\$[0-9]+"))</f>
        <v/>
      </c>
      <c r="M199" s="7" t="str" cm="1">
        <f t="array" aca="1" ref="M199" ca="1">IFERROR(IF(OR('Raw Data'!M199="",LEN(TRIM('Raw Data'!M199))=0),"",IF(AND(ISNUMBER('Raw Data'!M199), IFERROR('Raw Data'!M199 = ROUND('Raw Data'!M199, 2),FALSE)),"",_xlfn.REGEXEXTRACT(CELL("address",M199), "\$([A-Z]+)\$[0-9]+"))),_xlfn.REGEXEXTRACT(CELL("address",M199), "\$([A-Z]+)\$[0-9]+"))</f>
        <v/>
      </c>
      <c r="N199" s="7" t="str" cm="1">
        <f t="array" aca="1" ref="N199" ca="1">IFERROR(IF(OR('Raw Data'!N199="",LEN(TRIM('Raw Data'!N199))=0),"",IF(AND(ISNUMBER('Raw Data'!N199), IFERROR('Raw Data'!N199 = ROUND('Raw Data'!N199, 2),FALSE)),"",_xlfn.REGEXEXTRACT(CELL("address",N199), "\$([A-Z]+)\$[0-9]+"))),_xlfn.REGEXEXTRACT(CELL("address",N199), "\$([A-Z]+)\$[0-9]+"))</f>
        <v/>
      </c>
      <c r="O199" s="7" t="str" cm="1">
        <f t="array" aca="1" ref="O199" ca="1">IFERROR(IF(OR('Raw Data'!O199="",LEN(TRIM('Raw Data'!O199))=0),"",IF(AND(ISNUMBER('Raw Data'!O199), IFERROR('Raw Data'!O199 = ROUND('Raw Data'!O199, 2),FALSE)),"",_xlfn.REGEXEXTRACT(CELL("address",O199), "\$([A-Z]+)\$[0-9]+"))),_xlfn.REGEXEXTRACT(CELL("address",O199), "\$([A-Z]+)\$[0-9]+"))</f>
        <v/>
      </c>
      <c r="P199" s="7" t="str" cm="1">
        <f t="array" aca="1" ref="P199" ca="1">IFERROR(IF(OR('Raw Data'!P199="",LEN(TRIM('Raw Data'!P199))=0),"",IF(AND(ISNUMBER('Raw Data'!P199),'Raw Data'!P199&gt;=Configuration!$D$2),"",_xlfn.REGEXEXTRACT(CELL("address",'Raw Data'!P199),"\$([A-Z]+)\$[0-9]+"))),_xlfn.REGEXEXTRACT(CELL("address",P199), "\$([A-Z]+)\$[0-9]+"))</f>
        <v/>
      </c>
      <c r="Q199" s="7" t="str" cm="1">
        <f t="array" aca="1" ref="Q199" ca="1">IFERROR(IF(OR('Raw Data'!Q199="",LEN(TRIM('Raw Data'!Q199))=0),"",IF(AND(ISNUMBER('Raw Data'!Q199),'Raw Data'!Q199&gt;=Configuration!$D$2),"",_xlfn.REGEXEXTRACT(CELL("address",'Raw Data'!Q199),"\$([A-Z]+)\$[0-9]+"))),_xlfn.REGEXEXTRACT(CELL("address",Q199), "\$([A-Z]+)\$[0-9]+"))</f>
        <v/>
      </c>
      <c r="R199" s="7" t="str" cm="1">
        <f t="array" aca="1" ref="R199" ca="1">IFERROR(IF(OR('Raw Data'!R199="",LEN(TRIM('Raw Data'!R199))=0),"",IF(AND(ISNUMBER('Raw Data'!R199), IFERROR('Raw Data'!R199 = ROUND('Raw Data'!R199, 2),FALSE)),"",_xlfn.REGEXEXTRACT(CELL("address",R199), "\$([A-Z]+)\$[0-9]+"))),_xlfn.REGEXEXTRACT(CELL("address",R199), "\$([A-Z]+)\$[0-9]+"))</f>
        <v/>
      </c>
      <c r="S199" s="7" t="str" cm="1">
        <f t="array" aca="1" ref="S199" ca="1">IFERROR(IF(OR('Raw Data'!S199="",LEN(TRIM('Raw Data'!S199))=0),"",IF(AND(ISNUMBER('Raw Data'!S199), IFERROR('Raw Data'!S199 = ROUND('Raw Data'!S199, 2),FALSE)),"",_xlfn.REGEXEXTRACT(CELL("address",S199), "\$([A-Z]+)\$[0-9]+"))),_xlfn.REGEXEXTRACT(CELL("address",S199), "\$([A-Z]+)\$[0-9]+"))</f>
        <v/>
      </c>
      <c r="T199" s="7" t="str" cm="1">
        <f t="array" aca="1" ref="T199" ca="1">IFERROR(IF(OR('Raw Data'!T199="",LEN(TRIM('Raw Data'!T199))=0),"",IF(AND(ISNUMBER('Raw Data'!T199), IFERROR('Raw Data'!T199 = ROUND('Raw Data'!T199, 2),FALSE)),"",_xlfn.REGEXEXTRACT(CELL("address",T199), "\$([A-Z]+)\$[0-9]+"))),_xlfn.REGEXEXTRACT(CELL("address",T199), "\$([A-Z]+)\$[0-9]+"))</f>
        <v/>
      </c>
      <c r="U199" s="7" t="str" cm="1">
        <f t="array" aca="1" ref="U199" ca="1">IFERROR(IF(OR('Raw Data'!U199="",LEN(TRIM('Raw Data'!U199))=0),"",IF(AND(LEN('Raw Data'!U199) &lt;= 5,LEN('Raw Data'!U199)&gt; 0),"",_xlfn.REGEXEXTRACT(CELL("address",'Raw Data'!U199),"\$([A-Z]+)\$[0-9]+"))),_xlfn.REGEXEXTRACT(CELL("address",'Raw Data'!U199),"\$([A-Z]+)\$[0-9]+"))</f>
        <v/>
      </c>
      <c r="V199" s="7" t="str" cm="1">
        <f t="array" aca="1" ref="V199" ca="1">IFERROR(IF(OR('Raw Data'!V199="",LEN(TRIM('Raw Data'!V199))=0),"",IF(AND(ISNUMBER('Raw Data'!V199), IFERROR('Raw Data'!V199 = ROUND('Raw Data'!V199, 2),FALSE)),"",_xlfn.REGEXEXTRACT(CELL("address",V199), "\$([A-Z]+)\$[0-9]+"))),_xlfn.REGEXEXTRACT(CELL("address",V199), "\$([A-Z]+)\$[0-9]+"))</f>
        <v/>
      </c>
      <c r="W199" s="7" t="str" cm="1">
        <f t="array" aca="1" ref="W199" ca="1">IFERROR(IF(OR('Raw Data'!W199="",LEN(TRIM('Raw Data'!W199))=0),"",IF(AND(ISNUMBER('Raw Data'!W199), IFERROR('Raw Data'!W199 = ROUND('Raw Data'!W199, 2),FALSE)),"",_xlfn.REGEXEXTRACT(CELL("address",W199), "\$([A-Z]+)\$[0-9]+"))),_xlfn.REGEXEXTRACT(CELL("address",W199), "\$([A-Z]+)\$[0-9]+"))</f>
        <v/>
      </c>
      <c r="X199" s="7" t="str" cm="1">
        <f t="array" aca="1" ref="X199" ca="1">IFERROR(IF(OR('Raw Data'!X199="",LEN(TRIM('Raw Data'!X199))=0),"",IF(AND(ISNUMBER('Raw Data'!X199), IFERROR('Raw Data'!X199 = ROUND('Raw Data'!X199, 2),FALSE)),"",_xlfn.REGEXEXTRACT(CELL("address",X199), "\$([A-Z]+)\$[0-9]+"))),_xlfn.REGEXEXTRACT(CELL("address",X199), "\$([A-Z]+)\$[0-9]+"))</f>
        <v/>
      </c>
    </row>
    <row r="200" spans="2:24" x14ac:dyDescent="0.25">
      <c r="B200" s="7" t="str" cm="1">
        <f t="array" aca="1" ref="B200" ca="1">IFERROR(IF(OR('Raw Data'!B200="",LEN(TRIM('Raw Data'!B200))=0),"",IF(AND(LEN('Raw Data'!B200) &lt;= 50,LEN('Raw Data'!B200)&gt; 0),"",_xlfn.REGEXEXTRACT(CELL("address",'Raw Data'!B200),"\$([A-Z]+)\$[0-9]+"))),_xlfn.REGEXEXTRACT(CELL("address",'Raw Data'!B200),"\$([A-Z]+)\$[0-9]+"))</f>
        <v/>
      </c>
      <c r="C200" s="7" t="str" cm="1">
        <f t="array" aca="1" ref="C200" ca="1">IFERROR(IF(OR('Raw Data'!C200="",LEN(TRIM('Raw Data'!C200))=0),"",IF(AND(LEN('Raw Data'!C200) &lt;= 50,LEN('Raw Data'!C200)&gt; 0),"",_xlfn.REGEXEXTRACT(CELL("address",'Raw Data'!C200),"\$([A-Z]+)\$[0-9]+"))),_xlfn.REGEXEXTRACT(CELL("address",'Raw Data'!C200),"\$([A-Z]+)\$[0-9]+"))</f>
        <v/>
      </c>
      <c r="D200" s="7" t="str" cm="1">
        <f t="array" aca="1" ref="D200" ca="1">IFERROR(IF(OR('Raw Data'!D200="",LEN(TRIM('Raw Data'!D200))=0),"",IF(AND(LEN('Raw Data'!D200) &lt;= 255,LEN('Raw Data'!D200)&gt; 0),"",_xlfn.REGEXEXTRACT(CELL("address",'Raw Data'!D200),"\$([A-Z]+)\$[0-9]+"))),_xlfn.REGEXEXTRACT(CELL("address",'Raw Data'!D200),"\$([A-Z]+)\$[0-9]+"))</f>
        <v/>
      </c>
      <c r="E200" s="7" t="str" cm="1">
        <f t="array" aca="1" ref="E200" ca="1">IFERROR(IF(OR('Raw Data'!E200="",LEN(TRIM('Raw Data'!E200))=0),"",IF(AND(ISNUMBER('Raw Data'!E200),'Raw Data'!E200&gt;=Configuration!$D$2),"",_xlfn.REGEXEXTRACT(CELL("address",'Raw Data'!E200),"\$([A-Z]+)\$[0-9]+"))),_xlfn.REGEXEXTRACT(CELL("address",E200), "\$([A-Z]+)\$[0-9]+"))</f>
        <v/>
      </c>
      <c r="F200" s="7" t="str" cm="1">
        <f t="array" aca="1" ref="F200" ca="1">IFERROR(IF(OR('Raw Data'!F200="",LEN(TRIM('Raw Data'!F200))=0),"",IF(AND(LEN('Raw Data'!F200) &lt;= 20,LEN('Raw Data'!F200)&gt; 0),"",_xlfn.REGEXEXTRACT(CELL("address",'Raw Data'!F200),"\$([A-Z]+)\$[0-9]+"))),_xlfn.REGEXEXTRACT(CELL("address",'Raw Data'!F200),"\$([A-Z]+)\$[0-9]+"))</f>
        <v/>
      </c>
      <c r="G200" s="7" t="str" cm="1">
        <f t="array" aca="1" ref="G200" ca="1">IFERROR(IF(OR('Raw Data'!G200="",LEN(TRIM('Raw Data'!G200))=0),"",IF(AND(ISNUMBER('Raw Data'!G200), IFERROR('Raw Data'!G200 = ROUND('Raw Data'!G200, 2),FALSE)),"",_xlfn.REGEXEXTRACT(CELL("address",G200), "\$([A-Z]+)\$[0-9]+"))),_xlfn.REGEXEXTRACT(CELL("address",G200), "\$([A-Z]+)\$[0-9]+"))</f>
        <v/>
      </c>
      <c r="H200" s="7" t="str" cm="1">
        <f t="array" aca="1" ref="H200" ca="1">IFERROR(IF(OR('Raw Data'!H200="",LEN(TRIM('Raw Data'!H200))=0),"",IF(AND(ISNUMBER('Raw Data'!H200), IFERROR('Raw Data'!H200 = ROUND('Raw Data'!H200, 2),FALSE)),"",_xlfn.REGEXEXTRACT(CELL("address",H200), "\$([A-Z]+)\$[0-9]+"))),_xlfn.REGEXEXTRACT(CELL("address",H200), "\$([A-Z]+)\$[0-9]+"))</f>
        <v/>
      </c>
      <c r="I200" s="7" t="str" cm="1">
        <f t="array" aca="1" ref="I200" ca="1">IFERROR(IF(OR('Raw Data'!I200="",LEN(TRIM('Raw Data'!I200))=0),"",IF(AND(LEN('Raw Data'!I200) &lt;= 50,LEN('Raw Data'!I200)&gt; 0),"",_xlfn.REGEXEXTRACT(CELL("address",'Raw Data'!I200),"\$([A-Z]+)\$[0-9]+"))),_xlfn.REGEXEXTRACT(CELL("address",'Raw Data'!I200),"\$([A-Z]+)\$[0-9]+"))</f>
        <v/>
      </c>
      <c r="J200" s="7" t="str" cm="1">
        <f t="array" aca="1" ref="J200" ca="1">IFERROR(IF(OR('Raw Data'!J200="",LEN(TRIM('Raw Data'!J200))=0),"",IF(AND(ISNUMBER('Raw Data'!J200),'Raw Data'!J200&gt;=Configuration!$D$2),"",_xlfn.REGEXEXTRACT(CELL("address",'Raw Data'!J200),"\$([A-Z]+)\$[0-9]+"))),_xlfn.REGEXEXTRACT(CELL("address",J200), "\$([A-Z]+)\$[0-9]+"))</f>
        <v/>
      </c>
      <c r="K200" s="7" t="str" cm="1">
        <f t="array" aca="1" ref="K200" ca="1">IFERROR(IF(OR('Raw Data'!K200="",LEN(TRIM('Raw Data'!K200))=0),"",IF(AND(ISNUMBER('Raw Data'!K200), IFERROR('Raw Data'!K200 = ROUND('Raw Data'!K200, 2),FALSE)),"",_xlfn.REGEXEXTRACT(CELL("address",K200), "\$([A-Z]+)\$[0-9]+"))),_xlfn.REGEXEXTRACT(CELL("address",K200), "\$([A-Z]+)\$[0-9]+"))</f>
        <v/>
      </c>
      <c r="L200" s="7" t="str" cm="1">
        <f t="array" aca="1" ref="L200" ca="1">IFERROR(IF(OR('Raw Data'!L200="",LEN(TRIM('Raw Data'!L200))=0),"",IF(AND(ISNUMBER('Raw Data'!L200), IFERROR('Raw Data'!L200 = ROUND('Raw Data'!L200, 2),FALSE)),"",_xlfn.REGEXEXTRACT(CELL("address",L200), "\$([A-Z]+)\$[0-9]+"))),_xlfn.REGEXEXTRACT(CELL("address",L200), "\$([A-Z]+)\$[0-9]+"))</f>
        <v/>
      </c>
      <c r="M200" s="7" t="str" cm="1">
        <f t="array" aca="1" ref="M200" ca="1">IFERROR(IF(OR('Raw Data'!M200="",LEN(TRIM('Raw Data'!M200))=0),"",IF(AND(ISNUMBER('Raw Data'!M200), IFERROR('Raw Data'!M200 = ROUND('Raw Data'!M200, 2),FALSE)),"",_xlfn.REGEXEXTRACT(CELL("address",M200), "\$([A-Z]+)\$[0-9]+"))),_xlfn.REGEXEXTRACT(CELL("address",M200), "\$([A-Z]+)\$[0-9]+"))</f>
        <v/>
      </c>
      <c r="N200" s="7" t="str" cm="1">
        <f t="array" aca="1" ref="N200" ca="1">IFERROR(IF(OR('Raw Data'!N200="",LEN(TRIM('Raw Data'!N200))=0),"",IF(AND(ISNUMBER('Raw Data'!N200), IFERROR('Raw Data'!N200 = ROUND('Raw Data'!N200, 2),FALSE)),"",_xlfn.REGEXEXTRACT(CELL("address",N200), "\$([A-Z]+)\$[0-9]+"))),_xlfn.REGEXEXTRACT(CELL("address",N200), "\$([A-Z]+)\$[0-9]+"))</f>
        <v/>
      </c>
      <c r="O200" s="7" t="str" cm="1">
        <f t="array" aca="1" ref="O200" ca="1">IFERROR(IF(OR('Raw Data'!O200="",LEN(TRIM('Raw Data'!O200))=0),"",IF(AND(ISNUMBER('Raw Data'!O200), IFERROR('Raw Data'!O200 = ROUND('Raw Data'!O200, 2),FALSE)),"",_xlfn.REGEXEXTRACT(CELL("address",O200), "\$([A-Z]+)\$[0-9]+"))),_xlfn.REGEXEXTRACT(CELL("address",O200), "\$([A-Z]+)\$[0-9]+"))</f>
        <v/>
      </c>
      <c r="P200" s="7" t="str" cm="1">
        <f t="array" aca="1" ref="P200" ca="1">IFERROR(IF(OR('Raw Data'!P200="",LEN(TRIM('Raw Data'!P200))=0),"",IF(AND(ISNUMBER('Raw Data'!P200),'Raw Data'!P200&gt;=Configuration!$D$2),"",_xlfn.REGEXEXTRACT(CELL("address",'Raw Data'!P200),"\$([A-Z]+)\$[0-9]+"))),_xlfn.REGEXEXTRACT(CELL("address",P200), "\$([A-Z]+)\$[0-9]+"))</f>
        <v/>
      </c>
      <c r="Q200" s="7" t="str" cm="1">
        <f t="array" aca="1" ref="Q200" ca="1">IFERROR(IF(OR('Raw Data'!Q200="",LEN(TRIM('Raw Data'!Q200))=0),"",IF(AND(ISNUMBER('Raw Data'!Q200),'Raw Data'!Q200&gt;=Configuration!$D$2),"",_xlfn.REGEXEXTRACT(CELL("address",'Raw Data'!Q200),"\$([A-Z]+)\$[0-9]+"))),_xlfn.REGEXEXTRACT(CELL("address",Q200), "\$([A-Z]+)\$[0-9]+"))</f>
        <v/>
      </c>
      <c r="R200" s="7" t="str" cm="1">
        <f t="array" aca="1" ref="R200" ca="1">IFERROR(IF(OR('Raw Data'!R200="",LEN(TRIM('Raw Data'!R200))=0),"",IF(AND(ISNUMBER('Raw Data'!R200), IFERROR('Raw Data'!R200 = ROUND('Raw Data'!R200, 2),FALSE)),"",_xlfn.REGEXEXTRACT(CELL("address",R200), "\$([A-Z]+)\$[0-9]+"))),_xlfn.REGEXEXTRACT(CELL("address",R200), "\$([A-Z]+)\$[0-9]+"))</f>
        <v/>
      </c>
      <c r="S200" s="7" t="str" cm="1">
        <f t="array" aca="1" ref="S200" ca="1">IFERROR(IF(OR('Raw Data'!S200="",LEN(TRIM('Raw Data'!S200))=0),"",IF(AND(ISNUMBER('Raw Data'!S200), IFERROR('Raw Data'!S200 = ROUND('Raw Data'!S200, 2),FALSE)),"",_xlfn.REGEXEXTRACT(CELL("address",S200), "\$([A-Z]+)\$[0-9]+"))),_xlfn.REGEXEXTRACT(CELL("address",S200), "\$([A-Z]+)\$[0-9]+"))</f>
        <v/>
      </c>
      <c r="T200" s="7" t="str" cm="1">
        <f t="array" aca="1" ref="T200" ca="1">IFERROR(IF(OR('Raw Data'!T200="",LEN(TRIM('Raw Data'!T200))=0),"",IF(AND(ISNUMBER('Raw Data'!T200), IFERROR('Raw Data'!T200 = ROUND('Raw Data'!T200, 2),FALSE)),"",_xlfn.REGEXEXTRACT(CELL("address",T200), "\$([A-Z]+)\$[0-9]+"))),_xlfn.REGEXEXTRACT(CELL("address",T200), "\$([A-Z]+)\$[0-9]+"))</f>
        <v/>
      </c>
      <c r="U200" s="7" t="str" cm="1">
        <f t="array" aca="1" ref="U200" ca="1">IFERROR(IF(OR('Raw Data'!U200="",LEN(TRIM('Raw Data'!U200))=0),"",IF(AND(LEN('Raw Data'!U200) &lt;= 5,LEN('Raw Data'!U200)&gt; 0),"",_xlfn.REGEXEXTRACT(CELL("address",'Raw Data'!U200),"\$([A-Z]+)\$[0-9]+"))),_xlfn.REGEXEXTRACT(CELL("address",'Raw Data'!U200),"\$([A-Z]+)\$[0-9]+"))</f>
        <v/>
      </c>
      <c r="V200" s="7" t="str" cm="1">
        <f t="array" aca="1" ref="V200" ca="1">IFERROR(IF(OR('Raw Data'!V200="",LEN(TRIM('Raw Data'!V200))=0),"",IF(AND(ISNUMBER('Raw Data'!V200), IFERROR('Raw Data'!V200 = ROUND('Raw Data'!V200, 2),FALSE)),"",_xlfn.REGEXEXTRACT(CELL("address",V200), "\$([A-Z]+)\$[0-9]+"))),_xlfn.REGEXEXTRACT(CELL("address",V200), "\$([A-Z]+)\$[0-9]+"))</f>
        <v/>
      </c>
      <c r="W200" s="7" t="str" cm="1">
        <f t="array" aca="1" ref="W200" ca="1">IFERROR(IF(OR('Raw Data'!W200="",LEN(TRIM('Raw Data'!W200))=0),"",IF(AND(ISNUMBER('Raw Data'!W200), IFERROR('Raw Data'!W200 = ROUND('Raw Data'!W200, 2),FALSE)),"",_xlfn.REGEXEXTRACT(CELL("address",W200), "\$([A-Z]+)\$[0-9]+"))),_xlfn.REGEXEXTRACT(CELL("address",W200), "\$([A-Z]+)\$[0-9]+"))</f>
        <v/>
      </c>
      <c r="X200" s="7" t="str" cm="1">
        <f t="array" aca="1" ref="X200" ca="1">IFERROR(IF(OR('Raw Data'!X200="",LEN(TRIM('Raw Data'!X200))=0),"",IF(AND(ISNUMBER('Raw Data'!X200), IFERROR('Raw Data'!X200 = ROUND('Raw Data'!X200, 2),FALSE)),"",_xlfn.REGEXEXTRACT(CELL("address",X200), "\$([A-Z]+)\$[0-9]+"))),_xlfn.REGEXEXTRACT(CELL("address",X200), "\$([A-Z]+)\$[0-9]+"))</f>
        <v/>
      </c>
    </row>
    <row r="201" spans="2:24" x14ac:dyDescent="0.25">
      <c r="B201" s="7" t="str" cm="1">
        <f t="array" aca="1" ref="B201" ca="1">IFERROR(IF(OR('Raw Data'!B201="",LEN(TRIM('Raw Data'!B201))=0),"",IF(AND(LEN('Raw Data'!B201) &lt;= 50,LEN('Raw Data'!B201)&gt; 0),"",_xlfn.REGEXEXTRACT(CELL("address",'Raw Data'!B201),"\$([A-Z]+)\$[0-9]+"))),_xlfn.REGEXEXTRACT(CELL("address",'Raw Data'!B201),"\$([A-Z]+)\$[0-9]+"))</f>
        <v/>
      </c>
      <c r="C201" s="7" t="str" cm="1">
        <f t="array" aca="1" ref="C201" ca="1">IFERROR(IF(OR('Raw Data'!C201="",LEN(TRIM('Raw Data'!C201))=0),"",IF(AND(LEN('Raw Data'!C201) &lt;= 50,LEN('Raw Data'!C201)&gt; 0),"",_xlfn.REGEXEXTRACT(CELL("address",'Raw Data'!C201),"\$([A-Z]+)\$[0-9]+"))),_xlfn.REGEXEXTRACT(CELL("address",'Raw Data'!C201),"\$([A-Z]+)\$[0-9]+"))</f>
        <v/>
      </c>
      <c r="D201" s="7" t="str" cm="1">
        <f t="array" aca="1" ref="D201" ca="1">IFERROR(IF(OR('Raw Data'!D201="",LEN(TRIM('Raw Data'!D201))=0),"",IF(AND(LEN('Raw Data'!D201) &lt;= 255,LEN('Raw Data'!D201)&gt; 0),"",_xlfn.REGEXEXTRACT(CELL("address",'Raw Data'!D201),"\$([A-Z]+)\$[0-9]+"))),_xlfn.REGEXEXTRACT(CELL("address",'Raw Data'!D201),"\$([A-Z]+)\$[0-9]+"))</f>
        <v/>
      </c>
      <c r="E201" s="7" t="str" cm="1">
        <f t="array" aca="1" ref="E201" ca="1">IFERROR(IF(OR('Raw Data'!E201="",LEN(TRIM('Raw Data'!E201))=0),"",IF(AND(ISNUMBER('Raw Data'!E201),'Raw Data'!E201&gt;=Configuration!$D$2),"",_xlfn.REGEXEXTRACT(CELL("address",'Raw Data'!E201),"\$([A-Z]+)\$[0-9]+"))),_xlfn.REGEXEXTRACT(CELL("address",E201), "\$([A-Z]+)\$[0-9]+"))</f>
        <v/>
      </c>
      <c r="F201" s="7" t="str" cm="1">
        <f t="array" aca="1" ref="F201" ca="1">IFERROR(IF(OR('Raw Data'!F201="",LEN(TRIM('Raw Data'!F201))=0),"",IF(AND(LEN('Raw Data'!F201) &lt;= 20,LEN('Raw Data'!F201)&gt; 0),"",_xlfn.REGEXEXTRACT(CELL("address",'Raw Data'!F201),"\$([A-Z]+)\$[0-9]+"))),_xlfn.REGEXEXTRACT(CELL("address",'Raw Data'!F201),"\$([A-Z]+)\$[0-9]+"))</f>
        <v/>
      </c>
      <c r="G201" s="7" t="str" cm="1">
        <f t="array" aca="1" ref="G201" ca="1">IFERROR(IF(OR('Raw Data'!G201="",LEN(TRIM('Raw Data'!G201))=0),"",IF(AND(ISNUMBER('Raw Data'!G201), IFERROR('Raw Data'!G201 = ROUND('Raw Data'!G201, 2),FALSE)),"",_xlfn.REGEXEXTRACT(CELL("address",G201), "\$([A-Z]+)\$[0-9]+"))),_xlfn.REGEXEXTRACT(CELL("address",G201), "\$([A-Z]+)\$[0-9]+"))</f>
        <v/>
      </c>
      <c r="H201" s="7" t="str" cm="1">
        <f t="array" aca="1" ref="H201" ca="1">IFERROR(IF(OR('Raw Data'!H201="",LEN(TRIM('Raw Data'!H201))=0),"",IF(AND(ISNUMBER('Raw Data'!H201), IFERROR('Raw Data'!H201 = ROUND('Raw Data'!H201, 2),FALSE)),"",_xlfn.REGEXEXTRACT(CELL("address",H201), "\$([A-Z]+)\$[0-9]+"))),_xlfn.REGEXEXTRACT(CELL("address",H201), "\$([A-Z]+)\$[0-9]+"))</f>
        <v/>
      </c>
      <c r="I201" s="7" t="str" cm="1">
        <f t="array" aca="1" ref="I201" ca="1">IFERROR(IF(OR('Raw Data'!I201="",LEN(TRIM('Raw Data'!I201))=0),"",IF(AND(LEN('Raw Data'!I201) &lt;= 50,LEN('Raw Data'!I201)&gt; 0),"",_xlfn.REGEXEXTRACT(CELL("address",'Raw Data'!I201),"\$([A-Z]+)\$[0-9]+"))),_xlfn.REGEXEXTRACT(CELL("address",'Raw Data'!I201),"\$([A-Z]+)\$[0-9]+"))</f>
        <v/>
      </c>
      <c r="J201" s="7" t="str" cm="1">
        <f t="array" aca="1" ref="J201" ca="1">IFERROR(IF(OR('Raw Data'!J201="",LEN(TRIM('Raw Data'!J201))=0),"",IF(AND(ISNUMBER('Raw Data'!J201),'Raw Data'!J201&gt;=Configuration!$D$2),"",_xlfn.REGEXEXTRACT(CELL("address",'Raw Data'!J201),"\$([A-Z]+)\$[0-9]+"))),_xlfn.REGEXEXTRACT(CELL("address",J201), "\$([A-Z]+)\$[0-9]+"))</f>
        <v/>
      </c>
      <c r="K201" s="7" t="str" cm="1">
        <f t="array" aca="1" ref="K201" ca="1">IFERROR(IF(OR('Raw Data'!K201="",LEN(TRIM('Raw Data'!K201))=0),"",IF(AND(ISNUMBER('Raw Data'!K201), IFERROR('Raw Data'!K201 = ROUND('Raw Data'!K201, 2),FALSE)),"",_xlfn.REGEXEXTRACT(CELL("address",K201), "\$([A-Z]+)\$[0-9]+"))),_xlfn.REGEXEXTRACT(CELL("address",K201), "\$([A-Z]+)\$[0-9]+"))</f>
        <v/>
      </c>
      <c r="L201" s="7" t="str" cm="1">
        <f t="array" aca="1" ref="L201" ca="1">IFERROR(IF(OR('Raw Data'!L201="",LEN(TRIM('Raw Data'!L201))=0),"",IF(AND(ISNUMBER('Raw Data'!L201), IFERROR('Raw Data'!L201 = ROUND('Raw Data'!L201, 2),FALSE)),"",_xlfn.REGEXEXTRACT(CELL("address",L201), "\$([A-Z]+)\$[0-9]+"))),_xlfn.REGEXEXTRACT(CELL("address",L201), "\$([A-Z]+)\$[0-9]+"))</f>
        <v/>
      </c>
      <c r="M201" s="7" t="str" cm="1">
        <f t="array" aca="1" ref="M201" ca="1">IFERROR(IF(OR('Raw Data'!M201="",LEN(TRIM('Raw Data'!M201))=0),"",IF(AND(ISNUMBER('Raw Data'!M201), IFERROR('Raw Data'!M201 = ROUND('Raw Data'!M201, 2),FALSE)),"",_xlfn.REGEXEXTRACT(CELL("address",M201), "\$([A-Z]+)\$[0-9]+"))),_xlfn.REGEXEXTRACT(CELL("address",M201), "\$([A-Z]+)\$[0-9]+"))</f>
        <v/>
      </c>
      <c r="N201" s="7" t="str" cm="1">
        <f t="array" aca="1" ref="N201" ca="1">IFERROR(IF(OR('Raw Data'!N201="",LEN(TRIM('Raw Data'!N201))=0),"",IF(AND(ISNUMBER('Raw Data'!N201), IFERROR('Raw Data'!N201 = ROUND('Raw Data'!N201, 2),FALSE)),"",_xlfn.REGEXEXTRACT(CELL("address",N201), "\$([A-Z]+)\$[0-9]+"))),_xlfn.REGEXEXTRACT(CELL("address",N201), "\$([A-Z]+)\$[0-9]+"))</f>
        <v/>
      </c>
      <c r="O201" s="7" t="str" cm="1">
        <f t="array" aca="1" ref="O201" ca="1">IFERROR(IF(OR('Raw Data'!O201="",LEN(TRIM('Raw Data'!O201))=0),"",IF(AND(ISNUMBER('Raw Data'!O201), IFERROR('Raw Data'!O201 = ROUND('Raw Data'!O201, 2),FALSE)),"",_xlfn.REGEXEXTRACT(CELL("address",O201), "\$([A-Z]+)\$[0-9]+"))),_xlfn.REGEXEXTRACT(CELL("address",O201), "\$([A-Z]+)\$[0-9]+"))</f>
        <v/>
      </c>
      <c r="P201" s="7" t="str" cm="1">
        <f t="array" aca="1" ref="P201" ca="1">IFERROR(IF(OR('Raw Data'!P201="",LEN(TRIM('Raw Data'!P201))=0),"",IF(AND(ISNUMBER('Raw Data'!P201),'Raw Data'!P201&gt;=Configuration!$D$2),"",_xlfn.REGEXEXTRACT(CELL("address",'Raw Data'!P201),"\$([A-Z]+)\$[0-9]+"))),_xlfn.REGEXEXTRACT(CELL("address",P201), "\$([A-Z]+)\$[0-9]+"))</f>
        <v/>
      </c>
      <c r="Q201" s="7" t="str" cm="1">
        <f t="array" aca="1" ref="Q201" ca="1">IFERROR(IF(OR('Raw Data'!Q201="",LEN(TRIM('Raw Data'!Q201))=0),"",IF(AND(ISNUMBER('Raw Data'!Q201),'Raw Data'!Q201&gt;=Configuration!$D$2),"",_xlfn.REGEXEXTRACT(CELL("address",'Raw Data'!Q201),"\$([A-Z]+)\$[0-9]+"))),_xlfn.REGEXEXTRACT(CELL("address",Q201), "\$([A-Z]+)\$[0-9]+"))</f>
        <v/>
      </c>
      <c r="R201" s="7" t="str" cm="1">
        <f t="array" aca="1" ref="R201" ca="1">IFERROR(IF(OR('Raw Data'!R201="",LEN(TRIM('Raw Data'!R201))=0),"",IF(AND(ISNUMBER('Raw Data'!R201), IFERROR('Raw Data'!R201 = ROUND('Raw Data'!R201, 2),FALSE)),"",_xlfn.REGEXEXTRACT(CELL("address",R201), "\$([A-Z]+)\$[0-9]+"))),_xlfn.REGEXEXTRACT(CELL("address",R201), "\$([A-Z]+)\$[0-9]+"))</f>
        <v/>
      </c>
      <c r="S201" s="7" t="str" cm="1">
        <f t="array" aca="1" ref="S201" ca="1">IFERROR(IF(OR('Raw Data'!S201="",LEN(TRIM('Raw Data'!S201))=0),"",IF(AND(ISNUMBER('Raw Data'!S201), IFERROR('Raw Data'!S201 = ROUND('Raw Data'!S201, 2),FALSE)),"",_xlfn.REGEXEXTRACT(CELL("address",S201), "\$([A-Z]+)\$[0-9]+"))),_xlfn.REGEXEXTRACT(CELL("address",S201), "\$([A-Z]+)\$[0-9]+"))</f>
        <v/>
      </c>
      <c r="T201" s="7" t="str" cm="1">
        <f t="array" aca="1" ref="T201" ca="1">IFERROR(IF(OR('Raw Data'!T201="",LEN(TRIM('Raw Data'!T201))=0),"",IF(AND(ISNUMBER('Raw Data'!T201), IFERROR('Raw Data'!T201 = ROUND('Raw Data'!T201, 2),FALSE)),"",_xlfn.REGEXEXTRACT(CELL("address",T201), "\$([A-Z]+)\$[0-9]+"))),_xlfn.REGEXEXTRACT(CELL("address",T201), "\$([A-Z]+)\$[0-9]+"))</f>
        <v/>
      </c>
      <c r="U201" s="7" t="str" cm="1">
        <f t="array" aca="1" ref="U201" ca="1">IFERROR(IF(OR('Raw Data'!U201="",LEN(TRIM('Raw Data'!U201))=0),"",IF(AND(LEN('Raw Data'!U201) &lt;= 5,LEN('Raw Data'!U201)&gt; 0),"",_xlfn.REGEXEXTRACT(CELL("address",'Raw Data'!U201),"\$([A-Z]+)\$[0-9]+"))),_xlfn.REGEXEXTRACT(CELL("address",'Raw Data'!U201),"\$([A-Z]+)\$[0-9]+"))</f>
        <v/>
      </c>
      <c r="V201" s="7" t="str" cm="1">
        <f t="array" aca="1" ref="V201" ca="1">IFERROR(IF(OR('Raw Data'!V201="",LEN(TRIM('Raw Data'!V201))=0),"",IF(AND(ISNUMBER('Raw Data'!V201), IFERROR('Raw Data'!V201 = ROUND('Raw Data'!V201, 2),FALSE)),"",_xlfn.REGEXEXTRACT(CELL("address",V201), "\$([A-Z]+)\$[0-9]+"))),_xlfn.REGEXEXTRACT(CELL("address",V201), "\$([A-Z]+)\$[0-9]+"))</f>
        <v/>
      </c>
      <c r="W201" s="7" t="str" cm="1">
        <f t="array" aca="1" ref="W201" ca="1">IFERROR(IF(OR('Raw Data'!W201="",LEN(TRIM('Raw Data'!W201))=0),"",IF(AND(ISNUMBER('Raw Data'!W201), IFERROR('Raw Data'!W201 = ROUND('Raw Data'!W201, 2),FALSE)),"",_xlfn.REGEXEXTRACT(CELL("address",W201), "\$([A-Z]+)\$[0-9]+"))),_xlfn.REGEXEXTRACT(CELL("address",W201), "\$([A-Z]+)\$[0-9]+"))</f>
        <v/>
      </c>
      <c r="X201" s="7" t="str" cm="1">
        <f t="array" aca="1" ref="X201" ca="1">IFERROR(IF(OR('Raw Data'!X201="",LEN(TRIM('Raw Data'!X201))=0),"",IF(AND(ISNUMBER('Raw Data'!X201), IFERROR('Raw Data'!X201 = ROUND('Raw Data'!X201, 2),FALSE)),"",_xlfn.REGEXEXTRACT(CELL("address",X201), "\$([A-Z]+)\$[0-9]+"))),_xlfn.REGEXEXTRACT(CELL("address",X201), "\$([A-Z]+)\$[0-9]+"))</f>
        <v/>
      </c>
    </row>
    <row r="202" spans="2:24" x14ac:dyDescent="0.25">
      <c r="B202" s="7" t="str" cm="1">
        <f t="array" aca="1" ref="B202" ca="1">IFERROR(IF(OR('Raw Data'!B202="",LEN(TRIM('Raw Data'!B202))=0),"",IF(AND(LEN('Raw Data'!B202) &lt;= 50,LEN('Raw Data'!B202)&gt; 0),"",_xlfn.REGEXEXTRACT(CELL("address",'Raw Data'!B202),"\$([A-Z]+)\$[0-9]+"))),_xlfn.REGEXEXTRACT(CELL("address",'Raw Data'!B202),"\$([A-Z]+)\$[0-9]+"))</f>
        <v/>
      </c>
      <c r="C202" s="7" t="str" cm="1">
        <f t="array" aca="1" ref="C202" ca="1">IFERROR(IF(OR('Raw Data'!C202="",LEN(TRIM('Raw Data'!C202))=0),"",IF(AND(LEN('Raw Data'!C202) &lt;= 50,LEN('Raw Data'!C202)&gt; 0),"",_xlfn.REGEXEXTRACT(CELL("address",'Raw Data'!C202),"\$([A-Z]+)\$[0-9]+"))),_xlfn.REGEXEXTRACT(CELL("address",'Raw Data'!C202),"\$([A-Z]+)\$[0-9]+"))</f>
        <v/>
      </c>
      <c r="D202" s="7" t="str" cm="1">
        <f t="array" aca="1" ref="D202" ca="1">IFERROR(IF(OR('Raw Data'!D202="",LEN(TRIM('Raw Data'!D202))=0),"",IF(AND(LEN('Raw Data'!D202) &lt;= 255,LEN('Raw Data'!D202)&gt; 0),"",_xlfn.REGEXEXTRACT(CELL("address",'Raw Data'!D202),"\$([A-Z]+)\$[0-9]+"))),_xlfn.REGEXEXTRACT(CELL("address",'Raw Data'!D202),"\$([A-Z]+)\$[0-9]+"))</f>
        <v/>
      </c>
      <c r="E202" s="7" t="str" cm="1">
        <f t="array" aca="1" ref="E202" ca="1">IFERROR(IF(OR('Raw Data'!E202="",LEN(TRIM('Raw Data'!E202))=0),"",IF(AND(ISNUMBER('Raw Data'!E202),'Raw Data'!E202&gt;=Configuration!$D$2),"",_xlfn.REGEXEXTRACT(CELL("address",'Raw Data'!E202),"\$([A-Z]+)\$[0-9]+"))),_xlfn.REGEXEXTRACT(CELL("address",E202), "\$([A-Z]+)\$[0-9]+"))</f>
        <v/>
      </c>
      <c r="F202" s="7" t="str" cm="1">
        <f t="array" aca="1" ref="F202" ca="1">IFERROR(IF(OR('Raw Data'!F202="",LEN(TRIM('Raw Data'!F202))=0),"",IF(AND(LEN('Raw Data'!F202) &lt;= 20,LEN('Raw Data'!F202)&gt; 0),"",_xlfn.REGEXEXTRACT(CELL("address",'Raw Data'!F202),"\$([A-Z]+)\$[0-9]+"))),_xlfn.REGEXEXTRACT(CELL("address",'Raw Data'!F202),"\$([A-Z]+)\$[0-9]+"))</f>
        <v/>
      </c>
      <c r="G202" s="7" t="str" cm="1">
        <f t="array" aca="1" ref="G202" ca="1">IFERROR(IF(OR('Raw Data'!G202="",LEN(TRIM('Raw Data'!G202))=0),"",IF(AND(ISNUMBER('Raw Data'!G202), IFERROR('Raw Data'!G202 = ROUND('Raw Data'!G202, 2),FALSE)),"",_xlfn.REGEXEXTRACT(CELL("address",G202), "\$([A-Z]+)\$[0-9]+"))),_xlfn.REGEXEXTRACT(CELL("address",G202), "\$([A-Z]+)\$[0-9]+"))</f>
        <v/>
      </c>
      <c r="H202" s="7" t="str" cm="1">
        <f t="array" aca="1" ref="H202" ca="1">IFERROR(IF(OR('Raw Data'!H202="",LEN(TRIM('Raw Data'!H202))=0),"",IF(AND(ISNUMBER('Raw Data'!H202), IFERROR('Raw Data'!H202 = ROUND('Raw Data'!H202, 2),FALSE)),"",_xlfn.REGEXEXTRACT(CELL("address",H202), "\$([A-Z]+)\$[0-9]+"))),_xlfn.REGEXEXTRACT(CELL("address",H202), "\$([A-Z]+)\$[0-9]+"))</f>
        <v/>
      </c>
      <c r="I202" s="7" t="str" cm="1">
        <f t="array" aca="1" ref="I202" ca="1">IFERROR(IF(OR('Raw Data'!I202="",LEN(TRIM('Raw Data'!I202))=0),"",IF(AND(LEN('Raw Data'!I202) &lt;= 50,LEN('Raw Data'!I202)&gt; 0),"",_xlfn.REGEXEXTRACT(CELL("address",'Raw Data'!I202),"\$([A-Z]+)\$[0-9]+"))),_xlfn.REGEXEXTRACT(CELL("address",'Raw Data'!I202),"\$([A-Z]+)\$[0-9]+"))</f>
        <v/>
      </c>
      <c r="J202" s="7" t="str" cm="1">
        <f t="array" aca="1" ref="J202" ca="1">IFERROR(IF(OR('Raw Data'!J202="",LEN(TRIM('Raw Data'!J202))=0),"",IF(AND(ISNUMBER('Raw Data'!J202),'Raw Data'!J202&gt;=Configuration!$D$2),"",_xlfn.REGEXEXTRACT(CELL("address",'Raw Data'!J202),"\$([A-Z]+)\$[0-9]+"))),_xlfn.REGEXEXTRACT(CELL("address",J202), "\$([A-Z]+)\$[0-9]+"))</f>
        <v/>
      </c>
      <c r="K202" s="7" t="str" cm="1">
        <f t="array" aca="1" ref="K202" ca="1">IFERROR(IF(OR('Raw Data'!K202="",LEN(TRIM('Raw Data'!K202))=0),"",IF(AND(ISNUMBER('Raw Data'!K202), IFERROR('Raw Data'!K202 = ROUND('Raw Data'!K202, 2),FALSE)),"",_xlfn.REGEXEXTRACT(CELL("address",K202), "\$([A-Z]+)\$[0-9]+"))),_xlfn.REGEXEXTRACT(CELL("address",K202), "\$([A-Z]+)\$[0-9]+"))</f>
        <v/>
      </c>
      <c r="L202" s="7" t="str" cm="1">
        <f t="array" aca="1" ref="L202" ca="1">IFERROR(IF(OR('Raw Data'!L202="",LEN(TRIM('Raw Data'!L202))=0),"",IF(AND(ISNUMBER('Raw Data'!L202), IFERROR('Raw Data'!L202 = ROUND('Raw Data'!L202, 2),FALSE)),"",_xlfn.REGEXEXTRACT(CELL("address",L202), "\$([A-Z]+)\$[0-9]+"))),_xlfn.REGEXEXTRACT(CELL("address",L202), "\$([A-Z]+)\$[0-9]+"))</f>
        <v/>
      </c>
      <c r="M202" s="7" t="str" cm="1">
        <f t="array" aca="1" ref="M202" ca="1">IFERROR(IF(OR('Raw Data'!M202="",LEN(TRIM('Raw Data'!M202))=0),"",IF(AND(ISNUMBER('Raw Data'!M202), IFERROR('Raw Data'!M202 = ROUND('Raw Data'!M202, 2),FALSE)),"",_xlfn.REGEXEXTRACT(CELL("address",M202), "\$([A-Z]+)\$[0-9]+"))),_xlfn.REGEXEXTRACT(CELL("address",M202), "\$([A-Z]+)\$[0-9]+"))</f>
        <v/>
      </c>
      <c r="N202" s="7" t="str" cm="1">
        <f t="array" aca="1" ref="N202" ca="1">IFERROR(IF(OR('Raw Data'!N202="",LEN(TRIM('Raw Data'!N202))=0),"",IF(AND(ISNUMBER('Raw Data'!N202), IFERROR('Raw Data'!N202 = ROUND('Raw Data'!N202, 2),FALSE)),"",_xlfn.REGEXEXTRACT(CELL("address",N202), "\$([A-Z]+)\$[0-9]+"))),_xlfn.REGEXEXTRACT(CELL("address",N202), "\$([A-Z]+)\$[0-9]+"))</f>
        <v/>
      </c>
      <c r="O202" s="7" t="str" cm="1">
        <f t="array" aca="1" ref="O202" ca="1">IFERROR(IF(OR('Raw Data'!O202="",LEN(TRIM('Raw Data'!O202))=0),"",IF(AND(ISNUMBER('Raw Data'!O202), IFERROR('Raw Data'!O202 = ROUND('Raw Data'!O202, 2),FALSE)),"",_xlfn.REGEXEXTRACT(CELL("address",O202), "\$([A-Z]+)\$[0-9]+"))),_xlfn.REGEXEXTRACT(CELL("address",O202), "\$([A-Z]+)\$[0-9]+"))</f>
        <v/>
      </c>
      <c r="P202" s="7" t="str" cm="1">
        <f t="array" aca="1" ref="P202" ca="1">IFERROR(IF(OR('Raw Data'!P202="",LEN(TRIM('Raw Data'!P202))=0),"",IF(AND(ISNUMBER('Raw Data'!P202),'Raw Data'!P202&gt;=Configuration!$D$2),"",_xlfn.REGEXEXTRACT(CELL("address",'Raw Data'!P202),"\$([A-Z]+)\$[0-9]+"))),_xlfn.REGEXEXTRACT(CELL("address",P202), "\$([A-Z]+)\$[0-9]+"))</f>
        <v/>
      </c>
      <c r="Q202" s="7" t="str" cm="1">
        <f t="array" aca="1" ref="Q202" ca="1">IFERROR(IF(OR('Raw Data'!Q202="",LEN(TRIM('Raw Data'!Q202))=0),"",IF(AND(ISNUMBER('Raw Data'!Q202),'Raw Data'!Q202&gt;=Configuration!$D$2),"",_xlfn.REGEXEXTRACT(CELL("address",'Raw Data'!Q202),"\$([A-Z]+)\$[0-9]+"))),_xlfn.REGEXEXTRACT(CELL("address",Q202), "\$([A-Z]+)\$[0-9]+"))</f>
        <v/>
      </c>
      <c r="R202" s="7" t="str" cm="1">
        <f t="array" aca="1" ref="R202" ca="1">IFERROR(IF(OR('Raw Data'!R202="",LEN(TRIM('Raw Data'!R202))=0),"",IF(AND(ISNUMBER('Raw Data'!R202), IFERROR('Raw Data'!R202 = ROUND('Raw Data'!R202, 2),FALSE)),"",_xlfn.REGEXEXTRACT(CELL("address",R202), "\$([A-Z]+)\$[0-9]+"))),_xlfn.REGEXEXTRACT(CELL("address",R202), "\$([A-Z]+)\$[0-9]+"))</f>
        <v/>
      </c>
      <c r="S202" s="7" t="str" cm="1">
        <f t="array" aca="1" ref="S202" ca="1">IFERROR(IF(OR('Raw Data'!S202="",LEN(TRIM('Raw Data'!S202))=0),"",IF(AND(ISNUMBER('Raw Data'!S202), IFERROR('Raw Data'!S202 = ROUND('Raw Data'!S202, 2),FALSE)),"",_xlfn.REGEXEXTRACT(CELL("address",S202), "\$([A-Z]+)\$[0-9]+"))),_xlfn.REGEXEXTRACT(CELL("address",S202), "\$([A-Z]+)\$[0-9]+"))</f>
        <v/>
      </c>
      <c r="T202" s="7" t="str" cm="1">
        <f t="array" aca="1" ref="T202" ca="1">IFERROR(IF(OR('Raw Data'!T202="",LEN(TRIM('Raw Data'!T202))=0),"",IF(AND(ISNUMBER('Raw Data'!T202), IFERROR('Raw Data'!T202 = ROUND('Raw Data'!T202, 2),FALSE)),"",_xlfn.REGEXEXTRACT(CELL("address",T202), "\$([A-Z]+)\$[0-9]+"))),_xlfn.REGEXEXTRACT(CELL("address",T202), "\$([A-Z]+)\$[0-9]+"))</f>
        <v/>
      </c>
      <c r="U202" s="7" t="str" cm="1">
        <f t="array" aca="1" ref="U202" ca="1">IFERROR(IF(OR('Raw Data'!U202="",LEN(TRIM('Raw Data'!U202))=0),"",IF(AND(LEN('Raw Data'!U202) &lt;= 5,LEN('Raw Data'!U202)&gt; 0),"",_xlfn.REGEXEXTRACT(CELL("address",'Raw Data'!U202),"\$([A-Z]+)\$[0-9]+"))),_xlfn.REGEXEXTRACT(CELL("address",'Raw Data'!U202),"\$([A-Z]+)\$[0-9]+"))</f>
        <v/>
      </c>
      <c r="V202" s="7" t="str" cm="1">
        <f t="array" aca="1" ref="V202" ca="1">IFERROR(IF(OR('Raw Data'!V202="",LEN(TRIM('Raw Data'!V202))=0),"",IF(AND(ISNUMBER('Raw Data'!V202), IFERROR('Raw Data'!V202 = ROUND('Raw Data'!V202, 2),FALSE)),"",_xlfn.REGEXEXTRACT(CELL("address",V202), "\$([A-Z]+)\$[0-9]+"))),_xlfn.REGEXEXTRACT(CELL("address",V202), "\$([A-Z]+)\$[0-9]+"))</f>
        <v/>
      </c>
      <c r="W202" s="7" t="str" cm="1">
        <f t="array" aca="1" ref="W202" ca="1">IFERROR(IF(OR('Raw Data'!W202="",LEN(TRIM('Raw Data'!W202))=0),"",IF(AND(ISNUMBER('Raw Data'!W202), IFERROR('Raw Data'!W202 = ROUND('Raw Data'!W202, 2),FALSE)),"",_xlfn.REGEXEXTRACT(CELL("address",W202), "\$([A-Z]+)\$[0-9]+"))),_xlfn.REGEXEXTRACT(CELL("address",W202), "\$([A-Z]+)\$[0-9]+"))</f>
        <v/>
      </c>
      <c r="X202" s="7" t="str" cm="1">
        <f t="array" aca="1" ref="X202" ca="1">IFERROR(IF(OR('Raw Data'!X202="",LEN(TRIM('Raw Data'!X202))=0),"",IF(AND(ISNUMBER('Raw Data'!X202), IFERROR('Raw Data'!X202 = ROUND('Raw Data'!X202, 2),FALSE)),"",_xlfn.REGEXEXTRACT(CELL("address",X202), "\$([A-Z]+)\$[0-9]+"))),_xlfn.REGEXEXTRACT(CELL("address",X202), "\$([A-Z]+)\$[0-9]+"))</f>
        <v/>
      </c>
    </row>
    <row r="203" spans="2:24" x14ac:dyDescent="0.25">
      <c r="B203" s="7" t="str" cm="1">
        <f t="array" aca="1" ref="B203" ca="1">IFERROR(IF(OR('Raw Data'!B203="",LEN(TRIM('Raw Data'!B203))=0),"",IF(AND(LEN('Raw Data'!B203) &lt;= 50,LEN('Raw Data'!B203)&gt; 0),"",_xlfn.REGEXEXTRACT(CELL("address",'Raw Data'!B203),"\$([A-Z]+)\$[0-9]+"))),_xlfn.REGEXEXTRACT(CELL("address",'Raw Data'!B203),"\$([A-Z]+)\$[0-9]+"))</f>
        <v/>
      </c>
      <c r="C203" s="7" t="str" cm="1">
        <f t="array" aca="1" ref="C203" ca="1">IFERROR(IF(OR('Raw Data'!C203="",LEN(TRIM('Raw Data'!C203))=0),"",IF(AND(LEN('Raw Data'!C203) &lt;= 50,LEN('Raw Data'!C203)&gt; 0),"",_xlfn.REGEXEXTRACT(CELL("address",'Raw Data'!C203),"\$([A-Z]+)\$[0-9]+"))),_xlfn.REGEXEXTRACT(CELL("address",'Raw Data'!C203),"\$([A-Z]+)\$[0-9]+"))</f>
        <v/>
      </c>
      <c r="D203" s="7" t="str" cm="1">
        <f t="array" aca="1" ref="D203" ca="1">IFERROR(IF(OR('Raw Data'!D203="",LEN(TRIM('Raw Data'!D203))=0),"",IF(AND(LEN('Raw Data'!D203) &lt;= 255,LEN('Raw Data'!D203)&gt; 0),"",_xlfn.REGEXEXTRACT(CELL("address",'Raw Data'!D203),"\$([A-Z]+)\$[0-9]+"))),_xlfn.REGEXEXTRACT(CELL("address",'Raw Data'!D203),"\$([A-Z]+)\$[0-9]+"))</f>
        <v/>
      </c>
      <c r="E203" s="7" t="str" cm="1">
        <f t="array" aca="1" ref="E203" ca="1">IFERROR(IF(OR('Raw Data'!E203="",LEN(TRIM('Raw Data'!E203))=0),"",IF(AND(ISNUMBER('Raw Data'!E203),'Raw Data'!E203&gt;=Configuration!$D$2),"",_xlfn.REGEXEXTRACT(CELL("address",'Raw Data'!E203),"\$([A-Z]+)\$[0-9]+"))),_xlfn.REGEXEXTRACT(CELL("address",E203), "\$([A-Z]+)\$[0-9]+"))</f>
        <v/>
      </c>
      <c r="F203" s="7" t="str" cm="1">
        <f t="array" aca="1" ref="F203" ca="1">IFERROR(IF(OR('Raw Data'!F203="",LEN(TRIM('Raw Data'!F203))=0),"",IF(AND(LEN('Raw Data'!F203) &lt;= 20,LEN('Raw Data'!F203)&gt; 0),"",_xlfn.REGEXEXTRACT(CELL("address",'Raw Data'!F203),"\$([A-Z]+)\$[0-9]+"))),_xlfn.REGEXEXTRACT(CELL("address",'Raw Data'!F203),"\$([A-Z]+)\$[0-9]+"))</f>
        <v/>
      </c>
      <c r="G203" s="7" t="str" cm="1">
        <f t="array" aca="1" ref="G203" ca="1">IFERROR(IF(OR('Raw Data'!G203="",LEN(TRIM('Raw Data'!G203))=0),"",IF(AND(ISNUMBER('Raw Data'!G203), IFERROR('Raw Data'!G203 = ROUND('Raw Data'!G203, 2),FALSE)),"",_xlfn.REGEXEXTRACT(CELL("address",G203), "\$([A-Z]+)\$[0-9]+"))),_xlfn.REGEXEXTRACT(CELL("address",G203), "\$([A-Z]+)\$[0-9]+"))</f>
        <v/>
      </c>
      <c r="H203" s="7" t="str" cm="1">
        <f t="array" aca="1" ref="H203" ca="1">IFERROR(IF(OR('Raw Data'!H203="",LEN(TRIM('Raw Data'!H203))=0),"",IF(AND(ISNUMBER('Raw Data'!H203), IFERROR('Raw Data'!H203 = ROUND('Raw Data'!H203, 2),FALSE)),"",_xlfn.REGEXEXTRACT(CELL("address",H203), "\$([A-Z]+)\$[0-9]+"))),_xlfn.REGEXEXTRACT(CELL("address",H203), "\$([A-Z]+)\$[0-9]+"))</f>
        <v/>
      </c>
      <c r="I203" s="7" t="str" cm="1">
        <f t="array" aca="1" ref="I203" ca="1">IFERROR(IF(OR('Raw Data'!I203="",LEN(TRIM('Raw Data'!I203))=0),"",IF(AND(LEN('Raw Data'!I203) &lt;= 50,LEN('Raw Data'!I203)&gt; 0),"",_xlfn.REGEXEXTRACT(CELL("address",'Raw Data'!I203),"\$([A-Z]+)\$[0-9]+"))),_xlfn.REGEXEXTRACT(CELL("address",'Raw Data'!I203),"\$([A-Z]+)\$[0-9]+"))</f>
        <v/>
      </c>
      <c r="J203" s="7" t="str" cm="1">
        <f t="array" aca="1" ref="J203" ca="1">IFERROR(IF(OR('Raw Data'!J203="",LEN(TRIM('Raw Data'!J203))=0),"",IF(AND(ISNUMBER('Raw Data'!J203),'Raw Data'!J203&gt;=Configuration!$D$2),"",_xlfn.REGEXEXTRACT(CELL("address",'Raw Data'!J203),"\$([A-Z]+)\$[0-9]+"))),_xlfn.REGEXEXTRACT(CELL("address",J203), "\$([A-Z]+)\$[0-9]+"))</f>
        <v/>
      </c>
      <c r="K203" s="7" t="str" cm="1">
        <f t="array" aca="1" ref="K203" ca="1">IFERROR(IF(OR('Raw Data'!K203="",LEN(TRIM('Raw Data'!K203))=0),"",IF(AND(ISNUMBER('Raw Data'!K203), IFERROR('Raw Data'!K203 = ROUND('Raw Data'!K203, 2),FALSE)),"",_xlfn.REGEXEXTRACT(CELL("address",K203), "\$([A-Z]+)\$[0-9]+"))),_xlfn.REGEXEXTRACT(CELL("address",K203), "\$([A-Z]+)\$[0-9]+"))</f>
        <v/>
      </c>
      <c r="L203" s="7" t="str" cm="1">
        <f t="array" aca="1" ref="L203" ca="1">IFERROR(IF(OR('Raw Data'!L203="",LEN(TRIM('Raw Data'!L203))=0),"",IF(AND(ISNUMBER('Raw Data'!L203), IFERROR('Raw Data'!L203 = ROUND('Raw Data'!L203, 2),FALSE)),"",_xlfn.REGEXEXTRACT(CELL("address",L203), "\$([A-Z]+)\$[0-9]+"))),_xlfn.REGEXEXTRACT(CELL("address",L203), "\$([A-Z]+)\$[0-9]+"))</f>
        <v/>
      </c>
      <c r="M203" s="7" t="str" cm="1">
        <f t="array" aca="1" ref="M203" ca="1">IFERROR(IF(OR('Raw Data'!M203="",LEN(TRIM('Raw Data'!M203))=0),"",IF(AND(ISNUMBER('Raw Data'!M203), IFERROR('Raw Data'!M203 = ROUND('Raw Data'!M203, 2),FALSE)),"",_xlfn.REGEXEXTRACT(CELL("address",M203), "\$([A-Z]+)\$[0-9]+"))),_xlfn.REGEXEXTRACT(CELL("address",M203), "\$([A-Z]+)\$[0-9]+"))</f>
        <v/>
      </c>
      <c r="N203" s="7" t="str" cm="1">
        <f t="array" aca="1" ref="N203" ca="1">IFERROR(IF(OR('Raw Data'!N203="",LEN(TRIM('Raw Data'!N203))=0),"",IF(AND(ISNUMBER('Raw Data'!N203), IFERROR('Raw Data'!N203 = ROUND('Raw Data'!N203, 2),FALSE)),"",_xlfn.REGEXEXTRACT(CELL("address",N203), "\$([A-Z]+)\$[0-9]+"))),_xlfn.REGEXEXTRACT(CELL("address",N203), "\$([A-Z]+)\$[0-9]+"))</f>
        <v/>
      </c>
      <c r="O203" s="7" t="str" cm="1">
        <f t="array" aca="1" ref="O203" ca="1">IFERROR(IF(OR('Raw Data'!O203="",LEN(TRIM('Raw Data'!O203))=0),"",IF(AND(ISNUMBER('Raw Data'!O203), IFERROR('Raw Data'!O203 = ROUND('Raw Data'!O203, 2),FALSE)),"",_xlfn.REGEXEXTRACT(CELL("address",O203), "\$([A-Z]+)\$[0-9]+"))),_xlfn.REGEXEXTRACT(CELL("address",O203), "\$([A-Z]+)\$[0-9]+"))</f>
        <v/>
      </c>
      <c r="P203" s="7" t="str" cm="1">
        <f t="array" aca="1" ref="P203" ca="1">IFERROR(IF(OR('Raw Data'!P203="",LEN(TRIM('Raw Data'!P203))=0),"",IF(AND(ISNUMBER('Raw Data'!P203),'Raw Data'!P203&gt;=Configuration!$D$2),"",_xlfn.REGEXEXTRACT(CELL("address",'Raw Data'!P203),"\$([A-Z]+)\$[0-9]+"))),_xlfn.REGEXEXTRACT(CELL("address",P203), "\$([A-Z]+)\$[0-9]+"))</f>
        <v/>
      </c>
      <c r="Q203" s="7" t="str" cm="1">
        <f t="array" aca="1" ref="Q203" ca="1">IFERROR(IF(OR('Raw Data'!Q203="",LEN(TRIM('Raw Data'!Q203))=0),"",IF(AND(ISNUMBER('Raw Data'!Q203),'Raw Data'!Q203&gt;=Configuration!$D$2),"",_xlfn.REGEXEXTRACT(CELL("address",'Raw Data'!Q203),"\$([A-Z]+)\$[0-9]+"))),_xlfn.REGEXEXTRACT(CELL("address",Q203), "\$([A-Z]+)\$[0-9]+"))</f>
        <v/>
      </c>
      <c r="R203" s="7" t="str" cm="1">
        <f t="array" aca="1" ref="R203" ca="1">IFERROR(IF(OR('Raw Data'!R203="",LEN(TRIM('Raw Data'!R203))=0),"",IF(AND(ISNUMBER('Raw Data'!R203), IFERROR('Raw Data'!R203 = ROUND('Raw Data'!R203, 2),FALSE)),"",_xlfn.REGEXEXTRACT(CELL("address",R203), "\$([A-Z]+)\$[0-9]+"))),_xlfn.REGEXEXTRACT(CELL("address",R203), "\$([A-Z]+)\$[0-9]+"))</f>
        <v/>
      </c>
      <c r="S203" s="7" t="str" cm="1">
        <f t="array" aca="1" ref="S203" ca="1">IFERROR(IF(OR('Raw Data'!S203="",LEN(TRIM('Raw Data'!S203))=0),"",IF(AND(ISNUMBER('Raw Data'!S203), IFERROR('Raw Data'!S203 = ROUND('Raw Data'!S203, 2),FALSE)),"",_xlfn.REGEXEXTRACT(CELL("address",S203), "\$([A-Z]+)\$[0-9]+"))),_xlfn.REGEXEXTRACT(CELL("address",S203), "\$([A-Z]+)\$[0-9]+"))</f>
        <v/>
      </c>
      <c r="T203" s="7" t="str" cm="1">
        <f t="array" aca="1" ref="T203" ca="1">IFERROR(IF(OR('Raw Data'!T203="",LEN(TRIM('Raw Data'!T203))=0),"",IF(AND(ISNUMBER('Raw Data'!T203), IFERROR('Raw Data'!T203 = ROUND('Raw Data'!T203, 2),FALSE)),"",_xlfn.REGEXEXTRACT(CELL("address",T203), "\$([A-Z]+)\$[0-9]+"))),_xlfn.REGEXEXTRACT(CELL("address",T203), "\$([A-Z]+)\$[0-9]+"))</f>
        <v/>
      </c>
      <c r="U203" s="7" t="str" cm="1">
        <f t="array" aca="1" ref="U203" ca="1">IFERROR(IF(OR('Raw Data'!U203="",LEN(TRIM('Raw Data'!U203))=0),"",IF(AND(LEN('Raw Data'!U203) &lt;= 5,LEN('Raw Data'!U203)&gt; 0),"",_xlfn.REGEXEXTRACT(CELL("address",'Raw Data'!U203),"\$([A-Z]+)\$[0-9]+"))),_xlfn.REGEXEXTRACT(CELL("address",'Raw Data'!U203),"\$([A-Z]+)\$[0-9]+"))</f>
        <v/>
      </c>
      <c r="V203" s="7" t="str" cm="1">
        <f t="array" aca="1" ref="V203" ca="1">IFERROR(IF(OR('Raw Data'!V203="",LEN(TRIM('Raw Data'!V203))=0),"",IF(AND(ISNUMBER('Raw Data'!V203), IFERROR('Raw Data'!V203 = ROUND('Raw Data'!V203, 2),FALSE)),"",_xlfn.REGEXEXTRACT(CELL("address",V203), "\$([A-Z]+)\$[0-9]+"))),_xlfn.REGEXEXTRACT(CELL("address",V203), "\$([A-Z]+)\$[0-9]+"))</f>
        <v/>
      </c>
      <c r="W203" s="7" t="str" cm="1">
        <f t="array" aca="1" ref="W203" ca="1">IFERROR(IF(OR('Raw Data'!W203="",LEN(TRIM('Raw Data'!W203))=0),"",IF(AND(ISNUMBER('Raw Data'!W203), IFERROR('Raw Data'!W203 = ROUND('Raw Data'!W203, 2),FALSE)),"",_xlfn.REGEXEXTRACT(CELL("address",W203), "\$([A-Z]+)\$[0-9]+"))),_xlfn.REGEXEXTRACT(CELL("address",W203), "\$([A-Z]+)\$[0-9]+"))</f>
        <v/>
      </c>
      <c r="X203" s="7" t="str" cm="1">
        <f t="array" aca="1" ref="X203" ca="1">IFERROR(IF(OR('Raw Data'!X203="",LEN(TRIM('Raw Data'!X203))=0),"",IF(AND(ISNUMBER('Raw Data'!X203), IFERROR('Raw Data'!X203 = ROUND('Raw Data'!X203, 2),FALSE)),"",_xlfn.REGEXEXTRACT(CELL("address",X203), "\$([A-Z]+)\$[0-9]+"))),_xlfn.REGEXEXTRACT(CELL("address",X203), "\$([A-Z]+)\$[0-9]+"))</f>
        <v/>
      </c>
    </row>
    <row r="204" spans="2:24" x14ac:dyDescent="0.25">
      <c r="B204" s="7" t="str" cm="1">
        <f t="array" aca="1" ref="B204" ca="1">IFERROR(IF(OR('Raw Data'!B204="",LEN(TRIM('Raw Data'!B204))=0),"",IF(AND(LEN('Raw Data'!B204) &lt;= 50,LEN('Raw Data'!B204)&gt; 0),"",_xlfn.REGEXEXTRACT(CELL("address",'Raw Data'!B204),"\$([A-Z]+)\$[0-9]+"))),_xlfn.REGEXEXTRACT(CELL("address",'Raw Data'!B204),"\$([A-Z]+)\$[0-9]+"))</f>
        <v/>
      </c>
      <c r="C204" s="7" t="str" cm="1">
        <f t="array" aca="1" ref="C204" ca="1">IFERROR(IF(OR('Raw Data'!C204="",LEN(TRIM('Raw Data'!C204))=0),"",IF(AND(LEN('Raw Data'!C204) &lt;= 50,LEN('Raw Data'!C204)&gt; 0),"",_xlfn.REGEXEXTRACT(CELL("address",'Raw Data'!C204),"\$([A-Z]+)\$[0-9]+"))),_xlfn.REGEXEXTRACT(CELL("address",'Raw Data'!C204),"\$([A-Z]+)\$[0-9]+"))</f>
        <v/>
      </c>
      <c r="D204" s="7" t="str" cm="1">
        <f t="array" aca="1" ref="D204" ca="1">IFERROR(IF(OR('Raw Data'!D204="",LEN(TRIM('Raw Data'!D204))=0),"",IF(AND(LEN('Raw Data'!D204) &lt;= 255,LEN('Raw Data'!D204)&gt; 0),"",_xlfn.REGEXEXTRACT(CELL("address",'Raw Data'!D204),"\$([A-Z]+)\$[0-9]+"))),_xlfn.REGEXEXTRACT(CELL("address",'Raw Data'!D204),"\$([A-Z]+)\$[0-9]+"))</f>
        <v/>
      </c>
      <c r="E204" s="7" t="str" cm="1">
        <f t="array" aca="1" ref="E204" ca="1">IFERROR(IF(OR('Raw Data'!E204="",LEN(TRIM('Raw Data'!E204))=0),"",IF(AND(ISNUMBER('Raw Data'!E204),'Raw Data'!E204&gt;=Configuration!$D$2),"",_xlfn.REGEXEXTRACT(CELL("address",'Raw Data'!E204),"\$([A-Z]+)\$[0-9]+"))),_xlfn.REGEXEXTRACT(CELL("address",E204), "\$([A-Z]+)\$[0-9]+"))</f>
        <v/>
      </c>
      <c r="F204" s="7" t="str" cm="1">
        <f t="array" aca="1" ref="F204" ca="1">IFERROR(IF(OR('Raw Data'!F204="",LEN(TRIM('Raw Data'!F204))=0),"",IF(AND(LEN('Raw Data'!F204) &lt;= 20,LEN('Raw Data'!F204)&gt; 0),"",_xlfn.REGEXEXTRACT(CELL("address",'Raw Data'!F204),"\$([A-Z]+)\$[0-9]+"))),_xlfn.REGEXEXTRACT(CELL("address",'Raw Data'!F204),"\$([A-Z]+)\$[0-9]+"))</f>
        <v/>
      </c>
      <c r="G204" s="7" t="str" cm="1">
        <f t="array" aca="1" ref="G204" ca="1">IFERROR(IF(OR('Raw Data'!G204="",LEN(TRIM('Raw Data'!G204))=0),"",IF(AND(ISNUMBER('Raw Data'!G204), IFERROR('Raw Data'!G204 = ROUND('Raw Data'!G204, 2),FALSE)),"",_xlfn.REGEXEXTRACT(CELL("address",G204), "\$([A-Z]+)\$[0-9]+"))),_xlfn.REGEXEXTRACT(CELL("address",G204), "\$([A-Z]+)\$[0-9]+"))</f>
        <v/>
      </c>
      <c r="H204" s="7" t="str" cm="1">
        <f t="array" aca="1" ref="H204" ca="1">IFERROR(IF(OR('Raw Data'!H204="",LEN(TRIM('Raw Data'!H204))=0),"",IF(AND(ISNUMBER('Raw Data'!H204), IFERROR('Raw Data'!H204 = ROUND('Raw Data'!H204, 2),FALSE)),"",_xlfn.REGEXEXTRACT(CELL("address",H204), "\$([A-Z]+)\$[0-9]+"))),_xlfn.REGEXEXTRACT(CELL("address",H204), "\$([A-Z]+)\$[0-9]+"))</f>
        <v/>
      </c>
      <c r="I204" s="7" t="str" cm="1">
        <f t="array" aca="1" ref="I204" ca="1">IFERROR(IF(OR('Raw Data'!I204="",LEN(TRIM('Raw Data'!I204))=0),"",IF(AND(LEN('Raw Data'!I204) &lt;= 50,LEN('Raw Data'!I204)&gt; 0),"",_xlfn.REGEXEXTRACT(CELL("address",'Raw Data'!I204),"\$([A-Z]+)\$[0-9]+"))),_xlfn.REGEXEXTRACT(CELL("address",'Raw Data'!I204),"\$([A-Z]+)\$[0-9]+"))</f>
        <v/>
      </c>
      <c r="J204" s="7" t="str" cm="1">
        <f t="array" aca="1" ref="J204" ca="1">IFERROR(IF(OR('Raw Data'!J204="",LEN(TRIM('Raw Data'!J204))=0),"",IF(AND(ISNUMBER('Raw Data'!J204),'Raw Data'!J204&gt;=Configuration!$D$2),"",_xlfn.REGEXEXTRACT(CELL("address",'Raw Data'!J204),"\$([A-Z]+)\$[0-9]+"))),_xlfn.REGEXEXTRACT(CELL("address",J204), "\$([A-Z]+)\$[0-9]+"))</f>
        <v/>
      </c>
      <c r="K204" s="7" t="str" cm="1">
        <f t="array" aca="1" ref="K204" ca="1">IFERROR(IF(OR('Raw Data'!K204="",LEN(TRIM('Raw Data'!K204))=0),"",IF(AND(ISNUMBER('Raw Data'!K204), IFERROR('Raw Data'!K204 = ROUND('Raw Data'!K204, 2),FALSE)),"",_xlfn.REGEXEXTRACT(CELL("address",K204), "\$([A-Z]+)\$[0-9]+"))),_xlfn.REGEXEXTRACT(CELL("address",K204), "\$([A-Z]+)\$[0-9]+"))</f>
        <v/>
      </c>
      <c r="L204" s="7" t="str" cm="1">
        <f t="array" aca="1" ref="L204" ca="1">IFERROR(IF(OR('Raw Data'!L204="",LEN(TRIM('Raw Data'!L204))=0),"",IF(AND(ISNUMBER('Raw Data'!L204), IFERROR('Raw Data'!L204 = ROUND('Raw Data'!L204, 2),FALSE)),"",_xlfn.REGEXEXTRACT(CELL("address",L204), "\$([A-Z]+)\$[0-9]+"))),_xlfn.REGEXEXTRACT(CELL("address",L204), "\$([A-Z]+)\$[0-9]+"))</f>
        <v/>
      </c>
      <c r="M204" s="7" t="str" cm="1">
        <f t="array" aca="1" ref="M204" ca="1">IFERROR(IF(OR('Raw Data'!M204="",LEN(TRIM('Raw Data'!M204))=0),"",IF(AND(ISNUMBER('Raw Data'!M204), IFERROR('Raw Data'!M204 = ROUND('Raw Data'!M204, 2),FALSE)),"",_xlfn.REGEXEXTRACT(CELL("address",M204), "\$([A-Z]+)\$[0-9]+"))),_xlfn.REGEXEXTRACT(CELL("address",M204), "\$([A-Z]+)\$[0-9]+"))</f>
        <v/>
      </c>
      <c r="N204" s="7" t="str" cm="1">
        <f t="array" aca="1" ref="N204" ca="1">IFERROR(IF(OR('Raw Data'!N204="",LEN(TRIM('Raw Data'!N204))=0),"",IF(AND(ISNUMBER('Raw Data'!N204), IFERROR('Raw Data'!N204 = ROUND('Raw Data'!N204, 2),FALSE)),"",_xlfn.REGEXEXTRACT(CELL("address",N204), "\$([A-Z]+)\$[0-9]+"))),_xlfn.REGEXEXTRACT(CELL("address",N204), "\$([A-Z]+)\$[0-9]+"))</f>
        <v/>
      </c>
      <c r="O204" s="7" t="str" cm="1">
        <f t="array" aca="1" ref="O204" ca="1">IFERROR(IF(OR('Raw Data'!O204="",LEN(TRIM('Raw Data'!O204))=0),"",IF(AND(ISNUMBER('Raw Data'!O204), IFERROR('Raw Data'!O204 = ROUND('Raw Data'!O204, 2),FALSE)),"",_xlfn.REGEXEXTRACT(CELL("address",O204), "\$([A-Z]+)\$[0-9]+"))),_xlfn.REGEXEXTRACT(CELL("address",O204), "\$([A-Z]+)\$[0-9]+"))</f>
        <v/>
      </c>
      <c r="P204" s="7" t="str" cm="1">
        <f t="array" aca="1" ref="P204" ca="1">IFERROR(IF(OR('Raw Data'!P204="",LEN(TRIM('Raw Data'!P204))=0),"",IF(AND(ISNUMBER('Raw Data'!P204),'Raw Data'!P204&gt;=Configuration!$D$2),"",_xlfn.REGEXEXTRACT(CELL("address",'Raw Data'!P204),"\$([A-Z]+)\$[0-9]+"))),_xlfn.REGEXEXTRACT(CELL("address",P204), "\$([A-Z]+)\$[0-9]+"))</f>
        <v/>
      </c>
      <c r="Q204" s="7" t="str" cm="1">
        <f t="array" aca="1" ref="Q204" ca="1">IFERROR(IF(OR('Raw Data'!Q204="",LEN(TRIM('Raw Data'!Q204))=0),"",IF(AND(ISNUMBER('Raw Data'!Q204),'Raw Data'!Q204&gt;=Configuration!$D$2),"",_xlfn.REGEXEXTRACT(CELL("address",'Raw Data'!Q204),"\$([A-Z]+)\$[0-9]+"))),_xlfn.REGEXEXTRACT(CELL("address",Q204), "\$([A-Z]+)\$[0-9]+"))</f>
        <v/>
      </c>
      <c r="R204" s="7" t="str" cm="1">
        <f t="array" aca="1" ref="R204" ca="1">IFERROR(IF(OR('Raw Data'!R204="",LEN(TRIM('Raw Data'!R204))=0),"",IF(AND(ISNUMBER('Raw Data'!R204), IFERROR('Raw Data'!R204 = ROUND('Raw Data'!R204, 2),FALSE)),"",_xlfn.REGEXEXTRACT(CELL("address",R204), "\$([A-Z]+)\$[0-9]+"))),_xlfn.REGEXEXTRACT(CELL("address",R204), "\$([A-Z]+)\$[0-9]+"))</f>
        <v/>
      </c>
      <c r="S204" s="7" t="str" cm="1">
        <f t="array" aca="1" ref="S204" ca="1">IFERROR(IF(OR('Raw Data'!S204="",LEN(TRIM('Raw Data'!S204))=0),"",IF(AND(ISNUMBER('Raw Data'!S204), IFERROR('Raw Data'!S204 = ROUND('Raw Data'!S204, 2),FALSE)),"",_xlfn.REGEXEXTRACT(CELL("address",S204), "\$([A-Z]+)\$[0-9]+"))),_xlfn.REGEXEXTRACT(CELL("address",S204), "\$([A-Z]+)\$[0-9]+"))</f>
        <v/>
      </c>
      <c r="T204" s="7" t="str" cm="1">
        <f t="array" aca="1" ref="T204" ca="1">IFERROR(IF(OR('Raw Data'!T204="",LEN(TRIM('Raw Data'!T204))=0),"",IF(AND(ISNUMBER('Raw Data'!T204), IFERROR('Raw Data'!T204 = ROUND('Raw Data'!T204, 2),FALSE)),"",_xlfn.REGEXEXTRACT(CELL("address",T204), "\$([A-Z]+)\$[0-9]+"))),_xlfn.REGEXEXTRACT(CELL("address",T204), "\$([A-Z]+)\$[0-9]+"))</f>
        <v/>
      </c>
      <c r="U204" s="7" t="str" cm="1">
        <f t="array" aca="1" ref="U204" ca="1">IFERROR(IF(OR('Raw Data'!U204="",LEN(TRIM('Raw Data'!U204))=0),"",IF(AND(LEN('Raw Data'!U204) &lt;= 5,LEN('Raw Data'!U204)&gt; 0),"",_xlfn.REGEXEXTRACT(CELL("address",'Raw Data'!U204),"\$([A-Z]+)\$[0-9]+"))),_xlfn.REGEXEXTRACT(CELL("address",'Raw Data'!U204),"\$([A-Z]+)\$[0-9]+"))</f>
        <v/>
      </c>
      <c r="V204" s="7" t="str" cm="1">
        <f t="array" aca="1" ref="V204" ca="1">IFERROR(IF(OR('Raw Data'!V204="",LEN(TRIM('Raw Data'!V204))=0),"",IF(AND(ISNUMBER('Raw Data'!V204), IFERROR('Raw Data'!V204 = ROUND('Raw Data'!V204, 2),FALSE)),"",_xlfn.REGEXEXTRACT(CELL("address",V204), "\$([A-Z]+)\$[0-9]+"))),_xlfn.REGEXEXTRACT(CELL("address",V204), "\$([A-Z]+)\$[0-9]+"))</f>
        <v/>
      </c>
      <c r="W204" s="7" t="str" cm="1">
        <f t="array" aca="1" ref="W204" ca="1">IFERROR(IF(OR('Raw Data'!W204="",LEN(TRIM('Raw Data'!W204))=0),"",IF(AND(ISNUMBER('Raw Data'!W204), IFERROR('Raw Data'!W204 = ROUND('Raw Data'!W204, 2),FALSE)),"",_xlfn.REGEXEXTRACT(CELL("address",W204), "\$([A-Z]+)\$[0-9]+"))),_xlfn.REGEXEXTRACT(CELL("address",W204), "\$([A-Z]+)\$[0-9]+"))</f>
        <v/>
      </c>
      <c r="X204" s="7" t="str" cm="1">
        <f t="array" aca="1" ref="X204" ca="1">IFERROR(IF(OR('Raw Data'!X204="",LEN(TRIM('Raw Data'!X204))=0),"",IF(AND(ISNUMBER('Raw Data'!X204), IFERROR('Raw Data'!X204 = ROUND('Raw Data'!X204, 2),FALSE)),"",_xlfn.REGEXEXTRACT(CELL("address",X204), "\$([A-Z]+)\$[0-9]+"))),_xlfn.REGEXEXTRACT(CELL("address",X204), "\$([A-Z]+)\$[0-9]+"))</f>
        <v/>
      </c>
    </row>
    <row r="205" spans="2:24" x14ac:dyDescent="0.25">
      <c r="B205" s="7" t="str" cm="1">
        <f t="array" aca="1" ref="B205" ca="1">IFERROR(IF(OR('Raw Data'!B205="",LEN(TRIM('Raw Data'!B205))=0),"",IF(AND(LEN('Raw Data'!B205) &lt;= 50,LEN('Raw Data'!B205)&gt; 0),"",_xlfn.REGEXEXTRACT(CELL("address",'Raw Data'!B205),"\$([A-Z]+)\$[0-9]+"))),_xlfn.REGEXEXTRACT(CELL("address",'Raw Data'!B205),"\$([A-Z]+)\$[0-9]+"))</f>
        <v/>
      </c>
      <c r="C205" s="7" t="str" cm="1">
        <f t="array" aca="1" ref="C205" ca="1">IFERROR(IF(OR('Raw Data'!C205="",LEN(TRIM('Raw Data'!C205))=0),"",IF(AND(LEN('Raw Data'!C205) &lt;= 50,LEN('Raw Data'!C205)&gt; 0),"",_xlfn.REGEXEXTRACT(CELL("address",'Raw Data'!C205),"\$([A-Z]+)\$[0-9]+"))),_xlfn.REGEXEXTRACT(CELL("address",'Raw Data'!C205),"\$([A-Z]+)\$[0-9]+"))</f>
        <v/>
      </c>
      <c r="D205" s="7" t="str" cm="1">
        <f t="array" aca="1" ref="D205" ca="1">IFERROR(IF(OR('Raw Data'!D205="",LEN(TRIM('Raw Data'!D205))=0),"",IF(AND(LEN('Raw Data'!D205) &lt;= 255,LEN('Raw Data'!D205)&gt; 0),"",_xlfn.REGEXEXTRACT(CELL("address",'Raw Data'!D205),"\$([A-Z]+)\$[0-9]+"))),_xlfn.REGEXEXTRACT(CELL("address",'Raw Data'!D205),"\$([A-Z]+)\$[0-9]+"))</f>
        <v/>
      </c>
      <c r="E205" s="7" t="str" cm="1">
        <f t="array" aca="1" ref="E205" ca="1">IFERROR(IF(OR('Raw Data'!E205="",LEN(TRIM('Raw Data'!E205))=0),"",IF(AND(ISNUMBER('Raw Data'!E205),'Raw Data'!E205&gt;=Configuration!$D$2),"",_xlfn.REGEXEXTRACT(CELL("address",'Raw Data'!E205),"\$([A-Z]+)\$[0-9]+"))),_xlfn.REGEXEXTRACT(CELL("address",E205), "\$([A-Z]+)\$[0-9]+"))</f>
        <v/>
      </c>
      <c r="F205" s="7" t="str" cm="1">
        <f t="array" aca="1" ref="F205" ca="1">IFERROR(IF(OR('Raw Data'!F205="",LEN(TRIM('Raw Data'!F205))=0),"",IF(AND(LEN('Raw Data'!F205) &lt;= 20,LEN('Raw Data'!F205)&gt; 0),"",_xlfn.REGEXEXTRACT(CELL("address",'Raw Data'!F205),"\$([A-Z]+)\$[0-9]+"))),_xlfn.REGEXEXTRACT(CELL("address",'Raw Data'!F205),"\$([A-Z]+)\$[0-9]+"))</f>
        <v/>
      </c>
      <c r="G205" s="7" t="str" cm="1">
        <f t="array" aca="1" ref="G205" ca="1">IFERROR(IF(OR('Raw Data'!G205="",LEN(TRIM('Raw Data'!G205))=0),"",IF(AND(ISNUMBER('Raw Data'!G205), IFERROR('Raw Data'!G205 = ROUND('Raw Data'!G205, 2),FALSE)),"",_xlfn.REGEXEXTRACT(CELL("address",G205), "\$([A-Z]+)\$[0-9]+"))),_xlfn.REGEXEXTRACT(CELL("address",G205), "\$([A-Z]+)\$[0-9]+"))</f>
        <v/>
      </c>
      <c r="H205" s="7" t="str" cm="1">
        <f t="array" aca="1" ref="H205" ca="1">IFERROR(IF(OR('Raw Data'!H205="",LEN(TRIM('Raw Data'!H205))=0),"",IF(AND(ISNUMBER('Raw Data'!H205), IFERROR('Raw Data'!H205 = ROUND('Raw Data'!H205, 2),FALSE)),"",_xlfn.REGEXEXTRACT(CELL("address",H205), "\$([A-Z]+)\$[0-9]+"))),_xlfn.REGEXEXTRACT(CELL("address",H205), "\$([A-Z]+)\$[0-9]+"))</f>
        <v/>
      </c>
      <c r="I205" s="7" t="str" cm="1">
        <f t="array" aca="1" ref="I205" ca="1">IFERROR(IF(OR('Raw Data'!I205="",LEN(TRIM('Raw Data'!I205))=0),"",IF(AND(LEN('Raw Data'!I205) &lt;= 50,LEN('Raw Data'!I205)&gt; 0),"",_xlfn.REGEXEXTRACT(CELL("address",'Raw Data'!I205),"\$([A-Z]+)\$[0-9]+"))),_xlfn.REGEXEXTRACT(CELL("address",'Raw Data'!I205),"\$([A-Z]+)\$[0-9]+"))</f>
        <v/>
      </c>
      <c r="J205" s="7" t="str" cm="1">
        <f t="array" aca="1" ref="J205" ca="1">IFERROR(IF(OR('Raw Data'!J205="",LEN(TRIM('Raw Data'!J205))=0),"",IF(AND(ISNUMBER('Raw Data'!J205),'Raw Data'!J205&gt;=Configuration!$D$2),"",_xlfn.REGEXEXTRACT(CELL("address",'Raw Data'!J205),"\$([A-Z]+)\$[0-9]+"))),_xlfn.REGEXEXTRACT(CELL("address",J205), "\$([A-Z]+)\$[0-9]+"))</f>
        <v/>
      </c>
      <c r="K205" s="7" t="str" cm="1">
        <f t="array" aca="1" ref="K205" ca="1">IFERROR(IF(OR('Raw Data'!K205="",LEN(TRIM('Raw Data'!K205))=0),"",IF(AND(ISNUMBER('Raw Data'!K205), IFERROR('Raw Data'!K205 = ROUND('Raw Data'!K205, 2),FALSE)),"",_xlfn.REGEXEXTRACT(CELL("address",K205), "\$([A-Z]+)\$[0-9]+"))),_xlfn.REGEXEXTRACT(CELL("address",K205), "\$([A-Z]+)\$[0-9]+"))</f>
        <v/>
      </c>
      <c r="L205" s="7" t="str" cm="1">
        <f t="array" aca="1" ref="L205" ca="1">IFERROR(IF(OR('Raw Data'!L205="",LEN(TRIM('Raw Data'!L205))=0),"",IF(AND(ISNUMBER('Raw Data'!L205), IFERROR('Raw Data'!L205 = ROUND('Raw Data'!L205, 2),FALSE)),"",_xlfn.REGEXEXTRACT(CELL("address",L205), "\$([A-Z]+)\$[0-9]+"))),_xlfn.REGEXEXTRACT(CELL("address",L205), "\$([A-Z]+)\$[0-9]+"))</f>
        <v/>
      </c>
      <c r="M205" s="7" t="str" cm="1">
        <f t="array" aca="1" ref="M205" ca="1">IFERROR(IF(OR('Raw Data'!M205="",LEN(TRIM('Raw Data'!M205))=0),"",IF(AND(ISNUMBER('Raw Data'!M205), IFERROR('Raw Data'!M205 = ROUND('Raw Data'!M205, 2),FALSE)),"",_xlfn.REGEXEXTRACT(CELL("address",M205), "\$([A-Z]+)\$[0-9]+"))),_xlfn.REGEXEXTRACT(CELL("address",M205), "\$([A-Z]+)\$[0-9]+"))</f>
        <v/>
      </c>
      <c r="N205" s="7" t="str" cm="1">
        <f t="array" aca="1" ref="N205" ca="1">IFERROR(IF(OR('Raw Data'!N205="",LEN(TRIM('Raw Data'!N205))=0),"",IF(AND(ISNUMBER('Raw Data'!N205), IFERROR('Raw Data'!N205 = ROUND('Raw Data'!N205, 2),FALSE)),"",_xlfn.REGEXEXTRACT(CELL("address",N205), "\$([A-Z]+)\$[0-9]+"))),_xlfn.REGEXEXTRACT(CELL("address",N205), "\$([A-Z]+)\$[0-9]+"))</f>
        <v/>
      </c>
      <c r="O205" s="7" t="str" cm="1">
        <f t="array" aca="1" ref="O205" ca="1">IFERROR(IF(OR('Raw Data'!O205="",LEN(TRIM('Raw Data'!O205))=0),"",IF(AND(ISNUMBER('Raw Data'!O205), IFERROR('Raw Data'!O205 = ROUND('Raw Data'!O205, 2),FALSE)),"",_xlfn.REGEXEXTRACT(CELL("address",O205), "\$([A-Z]+)\$[0-9]+"))),_xlfn.REGEXEXTRACT(CELL("address",O205), "\$([A-Z]+)\$[0-9]+"))</f>
        <v/>
      </c>
      <c r="P205" s="7" t="str" cm="1">
        <f t="array" aca="1" ref="P205" ca="1">IFERROR(IF(OR('Raw Data'!P205="",LEN(TRIM('Raw Data'!P205))=0),"",IF(AND(ISNUMBER('Raw Data'!P205),'Raw Data'!P205&gt;=Configuration!$D$2),"",_xlfn.REGEXEXTRACT(CELL("address",'Raw Data'!P205),"\$([A-Z]+)\$[0-9]+"))),_xlfn.REGEXEXTRACT(CELL("address",P205), "\$([A-Z]+)\$[0-9]+"))</f>
        <v/>
      </c>
      <c r="Q205" s="7" t="str" cm="1">
        <f t="array" aca="1" ref="Q205" ca="1">IFERROR(IF(OR('Raw Data'!Q205="",LEN(TRIM('Raw Data'!Q205))=0),"",IF(AND(ISNUMBER('Raw Data'!Q205),'Raw Data'!Q205&gt;=Configuration!$D$2),"",_xlfn.REGEXEXTRACT(CELL("address",'Raw Data'!Q205),"\$([A-Z]+)\$[0-9]+"))),_xlfn.REGEXEXTRACT(CELL("address",Q205), "\$([A-Z]+)\$[0-9]+"))</f>
        <v/>
      </c>
      <c r="R205" s="7" t="str" cm="1">
        <f t="array" aca="1" ref="R205" ca="1">IFERROR(IF(OR('Raw Data'!R205="",LEN(TRIM('Raw Data'!R205))=0),"",IF(AND(ISNUMBER('Raw Data'!R205), IFERROR('Raw Data'!R205 = ROUND('Raw Data'!R205, 2),FALSE)),"",_xlfn.REGEXEXTRACT(CELL("address",R205), "\$([A-Z]+)\$[0-9]+"))),_xlfn.REGEXEXTRACT(CELL("address",R205), "\$([A-Z]+)\$[0-9]+"))</f>
        <v/>
      </c>
      <c r="S205" s="7" t="str" cm="1">
        <f t="array" aca="1" ref="S205" ca="1">IFERROR(IF(OR('Raw Data'!S205="",LEN(TRIM('Raw Data'!S205))=0),"",IF(AND(ISNUMBER('Raw Data'!S205), IFERROR('Raw Data'!S205 = ROUND('Raw Data'!S205, 2),FALSE)),"",_xlfn.REGEXEXTRACT(CELL("address",S205), "\$([A-Z]+)\$[0-9]+"))),_xlfn.REGEXEXTRACT(CELL("address",S205), "\$([A-Z]+)\$[0-9]+"))</f>
        <v/>
      </c>
      <c r="T205" s="7" t="str" cm="1">
        <f t="array" aca="1" ref="T205" ca="1">IFERROR(IF(OR('Raw Data'!T205="",LEN(TRIM('Raw Data'!T205))=0),"",IF(AND(ISNUMBER('Raw Data'!T205), IFERROR('Raw Data'!T205 = ROUND('Raw Data'!T205, 2),FALSE)),"",_xlfn.REGEXEXTRACT(CELL("address",T205), "\$([A-Z]+)\$[0-9]+"))),_xlfn.REGEXEXTRACT(CELL("address",T205), "\$([A-Z]+)\$[0-9]+"))</f>
        <v/>
      </c>
      <c r="U205" s="7" t="str" cm="1">
        <f t="array" aca="1" ref="U205" ca="1">IFERROR(IF(OR('Raw Data'!U205="",LEN(TRIM('Raw Data'!U205))=0),"",IF(AND(LEN('Raw Data'!U205) &lt;= 5,LEN('Raw Data'!U205)&gt; 0),"",_xlfn.REGEXEXTRACT(CELL("address",'Raw Data'!U205),"\$([A-Z]+)\$[0-9]+"))),_xlfn.REGEXEXTRACT(CELL("address",'Raw Data'!U205),"\$([A-Z]+)\$[0-9]+"))</f>
        <v/>
      </c>
      <c r="V205" s="7" t="str" cm="1">
        <f t="array" aca="1" ref="V205" ca="1">IFERROR(IF(OR('Raw Data'!V205="",LEN(TRIM('Raw Data'!V205))=0),"",IF(AND(ISNUMBER('Raw Data'!V205), IFERROR('Raw Data'!V205 = ROUND('Raw Data'!V205, 2),FALSE)),"",_xlfn.REGEXEXTRACT(CELL("address",V205), "\$([A-Z]+)\$[0-9]+"))),_xlfn.REGEXEXTRACT(CELL("address",V205), "\$([A-Z]+)\$[0-9]+"))</f>
        <v/>
      </c>
      <c r="W205" s="7" t="str" cm="1">
        <f t="array" aca="1" ref="W205" ca="1">IFERROR(IF(OR('Raw Data'!W205="",LEN(TRIM('Raw Data'!W205))=0),"",IF(AND(ISNUMBER('Raw Data'!W205), IFERROR('Raw Data'!W205 = ROUND('Raw Data'!W205, 2),FALSE)),"",_xlfn.REGEXEXTRACT(CELL("address",W205), "\$([A-Z]+)\$[0-9]+"))),_xlfn.REGEXEXTRACT(CELL("address",W205), "\$([A-Z]+)\$[0-9]+"))</f>
        <v/>
      </c>
      <c r="X205" s="7" t="str" cm="1">
        <f t="array" aca="1" ref="X205" ca="1">IFERROR(IF(OR('Raw Data'!X205="",LEN(TRIM('Raw Data'!X205))=0),"",IF(AND(ISNUMBER('Raw Data'!X205), IFERROR('Raw Data'!X205 = ROUND('Raw Data'!X205, 2),FALSE)),"",_xlfn.REGEXEXTRACT(CELL("address",X205), "\$([A-Z]+)\$[0-9]+"))),_xlfn.REGEXEXTRACT(CELL("address",X205), "\$([A-Z]+)\$[0-9]+"))</f>
        <v/>
      </c>
    </row>
    <row r="206" spans="2:24" x14ac:dyDescent="0.25">
      <c r="B206" s="7" t="str" cm="1">
        <f t="array" aca="1" ref="B206" ca="1">IFERROR(IF(OR('Raw Data'!B206="",LEN(TRIM('Raw Data'!B206))=0),"",IF(AND(LEN('Raw Data'!B206) &lt;= 50,LEN('Raw Data'!B206)&gt; 0),"",_xlfn.REGEXEXTRACT(CELL("address",'Raw Data'!B206),"\$([A-Z]+)\$[0-9]+"))),_xlfn.REGEXEXTRACT(CELL("address",'Raw Data'!B206),"\$([A-Z]+)\$[0-9]+"))</f>
        <v/>
      </c>
      <c r="C206" s="7" t="str" cm="1">
        <f t="array" aca="1" ref="C206" ca="1">IFERROR(IF(OR('Raw Data'!C206="",LEN(TRIM('Raw Data'!C206))=0),"",IF(AND(LEN('Raw Data'!C206) &lt;= 50,LEN('Raw Data'!C206)&gt; 0),"",_xlfn.REGEXEXTRACT(CELL("address",'Raw Data'!C206),"\$([A-Z]+)\$[0-9]+"))),_xlfn.REGEXEXTRACT(CELL("address",'Raw Data'!C206),"\$([A-Z]+)\$[0-9]+"))</f>
        <v/>
      </c>
      <c r="D206" s="7" t="str" cm="1">
        <f t="array" aca="1" ref="D206" ca="1">IFERROR(IF(OR('Raw Data'!D206="",LEN(TRIM('Raw Data'!D206))=0),"",IF(AND(LEN('Raw Data'!D206) &lt;= 255,LEN('Raw Data'!D206)&gt; 0),"",_xlfn.REGEXEXTRACT(CELL("address",'Raw Data'!D206),"\$([A-Z]+)\$[0-9]+"))),_xlfn.REGEXEXTRACT(CELL("address",'Raw Data'!D206),"\$([A-Z]+)\$[0-9]+"))</f>
        <v/>
      </c>
      <c r="E206" s="7" t="str" cm="1">
        <f t="array" aca="1" ref="E206" ca="1">IFERROR(IF(OR('Raw Data'!E206="",LEN(TRIM('Raw Data'!E206))=0),"",IF(AND(ISNUMBER('Raw Data'!E206),'Raw Data'!E206&gt;=Configuration!$D$2),"",_xlfn.REGEXEXTRACT(CELL("address",'Raw Data'!E206),"\$([A-Z]+)\$[0-9]+"))),_xlfn.REGEXEXTRACT(CELL("address",E206), "\$([A-Z]+)\$[0-9]+"))</f>
        <v/>
      </c>
      <c r="F206" s="7" t="str" cm="1">
        <f t="array" aca="1" ref="F206" ca="1">IFERROR(IF(OR('Raw Data'!F206="",LEN(TRIM('Raw Data'!F206))=0),"",IF(AND(LEN('Raw Data'!F206) &lt;= 20,LEN('Raw Data'!F206)&gt; 0),"",_xlfn.REGEXEXTRACT(CELL("address",'Raw Data'!F206),"\$([A-Z]+)\$[0-9]+"))),_xlfn.REGEXEXTRACT(CELL("address",'Raw Data'!F206),"\$([A-Z]+)\$[0-9]+"))</f>
        <v/>
      </c>
      <c r="G206" s="7" t="str" cm="1">
        <f t="array" aca="1" ref="G206" ca="1">IFERROR(IF(OR('Raw Data'!G206="",LEN(TRIM('Raw Data'!G206))=0),"",IF(AND(ISNUMBER('Raw Data'!G206), IFERROR('Raw Data'!G206 = ROUND('Raw Data'!G206, 2),FALSE)),"",_xlfn.REGEXEXTRACT(CELL("address",G206), "\$([A-Z]+)\$[0-9]+"))),_xlfn.REGEXEXTRACT(CELL("address",G206), "\$([A-Z]+)\$[0-9]+"))</f>
        <v/>
      </c>
      <c r="H206" s="7" t="str" cm="1">
        <f t="array" aca="1" ref="H206" ca="1">IFERROR(IF(OR('Raw Data'!H206="",LEN(TRIM('Raw Data'!H206))=0),"",IF(AND(ISNUMBER('Raw Data'!H206), IFERROR('Raw Data'!H206 = ROUND('Raw Data'!H206, 2),FALSE)),"",_xlfn.REGEXEXTRACT(CELL("address",H206), "\$([A-Z]+)\$[0-9]+"))),_xlfn.REGEXEXTRACT(CELL("address",H206), "\$([A-Z]+)\$[0-9]+"))</f>
        <v/>
      </c>
      <c r="I206" s="7" t="str" cm="1">
        <f t="array" aca="1" ref="I206" ca="1">IFERROR(IF(OR('Raw Data'!I206="",LEN(TRIM('Raw Data'!I206))=0),"",IF(AND(LEN('Raw Data'!I206) &lt;= 50,LEN('Raw Data'!I206)&gt; 0),"",_xlfn.REGEXEXTRACT(CELL("address",'Raw Data'!I206),"\$([A-Z]+)\$[0-9]+"))),_xlfn.REGEXEXTRACT(CELL("address",'Raw Data'!I206),"\$([A-Z]+)\$[0-9]+"))</f>
        <v/>
      </c>
      <c r="J206" s="7" t="str" cm="1">
        <f t="array" aca="1" ref="J206" ca="1">IFERROR(IF(OR('Raw Data'!J206="",LEN(TRIM('Raw Data'!J206))=0),"",IF(AND(ISNUMBER('Raw Data'!J206),'Raw Data'!J206&gt;=Configuration!$D$2),"",_xlfn.REGEXEXTRACT(CELL("address",'Raw Data'!J206),"\$([A-Z]+)\$[0-9]+"))),_xlfn.REGEXEXTRACT(CELL("address",J206), "\$([A-Z]+)\$[0-9]+"))</f>
        <v/>
      </c>
      <c r="K206" s="7" t="str" cm="1">
        <f t="array" aca="1" ref="K206" ca="1">IFERROR(IF(OR('Raw Data'!K206="",LEN(TRIM('Raw Data'!K206))=0),"",IF(AND(ISNUMBER('Raw Data'!K206), IFERROR('Raw Data'!K206 = ROUND('Raw Data'!K206, 2),FALSE)),"",_xlfn.REGEXEXTRACT(CELL("address",K206), "\$([A-Z]+)\$[0-9]+"))),_xlfn.REGEXEXTRACT(CELL("address",K206), "\$([A-Z]+)\$[0-9]+"))</f>
        <v/>
      </c>
      <c r="L206" s="7" t="str" cm="1">
        <f t="array" aca="1" ref="L206" ca="1">IFERROR(IF(OR('Raw Data'!L206="",LEN(TRIM('Raw Data'!L206))=0),"",IF(AND(ISNUMBER('Raw Data'!L206), IFERROR('Raw Data'!L206 = ROUND('Raw Data'!L206, 2),FALSE)),"",_xlfn.REGEXEXTRACT(CELL("address",L206), "\$([A-Z]+)\$[0-9]+"))),_xlfn.REGEXEXTRACT(CELL("address",L206), "\$([A-Z]+)\$[0-9]+"))</f>
        <v/>
      </c>
      <c r="M206" s="7" t="str" cm="1">
        <f t="array" aca="1" ref="M206" ca="1">IFERROR(IF(OR('Raw Data'!M206="",LEN(TRIM('Raw Data'!M206))=0),"",IF(AND(ISNUMBER('Raw Data'!M206), IFERROR('Raw Data'!M206 = ROUND('Raw Data'!M206, 2),FALSE)),"",_xlfn.REGEXEXTRACT(CELL("address",M206), "\$([A-Z]+)\$[0-9]+"))),_xlfn.REGEXEXTRACT(CELL("address",M206), "\$([A-Z]+)\$[0-9]+"))</f>
        <v/>
      </c>
      <c r="N206" s="7" t="str" cm="1">
        <f t="array" aca="1" ref="N206" ca="1">IFERROR(IF(OR('Raw Data'!N206="",LEN(TRIM('Raw Data'!N206))=0),"",IF(AND(ISNUMBER('Raw Data'!N206), IFERROR('Raw Data'!N206 = ROUND('Raw Data'!N206, 2),FALSE)),"",_xlfn.REGEXEXTRACT(CELL("address",N206), "\$([A-Z]+)\$[0-9]+"))),_xlfn.REGEXEXTRACT(CELL("address",N206), "\$([A-Z]+)\$[0-9]+"))</f>
        <v/>
      </c>
      <c r="O206" s="7" t="str" cm="1">
        <f t="array" aca="1" ref="O206" ca="1">IFERROR(IF(OR('Raw Data'!O206="",LEN(TRIM('Raw Data'!O206))=0),"",IF(AND(ISNUMBER('Raw Data'!O206), IFERROR('Raw Data'!O206 = ROUND('Raw Data'!O206, 2),FALSE)),"",_xlfn.REGEXEXTRACT(CELL("address",O206), "\$([A-Z]+)\$[0-9]+"))),_xlfn.REGEXEXTRACT(CELL("address",O206), "\$([A-Z]+)\$[0-9]+"))</f>
        <v/>
      </c>
      <c r="P206" s="7" t="str" cm="1">
        <f t="array" aca="1" ref="P206" ca="1">IFERROR(IF(OR('Raw Data'!P206="",LEN(TRIM('Raw Data'!P206))=0),"",IF(AND(ISNUMBER('Raw Data'!P206),'Raw Data'!P206&gt;=Configuration!$D$2),"",_xlfn.REGEXEXTRACT(CELL("address",'Raw Data'!P206),"\$([A-Z]+)\$[0-9]+"))),_xlfn.REGEXEXTRACT(CELL("address",P206), "\$([A-Z]+)\$[0-9]+"))</f>
        <v/>
      </c>
      <c r="Q206" s="7" t="str" cm="1">
        <f t="array" aca="1" ref="Q206" ca="1">IFERROR(IF(OR('Raw Data'!Q206="",LEN(TRIM('Raw Data'!Q206))=0),"",IF(AND(ISNUMBER('Raw Data'!Q206),'Raw Data'!Q206&gt;=Configuration!$D$2),"",_xlfn.REGEXEXTRACT(CELL("address",'Raw Data'!Q206),"\$([A-Z]+)\$[0-9]+"))),_xlfn.REGEXEXTRACT(CELL("address",Q206), "\$([A-Z]+)\$[0-9]+"))</f>
        <v/>
      </c>
      <c r="R206" s="7" t="str" cm="1">
        <f t="array" aca="1" ref="R206" ca="1">IFERROR(IF(OR('Raw Data'!R206="",LEN(TRIM('Raw Data'!R206))=0),"",IF(AND(ISNUMBER('Raw Data'!R206), IFERROR('Raw Data'!R206 = ROUND('Raw Data'!R206, 2),FALSE)),"",_xlfn.REGEXEXTRACT(CELL("address",R206), "\$([A-Z]+)\$[0-9]+"))),_xlfn.REGEXEXTRACT(CELL("address",R206), "\$([A-Z]+)\$[0-9]+"))</f>
        <v/>
      </c>
      <c r="S206" s="7" t="str" cm="1">
        <f t="array" aca="1" ref="S206" ca="1">IFERROR(IF(OR('Raw Data'!S206="",LEN(TRIM('Raw Data'!S206))=0),"",IF(AND(ISNUMBER('Raw Data'!S206), IFERROR('Raw Data'!S206 = ROUND('Raw Data'!S206, 2),FALSE)),"",_xlfn.REGEXEXTRACT(CELL("address",S206), "\$([A-Z]+)\$[0-9]+"))),_xlfn.REGEXEXTRACT(CELL("address",S206), "\$([A-Z]+)\$[0-9]+"))</f>
        <v/>
      </c>
      <c r="T206" s="7" t="str" cm="1">
        <f t="array" aca="1" ref="T206" ca="1">IFERROR(IF(OR('Raw Data'!T206="",LEN(TRIM('Raw Data'!T206))=0),"",IF(AND(ISNUMBER('Raw Data'!T206), IFERROR('Raw Data'!T206 = ROUND('Raw Data'!T206, 2),FALSE)),"",_xlfn.REGEXEXTRACT(CELL("address",T206), "\$([A-Z]+)\$[0-9]+"))),_xlfn.REGEXEXTRACT(CELL("address",T206), "\$([A-Z]+)\$[0-9]+"))</f>
        <v/>
      </c>
      <c r="U206" s="7" t="str" cm="1">
        <f t="array" aca="1" ref="U206" ca="1">IFERROR(IF(OR('Raw Data'!U206="",LEN(TRIM('Raw Data'!U206))=0),"",IF(AND(LEN('Raw Data'!U206) &lt;= 5,LEN('Raw Data'!U206)&gt; 0),"",_xlfn.REGEXEXTRACT(CELL("address",'Raw Data'!U206),"\$([A-Z]+)\$[0-9]+"))),_xlfn.REGEXEXTRACT(CELL("address",'Raw Data'!U206),"\$([A-Z]+)\$[0-9]+"))</f>
        <v/>
      </c>
      <c r="V206" s="7" t="str" cm="1">
        <f t="array" aca="1" ref="V206" ca="1">IFERROR(IF(OR('Raw Data'!V206="",LEN(TRIM('Raw Data'!V206))=0),"",IF(AND(ISNUMBER('Raw Data'!V206), IFERROR('Raw Data'!V206 = ROUND('Raw Data'!V206, 2),FALSE)),"",_xlfn.REGEXEXTRACT(CELL("address",V206), "\$([A-Z]+)\$[0-9]+"))),_xlfn.REGEXEXTRACT(CELL("address",V206), "\$([A-Z]+)\$[0-9]+"))</f>
        <v/>
      </c>
      <c r="W206" s="7" t="str" cm="1">
        <f t="array" aca="1" ref="W206" ca="1">IFERROR(IF(OR('Raw Data'!W206="",LEN(TRIM('Raw Data'!W206))=0),"",IF(AND(ISNUMBER('Raw Data'!W206), IFERROR('Raw Data'!W206 = ROUND('Raw Data'!W206, 2),FALSE)),"",_xlfn.REGEXEXTRACT(CELL("address",W206), "\$([A-Z]+)\$[0-9]+"))),_xlfn.REGEXEXTRACT(CELL("address",W206), "\$([A-Z]+)\$[0-9]+"))</f>
        <v/>
      </c>
      <c r="X206" s="7" t="str" cm="1">
        <f t="array" aca="1" ref="X206" ca="1">IFERROR(IF(OR('Raw Data'!X206="",LEN(TRIM('Raw Data'!X206))=0),"",IF(AND(ISNUMBER('Raw Data'!X206), IFERROR('Raw Data'!X206 = ROUND('Raw Data'!X206, 2),FALSE)),"",_xlfn.REGEXEXTRACT(CELL("address",X206), "\$([A-Z]+)\$[0-9]+"))),_xlfn.REGEXEXTRACT(CELL("address",X206), "\$([A-Z]+)\$[0-9]+"))</f>
        <v/>
      </c>
    </row>
    <row r="207" spans="2:24" x14ac:dyDescent="0.25">
      <c r="B207" s="7" t="str" cm="1">
        <f t="array" aca="1" ref="B207" ca="1">IFERROR(IF(OR('Raw Data'!B207="",LEN(TRIM('Raw Data'!B207))=0),"",IF(AND(LEN('Raw Data'!B207) &lt;= 50,LEN('Raw Data'!B207)&gt; 0),"",_xlfn.REGEXEXTRACT(CELL("address",'Raw Data'!B207),"\$([A-Z]+)\$[0-9]+"))),_xlfn.REGEXEXTRACT(CELL("address",'Raw Data'!B207),"\$([A-Z]+)\$[0-9]+"))</f>
        <v/>
      </c>
      <c r="C207" s="7" t="str" cm="1">
        <f t="array" aca="1" ref="C207" ca="1">IFERROR(IF(OR('Raw Data'!C207="",LEN(TRIM('Raw Data'!C207))=0),"",IF(AND(LEN('Raw Data'!C207) &lt;= 50,LEN('Raw Data'!C207)&gt; 0),"",_xlfn.REGEXEXTRACT(CELL("address",'Raw Data'!C207),"\$([A-Z]+)\$[0-9]+"))),_xlfn.REGEXEXTRACT(CELL("address",'Raw Data'!C207),"\$([A-Z]+)\$[0-9]+"))</f>
        <v/>
      </c>
      <c r="D207" s="7" t="str" cm="1">
        <f t="array" aca="1" ref="D207" ca="1">IFERROR(IF(OR('Raw Data'!D207="",LEN(TRIM('Raw Data'!D207))=0),"",IF(AND(LEN('Raw Data'!D207) &lt;= 255,LEN('Raw Data'!D207)&gt; 0),"",_xlfn.REGEXEXTRACT(CELL("address",'Raw Data'!D207),"\$([A-Z]+)\$[0-9]+"))),_xlfn.REGEXEXTRACT(CELL("address",'Raw Data'!D207),"\$([A-Z]+)\$[0-9]+"))</f>
        <v/>
      </c>
      <c r="E207" s="7" t="str" cm="1">
        <f t="array" aca="1" ref="E207" ca="1">IFERROR(IF(OR('Raw Data'!E207="",LEN(TRIM('Raw Data'!E207))=0),"",IF(AND(ISNUMBER('Raw Data'!E207),'Raw Data'!E207&gt;=Configuration!$D$2),"",_xlfn.REGEXEXTRACT(CELL("address",'Raw Data'!E207),"\$([A-Z]+)\$[0-9]+"))),_xlfn.REGEXEXTRACT(CELL("address",E207), "\$([A-Z]+)\$[0-9]+"))</f>
        <v/>
      </c>
      <c r="F207" s="7" t="str" cm="1">
        <f t="array" aca="1" ref="F207" ca="1">IFERROR(IF(OR('Raw Data'!F207="",LEN(TRIM('Raw Data'!F207))=0),"",IF(AND(LEN('Raw Data'!F207) &lt;= 20,LEN('Raw Data'!F207)&gt; 0),"",_xlfn.REGEXEXTRACT(CELL("address",'Raw Data'!F207),"\$([A-Z]+)\$[0-9]+"))),_xlfn.REGEXEXTRACT(CELL("address",'Raw Data'!F207),"\$([A-Z]+)\$[0-9]+"))</f>
        <v/>
      </c>
      <c r="G207" s="7" t="str" cm="1">
        <f t="array" aca="1" ref="G207" ca="1">IFERROR(IF(OR('Raw Data'!G207="",LEN(TRIM('Raw Data'!G207))=0),"",IF(AND(ISNUMBER('Raw Data'!G207), IFERROR('Raw Data'!G207 = ROUND('Raw Data'!G207, 2),FALSE)),"",_xlfn.REGEXEXTRACT(CELL("address",G207), "\$([A-Z]+)\$[0-9]+"))),_xlfn.REGEXEXTRACT(CELL("address",G207), "\$([A-Z]+)\$[0-9]+"))</f>
        <v/>
      </c>
      <c r="H207" s="7" t="str" cm="1">
        <f t="array" aca="1" ref="H207" ca="1">IFERROR(IF(OR('Raw Data'!H207="",LEN(TRIM('Raw Data'!H207))=0),"",IF(AND(ISNUMBER('Raw Data'!H207), IFERROR('Raw Data'!H207 = ROUND('Raw Data'!H207, 2),FALSE)),"",_xlfn.REGEXEXTRACT(CELL("address",H207), "\$([A-Z]+)\$[0-9]+"))),_xlfn.REGEXEXTRACT(CELL("address",H207), "\$([A-Z]+)\$[0-9]+"))</f>
        <v/>
      </c>
      <c r="I207" s="7" t="str" cm="1">
        <f t="array" aca="1" ref="I207" ca="1">IFERROR(IF(OR('Raw Data'!I207="",LEN(TRIM('Raw Data'!I207))=0),"",IF(AND(LEN('Raw Data'!I207) &lt;= 50,LEN('Raw Data'!I207)&gt; 0),"",_xlfn.REGEXEXTRACT(CELL("address",'Raw Data'!I207),"\$([A-Z]+)\$[0-9]+"))),_xlfn.REGEXEXTRACT(CELL("address",'Raw Data'!I207),"\$([A-Z]+)\$[0-9]+"))</f>
        <v/>
      </c>
      <c r="J207" s="7" t="str" cm="1">
        <f t="array" aca="1" ref="J207" ca="1">IFERROR(IF(OR('Raw Data'!J207="",LEN(TRIM('Raw Data'!J207))=0),"",IF(AND(ISNUMBER('Raw Data'!J207),'Raw Data'!J207&gt;=Configuration!$D$2),"",_xlfn.REGEXEXTRACT(CELL("address",'Raw Data'!J207),"\$([A-Z]+)\$[0-9]+"))),_xlfn.REGEXEXTRACT(CELL("address",J207), "\$([A-Z]+)\$[0-9]+"))</f>
        <v/>
      </c>
      <c r="K207" s="7" t="str" cm="1">
        <f t="array" aca="1" ref="K207" ca="1">IFERROR(IF(OR('Raw Data'!K207="",LEN(TRIM('Raw Data'!K207))=0),"",IF(AND(ISNUMBER('Raw Data'!K207), IFERROR('Raw Data'!K207 = ROUND('Raw Data'!K207, 2),FALSE)),"",_xlfn.REGEXEXTRACT(CELL("address",K207), "\$([A-Z]+)\$[0-9]+"))),_xlfn.REGEXEXTRACT(CELL("address",K207), "\$([A-Z]+)\$[0-9]+"))</f>
        <v/>
      </c>
      <c r="L207" s="7" t="str" cm="1">
        <f t="array" aca="1" ref="L207" ca="1">IFERROR(IF(OR('Raw Data'!L207="",LEN(TRIM('Raw Data'!L207))=0),"",IF(AND(ISNUMBER('Raw Data'!L207), IFERROR('Raw Data'!L207 = ROUND('Raw Data'!L207, 2),FALSE)),"",_xlfn.REGEXEXTRACT(CELL("address",L207), "\$([A-Z]+)\$[0-9]+"))),_xlfn.REGEXEXTRACT(CELL("address",L207), "\$([A-Z]+)\$[0-9]+"))</f>
        <v/>
      </c>
      <c r="M207" s="7" t="str" cm="1">
        <f t="array" aca="1" ref="M207" ca="1">IFERROR(IF(OR('Raw Data'!M207="",LEN(TRIM('Raw Data'!M207))=0),"",IF(AND(ISNUMBER('Raw Data'!M207), IFERROR('Raw Data'!M207 = ROUND('Raw Data'!M207, 2),FALSE)),"",_xlfn.REGEXEXTRACT(CELL("address",M207), "\$([A-Z]+)\$[0-9]+"))),_xlfn.REGEXEXTRACT(CELL("address",M207), "\$([A-Z]+)\$[0-9]+"))</f>
        <v/>
      </c>
      <c r="N207" s="7" t="str" cm="1">
        <f t="array" aca="1" ref="N207" ca="1">IFERROR(IF(OR('Raw Data'!N207="",LEN(TRIM('Raw Data'!N207))=0),"",IF(AND(ISNUMBER('Raw Data'!N207), IFERROR('Raw Data'!N207 = ROUND('Raw Data'!N207, 2),FALSE)),"",_xlfn.REGEXEXTRACT(CELL("address",N207), "\$([A-Z]+)\$[0-9]+"))),_xlfn.REGEXEXTRACT(CELL("address",N207), "\$([A-Z]+)\$[0-9]+"))</f>
        <v/>
      </c>
      <c r="O207" s="7" t="str" cm="1">
        <f t="array" aca="1" ref="O207" ca="1">IFERROR(IF(OR('Raw Data'!O207="",LEN(TRIM('Raw Data'!O207))=0),"",IF(AND(ISNUMBER('Raw Data'!O207), IFERROR('Raw Data'!O207 = ROUND('Raw Data'!O207, 2),FALSE)),"",_xlfn.REGEXEXTRACT(CELL("address",O207), "\$([A-Z]+)\$[0-9]+"))),_xlfn.REGEXEXTRACT(CELL("address",O207), "\$([A-Z]+)\$[0-9]+"))</f>
        <v/>
      </c>
      <c r="P207" s="7" t="str" cm="1">
        <f t="array" aca="1" ref="P207" ca="1">IFERROR(IF(OR('Raw Data'!P207="",LEN(TRIM('Raw Data'!P207))=0),"",IF(AND(ISNUMBER('Raw Data'!P207),'Raw Data'!P207&gt;=Configuration!$D$2),"",_xlfn.REGEXEXTRACT(CELL("address",'Raw Data'!P207),"\$([A-Z]+)\$[0-9]+"))),_xlfn.REGEXEXTRACT(CELL("address",P207), "\$([A-Z]+)\$[0-9]+"))</f>
        <v/>
      </c>
      <c r="Q207" s="7" t="str" cm="1">
        <f t="array" aca="1" ref="Q207" ca="1">IFERROR(IF(OR('Raw Data'!Q207="",LEN(TRIM('Raw Data'!Q207))=0),"",IF(AND(ISNUMBER('Raw Data'!Q207),'Raw Data'!Q207&gt;=Configuration!$D$2),"",_xlfn.REGEXEXTRACT(CELL("address",'Raw Data'!Q207),"\$([A-Z]+)\$[0-9]+"))),_xlfn.REGEXEXTRACT(CELL("address",Q207), "\$([A-Z]+)\$[0-9]+"))</f>
        <v/>
      </c>
      <c r="R207" s="7" t="str" cm="1">
        <f t="array" aca="1" ref="R207" ca="1">IFERROR(IF(OR('Raw Data'!R207="",LEN(TRIM('Raw Data'!R207))=0),"",IF(AND(ISNUMBER('Raw Data'!R207), IFERROR('Raw Data'!R207 = ROUND('Raw Data'!R207, 2),FALSE)),"",_xlfn.REGEXEXTRACT(CELL("address",R207), "\$([A-Z]+)\$[0-9]+"))),_xlfn.REGEXEXTRACT(CELL("address",R207), "\$([A-Z]+)\$[0-9]+"))</f>
        <v/>
      </c>
      <c r="S207" s="7" t="str" cm="1">
        <f t="array" aca="1" ref="S207" ca="1">IFERROR(IF(OR('Raw Data'!S207="",LEN(TRIM('Raw Data'!S207))=0),"",IF(AND(ISNUMBER('Raw Data'!S207), IFERROR('Raw Data'!S207 = ROUND('Raw Data'!S207, 2),FALSE)),"",_xlfn.REGEXEXTRACT(CELL("address",S207), "\$([A-Z]+)\$[0-9]+"))),_xlfn.REGEXEXTRACT(CELL("address",S207), "\$([A-Z]+)\$[0-9]+"))</f>
        <v/>
      </c>
      <c r="T207" s="7" t="str" cm="1">
        <f t="array" aca="1" ref="T207" ca="1">IFERROR(IF(OR('Raw Data'!T207="",LEN(TRIM('Raw Data'!T207))=0),"",IF(AND(ISNUMBER('Raw Data'!T207), IFERROR('Raw Data'!T207 = ROUND('Raw Data'!T207, 2),FALSE)),"",_xlfn.REGEXEXTRACT(CELL("address",T207), "\$([A-Z]+)\$[0-9]+"))),_xlfn.REGEXEXTRACT(CELL("address",T207), "\$([A-Z]+)\$[0-9]+"))</f>
        <v/>
      </c>
      <c r="U207" s="7" t="str" cm="1">
        <f t="array" aca="1" ref="U207" ca="1">IFERROR(IF(OR('Raw Data'!U207="",LEN(TRIM('Raw Data'!U207))=0),"",IF(AND(LEN('Raw Data'!U207) &lt;= 5,LEN('Raw Data'!U207)&gt; 0),"",_xlfn.REGEXEXTRACT(CELL("address",'Raw Data'!U207),"\$([A-Z]+)\$[0-9]+"))),_xlfn.REGEXEXTRACT(CELL("address",'Raw Data'!U207),"\$([A-Z]+)\$[0-9]+"))</f>
        <v/>
      </c>
      <c r="V207" s="7" t="str" cm="1">
        <f t="array" aca="1" ref="V207" ca="1">IFERROR(IF(OR('Raw Data'!V207="",LEN(TRIM('Raw Data'!V207))=0),"",IF(AND(ISNUMBER('Raw Data'!V207), IFERROR('Raw Data'!V207 = ROUND('Raw Data'!V207, 2),FALSE)),"",_xlfn.REGEXEXTRACT(CELL("address",V207), "\$([A-Z]+)\$[0-9]+"))),_xlfn.REGEXEXTRACT(CELL("address",V207), "\$([A-Z]+)\$[0-9]+"))</f>
        <v/>
      </c>
      <c r="W207" s="7" t="str" cm="1">
        <f t="array" aca="1" ref="W207" ca="1">IFERROR(IF(OR('Raw Data'!W207="",LEN(TRIM('Raw Data'!W207))=0),"",IF(AND(ISNUMBER('Raw Data'!W207), IFERROR('Raw Data'!W207 = ROUND('Raw Data'!W207, 2),FALSE)),"",_xlfn.REGEXEXTRACT(CELL("address",W207), "\$([A-Z]+)\$[0-9]+"))),_xlfn.REGEXEXTRACT(CELL("address",W207), "\$([A-Z]+)\$[0-9]+"))</f>
        <v/>
      </c>
      <c r="X207" s="7" t="str" cm="1">
        <f t="array" aca="1" ref="X207" ca="1">IFERROR(IF(OR('Raw Data'!X207="",LEN(TRIM('Raw Data'!X207))=0),"",IF(AND(ISNUMBER('Raw Data'!X207), IFERROR('Raw Data'!X207 = ROUND('Raw Data'!X207, 2),FALSE)),"",_xlfn.REGEXEXTRACT(CELL("address",X207), "\$([A-Z]+)\$[0-9]+"))),_xlfn.REGEXEXTRACT(CELL("address",X207), "\$([A-Z]+)\$[0-9]+"))</f>
        <v/>
      </c>
    </row>
    <row r="208" spans="2:24" x14ac:dyDescent="0.25">
      <c r="B208" s="7" t="str" cm="1">
        <f t="array" aca="1" ref="B208" ca="1">IFERROR(IF(OR('Raw Data'!B208="",LEN(TRIM('Raw Data'!B208))=0),"",IF(AND(LEN('Raw Data'!B208) &lt;= 50,LEN('Raw Data'!B208)&gt; 0),"",_xlfn.REGEXEXTRACT(CELL("address",'Raw Data'!B208),"\$([A-Z]+)\$[0-9]+"))),_xlfn.REGEXEXTRACT(CELL("address",'Raw Data'!B208),"\$([A-Z]+)\$[0-9]+"))</f>
        <v/>
      </c>
      <c r="C208" s="7" t="str" cm="1">
        <f t="array" aca="1" ref="C208" ca="1">IFERROR(IF(OR('Raw Data'!C208="",LEN(TRIM('Raw Data'!C208))=0),"",IF(AND(LEN('Raw Data'!C208) &lt;= 50,LEN('Raw Data'!C208)&gt; 0),"",_xlfn.REGEXEXTRACT(CELL("address",'Raw Data'!C208),"\$([A-Z]+)\$[0-9]+"))),_xlfn.REGEXEXTRACT(CELL("address",'Raw Data'!C208),"\$([A-Z]+)\$[0-9]+"))</f>
        <v/>
      </c>
      <c r="D208" s="7" t="str" cm="1">
        <f t="array" aca="1" ref="D208" ca="1">IFERROR(IF(OR('Raw Data'!D208="",LEN(TRIM('Raw Data'!D208))=0),"",IF(AND(LEN('Raw Data'!D208) &lt;= 255,LEN('Raw Data'!D208)&gt; 0),"",_xlfn.REGEXEXTRACT(CELL("address",'Raw Data'!D208),"\$([A-Z]+)\$[0-9]+"))),_xlfn.REGEXEXTRACT(CELL("address",'Raw Data'!D208),"\$([A-Z]+)\$[0-9]+"))</f>
        <v/>
      </c>
      <c r="E208" s="7" t="str" cm="1">
        <f t="array" aca="1" ref="E208" ca="1">IFERROR(IF(OR('Raw Data'!E208="",LEN(TRIM('Raw Data'!E208))=0),"",IF(AND(ISNUMBER('Raw Data'!E208),'Raw Data'!E208&gt;=Configuration!$D$2),"",_xlfn.REGEXEXTRACT(CELL("address",'Raw Data'!E208),"\$([A-Z]+)\$[0-9]+"))),_xlfn.REGEXEXTRACT(CELL("address",E208), "\$([A-Z]+)\$[0-9]+"))</f>
        <v/>
      </c>
      <c r="F208" s="7" t="str" cm="1">
        <f t="array" aca="1" ref="F208" ca="1">IFERROR(IF(OR('Raw Data'!F208="",LEN(TRIM('Raw Data'!F208))=0),"",IF(AND(LEN('Raw Data'!F208) &lt;= 20,LEN('Raw Data'!F208)&gt; 0),"",_xlfn.REGEXEXTRACT(CELL("address",'Raw Data'!F208),"\$([A-Z]+)\$[0-9]+"))),_xlfn.REGEXEXTRACT(CELL("address",'Raw Data'!F208),"\$([A-Z]+)\$[0-9]+"))</f>
        <v/>
      </c>
      <c r="G208" s="7" t="str" cm="1">
        <f t="array" aca="1" ref="G208" ca="1">IFERROR(IF(OR('Raw Data'!G208="",LEN(TRIM('Raw Data'!G208))=0),"",IF(AND(ISNUMBER('Raw Data'!G208), IFERROR('Raw Data'!G208 = ROUND('Raw Data'!G208, 2),FALSE)),"",_xlfn.REGEXEXTRACT(CELL("address",G208), "\$([A-Z]+)\$[0-9]+"))),_xlfn.REGEXEXTRACT(CELL("address",G208), "\$([A-Z]+)\$[0-9]+"))</f>
        <v/>
      </c>
      <c r="H208" s="7" t="str" cm="1">
        <f t="array" aca="1" ref="H208" ca="1">IFERROR(IF(OR('Raw Data'!H208="",LEN(TRIM('Raw Data'!H208))=0),"",IF(AND(ISNUMBER('Raw Data'!H208), IFERROR('Raw Data'!H208 = ROUND('Raw Data'!H208, 2),FALSE)),"",_xlfn.REGEXEXTRACT(CELL("address",H208), "\$([A-Z]+)\$[0-9]+"))),_xlfn.REGEXEXTRACT(CELL("address",H208), "\$([A-Z]+)\$[0-9]+"))</f>
        <v/>
      </c>
      <c r="I208" s="7" t="str" cm="1">
        <f t="array" aca="1" ref="I208" ca="1">IFERROR(IF(OR('Raw Data'!I208="",LEN(TRIM('Raw Data'!I208))=0),"",IF(AND(LEN('Raw Data'!I208) &lt;= 50,LEN('Raw Data'!I208)&gt; 0),"",_xlfn.REGEXEXTRACT(CELL("address",'Raw Data'!I208),"\$([A-Z]+)\$[0-9]+"))),_xlfn.REGEXEXTRACT(CELL("address",'Raw Data'!I208),"\$([A-Z]+)\$[0-9]+"))</f>
        <v/>
      </c>
      <c r="J208" s="7" t="str" cm="1">
        <f t="array" aca="1" ref="J208" ca="1">IFERROR(IF(OR('Raw Data'!J208="",LEN(TRIM('Raw Data'!J208))=0),"",IF(AND(ISNUMBER('Raw Data'!J208),'Raw Data'!J208&gt;=Configuration!$D$2),"",_xlfn.REGEXEXTRACT(CELL("address",'Raw Data'!J208),"\$([A-Z]+)\$[0-9]+"))),_xlfn.REGEXEXTRACT(CELL("address",J208), "\$([A-Z]+)\$[0-9]+"))</f>
        <v/>
      </c>
      <c r="K208" s="7" t="str" cm="1">
        <f t="array" aca="1" ref="K208" ca="1">IFERROR(IF(OR('Raw Data'!K208="",LEN(TRIM('Raw Data'!K208))=0),"",IF(AND(ISNUMBER('Raw Data'!K208), IFERROR('Raw Data'!K208 = ROUND('Raw Data'!K208, 2),FALSE)),"",_xlfn.REGEXEXTRACT(CELL("address",K208), "\$([A-Z]+)\$[0-9]+"))),_xlfn.REGEXEXTRACT(CELL("address",K208), "\$([A-Z]+)\$[0-9]+"))</f>
        <v/>
      </c>
      <c r="L208" s="7" t="str" cm="1">
        <f t="array" aca="1" ref="L208" ca="1">IFERROR(IF(OR('Raw Data'!L208="",LEN(TRIM('Raw Data'!L208))=0),"",IF(AND(ISNUMBER('Raw Data'!L208), IFERROR('Raw Data'!L208 = ROUND('Raw Data'!L208, 2),FALSE)),"",_xlfn.REGEXEXTRACT(CELL("address",L208), "\$([A-Z]+)\$[0-9]+"))),_xlfn.REGEXEXTRACT(CELL("address",L208), "\$([A-Z]+)\$[0-9]+"))</f>
        <v/>
      </c>
      <c r="M208" s="7" t="str" cm="1">
        <f t="array" aca="1" ref="M208" ca="1">IFERROR(IF(OR('Raw Data'!M208="",LEN(TRIM('Raw Data'!M208))=0),"",IF(AND(ISNUMBER('Raw Data'!M208), IFERROR('Raw Data'!M208 = ROUND('Raw Data'!M208, 2),FALSE)),"",_xlfn.REGEXEXTRACT(CELL("address",M208), "\$([A-Z]+)\$[0-9]+"))),_xlfn.REGEXEXTRACT(CELL("address",M208), "\$([A-Z]+)\$[0-9]+"))</f>
        <v/>
      </c>
      <c r="N208" s="7" t="str" cm="1">
        <f t="array" aca="1" ref="N208" ca="1">IFERROR(IF(OR('Raw Data'!N208="",LEN(TRIM('Raw Data'!N208))=0),"",IF(AND(ISNUMBER('Raw Data'!N208), IFERROR('Raw Data'!N208 = ROUND('Raw Data'!N208, 2),FALSE)),"",_xlfn.REGEXEXTRACT(CELL("address",N208), "\$([A-Z]+)\$[0-9]+"))),_xlfn.REGEXEXTRACT(CELL("address",N208), "\$([A-Z]+)\$[0-9]+"))</f>
        <v/>
      </c>
      <c r="O208" s="7" t="str" cm="1">
        <f t="array" aca="1" ref="O208" ca="1">IFERROR(IF(OR('Raw Data'!O208="",LEN(TRIM('Raw Data'!O208))=0),"",IF(AND(ISNUMBER('Raw Data'!O208), IFERROR('Raw Data'!O208 = ROUND('Raw Data'!O208, 2),FALSE)),"",_xlfn.REGEXEXTRACT(CELL("address",O208), "\$([A-Z]+)\$[0-9]+"))),_xlfn.REGEXEXTRACT(CELL("address",O208), "\$([A-Z]+)\$[0-9]+"))</f>
        <v/>
      </c>
      <c r="P208" s="7" t="str" cm="1">
        <f t="array" aca="1" ref="P208" ca="1">IFERROR(IF(OR('Raw Data'!P208="",LEN(TRIM('Raw Data'!P208))=0),"",IF(AND(ISNUMBER('Raw Data'!P208),'Raw Data'!P208&gt;=Configuration!$D$2),"",_xlfn.REGEXEXTRACT(CELL("address",'Raw Data'!P208),"\$([A-Z]+)\$[0-9]+"))),_xlfn.REGEXEXTRACT(CELL("address",P208), "\$([A-Z]+)\$[0-9]+"))</f>
        <v/>
      </c>
      <c r="Q208" s="7" t="str" cm="1">
        <f t="array" aca="1" ref="Q208" ca="1">IFERROR(IF(OR('Raw Data'!Q208="",LEN(TRIM('Raw Data'!Q208))=0),"",IF(AND(ISNUMBER('Raw Data'!Q208),'Raw Data'!Q208&gt;=Configuration!$D$2),"",_xlfn.REGEXEXTRACT(CELL("address",'Raw Data'!Q208),"\$([A-Z]+)\$[0-9]+"))),_xlfn.REGEXEXTRACT(CELL("address",Q208), "\$([A-Z]+)\$[0-9]+"))</f>
        <v/>
      </c>
      <c r="R208" s="7" t="str" cm="1">
        <f t="array" aca="1" ref="R208" ca="1">IFERROR(IF(OR('Raw Data'!R208="",LEN(TRIM('Raw Data'!R208))=0),"",IF(AND(ISNUMBER('Raw Data'!R208), IFERROR('Raw Data'!R208 = ROUND('Raw Data'!R208, 2),FALSE)),"",_xlfn.REGEXEXTRACT(CELL("address",R208), "\$([A-Z]+)\$[0-9]+"))),_xlfn.REGEXEXTRACT(CELL("address",R208), "\$([A-Z]+)\$[0-9]+"))</f>
        <v/>
      </c>
      <c r="S208" s="7" t="str" cm="1">
        <f t="array" aca="1" ref="S208" ca="1">IFERROR(IF(OR('Raw Data'!S208="",LEN(TRIM('Raw Data'!S208))=0),"",IF(AND(ISNUMBER('Raw Data'!S208), IFERROR('Raw Data'!S208 = ROUND('Raw Data'!S208, 2),FALSE)),"",_xlfn.REGEXEXTRACT(CELL("address",S208), "\$([A-Z]+)\$[0-9]+"))),_xlfn.REGEXEXTRACT(CELL("address",S208), "\$([A-Z]+)\$[0-9]+"))</f>
        <v/>
      </c>
      <c r="T208" s="7" t="str" cm="1">
        <f t="array" aca="1" ref="T208" ca="1">IFERROR(IF(OR('Raw Data'!T208="",LEN(TRIM('Raw Data'!T208))=0),"",IF(AND(ISNUMBER('Raw Data'!T208), IFERROR('Raw Data'!T208 = ROUND('Raw Data'!T208, 2),FALSE)),"",_xlfn.REGEXEXTRACT(CELL("address",T208), "\$([A-Z]+)\$[0-9]+"))),_xlfn.REGEXEXTRACT(CELL("address",T208), "\$([A-Z]+)\$[0-9]+"))</f>
        <v/>
      </c>
      <c r="U208" s="7" t="str" cm="1">
        <f t="array" aca="1" ref="U208" ca="1">IFERROR(IF(OR('Raw Data'!U208="",LEN(TRIM('Raw Data'!U208))=0),"",IF(AND(LEN('Raw Data'!U208) &lt;= 5,LEN('Raw Data'!U208)&gt; 0),"",_xlfn.REGEXEXTRACT(CELL("address",'Raw Data'!U208),"\$([A-Z]+)\$[0-9]+"))),_xlfn.REGEXEXTRACT(CELL("address",'Raw Data'!U208),"\$([A-Z]+)\$[0-9]+"))</f>
        <v/>
      </c>
      <c r="V208" s="7" t="str" cm="1">
        <f t="array" aca="1" ref="V208" ca="1">IFERROR(IF(OR('Raw Data'!V208="",LEN(TRIM('Raw Data'!V208))=0),"",IF(AND(ISNUMBER('Raw Data'!V208), IFERROR('Raw Data'!V208 = ROUND('Raw Data'!V208, 2),FALSE)),"",_xlfn.REGEXEXTRACT(CELL("address",V208), "\$([A-Z]+)\$[0-9]+"))),_xlfn.REGEXEXTRACT(CELL("address",V208), "\$([A-Z]+)\$[0-9]+"))</f>
        <v/>
      </c>
      <c r="W208" s="7" t="str" cm="1">
        <f t="array" aca="1" ref="W208" ca="1">IFERROR(IF(OR('Raw Data'!W208="",LEN(TRIM('Raw Data'!W208))=0),"",IF(AND(ISNUMBER('Raw Data'!W208), IFERROR('Raw Data'!W208 = ROUND('Raw Data'!W208, 2),FALSE)),"",_xlfn.REGEXEXTRACT(CELL("address",W208), "\$([A-Z]+)\$[0-9]+"))),_xlfn.REGEXEXTRACT(CELL("address",W208), "\$([A-Z]+)\$[0-9]+"))</f>
        <v/>
      </c>
      <c r="X208" s="7" t="str" cm="1">
        <f t="array" aca="1" ref="X208" ca="1">IFERROR(IF(OR('Raw Data'!X208="",LEN(TRIM('Raw Data'!X208))=0),"",IF(AND(ISNUMBER('Raw Data'!X208), IFERROR('Raw Data'!X208 = ROUND('Raw Data'!X208, 2),FALSE)),"",_xlfn.REGEXEXTRACT(CELL("address",X208), "\$([A-Z]+)\$[0-9]+"))),_xlfn.REGEXEXTRACT(CELL("address",X208), "\$([A-Z]+)\$[0-9]+"))</f>
        <v/>
      </c>
    </row>
    <row r="209" spans="2:24" x14ac:dyDescent="0.25">
      <c r="B209" s="7" t="str" cm="1">
        <f t="array" aca="1" ref="B209" ca="1">IFERROR(IF(OR('Raw Data'!B209="",LEN(TRIM('Raw Data'!B209))=0),"",IF(AND(LEN('Raw Data'!B209) &lt;= 50,LEN('Raw Data'!B209)&gt; 0),"",_xlfn.REGEXEXTRACT(CELL("address",'Raw Data'!B209),"\$([A-Z]+)\$[0-9]+"))),_xlfn.REGEXEXTRACT(CELL("address",'Raw Data'!B209),"\$([A-Z]+)\$[0-9]+"))</f>
        <v/>
      </c>
      <c r="C209" s="7" t="str" cm="1">
        <f t="array" aca="1" ref="C209" ca="1">IFERROR(IF(OR('Raw Data'!C209="",LEN(TRIM('Raw Data'!C209))=0),"",IF(AND(LEN('Raw Data'!C209) &lt;= 50,LEN('Raw Data'!C209)&gt; 0),"",_xlfn.REGEXEXTRACT(CELL("address",'Raw Data'!C209),"\$([A-Z]+)\$[0-9]+"))),_xlfn.REGEXEXTRACT(CELL("address",'Raw Data'!C209),"\$([A-Z]+)\$[0-9]+"))</f>
        <v/>
      </c>
      <c r="D209" s="7" t="str" cm="1">
        <f t="array" aca="1" ref="D209" ca="1">IFERROR(IF(OR('Raw Data'!D209="",LEN(TRIM('Raw Data'!D209))=0),"",IF(AND(LEN('Raw Data'!D209) &lt;= 255,LEN('Raw Data'!D209)&gt; 0),"",_xlfn.REGEXEXTRACT(CELL("address",'Raw Data'!D209),"\$([A-Z]+)\$[0-9]+"))),_xlfn.REGEXEXTRACT(CELL("address",'Raw Data'!D209),"\$([A-Z]+)\$[0-9]+"))</f>
        <v/>
      </c>
      <c r="E209" s="7" t="str" cm="1">
        <f t="array" aca="1" ref="E209" ca="1">IFERROR(IF(OR('Raw Data'!E209="",LEN(TRIM('Raw Data'!E209))=0),"",IF(AND(ISNUMBER('Raw Data'!E209),'Raw Data'!E209&gt;=Configuration!$D$2),"",_xlfn.REGEXEXTRACT(CELL("address",'Raw Data'!E209),"\$([A-Z]+)\$[0-9]+"))),_xlfn.REGEXEXTRACT(CELL("address",E209), "\$([A-Z]+)\$[0-9]+"))</f>
        <v/>
      </c>
      <c r="F209" s="7" t="str" cm="1">
        <f t="array" aca="1" ref="F209" ca="1">IFERROR(IF(OR('Raw Data'!F209="",LEN(TRIM('Raw Data'!F209))=0),"",IF(AND(LEN('Raw Data'!F209) &lt;= 20,LEN('Raw Data'!F209)&gt; 0),"",_xlfn.REGEXEXTRACT(CELL("address",'Raw Data'!F209),"\$([A-Z]+)\$[0-9]+"))),_xlfn.REGEXEXTRACT(CELL("address",'Raw Data'!F209),"\$([A-Z]+)\$[0-9]+"))</f>
        <v/>
      </c>
      <c r="G209" s="7" t="str" cm="1">
        <f t="array" aca="1" ref="G209" ca="1">IFERROR(IF(OR('Raw Data'!G209="",LEN(TRIM('Raw Data'!G209))=0),"",IF(AND(ISNUMBER('Raw Data'!G209), IFERROR('Raw Data'!G209 = ROUND('Raw Data'!G209, 2),FALSE)),"",_xlfn.REGEXEXTRACT(CELL("address",G209), "\$([A-Z]+)\$[0-9]+"))),_xlfn.REGEXEXTRACT(CELL("address",G209), "\$([A-Z]+)\$[0-9]+"))</f>
        <v/>
      </c>
      <c r="H209" s="7" t="str" cm="1">
        <f t="array" aca="1" ref="H209" ca="1">IFERROR(IF(OR('Raw Data'!H209="",LEN(TRIM('Raw Data'!H209))=0),"",IF(AND(ISNUMBER('Raw Data'!H209), IFERROR('Raw Data'!H209 = ROUND('Raw Data'!H209, 2),FALSE)),"",_xlfn.REGEXEXTRACT(CELL("address",H209), "\$([A-Z]+)\$[0-9]+"))),_xlfn.REGEXEXTRACT(CELL("address",H209), "\$([A-Z]+)\$[0-9]+"))</f>
        <v/>
      </c>
      <c r="I209" s="7" t="str" cm="1">
        <f t="array" aca="1" ref="I209" ca="1">IFERROR(IF(OR('Raw Data'!I209="",LEN(TRIM('Raw Data'!I209))=0),"",IF(AND(LEN('Raw Data'!I209) &lt;= 50,LEN('Raw Data'!I209)&gt; 0),"",_xlfn.REGEXEXTRACT(CELL("address",'Raw Data'!I209),"\$([A-Z]+)\$[0-9]+"))),_xlfn.REGEXEXTRACT(CELL("address",'Raw Data'!I209),"\$([A-Z]+)\$[0-9]+"))</f>
        <v/>
      </c>
      <c r="J209" s="7" t="str" cm="1">
        <f t="array" aca="1" ref="J209" ca="1">IFERROR(IF(OR('Raw Data'!J209="",LEN(TRIM('Raw Data'!J209))=0),"",IF(AND(ISNUMBER('Raw Data'!J209),'Raw Data'!J209&gt;=Configuration!$D$2),"",_xlfn.REGEXEXTRACT(CELL("address",'Raw Data'!J209),"\$([A-Z]+)\$[0-9]+"))),_xlfn.REGEXEXTRACT(CELL("address",J209), "\$([A-Z]+)\$[0-9]+"))</f>
        <v/>
      </c>
      <c r="K209" s="7" t="str" cm="1">
        <f t="array" aca="1" ref="K209" ca="1">IFERROR(IF(OR('Raw Data'!K209="",LEN(TRIM('Raw Data'!K209))=0),"",IF(AND(ISNUMBER('Raw Data'!K209), IFERROR('Raw Data'!K209 = ROUND('Raw Data'!K209, 2),FALSE)),"",_xlfn.REGEXEXTRACT(CELL("address",K209), "\$([A-Z]+)\$[0-9]+"))),_xlfn.REGEXEXTRACT(CELL("address",K209), "\$([A-Z]+)\$[0-9]+"))</f>
        <v/>
      </c>
      <c r="L209" s="7" t="str" cm="1">
        <f t="array" aca="1" ref="L209" ca="1">IFERROR(IF(OR('Raw Data'!L209="",LEN(TRIM('Raw Data'!L209))=0),"",IF(AND(ISNUMBER('Raw Data'!L209), IFERROR('Raw Data'!L209 = ROUND('Raw Data'!L209, 2),FALSE)),"",_xlfn.REGEXEXTRACT(CELL("address",L209), "\$([A-Z]+)\$[0-9]+"))),_xlfn.REGEXEXTRACT(CELL("address",L209), "\$([A-Z]+)\$[0-9]+"))</f>
        <v/>
      </c>
      <c r="M209" s="7" t="str" cm="1">
        <f t="array" aca="1" ref="M209" ca="1">IFERROR(IF(OR('Raw Data'!M209="",LEN(TRIM('Raw Data'!M209))=0),"",IF(AND(ISNUMBER('Raw Data'!M209), IFERROR('Raw Data'!M209 = ROUND('Raw Data'!M209, 2),FALSE)),"",_xlfn.REGEXEXTRACT(CELL("address",M209), "\$([A-Z]+)\$[0-9]+"))),_xlfn.REGEXEXTRACT(CELL("address",M209), "\$([A-Z]+)\$[0-9]+"))</f>
        <v/>
      </c>
      <c r="N209" s="7" t="str" cm="1">
        <f t="array" aca="1" ref="N209" ca="1">IFERROR(IF(OR('Raw Data'!N209="",LEN(TRIM('Raw Data'!N209))=0),"",IF(AND(ISNUMBER('Raw Data'!N209), IFERROR('Raw Data'!N209 = ROUND('Raw Data'!N209, 2),FALSE)),"",_xlfn.REGEXEXTRACT(CELL("address",N209), "\$([A-Z]+)\$[0-9]+"))),_xlfn.REGEXEXTRACT(CELL("address",N209), "\$([A-Z]+)\$[0-9]+"))</f>
        <v/>
      </c>
      <c r="O209" s="7" t="str" cm="1">
        <f t="array" aca="1" ref="O209" ca="1">IFERROR(IF(OR('Raw Data'!O209="",LEN(TRIM('Raw Data'!O209))=0),"",IF(AND(ISNUMBER('Raw Data'!O209), IFERROR('Raw Data'!O209 = ROUND('Raw Data'!O209, 2),FALSE)),"",_xlfn.REGEXEXTRACT(CELL("address",O209), "\$([A-Z]+)\$[0-9]+"))),_xlfn.REGEXEXTRACT(CELL("address",O209), "\$([A-Z]+)\$[0-9]+"))</f>
        <v/>
      </c>
      <c r="P209" s="7" t="str" cm="1">
        <f t="array" aca="1" ref="P209" ca="1">IFERROR(IF(OR('Raw Data'!P209="",LEN(TRIM('Raw Data'!P209))=0),"",IF(AND(ISNUMBER('Raw Data'!P209),'Raw Data'!P209&gt;=Configuration!$D$2),"",_xlfn.REGEXEXTRACT(CELL("address",'Raw Data'!P209),"\$([A-Z]+)\$[0-9]+"))),_xlfn.REGEXEXTRACT(CELL("address",P209), "\$([A-Z]+)\$[0-9]+"))</f>
        <v/>
      </c>
      <c r="Q209" s="7" t="str" cm="1">
        <f t="array" aca="1" ref="Q209" ca="1">IFERROR(IF(OR('Raw Data'!Q209="",LEN(TRIM('Raw Data'!Q209))=0),"",IF(AND(ISNUMBER('Raw Data'!Q209),'Raw Data'!Q209&gt;=Configuration!$D$2),"",_xlfn.REGEXEXTRACT(CELL("address",'Raw Data'!Q209),"\$([A-Z]+)\$[0-9]+"))),_xlfn.REGEXEXTRACT(CELL("address",Q209), "\$([A-Z]+)\$[0-9]+"))</f>
        <v/>
      </c>
      <c r="R209" s="7" t="str" cm="1">
        <f t="array" aca="1" ref="R209" ca="1">IFERROR(IF(OR('Raw Data'!R209="",LEN(TRIM('Raw Data'!R209))=0),"",IF(AND(ISNUMBER('Raw Data'!R209), IFERROR('Raw Data'!R209 = ROUND('Raw Data'!R209, 2),FALSE)),"",_xlfn.REGEXEXTRACT(CELL("address",R209), "\$([A-Z]+)\$[0-9]+"))),_xlfn.REGEXEXTRACT(CELL("address",R209), "\$([A-Z]+)\$[0-9]+"))</f>
        <v/>
      </c>
      <c r="S209" s="7" t="str" cm="1">
        <f t="array" aca="1" ref="S209" ca="1">IFERROR(IF(OR('Raw Data'!S209="",LEN(TRIM('Raw Data'!S209))=0),"",IF(AND(ISNUMBER('Raw Data'!S209), IFERROR('Raw Data'!S209 = ROUND('Raw Data'!S209, 2),FALSE)),"",_xlfn.REGEXEXTRACT(CELL("address",S209), "\$([A-Z]+)\$[0-9]+"))),_xlfn.REGEXEXTRACT(CELL("address",S209), "\$([A-Z]+)\$[0-9]+"))</f>
        <v/>
      </c>
      <c r="T209" s="7" t="str" cm="1">
        <f t="array" aca="1" ref="T209" ca="1">IFERROR(IF(OR('Raw Data'!T209="",LEN(TRIM('Raw Data'!T209))=0),"",IF(AND(ISNUMBER('Raw Data'!T209), IFERROR('Raw Data'!T209 = ROUND('Raw Data'!T209, 2),FALSE)),"",_xlfn.REGEXEXTRACT(CELL("address",T209), "\$([A-Z]+)\$[0-9]+"))),_xlfn.REGEXEXTRACT(CELL("address",T209), "\$([A-Z]+)\$[0-9]+"))</f>
        <v/>
      </c>
      <c r="U209" s="7" t="str" cm="1">
        <f t="array" aca="1" ref="U209" ca="1">IFERROR(IF(OR('Raw Data'!U209="",LEN(TRIM('Raw Data'!U209))=0),"",IF(AND(LEN('Raw Data'!U209) &lt;= 5,LEN('Raw Data'!U209)&gt; 0),"",_xlfn.REGEXEXTRACT(CELL("address",'Raw Data'!U209),"\$([A-Z]+)\$[0-9]+"))),_xlfn.REGEXEXTRACT(CELL("address",'Raw Data'!U209),"\$([A-Z]+)\$[0-9]+"))</f>
        <v/>
      </c>
      <c r="V209" s="7" t="str" cm="1">
        <f t="array" aca="1" ref="V209" ca="1">IFERROR(IF(OR('Raw Data'!V209="",LEN(TRIM('Raw Data'!V209))=0),"",IF(AND(ISNUMBER('Raw Data'!V209), IFERROR('Raw Data'!V209 = ROUND('Raw Data'!V209, 2),FALSE)),"",_xlfn.REGEXEXTRACT(CELL("address",V209), "\$([A-Z]+)\$[0-9]+"))),_xlfn.REGEXEXTRACT(CELL("address",V209), "\$([A-Z]+)\$[0-9]+"))</f>
        <v/>
      </c>
      <c r="W209" s="7" t="str" cm="1">
        <f t="array" aca="1" ref="W209" ca="1">IFERROR(IF(OR('Raw Data'!W209="",LEN(TRIM('Raw Data'!W209))=0),"",IF(AND(ISNUMBER('Raw Data'!W209), IFERROR('Raw Data'!W209 = ROUND('Raw Data'!W209, 2),FALSE)),"",_xlfn.REGEXEXTRACT(CELL("address",W209), "\$([A-Z]+)\$[0-9]+"))),_xlfn.REGEXEXTRACT(CELL("address",W209), "\$([A-Z]+)\$[0-9]+"))</f>
        <v/>
      </c>
      <c r="X209" s="7" t="str" cm="1">
        <f t="array" aca="1" ref="X209" ca="1">IFERROR(IF(OR('Raw Data'!X209="",LEN(TRIM('Raw Data'!X209))=0),"",IF(AND(ISNUMBER('Raw Data'!X209), IFERROR('Raw Data'!X209 = ROUND('Raw Data'!X209, 2),FALSE)),"",_xlfn.REGEXEXTRACT(CELL("address",X209), "\$([A-Z]+)\$[0-9]+"))),_xlfn.REGEXEXTRACT(CELL("address",X209), "\$([A-Z]+)\$[0-9]+"))</f>
        <v/>
      </c>
    </row>
    <row r="210" spans="2:24" x14ac:dyDescent="0.25">
      <c r="B210" s="7" t="str" cm="1">
        <f t="array" aca="1" ref="B210" ca="1">IFERROR(IF(OR('Raw Data'!B210="",LEN(TRIM('Raw Data'!B210))=0),"",IF(AND(LEN('Raw Data'!B210) &lt;= 50,LEN('Raw Data'!B210)&gt; 0),"",_xlfn.REGEXEXTRACT(CELL("address",'Raw Data'!B210),"\$([A-Z]+)\$[0-9]+"))),_xlfn.REGEXEXTRACT(CELL("address",'Raw Data'!B210),"\$([A-Z]+)\$[0-9]+"))</f>
        <v/>
      </c>
      <c r="C210" s="7" t="str" cm="1">
        <f t="array" aca="1" ref="C210" ca="1">IFERROR(IF(OR('Raw Data'!C210="",LEN(TRIM('Raw Data'!C210))=0),"",IF(AND(LEN('Raw Data'!C210) &lt;= 50,LEN('Raw Data'!C210)&gt; 0),"",_xlfn.REGEXEXTRACT(CELL("address",'Raw Data'!C210),"\$([A-Z]+)\$[0-9]+"))),_xlfn.REGEXEXTRACT(CELL("address",'Raw Data'!C210),"\$([A-Z]+)\$[0-9]+"))</f>
        <v/>
      </c>
      <c r="D210" s="7" t="str" cm="1">
        <f t="array" aca="1" ref="D210" ca="1">IFERROR(IF(OR('Raw Data'!D210="",LEN(TRIM('Raw Data'!D210))=0),"",IF(AND(LEN('Raw Data'!D210) &lt;= 255,LEN('Raw Data'!D210)&gt; 0),"",_xlfn.REGEXEXTRACT(CELL("address",'Raw Data'!D210),"\$([A-Z]+)\$[0-9]+"))),_xlfn.REGEXEXTRACT(CELL("address",'Raw Data'!D210),"\$([A-Z]+)\$[0-9]+"))</f>
        <v/>
      </c>
      <c r="E210" s="7" t="str" cm="1">
        <f t="array" aca="1" ref="E210" ca="1">IFERROR(IF(OR('Raw Data'!E210="",LEN(TRIM('Raw Data'!E210))=0),"",IF(AND(ISNUMBER('Raw Data'!E210),'Raw Data'!E210&gt;=Configuration!$D$2),"",_xlfn.REGEXEXTRACT(CELL("address",'Raw Data'!E210),"\$([A-Z]+)\$[0-9]+"))),_xlfn.REGEXEXTRACT(CELL("address",E210), "\$([A-Z]+)\$[0-9]+"))</f>
        <v/>
      </c>
      <c r="F210" s="7" t="str" cm="1">
        <f t="array" aca="1" ref="F210" ca="1">IFERROR(IF(OR('Raw Data'!F210="",LEN(TRIM('Raw Data'!F210))=0),"",IF(AND(LEN('Raw Data'!F210) &lt;= 20,LEN('Raw Data'!F210)&gt; 0),"",_xlfn.REGEXEXTRACT(CELL("address",'Raw Data'!F210),"\$([A-Z]+)\$[0-9]+"))),_xlfn.REGEXEXTRACT(CELL("address",'Raw Data'!F210),"\$([A-Z]+)\$[0-9]+"))</f>
        <v/>
      </c>
      <c r="G210" s="7" t="str" cm="1">
        <f t="array" aca="1" ref="G210" ca="1">IFERROR(IF(OR('Raw Data'!G210="",LEN(TRIM('Raw Data'!G210))=0),"",IF(AND(ISNUMBER('Raw Data'!G210), IFERROR('Raw Data'!G210 = ROUND('Raw Data'!G210, 2),FALSE)),"",_xlfn.REGEXEXTRACT(CELL("address",G210), "\$([A-Z]+)\$[0-9]+"))),_xlfn.REGEXEXTRACT(CELL("address",G210), "\$([A-Z]+)\$[0-9]+"))</f>
        <v/>
      </c>
      <c r="H210" s="7" t="str" cm="1">
        <f t="array" aca="1" ref="H210" ca="1">IFERROR(IF(OR('Raw Data'!H210="",LEN(TRIM('Raw Data'!H210))=0),"",IF(AND(ISNUMBER('Raw Data'!H210), IFERROR('Raw Data'!H210 = ROUND('Raw Data'!H210, 2),FALSE)),"",_xlfn.REGEXEXTRACT(CELL("address",H210), "\$([A-Z]+)\$[0-9]+"))),_xlfn.REGEXEXTRACT(CELL("address",H210), "\$([A-Z]+)\$[0-9]+"))</f>
        <v/>
      </c>
      <c r="I210" s="7" t="str" cm="1">
        <f t="array" aca="1" ref="I210" ca="1">IFERROR(IF(OR('Raw Data'!I210="",LEN(TRIM('Raw Data'!I210))=0),"",IF(AND(LEN('Raw Data'!I210) &lt;= 50,LEN('Raw Data'!I210)&gt; 0),"",_xlfn.REGEXEXTRACT(CELL("address",'Raw Data'!I210),"\$([A-Z]+)\$[0-9]+"))),_xlfn.REGEXEXTRACT(CELL("address",'Raw Data'!I210),"\$([A-Z]+)\$[0-9]+"))</f>
        <v/>
      </c>
      <c r="J210" s="7" t="str" cm="1">
        <f t="array" aca="1" ref="J210" ca="1">IFERROR(IF(OR('Raw Data'!J210="",LEN(TRIM('Raw Data'!J210))=0),"",IF(AND(ISNUMBER('Raw Data'!J210),'Raw Data'!J210&gt;=Configuration!$D$2),"",_xlfn.REGEXEXTRACT(CELL("address",'Raw Data'!J210),"\$([A-Z]+)\$[0-9]+"))),_xlfn.REGEXEXTRACT(CELL("address",J210), "\$([A-Z]+)\$[0-9]+"))</f>
        <v/>
      </c>
      <c r="K210" s="7" t="str" cm="1">
        <f t="array" aca="1" ref="K210" ca="1">IFERROR(IF(OR('Raw Data'!K210="",LEN(TRIM('Raw Data'!K210))=0),"",IF(AND(ISNUMBER('Raw Data'!K210), IFERROR('Raw Data'!K210 = ROUND('Raw Data'!K210, 2),FALSE)),"",_xlfn.REGEXEXTRACT(CELL("address",K210), "\$([A-Z]+)\$[0-9]+"))),_xlfn.REGEXEXTRACT(CELL("address",K210), "\$([A-Z]+)\$[0-9]+"))</f>
        <v/>
      </c>
      <c r="L210" s="7" t="str" cm="1">
        <f t="array" aca="1" ref="L210" ca="1">IFERROR(IF(OR('Raw Data'!L210="",LEN(TRIM('Raw Data'!L210))=0),"",IF(AND(ISNUMBER('Raw Data'!L210), IFERROR('Raw Data'!L210 = ROUND('Raw Data'!L210, 2),FALSE)),"",_xlfn.REGEXEXTRACT(CELL("address",L210), "\$([A-Z]+)\$[0-9]+"))),_xlfn.REGEXEXTRACT(CELL("address",L210), "\$([A-Z]+)\$[0-9]+"))</f>
        <v/>
      </c>
      <c r="M210" s="7" t="str" cm="1">
        <f t="array" aca="1" ref="M210" ca="1">IFERROR(IF(OR('Raw Data'!M210="",LEN(TRIM('Raw Data'!M210))=0),"",IF(AND(ISNUMBER('Raw Data'!M210), IFERROR('Raw Data'!M210 = ROUND('Raw Data'!M210, 2),FALSE)),"",_xlfn.REGEXEXTRACT(CELL("address",M210), "\$([A-Z]+)\$[0-9]+"))),_xlfn.REGEXEXTRACT(CELL("address",M210), "\$([A-Z]+)\$[0-9]+"))</f>
        <v/>
      </c>
      <c r="N210" s="7" t="str" cm="1">
        <f t="array" aca="1" ref="N210" ca="1">IFERROR(IF(OR('Raw Data'!N210="",LEN(TRIM('Raw Data'!N210))=0),"",IF(AND(ISNUMBER('Raw Data'!N210), IFERROR('Raw Data'!N210 = ROUND('Raw Data'!N210, 2),FALSE)),"",_xlfn.REGEXEXTRACT(CELL("address",N210), "\$([A-Z]+)\$[0-9]+"))),_xlfn.REGEXEXTRACT(CELL("address",N210), "\$([A-Z]+)\$[0-9]+"))</f>
        <v/>
      </c>
      <c r="O210" s="7" t="str" cm="1">
        <f t="array" aca="1" ref="O210" ca="1">IFERROR(IF(OR('Raw Data'!O210="",LEN(TRIM('Raw Data'!O210))=0),"",IF(AND(ISNUMBER('Raw Data'!O210), IFERROR('Raw Data'!O210 = ROUND('Raw Data'!O210, 2),FALSE)),"",_xlfn.REGEXEXTRACT(CELL("address",O210), "\$([A-Z]+)\$[0-9]+"))),_xlfn.REGEXEXTRACT(CELL("address",O210), "\$([A-Z]+)\$[0-9]+"))</f>
        <v/>
      </c>
      <c r="P210" s="7" t="str" cm="1">
        <f t="array" aca="1" ref="P210" ca="1">IFERROR(IF(OR('Raw Data'!P210="",LEN(TRIM('Raw Data'!P210))=0),"",IF(AND(ISNUMBER('Raw Data'!P210),'Raw Data'!P210&gt;=Configuration!$D$2),"",_xlfn.REGEXEXTRACT(CELL("address",'Raw Data'!P210),"\$([A-Z]+)\$[0-9]+"))),_xlfn.REGEXEXTRACT(CELL("address",P210), "\$([A-Z]+)\$[0-9]+"))</f>
        <v/>
      </c>
      <c r="Q210" s="7" t="str" cm="1">
        <f t="array" aca="1" ref="Q210" ca="1">IFERROR(IF(OR('Raw Data'!Q210="",LEN(TRIM('Raw Data'!Q210))=0),"",IF(AND(ISNUMBER('Raw Data'!Q210),'Raw Data'!Q210&gt;=Configuration!$D$2),"",_xlfn.REGEXEXTRACT(CELL("address",'Raw Data'!Q210),"\$([A-Z]+)\$[0-9]+"))),_xlfn.REGEXEXTRACT(CELL("address",Q210), "\$([A-Z]+)\$[0-9]+"))</f>
        <v/>
      </c>
      <c r="R210" s="7" t="str" cm="1">
        <f t="array" aca="1" ref="R210" ca="1">IFERROR(IF(OR('Raw Data'!R210="",LEN(TRIM('Raw Data'!R210))=0),"",IF(AND(ISNUMBER('Raw Data'!R210), IFERROR('Raw Data'!R210 = ROUND('Raw Data'!R210, 2),FALSE)),"",_xlfn.REGEXEXTRACT(CELL("address",R210), "\$([A-Z]+)\$[0-9]+"))),_xlfn.REGEXEXTRACT(CELL("address",R210), "\$([A-Z]+)\$[0-9]+"))</f>
        <v/>
      </c>
      <c r="S210" s="7" t="str" cm="1">
        <f t="array" aca="1" ref="S210" ca="1">IFERROR(IF(OR('Raw Data'!S210="",LEN(TRIM('Raw Data'!S210))=0),"",IF(AND(ISNUMBER('Raw Data'!S210), IFERROR('Raw Data'!S210 = ROUND('Raw Data'!S210, 2),FALSE)),"",_xlfn.REGEXEXTRACT(CELL("address",S210), "\$([A-Z]+)\$[0-9]+"))),_xlfn.REGEXEXTRACT(CELL("address",S210), "\$([A-Z]+)\$[0-9]+"))</f>
        <v/>
      </c>
      <c r="T210" s="7" t="str" cm="1">
        <f t="array" aca="1" ref="T210" ca="1">IFERROR(IF(OR('Raw Data'!T210="",LEN(TRIM('Raw Data'!T210))=0),"",IF(AND(ISNUMBER('Raw Data'!T210), IFERROR('Raw Data'!T210 = ROUND('Raw Data'!T210, 2),FALSE)),"",_xlfn.REGEXEXTRACT(CELL("address",T210), "\$([A-Z]+)\$[0-9]+"))),_xlfn.REGEXEXTRACT(CELL("address",T210), "\$([A-Z]+)\$[0-9]+"))</f>
        <v/>
      </c>
      <c r="U210" s="7" t="str" cm="1">
        <f t="array" aca="1" ref="U210" ca="1">IFERROR(IF(OR('Raw Data'!U210="",LEN(TRIM('Raw Data'!U210))=0),"",IF(AND(LEN('Raw Data'!U210) &lt;= 5,LEN('Raw Data'!U210)&gt; 0),"",_xlfn.REGEXEXTRACT(CELL("address",'Raw Data'!U210),"\$([A-Z]+)\$[0-9]+"))),_xlfn.REGEXEXTRACT(CELL("address",'Raw Data'!U210),"\$([A-Z]+)\$[0-9]+"))</f>
        <v/>
      </c>
      <c r="V210" s="7" t="str" cm="1">
        <f t="array" aca="1" ref="V210" ca="1">IFERROR(IF(OR('Raw Data'!V210="",LEN(TRIM('Raw Data'!V210))=0),"",IF(AND(ISNUMBER('Raw Data'!V210), IFERROR('Raw Data'!V210 = ROUND('Raw Data'!V210, 2),FALSE)),"",_xlfn.REGEXEXTRACT(CELL("address",V210), "\$([A-Z]+)\$[0-9]+"))),_xlfn.REGEXEXTRACT(CELL("address",V210), "\$([A-Z]+)\$[0-9]+"))</f>
        <v/>
      </c>
      <c r="W210" s="7" t="str" cm="1">
        <f t="array" aca="1" ref="W210" ca="1">IFERROR(IF(OR('Raw Data'!W210="",LEN(TRIM('Raw Data'!W210))=0),"",IF(AND(ISNUMBER('Raw Data'!W210), IFERROR('Raw Data'!W210 = ROUND('Raw Data'!W210, 2),FALSE)),"",_xlfn.REGEXEXTRACT(CELL("address",W210), "\$([A-Z]+)\$[0-9]+"))),_xlfn.REGEXEXTRACT(CELL("address",W210), "\$([A-Z]+)\$[0-9]+"))</f>
        <v/>
      </c>
      <c r="X210" s="7" t="str" cm="1">
        <f t="array" aca="1" ref="X210" ca="1">IFERROR(IF(OR('Raw Data'!X210="",LEN(TRIM('Raw Data'!X210))=0),"",IF(AND(ISNUMBER('Raw Data'!X210), IFERROR('Raw Data'!X210 = ROUND('Raw Data'!X210, 2),FALSE)),"",_xlfn.REGEXEXTRACT(CELL("address",X210), "\$([A-Z]+)\$[0-9]+"))),_xlfn.REGEXEXTRACT(CELL("address",X210), "\$([A-Z]+)\$[0-9]+"))</f>
        <v/>
      </c>
    </row>
    <row r="211" spans="2:24" x14ac:dyDescent="0.25">
      <c r="B211" s="7" t="str" cm="1">
        <f t="array" aca="1" ref="B211" ca="1">IFERROR(IF(OR('Raw Data'!B211="",LEN(TRIM('Raw Data'!B211))=0),"",IF(AND(LEN('Raw Data'!B211) &lt;= 50,LEN('Raw Data'!B211)&gt; 0),"",_xlfn.REGEXEXTRACT(CELL("address",'Raw Data'!B211),"\$([A-Z]+)\$[0-9]+"))),_xlfn.REGEXEXTRACT(CELL("address",'Raw Data'!B211),"\$([A-Z]+)\$[0-9]+"))</f>
        <v/>
      </c>
      <c r="C211" s="7" t="str" cm="1">
        <f t="array" aca="1" ref="C211" ca="1">IFERROR(IF(OR('Raw Data'!C211="",LEN(TRIM('Raw Data'!C211))=0),"",IF(AND(LEN('Raw Data'!C211) &lt;= 50,LEN('Raw Data'!C211)&gt; 0),"",_xlfn.REGEXEXTRACT(CELL("address",'Raw Data'!C211),"\$([A-Z]+)\$[0-9]+"))),_xlfn.REGEXEXTRACT(CELL("address",'Raw Data'!C211),"\$([A-Z]+)\$[0-9]+"))</f>
        <v/>
      </c>
      <c r="D211" s="7" t="str" cm="1">
        <f t="array" aca="1" ref="D211" ca="1">IFERROR(IF(OR('Raw Data'!D211="",LEN(TRIM('Raw Data'!D211))=0),"",IF(AND(LEN('Raw Data'!D211) &lt;= 255,LEN('Raw Data'!D211)&gt; 0),"",_xlfn.REGEXEXTRACT(CELL("address",'Raw Data'!D211),"\$([A-Z]+)\$[0-9]+"))),_xlfn.REGEXEXTRACT(CELL("address",'Raw Data'!D211),"\$([A-Z]+)\$[0-9]+"))</f>
        <v/>
      </c>
      <c r="E211" s="7" t="str" cm="1">
        <f t="array" aca="1" ref="E211" ca="1">IFERROR(IF(OR('Raw Data'!E211="",LEN(TRIM('Raw Data'!E211))=0),"",IF(AND(ISNUMBER('Raw Data'!E211),'Raw Data'!E211&gt;=Configuration!$D$2),"",_xlfn.REGEXEXTRACT(CELL("address",'Raw Data'!E211),"\$([A-Z]+)\$[0-9]+"))),_xlfn.REGEXEXTRACT(CELL("address",E211), "\$([A-Z]+)\$[0-9]+"))</f>
        <v/>
      </c>
      <c r="F211" s="7" t="str" cm="1">
        <f t="array" aca="1" ref="F211" ca="1">IFERROR(IF(OR('Raw Data'!F211="",LEN(TRIM('Raw Data'!F211))=0),"",IF(AND(LEN('Raw Data'!F211) &lt;= 20,LEN('Raw Data'!F211)&gt; 0),"",_xlfn.REGEXEXTRACT(CELL("address",'Raw Data'!F211),"\$([A-Z]+)\$[0-9]+"))),_xlfn.REGEXEXTRACT(CELL("address",'Raw Data'!F211),"\$([A-Z]+)\$[0-9]+"))</f>
        <v/>
      </c>
      <c r="G211" s="7" t="str" cm="1">
        <f t="array" aca="1" ref="G211" ca="1">IFERROR(IF(OR('Raw Data'!G211="",LEN(TRIM('Raw Data'!G211))=0),"",IF(AND(ISNUMBER('Raw Data'!G211), IFERROR('Raw Data'!G211 = ROUND('Raw Data'!G211, 2),FALSE)),"",_xlfn.REGEXEXTRACT(CELL("address",G211), "\$([A-Z]+)\$[0-9]+"))),_xlfn.REGEXEXTRACT(CELL("address",G211), "\$([A-Z]+)\$[0-9]+"))</f>
        <v/>
      </c>
      <c r="H211" s="7" t="str" cm="1">
        <f t="array" aca="1" ref="H211" ca="1">IFERROR(IF(OR('Raw Data'!H211="",LEN(TRIM('Raw Data'!H211))=0),"",IF(AND(ISNUMBER('Raw Data'!H211), IFERROR('Raw Data'!H211 = ROUND('Raw Data'!H211, 2),FALSE)),"",_xlfn.REGEXEXTRACT(CELL("address",H211), "\$([A-Z]+)\$[0-9]+"))),_xlfn.REGEXEXTRACT(CELL("address",H211), "\$([A-Z]+)\$[0-9]+"))</f>
        <v/>
      </c>
      <c r="I211" s="7" t="str" cm="1">
        <f t="array" aca="1" ref="I211" ca="1">IFERROR(IF(OR('Raw Data'!I211="",LEN(TRIM('Raw Data'!I211))=0),"",IF(AND(LEN('Raw Data'!I211) &lt;= 50,LEN('Raw Data'!I211)&gt; 0),"",_xlfn.REGEXEXTRACT(CELL("address",'Raw Data'!I211),"\$([A-Z]+)\$[0-9]+"))),_xlfn.REGEXEXTRACT(CELL("address",'Raw Data'!I211),"\$([A-Z]+)\$[0-9]+"))</f>
        <v/>
      </c>
      <c r="J211" s="7" t="str" cm="1">
        <f t="array" aca="1" ref="J211" ca="1">IFERROR(IF(OR('Raw Data'!J211="",LEN(TRIM('Raw Data'!J211))=0),"",IF(AND(ISNUMBER('Raw Data'!J211),'Raw Data'!J211&gt;=Configuration!$D$2),"",_xlfn.REGEXEXTRACT(CELL("address",'Raw Data'!J211),"\$([A-Z]+)\$[0-9]+"))),_xlfn.REGEXEXTRACT(CELL("address",J211), "\$([A-Z]+)\$[0-9]+"))</f>
        <v/>
      </c>
      <c r="K211" s="7" t="str" cm="1">
        <f t="array" aca="1" ref="K211" ca="1">IFERROR(IF(OR('Raw Data'!K211="",LEN(TRIM('Raw Data'!K211))=0),"",IF(AND(ISNUMBER('Raw Data'!K211), IFERROR('Raw Data'!K211 = ROUND('Raw Data'!K211, 2),FALSE)),"",_xlfn.REGEXEXTRACT(CELL("address",K211), "\$([A-Z]+)\$[0-9]+"))),_xlfn.REGEXEXTRACT(CELL("address",K211), "\$([A-Z]+)\$[0-9]+"))</f>
        <v/>
      </c>
      <c r="L211" s="7" t="str" cm="1">
        <f t="array" aca="1" ref="L211" ca="1">IFERROR(IF(OR('Raw Data'!L211="",LEN(TRIM('Raw Data'!L211))=0),"",IF(AND(ISNUMBER('Raw Data'!L211), IFERROR('Raw Data'!L211 = ROUND('Raw Data'!L211, 2),FALSE)),"",_xlfn.REGEXEXTRACT(CELL("address",L211), "\$([A-Z]+)\$[0-9]+"))),_xlfn.REGEXEXTRACT(CELL("address",L211), "\$([A-Z]+)\$[0-9]+"))</f>
        <v/>
      </c>
      <c r="M211" s="7" t="str" cm="1">
        <f t="array" aca="1" ref="M211" ca="1">IFERROR(IF(OR('Raw Data'!M211="",LEN(TRIM('Raw Data'!M211))=0),"",IF(AND(ISNUMBER('Raw Data'!M211), IFERROR('Raw Data'!M211 = ROUND('Raw Data'!M211, 2),FALSE)),"",_xlfn.REGEXEXTRACT(CELL("address",M211), "\$([A-Z]+)\$[0-9]+"))),_xlfn.REGEXEXTRACT(CELL("address",M211), "\$([A-Z]+)\$[0-9]+"))</f>
        <v/>
      </c>
      <c r="N211" s="7" t="str" cm="1">
        <f t="array" aca="1" ref="N211" ca="1">IFERROR(IF(OR('Raw Data'!N211="",LEN(TRIM('Raw Data'!N211))=0),"",IF(AND(ISNUMBER('Raw Data'!N211), IFERROR('Raw Data'!N211 = ROUND('Raw Data'!N211, 2),FALSE)),"",_xlfn.REGEXEXTRACT(CELL("address",N211), "\$([A-Z]+)\$[0-9]+"))),_xlfn.REGEXEXTRACT(CELL("address",N211), "\$([A-Z]+)\$[0-9]+"))</f>
        <v/>
      </c>
      <c r="O211" s="7" t="str" cm="1">
        <f t="array" aca="1" ref="O211" ca="1">IFERROR(IF(OR('Raw Data'!O211="",LEN(TRIM('Raw Data'!O211))=0),"",IF(AND(ISNUMBER('Raw Data'!O211), IFERROR('Raw Data'!O211 = ROUND('Raw Data'!O211, 2),FALSE)),"",_xlfn.REGEXEXTRACT(CELL("address",O211), "\$([A-Z]+)\$[0-9]+"))),_xlfn.REGEXEXTRACT(CELL("address",O211), "\$([A-Z]+)\$[0-9]+"))</f>
        <v/>
      </c>
      <c r="P211" s="7" t="str" cm="1">
        <f t="array" aca="1" ref="P211" ca="1">IFERROR(IF(OR('Raw Data'!P211="",LEN(TRIM('Raw Data'!P211))=0),"",IF(AND(ISNUMBER('Raw Data'!P211),'Raw Data'!P211&gt;=Configuration!$D$2),"",_xlfn.REGEXEXTRACT(CELL("address",'Raw Data'!P211),"\$([A-Z]+)\$[0-9]+"))),_xlfn.REGEXEXTRACT(CELL("address",P211), "\$([A-Z]+)\$[0-9]+"))</f>
        <v/>
      </c>
      <c r="Q211" s="7" t="str" cm="1">
        <f t="array" aca="1" ref="Q211" ca="1">IFERROR(IF(OR('Raw Data'!Q211="",LEN(TRIM('Raw Data'!Q211))=0),"",IF(AND(ISNUMBER('Raw Data'!Q211),'Raw Data'!Q211&gt;=Configuration!$D$2),"",_xlfn.REGEXEXTRACT(CELL("address",'Raw Data'!Q211),"\$([A-Z]+)\$[0-9]+"))),_xlfn.REGEXEXTRACT(CELL("address",Q211), "\$([A-Z]+)\$[0-9]+"))</f>
        <v/>
      </c>
      <c r="R211" s="7" t="str" cm="1">
        <f t="array" aca="1" ref="R211" ca="1">IFERROR(IF(OR('Raw Data'!R211="",LEN(TRIM('Raw Data'!R211))=0),"",IF(AND(ISNUMBER('Raw Data'!R211), IFERROR('Raw Data'!R211 = ROUND('Raw Data'!R211, 2),FALSE)),"",_xlfn.REGEXEXTRACT(CELL("address",R211), "\$([A-Z]+)\$[0-9]+"))),_xlfn.REGEXEXTRACT(CELL("address",R211), "\$([A-Z]+)\$[0-9]+"))</f>
        <v/>
      </c>
      <c r="S211" s="7" t="str" cm="1">
        <f t="array" aca="1" ref="S211" ca="1">IFERROR(IF(OR('Raw Data'!S211="",LEN(TRIM('Raw Data'!S211))=0),"",IF(AND(ISNUMBER('Raw Data'!S211), IFERROR('Raw Data'!S211 = ROUND('Raw Data'!S211, 2),FALSE)),"",_xlfn.REGEXEXTRACT(CELL("address",S211), "\$([A-Z]+)\$[0-9]+"))),_xlfn.REGEXEXTRACT(CELL("address",S211), "\$([A-Z]+)\$[0-9]+"))</f>
        <v/>
      </c>
      <c r="T211" s="7" t="str" cm="1">
        <f t="array" aca="1" ref="T211" ca="1">IFERROR(IF(OR('Raw Data'!T211="",LEN(TRIM('Raw Data'!T211))=0),"",IF(AND(ISNUMBER('Raw Data'!T211), IFERROR('Raw Data'!T211 = ROUND('Raw Data'!T211, 2),FALSE)),"",_xlfn.REGEXEXTRACT(CELL("address",T211), "\$([A-Z]+)\$[0-9]+"))),_xlfn.REGEXEXTRACT(CELL("address",T211), "\$([A-Z]+)\$[0-9]+"))</f>
        <v/>
      </c>
      <c r="U211" s="7" t="str" cm="1">
        <f t="array" aca="1" ref="U211" ca="1">IFERROR(IF(OR('Raw Data'!U211="",LEN(TRIM('Raw Data'!U211))=0),"",IF(AND(LEN('Raw Data'!U211) &lt;= 5,LEN('Raw Data'!U211)&gt; 0),"",_xlfn.REGEXEXTRACT(CELL("address",'Raw Data'!U211),"\$([A-Z]+)\$[0-9]+"))),_xlfn.REGEXEXTRACT(CELL("address",'Raw Data'!U211),"\$([A-Z]+)\$[0-9]+"))</f>
        <v/>
      </c>
      <c r="V211" s="7" t="str" cm="1">
        <f t="array" aca="1" ref="V211" ca="1">IFERROR(IF(OR('Raw Data'!V211="",LEN(TRIM('Raw Data'!V211))=0),"",IF(AND(ISNUMBER('Raw Data'!V211), IFERROR('Raw Data'!V211 = ROUND('Raw Data'!V211, 2),FALSE)),"",_xlfn.REGEXEXTRACT(CELL("address",V211), "\$([A-Z]+)\$[0-9]+"))),_xlfn.REGEXEXTRACT(CELL("address",V211), "\$([A-Z]+)\$[0-9]+"))</f>
        <v/>
      </c>
      <c r="W211" s="7" t="str" cm="1">
        <f t="array" aca="1" ref="W211" ca="1">IFERROR(IF(OR('Raw Data'!W211="",LEN(TRIM('Raw Data'!W211))=0),"",IF(AND(ISNUMBER('Raw Data'!W211), IFERROR('Raw Data'!W211 = ROUND('Raw Data'!W211, 2),FALSE)),"",_xlfn.REGEXEXTRACT(CELL("address",W211), "\$([A-Z]+)\$[0-9]+"))),_xlfn.REGEXEXTRACT(CELL("address",W211), "\$([A-Z]+)\$[0-9]+"))</f>
        <v/>
      </c>
      <c r="X211" s="7" t="str" cm="1">
        <f t="array" aca="1" ref="X211" ca="1">IFERROR(IF(OR('Raw Data'!X211="",LEN(TRIM('Raw Data'!X211))=0),"",IF(AND(ISNUMBER('Raw Data'!X211), IFERROR('Raw Data'!X211 = ROUND('Raw Data'!X211, 2),FALSE)),"",_xlfn.REGEXEXTRACT(CELL("address",X211), "\$([A-Z]+)\$[0-9]+"))),_xlfn.REGEXEXTRACT(CELL("address",X211), "\$([A-Z]+)\$[0-9]+"))</f>
        <v/>
      </c>
    </row>
    <row r="212" spans="2:24" x14ac:dyDescent="0.25">
      <c r="B212" s="7" t="str" cm="1">
        <f t="array" aca="1" ref="B212" ca="1">IFERROR(IF(OR('Raw Data'!B212="",LEN(TRIM('Raw Data'!B212))=0),"",IF(AND(LEN('Raw Data'!B212) &lt;= 50,LEN('Raw Data'!B212)&gt; 0),"",_xlfn.REGEXEXTRACT(CELL("address",'Raw Data'!B212),"\$([A-Z]+)\$[0-9]+"))),_xlfn.REGEXEXTRACT(CELL("address",'Raw Data'!B212),"\$([A-Z]+)\$[0-9]+"))</f>
        <v/>
      </c>
      <c r="C212" s="7" t="str" cm="1">
        <f t="array" aca="1" ref="C212" ca="1">IFERROR(IF(OR('Raw Data'!C212="",LEN(TRIM('Raw Data'!C212))=0),"",IF(AND(LEN('Raw Data'!C212) &lt;= 50,LEN('Raw Data'!C212)&gt; 0),"",_xlfn.REGEXEXTRACT(CELL("address",'Raw Data'!C212),"\$([A-Z]+)\$[0-9]+"))),_xlfn.REGEXEXTRACT(CELL("address",'Raw Data'!C212),"\$([A-Z]+)\$[0-9]+"))</f>
        <v/>
      </c>
      <c r="D212" s="7" t="str" cm="1">
        <f t="array" aca="1" ref="D212" ca="1">IFERROR(IF(OR('Raw Data'!D212="",LEN(TRIM('Raw Data'!D212))=0),"",IF(AND(LEN('Raw Data'!D212) &lt;= 255,LEN('Raw Data'!D212)&gt; 0),"",_xlfn.REGEXEXTRACT(CELL("address",'Raw Data'!D212),"\$([A-Z]+)\$[0-9]+"))),_xlfn.REGEXEXTRACT(CELL("address",'Raw Data'!D212),"\$([A-Z]+)\$[0-9]+"))</f>
        <v/>
      </c>
      <c r="E212" s="7" t="str" cm="1">
        <f t="array" aca="1" ref="E212" ca="1">IFERROR(IF(OR('Raw Data'!E212="",LEN(TRIM('Raw Data'!E212))=0),"",IF(AND(ISNUMBER('Raw Data'!E212),'Raw Data'!E212&gt;=Configuration!$D$2),"",_xlfn.REGEXEXTRACT(CELL("address",'Raw Data'!E212),"\$([A-Z]+)\$[0-9]+"))),_xlfn.REGEXEXTRACT(CELL("address",E212), "\$([A-Z]+)\$[0-9]+"))</f>
        <v/>
      </c>
      <c r="F212" s="7" t="str" cm="1">
        <f t="array" aca="1" ref="F212" ca="1">IFERROR(IF(OR('Raw Data'!F212="",LEN(TRIM('Raw Data'!F212))=0),"",IF(AND(LEN('Raw Data'!F212) &lt;= 20,LEN('Raw Data'!F212)&gt; 0),"",_xlfn.REGEXEXTRACT(CELL("address",'Raw Data'!F212),"\$([A-Z]+)\$[0-9]+"))),_xlfn.REGEXEXTRACT(CELL("address",'Raw Data'!F212),"\$([A-Z]+)\$[0-9]+"))</f>
        <v/>
      </c>
      <c r="G212" s="7" t="str" cm="1">
        <f t="array" aca="1" ref="G212" ca="1">IFERROR(IF(OR('Raw Data'!G212="",LEN(TRIM('Raw Data'!G212))=0),"",IF(AND(ISNUMBER('Raw Data'!G212), IFERROR('Raw Data'!G212 = ROUND('Raw Data'!G212, 2),FALSE)),"",_xlfn.REGEXEXTRACT(CELL("address",G212), "\$([A-Z]+)\$[0-9]+"))),_xlfn.REGEXEXTRACT(CELL("address",G212), "\$([A-Z]+)\$[0-9]+"))</f>
        <v/>
      </c>
      <c r="H212" s="7" t="str" cm="1">
        <f t="array" aca="1" ref="H212" ca="1">IFERROR(IF(OR('Raw Data'!H212="",LEN(TRIM('Raw Data'!H212))=0),"",IF(AND(ISNUMBER('Raw Data'!H212), IFERROR('Raw Data'!H212 = ROUND('Raw Data'!H212, 2),FALSE)),"",_xlfn.REGEXEXTRACT(CELL("address",H212), "\$([A-Z]+)\$[0-9]+"))),_xlfn.REGEXEXTRACT(CELL("address",H212), "\$([A-Z]+)\$[0-9]+"))</f>
        <v/>
      </c>
      <c r="I212" s="7" t="str" cm="1">
        <f t="array" aca="1" ref="I212" ca="1">IFERROR(IF(OR('Raw Data'!I212="",LEN(TRIM('Raw Data'!I212))=0),"",IF(AND(LEN('Raw Data'!I212) &lt;= 50,LEN('Raw Data'!I212)&gt; 0),"",_xlfn.REGEXEXTRACT(CELL("address",'Raw Data'!I212),"\$([A-Z]+)\$[0-9]+"))),_xlfn.REGEXEXTRACT(CELL("address",'Raw Data'!I212),"\$([A-Z]+)\$[0-9]+"))</f>
        <v/>
      </c>
      <c r="J212" s="7" t="str" cm="1">
        <f t="array" aca="1" ref="J212" ca="1">IFERROR(IF(OR('Raw Data'!J212="",LEN(TRIM('Raw Data'!J212))=0),"",IF(AND(ISNUMBER('Raw Data'!J212),'Raw Data'!J212&gt;=Configuration!$D$2),"",_xlfn.REGEXEXTRACT(CELL("address",'Raw Data'!J212),"\$([A-Z]+)\$[0-9]+"))),_xlfn.REGEXEXTRACT(CELL("address",J212), "\$([A-Z]+)\$[0-9]+"))</f>
        <v/>
      </c>
      <c r="K212" s="7" t="str" cm="1">
        <f t="array" aca="1" ref="K212" ca="1">IFERROR(IF(OR('Raw Data'!K212="",LEN(TRIM('Raw Data'!K212))=0),"",IF(AND(ISNUMBER('Raw Data'!K212), IFERROR('Raw Data'!K212 = ROUND('Raw Data'!K212, 2),FALSE)),"",_xlfn.REGEXEXTRACT(CELL("address",K212), "\$([A-Z]+)\$[0-9]+"))),_xlfn.REGEXEXTRACT(CELL("address",K212), "\$([A-Z]+)\$[0-9]+"))</f>
        <v/>
      </c>
      <c r="L212" s="7" t="str" cm="1">
        <f t="array" aca="1" ref="L212" ca="1">IFERROR(IF(OR('Raw Data'!L212="",LEN(TRIM('Raw Data'!L212))=0),"",IF(AND(ISNUMBER('Raw Data'!L212), IFERROR('Raw Data'!L212 = ROUND('Raw Data'!L212, 2),FALSE)),"",_xlfn.REGEXEXTRACT(CELL("address",L212), "\$([A-Z]+)\$[0-9]+"))),_xlfn.REGEXEXTRACT(CELL("address",L212), "\$([A-Z]+)\$[0-9]+"))</f>
        <v/>
      </c>
      <c r="M212" s="7" t="str" cm="1">
        <f t="array" aca="1" ref="M212" ca="1">IFERROR(IF(OR('Raw Data'!M212="",LEN(TRIM('Raw Data'!M212))=0),"",IF(AND(ISNUMBER('Raw Data'!M212), IFERROR('Raw Data'!M212 = ROUND('Raw Data'!M212, 2),FALSE)),"",_xlfn.REGEXEXTRACT(CELL("address",M212), "\$([A-Z]+)\$[0-9]+"))),_xlfn.REGEXEXTRACT(CELL("address",M212), "\$([A-Z]+)\$[0-9]+"))</f>
        <v/>
      </c>
      <c r="N212" s="7" t="str" cm="1">
        <f t="array" aca="1" ref="N212" ca="1">IFERROR(IF(OR('Raw Data'!N212="",LEN(TRIM('Raw Data'!N212))=0),"",IF(AND(ISNUMBER('Raw Data'!N212), IFERROR('Raw Data'!N212 = ROUND('Raw Data'!N212, 2),FALSE)),"",_xlfn.REGEXEXTRACT(CELL("address",N212), "\$([A-Z]+)\$[0-9]+"))),_xlfn.REGEXEXTRACT(CELL("address",N212), "\$([A-Z]+)\$[0-9]+"))</f>
        <v/>
      </c>
      <c r="O212" s="7" t="str" cm="1">
        <f t="array" aca="1" ref="O212" ca="1">IFERROR(IF(OR('Raw Data'!O212="",LEN(TRIM('Raw Data'!O212))=0),"",IF(AND(ISNUMBER('Raw Data'!O212), IFERROR('Raw Data'!O212 = ROUND('Raw Data'!O212, 2),FALSE)),"",_xlfn.REGEXEXTRACT(CELL("address",O212), "\$([A-Z]+)\$[0-9]+"))),_xlfn.REGEXEXTRACT(CELL("address",O212), "\$([A-Z]+)\$[0-9]+"))</f>
        <v/>
      </c>
      <c r="P212" s="7" t="str" cm="1">
        <f t="array" aca="1" ref="P212" ca="1">IFERROR(IF(OR('Raw Data'!P212="",LEN(TRIM('Raw Data'!P212))=0),"",IF(AND(ISNUMBER('Raw Data'!P212),'Raw Data'!P212&gt;=Configuration!$D$2),"",_xlfn.REGEXEXTRACT(CELL("address",'Raw Data'!P212),"\$([A-Z]+)\$[0-9]+"))),_xlfn.REGEXEXTRACT(CELL("address",P212), "\$([A-Z]+)\$[0-9]+"))</f>
        <v/>
      </c>
      <c r="Q212" s="7" t="str" cm="1">
        <f t="array" aca="1" ref="Q212" ca="1">IFERROR(IF(OR('Raw Data'!Q212="",LEN(TRIM('Raw Data'!Q212))=0),"",IF(AND(ISNUMBER('Raw Data'!Q212),'Raw Data'!Q212&gt;=Configuration!$D$2),"",_xlfn.REGEXEXTRACT(CELL("address",'Raw Data'!Q212),"\$([A-Z]+)\$[0-9]+"))),_xlfn.REGEXEXTRACT(CELL("address",Q212), "\$([A-Z]+)\$[0-9]+"))</f>
        <v/>
      </c>
      <c r="R212" s="7" t="str" cm="1">
        <f t="array" aca="1" ref="R212" ca="1">IFERROR(IF(OR('Raw Data'!R212="",LEN(TRIM('Raw Data'!R212))=0),"",IF(AND(ISNUMBER('Raw Data'!R212), IFERROR('Raw Data'!R212 = ROUND('Raw Data'!R212, 2),FALSE)),"",_xlfn.REGEXEXTRACT(CELL("address",R212), "\$([A-Z]+)\$[0-9]+"))),_xlfn.REGEXEXTRACT(CELL("address",R212), "\$([A-Z]+)\$[0-9]+"))</f>
        <v/>
      </c>
      <c r="S212" s="7" t="str" cm="1">
        <f t="array" aca="1" ref="S212" ca="1">IFERROR(IF(OR('Raw Data'!S212="",LEN(TRIM('Raw Data'!S212))=0),"",IF(AND(ISNUMBER('Raw Data'!S212), IFERROR('Raw Data'!S212 = ROUND('Raw Data'!S212, 2),FALSE)),"",_xlfn.REGEXEXTRACT(CELL("address",S212), "\$([A-Z]+)\$[0-9]+"))),_xlfn.REGEXEXTRACT(CELL("address",S212), "\$([A-Z]+)\$[0-9]+"))</f>
        <v/>
      </c>
      <c r="T212" s="7" t="str" cm="1">
        <f t="array" aca="1" ref="T212" ca="1">IFERROR(IF(OR('Raw Data'!T212="",LEN(TRIM('Raw Data'!T212))=0),"",IF(AND(ISNUMBER('Raw Data'!T212), IFERROR('Raw Data'!T212 = ROUND('Raw Data'!T212, 2),FALSE)),"",_xlfn.REGEXEXTRACT(CELL("address",T212), "\$([A-Z]+)\$[0-9]+"))),_xlfn.REGEXEXTRACT(CELL("address",T212), "\$([A-Z]+)\$[0-9]+"))</f>
        <v/>
      </c>
      <c r="U212" s="7" t="str" cm="1">
        <f t="array" aca="1" ref="U212" ca="1">IFERROR(IF(OR('Raw Data'!U212="",LEN(TRIM('Raw Data'!U212))=0),"",IF(AND(LEN('Raw Data'!U212) &lt;= 5,LEN('Raw Data'!U212)&gt; 0),"",_xlfn.REGEXEXTRACT(CELL("address",'Raw Data'!U212),"\$([A-Z]+)\$[0-9]+"))),_xlfn.REGEXEXTRACT(CELL("address",'Raw Data'!U212),"\$([A-Z]+)\$[0-9]+"))</f>
        <v/>
      </c>
      <c r="V212" s="7" t="str" cm="1">
        <f t="array" aca="1" ref="V212" ca="1">IFERROR(IF(OR('Raw Data'!V212="",LEN(TRIM('Raw Data'!V212))=0),"",IF(AND(ISNUMBER('Raw Data'!V212), IFERROR('Raw Data'!V212 = ROUND('Raw Data'!V212, 2),FALSE)),"",_xlfn.REGEXEXTRACT(CELL("address",V212), "\$([A-Z]+)\$[0-9]+"))),_xlfn.REGEXEXTRACT(CELL("address",V212), "\$([A-Z]+)\$[0-9]+"))</f>
        <v/>
      </c>
      <c r="W212" s="7" t="str" cm="1">
        <f t="array" aca="1" ref="W212" ca="1">IFERROR(IF(OR('Raw Data'!W212="",LEN(TRIM('Raw Data'!W212))=0),"",IF(AND(ISNUMBER('Raw Data'!W212), IFERROR('Raw Data'!W212 = ROUND('Raw Data'!W212, 2),FALSE)),"",_xlfn.REGEXEXTRACT(CELL("address",W212), "\$([A-Z]+)\$[0-9]+"))),_xlfn.REGEXEXTRACT(CELL("address",W212), "\$([A-Z]+)\$[0-9]+"))</f>
        <v/>
      </c>
      <c r="X212" s="7" t="str" cm="1">
        <f t="array" aca="1" ref="X212" ca="1">IFERROR(IF(OR('Raw Data'!X212="",LEN(TRIM('Raw Data'!X212))=0),"",IF(AND(ISNUMBER('Raw Data'!X212), IFERROR('Raw Data'!X212 = ROUND('Raw Data'!X212, 2),FALSE)),"",_xlfn.REGEXEXTRACT(CELL("address",X212), "\$([A-Z]+)\$[0-9]+"))),_xlfn.REGEXEXTRACT(CELL("address",X212), "\$([A-Z]+)\$[0-9]+"))</f>
        <v/>
      </c>
    </row>
    <row r="213" spans="2:24" x14ac:dyDescent="0.25">
      <c r="B213" s="7" t="str" cm="1">
        <f t="array" aca="1" ref="B213" ca="1">IFERROR(IF(OR('Raw Data'!B213="",LEN(TRIM('Raw Data'!B213))=0),"",IF(AND(LEN('Raw Data'!B213) &lt;= 50,LEN('Raw Data'!B213)&gt; 0),"",_xlfn.REGEXEXTRACT(CELL("address",'Raw Data'!B213),"\$([A-Z]+)\$[0-9]+"))),_xlfn.REGEXEXTRACT(CELL("address",'Raw Data'!B213),"\$([A-Z]+)\$[0-9]+"))</f>
        <v/>
      </c>
      <c r="C213" s="7" t="str" cm="1">
        <f t="array" aca="1" ref="C213" ca="1">IFERROR(IF(OR('Raw Data'!C213="",LEN(TRIM('Raw Data'!C213))=0),"",IF(AND(LEN('Raw Data'!C213) &lt;= 50,LEN('Raw Data'!C213)&gt; 0),"",_xlfn.REGEXEXTRACT(CELL("address",'Raw Data'!C213),"\$([A-Z]+)\$[0-9]+"))),_xlfn.REGEXEXTRACT(CELL("address",'Raw Data'!C213),"\$([A-Z]+)\$[0-9]+"))</f>
        <v/>
      </c>
      <c r="D213" s="7" t="str" cm="1">
        <f t="array" aca="1" ref="D213" ca="1">IFERROR(IF(OR('Raw Data'!D213="",LEN(TRIM('Raw Data'!D213))=0),"",IF(AND(LEN('Raw Data'!D213) &lt;= 255,LEN('Raw Data'!D213)&gt; 0),"",_xlfn.REGEXEXTRACT(CELL("address",'Raw Data'!D213),"\$([A-Z]+)\$[0-9]+"))),_xlfn.REGEXEXTRACT(CELL("address",'Raw Data'!D213),"\$([A-Z]+)\$[0-9]+"))</f>
        <v/>
      </c>
      <c r="E213" s="7" t="str" cm="1">
        <f t="array" aca="1" ref="E213" ca="1">IFERROR(IF(OR('Raw Data'!E213="",LEN(TRIM('Raw Data'!E213))=0),"",IF(AND(ISNUMBER('Raw Data'!E213),'Raw Data'!E213&gt;=Configuration!$D$2),"",_xlfn.REGEXEXTRACT(CELL("address",'Raw Data'!E213),"\$([A-Z]+)\$[0-9]+"))),_xlfn.REGEXEXTRACT(CELL("address",E213), "\$([A-Z]+)\$[0-9]+"))</f>
        <v/>
      </c>
      <c r="F213" s="7" t="str" cm="1">
        <f t="array" aca="1" ref="F213" ca="1">IFERROR(IF(OR('Raw Data'!F213="",LEN(TRIM('Raw Data'!F213))=0),"",IF(AND(LEN('Raw Data'!F213) &lt;= 20,LEN('Raw Data'!F213)&gt; 0),"",_xlfn.REGEXEXTRACT(CELL("address",'Raw Data'!F213),"\$([A-Z]+)\$[0-9]+"))),_xlfn.REGEXEXTRACT(CELL("address",'Raw Data'!F213),"\$([A-Z]+)\$[0-9]+"))</f>
        <v/>
      </c>
      <c r="G213" s="7" t="str" cm="1">
        <f t="array" aca="1" ref="G213" ca="1">IFERROR(IF(OR('Raw Data'!G213="",LEN(TRIM('Raw Data'!G213))=0),"",IF(AND(ISNUMBER('Raw Data'!G213), IFERROR('Raw Data'!G213 = ROUND('Raw Data'!G213, 2),FALSE)),"",_xlfn.REGEXEXTRACT(CELL("address",G213), "\$([A-Z]+)\$[0-9]+"))),_xlfn.REGEXEXTRACT(CELL("address",G213), "\$([A-Z]+)\$[0-9]+"))</f>
        <v/>
      </c>
      <c r="H213" s="7" t="str" cm="1">
        <f t="array" aca="1" ref="H213" ca="1">IFERROR(IF(OR('Raw Data'!H213="",LEN(TRIM('Raw Data'!H213))=0),"",IF(AND(ISNUMBER('Raw Data'!H213), IFERROR('Raw Data'!H213 = ROUND('Raw Data'!H213, 2),FALSE)),"",_xlfn.REGEXEXTRACT(CELL("address",H213), "\$([A-Z]+)\$[0-9]+"))),_xlfn.REGEXEXTRACT(CELL("address",H213), "\$([A-Z]+)\$[0-9]+"))</f>
        <v/>
      </c>
      <c r="I213" s="7" t="str" cm="1">
        <f t="array" aca="1" ref="I213" ca="1">IFERROR(IF(OR('Raw Data'!I213="",LEN(TRIM('Raw Data'!I213))=0),"",IF(AND(LEN('Raw Data'!I213) &lt;= 50,LEN('Raw Data'!I213)&gt; 0),"",_xlfn.REGEXEXTRACT(CELL("address",'Raw Data'!I213),"\$([A-Z]+)\$[0-9]+"))),_xlfn.REGEXEXTRACT(CELL("address",'Raw Data'!I213),"\$([A-Z]+)\$[0-9]+"))</f>
        <v/>
      </c>
      <c r="J213" s="7" t="str" cm="1">
        <f t="array" aca="1" ref="J213" ca="1">IFERROR(IF(OR('Raw Data'!J213="",LEN(TRIM('Raw Data'!J213))=0),"",IF(AND(ISNUMBER('Raw Data'!J213),'Raw Data'!J213&gt;=Configuration!$D$2),"",_xlfn.REGEXEXTRACT(CELL("address",'Raw Data'!J213),"\$([A-Z]+)\$[0-9]+"))),_xlfn.REGEXEXTRACT(CELL("address",J213), "\$([A-Z]+)\$[0-9]+"))</f>
        <v/>
      </c>
      <c r="K213" s="7" t="str" cm="1">
        <f t="array" aca="1" ref="K213" ca="1">IFERROR(IF(OR('Raw Data'!K213="",LEN(TRIM('Raw Data'!K213))=0),"",IF(AND(ISNUMBER('Raw Data'!K213), IFERROR('Raw Data'!K213 = ROUND('Raw Data'!K213, 2),FALSE)),"",_xlfn.REGEXEXTRACT(CELL("address",K213), "\$([A-Z]+)\$[0-9]+"))),_xlfn.REGEXEXTRACT(CELL("address",K213), "\$([A-Z]+)\$[0-9]+"))</f>
        <v/>
      </c>
      <c r="L213" s="7" t="str" cm="1">
        <f t="array" aca="1" ref="L213" ca="1">IFERROR(IF(OR('Raw Data'!L213="",LEN(TRIM('Raw Data'!L213))=0),"",IF(AND(ISNUMBER('Raw Data'!L213), IFERROR('Raw Data'!L213 = ROUND('Raw Data'!L213, 2),FALSE)),"",_xlfn.REGEXEXTRACT(CELL("address",L213), "\$([A-Z]+)\$[0-9]+"))),_xlfn.REGEXEXTRACT(CELL("address",L213), "\$([A-Z]+)\$[0-9]+"))</f>
        <v/>
      </c>
      <c r="M213" s="7" t="str" cm="1">
        <f t="array" aca="1" ref="M213" ca="1">IFERROR(IF(OR('Raw Data'!M213="",LEN(TRIM('Raw Data'!M213))=0),"",IF(AND(ISNUMBER('Raw Data'!M213), IFERROR('Raw Data'!M213 = ROUND('Raw Data'!M213, 2),FALSE)),"",_xlfn.REGEXEXTRACT(CELL("address",M213), "\$([A-Z]+)\$[0-9]+"))),_xlfn.REGEXEXTRACT(CELL("address",M213), "\$([A-Z]+)\$[0-9]+"))</f>
        <v/>
      </c>
      <c r="N213" s="7" t="str" cm="1">
        <f t="array" aca="1" ref="N213" ca="1">IFERROR(IF(OR('Raw Data'!N213="",LEN(TRIM('Raw Data'!N213))=0),"",IF(AND(ISNUMBER('Raw Data'!N213), IFERROR('Raw Data'!N213 = ROUND('Raw Data'!N213, 2),FALSE)),"",_xlfn.REGEXEXTRACT(CELL("address",N213), "\$([A-Z]+)\$[0-9]+"))),_xlfn.REGEXEXTRACT(CELL("address",N213), "\$([A-Z]+)\$[0-9]+"))</f>
        <v/>
      </c>
      <c r="O213" s="7" t="str" cm="1">
        <f t="array" aca="1" ref="O213" ca="1">IFERROR(IF(OR('Raw Data'!O213="",LEN(TRIM('Raw Data'!O213))=0),"",IF(AND(ISNUMBER('Raw Data'!O213), IFERROR('Raw Data'!O213 = ROUND('Raw Data'!O213, 2),FALSE)),"",_xlfn.REGEXEXTRACT(CELL("address",O213), "\$([A-Z]+)\$[0-9]+"))),_xlfn.REGEXEXTRACT(CELL("address",O213), "\$([A-Z]+)\$[0-9]+"))</f>
        <v/>
      </c>
      <c r="P213" s="7" t="str" cm="1">
        <f t="array" aca="1" ref="P213" ca="1">IFERROR(IF(OR('Raw Data'!P213="",LEN(TRIM('Raw Data'!P213))=0),"",IF(AND(ISNUMBER('Raw Data'!P213),'Raw Data'!P213&gt;=Configuration!$D$2),"",_xlfn.REGEXEXTRACT(CELL("address",'Raw Data'!P213),"\$([A-Z]+)\$[0-9]+"))),_xlfn.REGEXEXTRACT(CELL("address",P213), "\$([A-Z]+)\$[0-9]+"))</f>
        <v/>
      </c>
      <c r="Q213" s="7" t="str" cm="1">
        <f t="array" aca="1" ref="Q213" ca="1">IFERROR(IF(OR('Raw Data'!Q213="",LEN(TRIM('Raw Data'!Q213))=0),"",IF(AND(ISNUMBER('Raw Data'!Q213),'Raw Data'!Q213&gt;=Configuration!$D$2),"",_xlfn.REGEXEXTRACT(CELL("address",'Raw Data'!Q213),"\$([A-Z]+)\$[0-9]+"))),_xlfn.REGEXEXTRACT(CELL("address",Q213), "\$([A-Z]+)\$[0-9]+"))</f>
        <v/>
      </c>
      <c r="R213" s="7" t="str" cm="1">
        <f t="array" aca="1" ref="R213" ca="1">IFERROR(IF(OR('Raw Data'!R213="",LEN(TRIM('Raw Data'!R213))=0),"",IF(AND(ISNUMBER('Raw Data'!R213), IFERROR('Raw Data'!R213 = ROUND('Raw Data'!R213, 2),FALSE)),"",_xlfn.REGEXEXTRACT(CELL("address",R213), "\$([A-Z]+)\$[0-9]+"))),_xlfn.REGEXEXTRACT(CELL("address",R213), "\$([A-Z]+)\$[0-9]+"))</f>
        <v/>
      </c>
      <c r="S213" s="7" t="str" cm="1">
        <f t="array" aca="1" ref="S213" ca="1">IFERROR(IF(OR('Raw Data'!S213="",LEN(TRIM('Raw Data'!S213))=0),"",IF(AND(ISNUMBER('Raw Data'!S213), IFERROR('Raw Data'!S213 = ROUND('Raw Data'!S213, 2),FALSE)),"",_xlfn.REGEXEXTRACT(CELL("address",S213), "\$([A-Z]+)\$[0-9]+"))),_xlfn.REGEXEXTRACT(CELL("address",S213), "\$([A-Z]+)\$[0-9]+"))</f>
        <v/>
      </c>
      <c r="T213" s="7" t="str" cm="1">
        <f t="array" aca="1" ref="T213" ca="1">IFERROR(IF(OR('Raw Data'!T213="",LEN(TRIM('Raw Data'!T213))=0),"",IF(AND(ISNUMBER('Raw Data'!T213), IFERROR('Raw Data'!T213 = ROUND('Raw Data'!T213, 2),FALSE)),"",_xlfn.REGEXEXTRACT(CELL("address",T213), "\$([A-Z]+)\$[0-9]+"))),_xlfn.REGEXEXTRACT(CELL("address",T213), "\$([A-Z]+)\$[0-9]+"))</f>
        <v/>
      </c>
      <c r="U213" s="7" t="str" cm="1">
        <f t="array" aca="1" ref="U213" ca="1">IFERROR(IF(OR('Raw Data'!U213="",LEN(TRIM('Raw Data'!U213))=0),"",IF(AND(LEN('Raw Data'!U213) &lt;= 5,LEN('Raw Data'!U213)&gt; 0),"",_xlfn.REGEXEXTRACT(CELL("address",'Raw Data'!U213),"\$([A-Z]+)\$[0-9]+"))),_xlfn.REGEXEXTRACT(CELL("address",'Raw Data'!U213),"\$([A-Z]+)\$[0-9]+"))</f>
        <v/>
      </c>
      <c r="V213" s="7" t="str" cm="1">
        <f t="array" aca="1" ref="V213" ca="1">IFERROR(IF(OR('Raw Data'!V213="",LEN(TRIM('Raw Data'!V213))=0),"",IF(AND(ISNUMBER('Raw Data'!V213), IFERROR('Raw Data'!V213 = ROUND('Raw Data'!V213, 2),FALSE)),"",_xlfn.REGEXEXTRACT(CELL("address",V213), "\$([A-Z]+)\$[0-9]+"))),_xlfn.REGEXEXTRACT(CELL("address",V213), "\$([A-Z]+)\$[0-9]+"))</f>
        <v/>
      </c>
      <c r="W213" s="7" t="str" cm="1">
        <f t="array" aca="1" ref="W213" ca="1">IFERROR(IF(OR('Raw Data'!W213="",LEN(TRIM('Raw Data'!W213))=0),"",IF(AND(ISNUMBER('Raw Data'!W213), IFERROR('Raw Data'!W213 = ROUND('Raw Data'!W213, 2),FALSE)),"",_xlfn.REGEXEXTRACT(CELL("address",W213), "\$([A-Z]+)\$[0-9]+"))),_xlfn.REGEXEXTRACT(CELL("address",W213), "\$([A-Z]+)\$[0-9]+"))</f>
        <v/>
      </c>
      <c r="X213" s="7" t="str" cm="1">
        <f t="array" aca="1" ref="X213" ca="1">IFERROR(IF(OR('Raw Data'!X213="",LEN(TRIM('Raw Data'!X213))=0),"",IF(AND(ISNUMBER('Raw Data'!X213), IFERROR('Raw Data'!X213 = ROUND('Raw Data'!X213, 2),FALSE)),"",_xlfn.REGEXEXTRACT(CELL("address",X213), "\$([A-Z]+)\$[0-9]+"))),_xlfn.REGEXEXTRACT(CELL("address",X213), "\$([A-Z]+)\$[0-9]+"))</f>
        <v/>
      </c>
    </row>
    <row r="214" spans="2:24" x14ac:dyDescent="0.25">
      <c r="B214" s="7" t="str" cm="1">
        <f t="array" aca="1" ref="B214" ca="1">IFERROR(IF(OR('Raw Data'!B214="",LEN(TRIM('Raw Data'!B214))=0),"",IF(AND(LEN('Raw Data'!B214) &lt;= 50,LEN('Raw Data'!B214)&gt; 0),"",_xlfn.REGEXEXTRACT(CELL("address",'Raw Data'!B214),"\$([A-Z]+)\$[0-9]+"))),_xlfn.REGEXEXTRACT(CELL("address",'Raw Data'!B214),"\$([A-Z]+)\$[0-9]+"))</f>
        <v/>
      </c>
      <c r="C214" s="7" t="str" cm="1">
        <f t="array" aca="1" ref="C214" ca="1">IFERROR(IF(OR('Raw Data'!C214="",LEN(TRIM('Raw Data'!C214))=0),"",IF(AND(LEN('Raw Data'!C214) &lt;= 50,LEN('Raw Data'!C214)&gt; 0),"",_xlfn.REGEXEXTRACT(CELL("address",'Raw Data'!C214),"\$([A-Z]+)\$[0-9]+"))),_xlfn.REGEXEXTRACT(CELL("address",'Raw Data'!C214),"\$([A-Z]+)\$[0-9]+"))</f>
        <v/>
      </c>
      <c r="D214" s="7" t="str" cm="1">
        <f t="array" aca="1" ref="D214" ca="1">IFERROR(IF(OR('Raw Data'!D214="",LEN(TRIM('Raw Data'!D214))=0),"",IF(AND(LEN('Raw Data'!D214) &lt;= 255,LEN('Raw Data'!D214)&gt; 0),"",_xlfn.REGEXEXTRACT(CELL("address",'Raw Data'!D214),"\$([A-Z]+)\$[0-9]+"))),_xlfn.REGEXEXTRACT(CELL("address",'Raw Data'!D214),"\$([A-Z]+)\$[0-9]+"))</f>
        <v/>
      </c>
      <c r="E214" s="7" t="str" cm="1">
        <f t="array" aca="1" ref="E214" ca="1">IFERROR(IF(OR('Raw Data'!E214="",LEN(TRIM('Raw Data'!E214))=0),"",IF(AND(ISNUMBER('Raw Data'!E214),'Raw Data'!E214&gt;=Configuration!$D$2),"",_xlfn.REGEXEXTRACT(CELL("address",'Raw Data'!E214),"\$([A-Z]+)\$[0-9]+"))),_xlfn.REGEXEXTRACT(CELL("address",E214), "\$([A-Z]+)\$[0-9]+"))</f>
        <v/>
      </c>
      <c r="F214" s="7" t="str" cm="1">
        <f t="array" aca="1" ref="F214" ca="1">IFERROR(IF(OR('Raw Data'!F214="",LEN(TRIM('Raw Data'!F214))=0),"",IF(AND(LEN('Raw Data'!F214) &lt;= 20,LEN('Raw Data'!F214)&gt; 0),"",_xlfn.REGEXEXTRACT(CELL("address",'Raw Data'!F214),"\$([A-Z]+)\$[0-9]+"))),_xlfn.REGEXEXTRACT(CELL("address",'Raw Data'!F214),"\$([A-Z]+)\$[0-9]+"))</f>
        <v/>
      </c>
      <c r="G214" s="7" t="str" cm="1">
        <f t="array" aca="1" ref="G214" ca="1">IFERROR(IF(OR('Raw Data'!G214="",LEN(TRIM('Raw Data'!G214))=0),"",IF(AND(ISNUMBER('Raw Data'!G214), IFERROR('Raw Data'!G214 = ROUND('Raw Data'!G214, 2),FALSE)),"",_xlfn.REGEXEXTRACT(CELL("address",G214), "\$([A-Z]+)\$[0-9]+"))),_xlfn.REGEXEXTRACT(CELL("address",G214), "\$([A-Z]+)\$[0-9]+"))</f>
        <v/>
      </c>
      <c r="H214" s="7" t="str" cm="1">
        <f t="array" aca="1" ref="H214" ca="1">IFERROR(IF(OR('Raw Data'!H214="",LEN(TRIM('Raw Data'!H214))=0),"",IF(AND(ISNUMBER('Raw Data'!H214), IFERROR('Raw Data'!H214 = ROUND('Raw Data'!H214, 2),FALSE)),"",_xlfn.REGEXEXTRACT(CELL("address",H214), "\$([A-Z]+)\$[0-9]+"))),_xlfn.REGEXEXTRACT(CELL("address",H214), "\$([A-Z]+)\$[0-9]+"))</f>
        <v/>
      </c>
      <c r="I214" s="7" t="str" cm="1">
        <f t="array" aca="1" ref="I214" ca="1">IFERROR(IF(OR('Raw Data'!I214="",LEN(TRIM('Raw Data'!I214))=0),"",IF(AND(LEN('Raw Data'!I214) &lt;= 50,LEN('Raw Data'!I214)&gt; 0),"",_xlfn.REGEXEXTRACT(CELL("address",'Raw Data'!I214),"\$([A-Z]+)\$[0-9]+"))),_xlfn.REGEXEXTRACT(CELL("address",'Raw Data'!I214),"\$([A-Z]+)\$[0-9]+"))</f>
        <v/>
      </c>
      <c r="J214" s="7" t="str" cm="1">
        <f t="array" aca="1" ref="J214" ca="1">IFERROR(IF(OR('Raw Data'!J214="",LEN(TRIM('Raw Data'!J214))=0),"",IF(AND(ISNUMBER('Raw Data'!J214),'Raw Data'!J214&gt;=Configuration!$D$2),"",_xlfn.REGEXEXTRACT(CELL("address",'Raw Data'!J214),"\$([A-Z]+)\$[0-9]+"))),_xlfn.REGEXEXTRACT(CELL("address",J214), "\$([A-Z]+)\$[0-9]+"))</f>
        <v/>
      </c>
      <c r="K214" s="7" t="str" cm="1">
        <f t="array" aca="1" ref="K214" ca="1">IFERROR(IF(OR('Raw Data'!K214="",LEN(TRIM('Raw Data'!K214))=0),"",IF(AND(ISNUMBER('Raw Data'!K214), IFERROR('Raw Data'!K214 = ROUND('Raw Data'!K214, 2),FALSE)),"",_xlfn.REGEXEXTRACT(CELL("address",K214), "\$([A-Z]+)\$[0-9]+"))),_xlfn.REGEXEXTRACT(CELL("address",K214), "\$([A-Z]+)\$[0-9]+"))</f>
        <v/>
      </c>
      <c r="L214" s="7" t="str" cm="1">
        <f t="array" aca="1" ref="L214" ca="1">IFERROR(IF(OR('Raw Data'!L214="",LEN(TRIM('Raw Data'!L214))=0),"",IF(AND(ISNUMBER('Raw Data'!L214), IFERROR('Raw Data'!L214 = ROUND('Raw Data'!L214, 2),FALSE)),"",_xlfn.REGEXEXTRACT(CELL("address",L214), "\$([A-Z]+)\$[0-9]+"))),_xlfn.REGEXEXTRACT(CELL("address",L214), "\$([A-Z]+)\$[0-9]+"))</f>
        <v/>
      </c>
      <c r="M214" s="7" t="str" cm="1">
        <f t="array" aca="1" ref="M214" ca="1">IFERROR(IF(OR('Raw Data'!M214="",LEN(TRIM('Raw Data'!M214))=0),"",IF(AND(ISNUMBER('Raw Data'!M214), IFERROR('Raw Data'!M214 = ROUND('Raw Data'!M214, 2),FALSE)),"",_xlfn.REGEXEXTRACT(CELL("address",M214), "\$([A-Z]+)\$[0-9]+"))),_xlfn.REGEXEXTRACT(CELL("address",M214), "\$([A-Z]+)\$[0-9]+"))</f>
        <v/>
      </c>
      <c r="N214" s="7" t="str" cm="1">
        <f t="array" aca="1" ref="N214" ca="1">IFERROR(IF(OR('Raw Data'!N214="",LEN(TRIM('Raw Data'!N214))=0),"",IF(AND(ISNUMBER('Raw Data'!N214), IFERROR('Raw Data'!N214 = ROUND('Raw Data'!N214, 2),FALSE)),"",_xlfn.REGEXEXTRACT(CELL("address",N214), "\$([A-Z]+)\$[0-9]+"))),_xlfn.REGEXEXTRACT(CELL("address",N214), "\$([A-Z]+)\$[0-9]+"))</f>
        <v/>
      </c>
      <c r="O214" s="7" t="str" cm="1">
        <f t="array" aca="1" ref="O214" ca="1">IFERROR(IF(OR('Raw Data'!O214="",LEN(TRIM('Raw Data'!O214))=0),"",IF(AND(ISNUMBER('Raw Data'!O214), IFERROR('Raw Data'!O214 = ROUND('Raw Data'!O214, 2),FALSE)),"",_xlfn.REGEXEXTRACT(CELL("address",O214), "\$([A-Z]+)\$[0-9]+"))),_xlfn.REGEXEXTRACT(CELL("address",O214), "\$([A-Z]+)\$[0-9]+"))</f>
        <v/>
      </c>
      <c r="P214" s="7" t="str" cm="1">
        <f t="array" aca="1" ref="P214" ca="1">IFERROR(IF(OR('Raw Data'!P214="",LEN(TRIM('Raw Data'!P214))=0),"",IF(AND(ISNUMBER('Raw Data'!P214),'Raw Data'!P214&gt;=Configuration!$D$2),"",_xlfn.REGEXEXTRACT(CELL("address",'Raw Data'!P214),"\$([A-Z]+)\$[0-9]+"))),_xlfn.REGEXEXTRACT(CELL("address",P214), "\$([A-Z]+)\$[0-9]+"))</f>
        <v/>
      </c>
      <c r="Q214" s="7" t="str" cm="1">
        <f t="array" aca="1" ref="Q214" ca="1">IFERROR(IF(OR('Raw Data'!Q214="",LEN(TRIM('Raw Data'!Q214))=0),"",IF(AND(ISNUMBER('Raw Data'!Q214),'Raw Data'!Q214&gt;=Configuration!$D$2),"",_xlfn.REGEXEXTRACT(CELL("address",'Raw Data'!Q214),"\$([A-Z]+)\$[0-9]+"))),_xlfn.REGEXEXTRACT(CELL("address",Q214), "\$([A-Z]+)\$[0-9]+"))</f>
        <v/>
      </c>
      <c r="R214" s="7" t="str" cm="1">
        <f t="array" aca="1" ref="R214" ca="1">IFERROR(IF(OR('Raw Data'!R214="",LEN(TRIM('Raw Data'!R214))=0),"",IF(AND(ISNUMBER('Raw Data'!R214), IFERROR('Raw Data'!R214 = ROUND('Raw Data'!R214, 2),FALSE)),"",_xlfn.REGEXEXTRACT(CELL("address",R214), "\$([A-Z]+)\$[0-9]+"))),_xlfn.REGEXEXTRACT(CELL("address",R214), "\$([A-Z]+)\$[0-9]+"))</f>
        <v/>
      </c>
      <c r="S214" s="7" t="str" cm="1">
        <f t="array" aca="1" ref="S214" ca="1">IFERROR(IF(OR('Raw Data'!S214="",LEN(TRIM('Raw Data'!S214))=0),"",IF(AND(ISNUMBER('Raw Data'!S214), IFERROR('Raw Data'!S214 = ROUND('Raw Data'!S214, 2),FALSE)),"",_xlfn.REGEXEXTRACT(CELL("address",S214), "\$([A-Z]+)\$[0-9]+"))),_xlfn.REGEXEXTRACT(CELL("address",S214), "\$([A-Z]+)\$[0-9]+"))</f>
        <v/>
      </c>
      <c r="T214" s="7" t="str" cm="1">
        <f t="array" aca="1" ref="T214" ca="1">IFERROR(IF(OR('Raw Data'!T214="",LEN(TRIM('Raw Data'!T214))=0),"",IF(AND(ISNUMBER('Raw Data'!T214), IFERROR('Raw Data'!T214 = ROUND('Raw Data'!T214, 2),FALSE)),"",_xlfn.REGEXEXTRACT(CELL("address",T214), "\$([A-Z]+)\$[0-9]+"))),_xlfn.REGEXEXTRACT(CELL("address",T214), "\$([A-Z]+)\$[0-9]+"))</f>
        <v/>
      </c>
      <c r="U214" s="7" t="str" cm="1">
        <f t="array" aca="1" ref="U214" ca="1">IFERROR(IF(OR('Raw Data'!U214="",LEN(TRIM('Raw Data'!U214))=0),"",IF(AND(LEN('Raw Data'!U214) &lt;= 5,LEN('Raw Data'!U214)&gt; 0),"",_xlfn.REGEXEXTRACT(CELL("address",'Raw Data'!U214),"\$([A-Z]+)\$[0-9]+"))),_xlfn.REGEXEXTRACT(CELL("address",'Raw Data'!U214),"\$([A-Z]+)\$[0-9]+"))</f>
        <v/>
      </c>
      <c r="V214" s="7" t="str" cm="1">
        <f t="array" aca="1" ref="V214" ca="1">IFERROR(IF(OR('Raw Data'!V214="",LEN(TRIM('Raw Data'!V214))=0),"",IF(AND(ISNUMBER('Raw Data'!V214), IFERROR('Raw Data'!V214 = ROUND('Raw Data'!V214, 2),FALSE)),"",_xlfn.REGEXEXTRACT(CELL("address",V214), "\$([A-Z]+)\$[0-9]+"))),_xlfn.REGEXEXTRACT(CELL("address",V214), "\$([A-Z]+)\$[0-9]+"))</f>
        <v/>
      </c>
      <c r="W214" s="7" t="str" cm="1">
        <f t="array" aca="1" ref="W214" ca="1">IFERROR(IF(OR('Raw Data'!W214="",LEN(TRIM('Raw Data'!W214))=0),"",IF(AND(ISNUMBER('Raw Data'!W214), IFERROR('Raw Data'!W214 = ROUND('Raw Data'!W214, 2),FALSE)),"",_xlfn.REGEXEXTRACT(CELL("address",W214), "\$([A-Z]+)\$[0-9]+"))),_xlfn.REGEXEXTRACT(CELL("address",W214), "\$([A-Z]+)\$[0-9]+"))</f>
        <v/>
      </c>
      <c r="X214" s="7" t="str" cm="1">
        <f t="array" aca="1" ref="X214" ca="1">IFERROR(IF(OR('Raw Data'!X214="",LEN(TRIM('Raw Data'!X214))=0),"",IF(AND(ISNUMBER('Raw Data'!X214), IFERROR('Raw Data'!X214 = ROUND('Raw Data'!X214, 2),FALSE)),"",_xlfn.REGEXEXTRACT(CELL("address",X214), "\$([A-Z]+)\$[0-9]+"))),_xlfn.REGEXEXTRACT(CELL("address",X214), "\$([A-Z]+)\$[0-9]+"))</f>
        <v/>
      </c>
    </row>
    <row r="215" spans="2:24" x14ac:dyDescent="0.25">
      <c r="B215" s="7" t="str" cm="1">
        <f t="array" aca="1" ref="B215" ca="1">IFERROR(IF(OR('Raw Data'!B215="",LEN(TRIM('Raw Data'!B215))=0),"",IF(AND(LEN('Raw Data'!B215) &lt;= 50,LEN('Raw Data'!B215)&gt; 0),"",_xlfn.REGEXEXTRACT(CELL("address",'Raw Data'!B215),"\$([A-Z]+)\$[0-9]+"))),_xlfn.REGEXEXTRACT(CELL("address",'Raw Data'!B215),"\$([A-Z]+)\$[0-9]+"))</f>
        <v/>
      </c>
      <c r="C215" s="7" t="str" cm="1">
        <f t="array" aca="1" ref="C215" ca="1">IFERROR(IF(OR('Raw Data'!C215="",LEN(TRIM('Raw Data'!C215))=0),"",IF(AND(LEN('Raw Data'!C215) &lt;= 50,LEN('Raw Data'!C215)&gt; 0),"",_xlfn.REGEXEXTRACT(CELL("address",'Raw Data'!C215),"\$([A-Z]+)\$[0-9]+"))),_xlfn.REGEXEXTRACT(CELL("address",'Raw Data'!C215),"\$([A-Z]+)\$[0-9]+"))</f>
        <v/>
      </c>
      <c r="D215" s="7" t="str" cm="1">
        <f t="array" aca="1" ref="D215" ca="1">IFERROR(IF(OR('Raw Data'!D215="",LEN(TRIM('Raw Data'!D215))=0),"",IF(AND(LEN('Raw Data'!D215) &lt;= 255,LEN('Raw Data'!D215)&gt; 0),"",_xlfn.REGEXEXTRACT(CELL("address",'Raw Data'!D215),"\$([A-Z]+)\$[0-9]+"))),_xlfn.REGEXEXTRACT(CELL("address",'Raw Data'!D215),"\$([A-Z]+)\$[0-9]+"))</f>
        <v/>
      </c>
      <c r="E215" s="7" t="str" cm="1">
        <f t="array" aca="1" ref="E215" ca="1">IFERROR(IF(OR('Raw Data'!E215="",LEN(TRIM('Raw Data'!E215))=0),"",IF(AND(ISNUMBER('Raw Data'!E215),'Raw Data'!E215&gt;=Configuration!$D$2),"",_xlfn.REGEXEXTRACT(CELL("address",'Raw Data'!E215),"\$([A-Z]+)\$[0-9]+"))),_xlfn.REGEXEXTRACT(CELL("address",E215), "\$([A-Z]+)\$[0-9]+"))</f>
        <v/>
      </c>
      <c r="F215" s="7" t="str" cm="1">
        <f t="array" aca="1" ref="F215" ca="1">IFERROR(IF(OR('Raw Data'!F215="",LEN(TRIM('Raw Data'!F215))=0),"",IF(AND(LEN('Raw Data'!F215) &lt;= 20,LEN('Raw Data'!F215)&gt; 0),"",_xlfn.REGEXEXTRACT(CELL("address",'Raw Data'!F215),"\$([A-Z]+)\$[0-9]+"))),_xlfn.REGEXEXTRACT(CELL("address",'Raw Data'!F215),"\$([A-Z]+)\$[0-9]+"))</f>
        <v/>
      </c>
      <c r="G215" s="7" t="str" cm="1">
        <f t="array" aca="1" ref="G215" ca="1">IFERROR(IF(OR('Raw Data'!G215="",LEN(TRIM('Raw Data'!G215))=0),"",IF(AND(ISNUMBER('Raw Data'!G215), IFERROR('Raw Data'!G215 = ROUND('Raw Data'!G215, 2),FALSE)),"",_xlfn.REGEXEXTRACT(CELL("address",G215), "\$([A-Z]+)\$[0-9]+"))),_xlfn.REGEXEXTRACT(CELL("address",G215), "\$([A-Z]+)\$[0-9]+"))</f>
        <v/>
      </c>
      <c r="H215" s="7" t="str" cm="1">
        <f t="array" aca="1" ref="H215" ca="1">IFERROR(IF(OR('Raw Data'!H215="",LEN(TRIM('Raw Data'!H215))=0),"",IF(AND(ISNUMBER('Raw Data'!H215), IFERROR('Raw Data'!H215 = ROUND('Raw Data'!H215, 2),FALSE)),"",_xlfn.REGEXEXTRACT(CELL("address",H215), "\$([A-Z]+)\$[0-9]+"))),_xlfn.REGEXEXTRACT(CELL("address",H215), "\$([A-Z]+)\$[0-9]+"))</f>
        <v/>
      </c>
      <c r="I215" s="7" t="str" cm="1">
        <f t="array" aca="1" ref="I215" ca="1">IFERROR(IF(OR('Raw Data'!I215="",LEN(TRIM('Raw Data'!I215))=0),"",IF(AND(LEN('Raw Data'!I215) &lt;= 50,LEN('Raw Data'!I215)&gt; 0),"",_xlfn.REGEXEXTRACT(CELL("address",'Raw Data'!I215),"\$([A-Z]+)\$[0-9]+"))),_xlfn.REGEXEXTRACT(CELL("address",'Raw Data'!I215),"\$([A-Z]+)\$[0-9]+"))</f>
        <v/>
      </c>
      <c r="J215" s="7" t="str" cm="1">
        <f t="array" aca="1" ref="J215" ca="1">IFERROR(IF(OR('Raw Data'!J215="",LEN(TRIM('Raw Data'!J215))=0),"",IF(AND(ISNUMBER('Raw Data'!J215),'Raw Data'!J215&gt;=Configuration!$D$2),"",_xlfn.REGEXEXTRACT(CELL("address",'Raw Data'!J215),"\$([A-Z]+)\$[0-9]+"))),_xlfn.REGEXEXTRACT(CELL("address",J215), "\$([A-Z]+)\$[0-9]+"))</f>
        <v/>
      </c>
      <c r="K215" s="7" t="str" cm="1">
        <f t="array" aca="1" ref="K215" ca="1">IFERROR(IF(OR('Raw Data'!K215="",LEN(TRIM('Raw Data'!K215))=0),"",IF(AND(ISNUMBER('Raw Data'!K215), IFERROR('Raw Data'!K215 = ROUND('Raw Data'!K215, 2),FALSE)),"",_xlfn.REGEXEXTRACT(CELL("address",K215), "\$([A-Z]+)\$[0-9]+"))),_xlfn.REGEXEXTRACT(CELL("address",K215), "\$([A-Z]+)\$[0-9]+"))</f>
        <v/>
      </c>
      <c r="L215" s="7" t="str" cm="1">
        <f t="array" aca="1" ref="L215" ca="1">IFERROR(IF(OR('Raw Data'!L215="",LEN(TRIM('Raw Data'!L215))=0),"",IF(AND(ISNUMBER('Raw Data'!L215), IFERROR('Raw Data'!L215 = ROUND('Raw Data'!L215, 2),FALSE)),"",_xlfn.REGEXEXTRACT(CELL("address",L215), "\$([A-Z]+)\$[0-9]+"))),_xlfn.REGEXEXTRACT(CELL("address",L215), "\$([A-Z]+)\$[0-9]+"))</f>
        <v/>
      </c>
      <c r="M215" s="7" t="str" cm="1">
        <f t="array" aca="1" ref="M215" ca="1">IFERROR(IF(OR('Raw Data'!M215="",LEN(TRIM('Raw Data'!M215))=0),"",IF(AND(ISNUMBER('Raw Data'!M215), IFERROR('Raw Data'!M215 = ROUND('Raw Data'!M215, 2),FALSE)),"",_xlfn.REGEXEXTRACT(CELL("address",M215), "\$([A-Z]+)\$[0-9]+"))),_xlfn.REGEXEXTRACT(CELL("address",M215), "\$([A-Z]+)\$[0-9]+"))</f>
        <v/>
      </c>
      <c r="N215" s="7" t="str" cm="1">
        <f t="array" aca="1" ref="N215" ca="1">IFERROR(IF(OR('Raw Data'!N215="",LEN(TRIM('Raw Data'!N215))=0),"",IF(AND(ISNUMBER('Raw Data'!N215), IFERROR('Raw Data'!N215 = ROUND('Raw Data'!N215, 2),FALSE)),"",_xlfn.REGEXEXTRACT(CELL("address",N215), "\$([A-Z]+)\$[0-9]+"))),_xlfn.REGEXEXTRACT(CELL("address",N215), "\$([A-Z]+)\$[0-9]+"))</f>
        <v/>
      </c>
      <c r="O215" s="7" t="str" cm="1">
        <f t="array" aca="1" ref="O215" ca="1">IFERROR(IF(OR('Raw Data'!O215="",LEN(TRIM('Raw Data'!O215))=0),"",IF(AND(ISNUMBER('Raw Data'!O215), IFERROR('Raw Data'!O215 = ROUND('Raw Data'!O215, 2),FALSE)),"",_xlfn.REGEXEXTRACT(CELL("address",O215), "\$([A-Z]+)\$[0-9]+"))),_xlfn.REGEXEXTRACT(CELL("address",O215), "\$([A-Z]+)\$[0-9]+"))</f>
        <v/>
      </c>
      <c r="P215" s="7" t="str" cm="1">
        <f t="array" aca="1" ref="P215" ca="1">IFERROR(IF(OR('Raw Data'!P215="",LEN(TRIM('Raw Data'!P215))=0),"",IF(AND(ISNUMBER('Raw Data'!P215),'Raw Data'!P215&gt;=Configuration!$D$2),"",_xlfn.REGEXEXTRACT(CELL("address",'Raw Data'!P215),"\$([A-Z]+)\$[0-9]+"))),_xlfn.REGEXEXTRACT(CELL("address",P215), "\$([A-Z]+)\$[0-9]+"))</f>
        <v/>
      </c>
      <c r="Q215" s="7" t="str" cm="1">
        <f t="array" aca="1" ref="Q215" ca="1">IFERROR(IF(OR('Raw Data'!Q215="",LEN(TRIM('Raw Data'!Q215))=0),"",IF(AND(ISNUMBER('Raw Data'!Q215),'Raw Data'!Q215&gt;=Configuration!$D$2),"",_xlfn.REGEXEXTRACT(CELL("address",'Raw Data'!Q215),"\$([A-Z]+)\$[0-9]+"))),_xlfn.REGEXEXTRACT(CELL("address",Q215), "\$([A-Z]+)\$[0-9]+"))</f>
        <v/>
      </c>
      <c r="R215" s="7" t="str" cm="1">
        <f t="array" aca="1" ref="R215" ca="1">IFERROR(IF(OR('Raw Data'!R215="",LEN(TRIM('Raw Data'!R215))=0),"",IF(AND(ISNUMBER('Raw Data'!R215), IFERROR('Raw Data'!R215 = ROUND('Raw Data'!R215, 2),FALSE)),"",_xlfn.REGEXEXTRACT(CELL("address",R215), "\$([A-Z]+)\$[0-9]+"))),_xlfn.REGEXEXTRACT(CELL("address",R215), "\$([A-Z]+)\$[0-9]+"))</f>
        <v/>
      </c>
      <c r="S215" s="7" t="str" cm="1">
        <f t="array" aca="1" ref="S215" ca="1">IFERROR(IF(OR('Raw Data'!S215="",LEN(TRIM('Raw Data'!S215))=0),"",IF(AND(ISNUMBER('Raw Data'!S215), IFERROR('Raw Data'!S215 = ROUND('Raw Data'!S215, 2),FALSE)),"",_xlfn.REGEXEXTRACT(CELL("address",S215), "\$([A-Z]+)\$[0-9]+"))),_xlfn.REGEXEXTRACT(CELL("address",S215), "\$([A-Z]+)\$[0-9]+"))</f>
        <v/>
      </c>
      <c r="T215" s="7" t="str" cm="1">
        <f t="array" aca="1" ref="T215" ca="1">IFERROR(IF(OR('Raw Data'!T215="",LEN(TRIM('Raw Data'!T215))=0),"",IF(AND(ISNUMBER('Raw Data'!T215), IFERROR('Raw Data'!T215 = ROUND('Raw Data'!T215, 2),FALSE)),"",_xlfn.REGEXEXTRACT(CELL("address",T215), "\$([A-Z]+)\$[0-9]+"))),_xlfn.REGEXEXTRACT(CELL("address",T215), "\$([A-Z]+)\$[0-9]+"))</f>
        <v/>
      </c>
      <c r="U215" s="7" t="str" cm="1">
        <f t="array" aca="1" ref="U215" ca="1">IFERROR(IF(OR('Raw Data'!U215="",LEN(TRIM('Raw Data'!U215))=0),"",IF(AND(LEN('Raw Data'!U215) &lt;= 5,LEN('Raw Data'!U215)&gt; 0),"",_xlfn.REGEXEXTRACT(CELL("address",'Raw Data'!U215),"\$([A-Z]+)\$[0-9]+"))),_xlfn.REGEXEXTRACT(CELL("address",'Raw Data'!U215),"\$([A-Z]+)\$[0-9]+"))</f>
        <v/>
      </c>
      <c r="V215" s="7" t="str" cm="1">
        <f t="array" aca="1" ref="V215" ca="1">IFERROR(IF(OR('Raw Data'!V215="",LEN(TRIM('Raw Data'!V215))=0),"",IF(AND(ISNUMBER('Raw Data'!V215), IFERROR('Raw Data'!V215 = ROUND('Raw Data'!V215, 2),FALSE)),"",_xlfn.REGEXEXTRACT(CELL("address",V215), "\$([A-Z]+)\$[0-9]+"))),_xlfn.REGEXEXTRACT(CELL("address",V215), "\$([A-Z]+)\$[0-9]+"))</f>
        <v/>
      </c>
      <c r="W215" s="7" t="str" cm="1">
        <f t="array" aca="1" ref="W215" ca="1">IFERROR(IF(OR('Raw Data'!W215="",LEN(TRIM('Raw Data'!W215))=0),"",IF(AND(ISNUMBER('Raw Data'!W215), IFERROR('Raw Data'!W215 = ROUND('Raw Data'!W215, 2),FALSE)),"",_xlfn.REGEXEXTRACT(CELL("address",W215), "\$([A-Z]+)\$[0-9]+"))),_xlfn.REGEXEXTRACT(CELL("address",W215), "\$([A-Z]+)\$[0-9]+"))</f>
        <v/>
      </c>
      <c r="X215" s="7" t="str" cm="1">
        <f t="array" aca="1" ref="X215" ca="1">IFERROR(IF(OR('Raw Data'!X215="",LEN(TRIM('Raw Data'!X215))=0),"",IF(AND(ISNUMBER('Raw Data'!X215), IFERROR('Raw Data'!X215 = ROUND('Raw Data'!X215, 2),FALSE)),"",_xlfn.REGEXEXTRACT(CELL("address",X215), "\$([A-Z]+)\$[0-9]+"))),_xlfn.REGEXEXTRACT(CELL("address",X215), "\$([A-Z]+)\$[0-9]+"))</f>
        <v/>
      </c>
    </row>
    <row r="216" spans="2:24" x14ac:dyDescent="0.25">
      <c r="B216" s="7" t="str" cm="1">
        <f t="array" aca="1" ref="B216" ca="1">IFERROR(IF(OR('Raw Data'!B216="",LEN(TRIM('Raw Data'!B216))=0),"",IF(AND(LEN('Raw Data'!B216) &lt;= 50,LEN('Raw Data'!B216)&gt; 0),"",_xlfn.REGEXEXTRACT(CELL("address",'Raw Data'!B216),"\$([A-Z]+)\$[0-9]+"))),_xlfn.REGEXEXTRACT(CELL("address",'Raw Data'!B216),"\$([A-Z]+)\$[0-9]+"))</f>
        <v/>
      </c>
      <c r="C216" s="7" t="str" cm="1">
        <f t="array" aca="1" ref="C216" ca="1">IFERROR(IF(OR('Raw Data'!C216="",LEN(TRIM('Raw Data'!C216))=0),"",IF(AND(LEN('Raw Data'!C216) &lt;= 50,LEN('Raw Data'!C216)&gt; 0),"",_xlfn.REGEXEXTRACT(CELL("address",'Raw Data'!C216),"\$([A-Z]+)\$[0-9]+"))),_xlfn.REGEXEXTRACT(CELL("address",'Raw Data'!C216),"\$([A-Z]+)\$[0-9]+"))</f>
        <v/>
      </c>
      <c r="D216" s="7" t="str" cm="1">
        <f t="array" aca="1" ref="D216" ca="1">IFERROR(IF(OR('Raw Data'!D216="",LEN(TRIM('Raw Data'!D216))=0),"",IF(AND(LEN('Raw Data'!D216) &lt;= 255,LEN('Raw Data'!D216)&gt; 0),"",_xlfn.REGEXEXTRACT(CELL("address",'Raw Data'!D216),"\$([A-Z]+)\$[0-9]+"))),_xlfn.REGEXEXTRACT(CELL("address",'Raw Data'!D216),"\$([A-Z]+)\$[0-9]+"))</f>
        <v/>
      </c>
      <c r="E216" s="7" t="str" cm="1">
        <f t="array" aca="1" ref="E216" ca="1">IFERROR(IF(OR('Raw Data'!E216="",LEN(TRIM('Raw Data'!E216))=0),"",IF(AND(ISNUMBER('Raw Data'!E216),'Raw Data'!E216&gt;=Configuration!$D$2),"",_xlfn.REGEXEXTRACT(CELL("address",'Raw Data'!E216),"\$([A-Z]+)\$[0-9]+"))),_xlfn.REGEXEXTRACT(CELL("address",E216), "\$([A-Z]+)\$[0-9]+"))</f>
        <v/>
      </c>
      <c r="F216" s="7" t="str" cm="1">
        <f t="array" aca="1" ref="F216" ca="1">IFERROR(IF(OR('Raw Data'!F216="",LEN(TRIM('Raw Data'!F216))=0),"",IF(AND(LEN('Raw Data'!F216) &lt;= 20,LEN('Raw Data'!F216)&gt; 0),"",_xlfn.REGEXEXTRACT(CELL("address",'Raw Data'!F216),"\$([A-Z]+)\$[0-9]+"))),_xlfn.REGEXEXTRACT(CELL("address",'Raw Data'!F216),"\$([A-Z]+)\$[0-9]+"))</f>
        <v/>
      </c>
      <c r="G216" s="7" t="str" cm="1">
        <f t="array" aca="1" ref="G216" ca="1">IFERROR(IF(OR('Raw Data'!G216="",LEN(TRIM('Raw Data'!G216))=0),"",IF(AND(ISNUMBER('Raw Data'!G216), IFERROR('Raw Data'!G216 = ROUND('Raw Data'!G216, 2),FALSE)),"",_xlfn.REGEXEXTRACT(CELL("address",G216), "\$([A-Z]+)\$[0-9]+"))),_xlfn.REGEXEXTRACT(CELL("address",G216), "\$([A-Z]+)\$[0-9]+"))</f>
        <v/>
      </c>
      <c r="H216" s="7" t="str" cm="1">
        <f t="array" aca="1" ref="H216" ca="1">IFERROR(IF(OR('Raw Data'!H216="",LEN(TRIM('Raw Data'!H216))=0),"",IF(AND(ISNUMBER('Raw Data'!H216), IFERROR('Raw Data'!H216 = ROUND('Raw Data'!H216, 2),FALSE)),"",_xlfn.REGEXEXTRACT(CELL("address",H216), "\$([A-Z]+)\$[0-9]+"))),_xlfn.REGEXEXTRACT(CELL("address",H216), "\$([A-Z]+)\$[0-9]+"))</f>
        <v/>
      </c>
      <c r="I216" s="7" t="str" cm="1">
        <f t="array" aca="1" ref="I216" ca="1">IFERROR(IF(OR('Raw Data'!I216="",LEN(TRIM('Raw Data'!I216))=0),"",IF(AND(LEN('Raw Data'!I216) &lt;= 50,LEN('Raw Data'!I216)&gt; 0),"",_xlfn.REGEXEXTRACT(CELL("address",'Raw Data'!I216),"\$([A-Z]+)\$[0-9]+"))),_xlfn.REGEXEXTRACT(CELL("address",'Raw Data'!I216),"\$([A-Z]+)\$[0-9]+"))</f>
        <v/>
      </c>
      <c r="J216" s="7" t="str" cm="1">
        <f t="array" aca="1" ref="J216" ca="1">IFERROR(IF(OR('Raw Data'!J216="",LEN(TRIM('Raw Data'!J216))=0),"",IF(AND(ISNUMBER('Raw Data'!J216),'Raw Data'!J216&gt;=Configuration!$D$2),"",_xlfn.REGEXEXTRACT(CELL("address",'Raw Data'!J216),"\$([A-Z]+)\$[0-9]+"))),_xlfn.REGEXEXTRACT(CELL("address",J216), "\$([A-Z]+)\$[0-9]+"))</f>
        <v/>
      </c>
      <c r="K216" s="7" t="str" cm="1">
        <f t="array" aca="1" ref="K216" ca="1">IFERROR(IF(OR('Raw Data'!K216="",LEN(TRIM('Raw Data'!K216))=0),"",IF(AND(ISNUMBER('Raw Data'!K216), IFERROR('Raw Data'!K216 = ROUND('Raw Data'!K216, 2),FALSE)),"",_xlfn.REGEXEXTRACT(CELL("address",K216), "\$([A-Z]+)\$[0-9]+"))),_xlfn.REGEXEXTRACT(CELL("address",K216), "\$([A-Z]+)\$[0-9]+"))</f>
        <v/>
      </c>
      <c r="L216" s="7" t="str" cm="1">
        <f t="array" aca="1" ref="L216" ca="1">IFERROR(IF(OR('Raw Data'!L216="",LEN(TRIM('Raw Data'!L216))=0),"",IF(AND(ISNUMBER('Raw Data'!L216), IFERROR('Raw Data'!L216 = ROUND('Raw Data'!L216, 2),FALSE)),"",_xlfn.REGEXEXTRACT(CELL("address",L216), "\$([A-Z]+)\$[0-9]+"))),_xlfn.REGEXEXTRACT(CELL("address",L216), "\$([A-Z]+)\$[0-9]+"))</f>
        <v/>
      </c>
      <c r="M216" s="7" t="str" cm="1">
        <f t="array" aca="1" ref="M216" ca="1">IFERROR(IF(OR('Raw Data'!M216="",LEN(TRIM('Raw Data'!M216))=0),"",IF(AND(ISNUMBER('Raw Data'!M216), IFERROR('Raw Data'!M216 = ROUND('Raw Data'!M216, 2),FALSE)),"",_xlfn.REGEXEXTRACT(CELL("address",M216), "\$([A-Z]+)\$[0-9]+"))),_xlfn.REGEXEXTRACT(CELL("address",M216), "\$([A-Z]+)\$[0-9]+"))</f>
        <v/>
      </c>
      <c r="N216" s="7" t="str" cm="1">
        <f t="array" aca="1" ref="N216" ca="1">IFERROR(IF(OR('Raw Data'!N216="",LEN(TRIM('Raw Data'!N216))=0),"",IF(AND(ISNUMBER('Raw Data'!N216), IFERROR('Raw Data'!N216 = ROUND('Raw Data'!N216, 2),FALSE)),"",_xlfn.REGEXEXTRACT(CELL("address",N216), "\$([A-Z]+)\$[0-9]+"))),_xlfn.REGEXEXTRACT(CELL("address",N216), "\$([A-Z]+)\$[0-9]+"))</f>
        <v/>
      </c>
      <c r="O216" s="7" t="str" cm="1">
        <f t="array" aca="1" ref="O216" ca="1">IFERROR(IF(OR('Raw Data'!O216="",LEN(TRIM('Raw Data'!O216))=0),"",IF(AND(ISNUMBER('Raw Data'!O216), IFERROR('Raw Data'!O216 = ROUND('Raw Data'!O216, 2),FALSE)),"",_xlfn.REGEXEXTRACT(CELL("address",O216), "\$([A-Z]+)\$[0-9]+"))),_xlfn.REGEXEXTRACT(CELL("address",O216), "\$([A-Z]+)\$[0-9]+"))</f>
        <v/>
      </c>
      <c r="P216" s="7" t="str" cm="1">
        <f t="array" aca="1" ref="P216" ca="1">IFERROR(IF(OR('Raw Data'!P216="",LEN(TRIM('Raw Data'!P216))=0),"",IF(AND(ISNUMBER('Raw Data'!P216),'Raw Data'!P216&gt;=Configuration!$D$2),"",_xlfn.REGEXEXTRACT(CELL("address",'Raw Data'!P216),"\$([A-Z]+)\$[0-9]+"))),_xlfn.REGEXEXTRACT(CELL("address",P216), "\$([A-Z]+)\$[0-9]+"))</f>
        <v/>
      </c>
      <c r="Q216" s="7" t="str" cm="1">
        <f t="array" aca="1" ref="Q216" ca="1">IFERROR(IF(OR('Raw Data'!Q216="",LEN(TRIM('Raw Data'!Q216))=0),"",IF(AND(ISNUMBER('Raw Data'!Q216),'Raw Data'!Q216&gt;=Configuration!$D$2),"",_xlfn.REGEXEXTRACT(CELL("address",'Raw Data'!Q216),"\$([A-Z]+)\$[0-9]+"))),_xlfn.REGEXEXTRACT(CELL("address",Q216), "\$([A-Z]+)\$[0-9]+"))</f>
        <v/>
      </c>
      <c r="R216" s="7" t="str" cm="1">
        <f t="array" aca="1" ref="R216" ca="1">IFERROR(IF(OR('Raw Data'!R216="",LEN(TRIM('Raw Data'!R216))=0),"",IF(AND(ISNUMBER('Raw Data'!R216), IFERROR('Raw Data'!R216 = ROUND('Raw Data'!R216, 2),FALSE)),"",_xlfn.REGEXEXTRACT(CELL("address",R216), "\$([A-Z]+)\$[0-9]+"))),_xlfn.REGEXEXTRACT(CELL("address",R216), "\$([A-Z]+)\$[0-9]+"))</f>
        <v/>
      </c>
      <c r="S216" s="7" t="str" cm="1">
        <f t="array" aca="1" ref="S216" ca="1">IFERROR(IF(OR('Raw Data'!S216="",LEN(TRIM('Raw Data'!S216))=0),"",IF(AND(ISNUMBER('Raw Data'!S216), IFERROR('Raw Data'!S216 = ROUND('Raw Data'!S216, 2),FALSE)),"",_xlfn.REGEXEXTRACT(CELL("address",S216), "\$([A-Z]+)\$[0-9]+"))),_xlfn.REGEXEXTRACT(CELL("address",S216), "\$([A-Z]+)\$[0-9]+"))</f>
        <v/>
      </c>
      <c r="T216" s="7" t="str" cm="1">
        <f t="array" aca="1" ref="T216" ca="1">IFERROR(IF(OR('Raw Data'!T216="",LEN(TRIM('Raw Data'!T216))=0),"",IF(AND(ISNUMBER('Raw Data'!T216), IFERROR('Raw Data'!T216 = ROUND('Raw Data'!T216, 2),FALSE)),"",_xlfn.REGEXEXTRACT(CELL("address",T216), "\$([A-Z]+)\$[0-9]+"))),_xlfn.REGEXEXTRACT(CELL("address",T216), "\$([A-Z]+)\$[0-9]+"))</f>
        <v/>
      </c>
      <c r="U216" s="7" t="str" cm="1">
        <f t="array" aca="1" ref="U216" ca="1">IFERROR(IF(OR('Raw Data'!U216="",LEN(TRIM('Raw Data'!U216))=0),"",IF(AND(LEN('Raw Data'!U216) &lt;= 5,LEN('Raw Data'!U216)&gt; 0),"",_xlfn.REGEXEXTRACT(CELL("address",'Raw Data'!U216),"\$([A-Z]+)\$[0-9]+"))),_xlfn.REGEXEXTRACT(CELL("address",'Raw Data'!U216),"\$([A-Z]+)\$[0-9]+"))</f>
        <v/>
      </c>
      <c r="V216" s="7" t="str" cm="1">
        <f t="array" aca="1" ref="V216" ca="1">IFERROR(IF(OR('Raw Data'!V216="",LEN(TRIM('Raw Data'!V216))=0),"",IF(AND(ISNUMBER('Raw Data'!V216), IFERROR('Raw Data'!V216 = ROUND('Raw Data'!V216, 2),FALSE)),"",_xlfn.REGEXEXTRACT(CELL("address",V216), "\$([A-Z]+)\$[0-9]+"))),_xlfn.REGEXEXTRACT(CELL("address",V216), "\$([A-Z]+)\$[0-9]+"))</f>
        <v/>
      </c>
      <c r="W216" s="7" t="str" cm="1">
        <f t="array" aca="1" ref="W216" ca="1">IFERROR(IF(OR('Raw Data'!W216="",LEN(TRIM('Raw Data'!W216))=0),"",IF(AND(ISNUMBER('Raw Data'!W216), IFERROR('Raw Data'!W216 = ROUND('Raw Data'!W216, 2),FALSE)),"",_xlfn.REGEXEXTRACT(CELL("address",W216), "\$([A-Z]+)\$[0-9]+"))),_xlfn.REGEXEXTRACT(CELL("address",W216), "\$([A-Z]+)\$[0-9]+"))</f>
        <v/>
      </c>
      <c r="X216" s="7" t="str" cm="1">
        <f t="array" aca="1" ref="X216" ca="1">IFERROR(IF(OR('Raw Data'!X216="",LEN(TRIM('Raw Data'!X216))=0),"",IF(AND(ISNUMBER('Raw Data'!X216), IFERROR('Raw Data'!X216 = ROUND('Raw Data'!X216, 2),FALSE)),"",_xlfn.REGEXEXTRACT(CELL("address",X216), "\$([A-Z]+)\$[0-9]+"))),_xlfn.REGEXEXTRACT(CELL("address",X216), "\$([A-Z]+)\$[0-9]+"))</f>
        <v/>
      </c>
    </row>
    <row r="217" spans="2:24" x14ac:dyDescent="0.25">
      <c r="B217" s="7" t="str" cm="1">
        <f t="array" aca="1" ref="B217" ca="1">IFERROR(IF(OR('Raw Data'!B217="",LEN(TRIM('Raw Data'!B217))=0),"",IF(AND(LEN('Raw Data'!B217) &lt;= 50,LEN('Raw Data'!B217)&gt; 0),"",_xlfn.REGEXEXTRACT(CELL("address",'Raw Data'!B217),"\$([A-Z]+)\$[0-9]+"))),_xlfn.REGEXEXTRACT(CELL("address",'Raw Data'!B217),"\$([A-Z]+)\$[0-9]+"))</f>
        <v/>
      </c>
      <c r="C217" s="7" t="str" cm="1">
        <f t="array" aca="1" ref="C217" ca="1">IFERROR(IF(OR('Raw Data'!C217="",LEN(TRIM('Raw Data'!C217))=0),"",IF(AND(LEN('Raw Data'!C217) &lt;= 50,LEN('Raw Data'!C217)&gt; 0),"",_xlfn.REGEXEXTRACT(CELL("address",'Raw Data'!C217),"\$([A-Z]+)\$[0-9]+"))),_xlfn.REGEXEXTRACT(CELL("address",'Raw Data'!C217),"\$([A-Z]+)\$[0-9]+"))</f>
        <v/>
      </c>
      <c r="D217" s="7" t="str" cm="1">
        <f t="array" aca="1" ref="D217" ca="1">IFERROR(IF(OR('Raw Data'!D217="",LEN(TRIM('Raw Data'!D217))=0),"",IF(AND(LEN('Raw Data'!D217) &lt;= 255,LEN('Raw Data'!D217)&gt; 0),"",_xlfn.REGEXEXTRACT(CELL("address",'Raw Data'!D217),"\$([A-Z]+)\$[0-9]+"))),_xlfn.REGEXEXTRACT(CELL("address",'Raw Data'!D217),"\$([A-Z]+)\$[0-9]+"))</f>
        <v/>
      </c>
      <c r="E217" s="7" t="str" cm="1">
        <f t="array" aca="1" ref="E217" ca="1">IFERROR(IF(OR('Raw Data'!E217="",LEN(TRIM('Raw Data'!E217))=0),"",IF(AND(ISNUMBER('Raw Data'!E217),'Raw Data'!E217&gt;=Configuration!$D$2),"",_xlfn.REGEXEXTRACT(CELL("address",'Raw Data'!E217),"\$([A-Z]+)\$[0-9]+"))),_xlfn.REGEXEXTRACT(CELL("address",E217), "\$([A-Z]+)\$[0-9]+"))</f>
        <v/>
      </c>
      <c r="F217" s="7" t="str" cm="1">
        <f t="array" aca="1" ref="F217" ca="1">IFERROR(IF(OR('Raw Data'!F217="",LEN(TRIM('Raw Data'!F217))=0),"",IF(AND(LEN('Raw Data'!F217) &lt;= 20,LEN('Raw Data'!F217)&gt; 0),"",_xlfn.REGEXEXTRACT(CELL("address",'Raw Data'!F217),"\$([A-Z]+)\$[0-9]+"))),_xlfn.REGEXEXTRACT(CELL("address",'Raw Data'!F217),"\$([A-Z]+)\$[0-9]+"))</f>
        <v/>
      </c>
      <c r="G217" s="7" t="str" cm="1">
        <f t="array" aca="1" ref="G217" ca="1">IFERROR(IF(OR('Raw Data'!G217="",LEN(TRIM('Raw Data'!G217))=0),"",IF(AND(ISNUMBER('Raw Data'!G217), IFERROR('Raw Data'!G217 = ROUND('Raw Data'!G217, 2),FALSE)),"",_xlfn.REGEXEXTRACT(CELL("address",G217), "\$([A-Z]+)\$[0-9]+"))),_xlfn.REGEXEXTRACT(CELL("address",G217), "\$([A-Z]+)\$[0-9]+"))</f>
        <v/>
      </c>
      <c r="H217" s="7" t="str" cm="1">
        <f t="array" aca="1" ref="H217" ca="1">IFERROR(IF(OR('Raw Data'!H217="",LEN(TRIM('Raw Data'!H217))=0),"",IF(AND(ISNUMBER('Raw Data'!H217), IFERROR('Raw Data'!H217 = ROUND('Raw Data'!H217, 2),FALSE)),"",_xlfn.REGEXEXTRACT(CELL("address",H217), "\$([A-Z]+)\$[0-9]+"))),_xlfn.REGEXEXTRACT(CELL("address",H217), "\$([A-Z]+)\$[0-9]+"))</f>
        <v/>
      </c>
      <c r="I217" s="7" t="str" cm="1">
        <f t="array" aca="1" ref="I217" ca="1">IFERROR(IF(OR('Raw Data'!I217="",LEN(TRIM('Raw Data'!I217))=0),"",IF(AND(LEN('Raw Data'!I217) &lt;= 50,LEN('Raw Data'!I217)&gt; 0),"",_xlfn.REGEXEXTRACT(CELL("address",'Raw Data'!I217),"\$([A-Z]+)\$[0-9]+"))),_xlfn.REGEXEXTRACT(CELL("address",'Raw Data'!I217),"\$([A-Z]+)\$[0-9]+"))</f>
        <v/>
      </c>
      <c r="J217" s="7" t="str" cm="1">
        <f t="array" aca="1" ref="J217" ca="1">IFERROR(IF(OR('Raw Data'!J217="",LEN(TRIM('Raw Data'!J217))=0),"",IF(AND(ISNUMBER('Raw Data'!J217),'Raw Data'!J217&gt;=Configuration!$D$2),"",_xlfn.REGEXEXTRACT(CELL("address",'Raw Data'!J217),"\$([A-Z]+)\$[0-9]+"))),_xlfn.REGEXEXTRACT(CELL("address",J217), "\$([A-Z]+)\$[0-9]+"))</f>
        <v/>
      </c>
      <c r="K217" s="7" t="str" cm="1">
        <f t="array" aca="1" ref="K217" ca="1">IFERROR(IF(OR('Raw Data'!K217="",LEN(TRIM('Raw Data'!K217))=0),"",IF(AND(ISNUMBER('Raw Data'!K217), IFERROR('Raw Data'!K217 = ROUND('Raw Data'!K217, 2),FALSE)),"",_xlfn.REGEXEXTRACT(CELL("address",K217), "\$([A-Z]+)\$[0-9]+"))),_xlfn.REGEXEXTRACT(CELL("address",K217), "\$([A-Z]+)\$[0-9]+"))</f>
        <v/>
      </c>
      <c r="L217" s="7" t="str" cm="1">
        <f t="array" aca="1" ref="L217" ca="1">IFERROR(IF(OR('Raw Data'!L217="",LEN(TRIM('Raw Data'!L217))=0),"",IF(AND(ISNUMBER('Raw Data'!L217), IFERROR('Raw Data'!L217 = ROUND('Raw Data'!L217, 2),FALSE)),"",_xlfn.REGEXEXTRACT(CELL("address",L217), "\$([A-Z]+)\$[0-9]+"))),_xlfn.REGEXEXTRACT(CELL("address",L217), "\$([A-Z]+)\$[0-9]+"))</f>
        <v/>
      </c>
      <c r="M217" s="7" t="str" cm="1">
        <f t="array" aca="1" ref="M217" ca="1">IFERROR(IF(OR('Raw Data'!M217="",LEN(TRIM('Raw Data'!M217))=0),"",IF(AND(ISNUMBER('Raw Data'!M217), IFERROR('Raw Data'!M217 = ROUND('Raw Data'!M217, 2),FALSE)),"",_xlfn.REGEXEXTRACT(CELL("address",M217), "\$([A-Z]+)\$[0-9]+"))),_xlfn.REGEXEXTRACT(CELL("address",M217), "\$([A-Z]+)\$[0-9]+"))</f>
        <v/>
      </c>
      <c r="N217" s="7" t="str" cm="1">
        <f t="array" aca="1" ref="N217" ca="1">IFERROR(IF(OR('Raw Data'!N217="",LEN(TRIM('Raw Data'!N217))=0),"",IF(AND(ISNUMBER('Raw Data'!N217), IFERROR('Raw Data'!N217 = ROUND('Raw Data'!N217, 2),FALSE)),"",_xlfn.REGEXEXTRACT(CELL("address",N217), "\$([A-Z]+)\$[0-9]+"))),_xlfn.REGEXEXTRACT(CELL("address",N217), "\$([A-Z]+)\$[0-9]+"))</f>
        <v/>
      </c>
      <c r="O217" s="7" t="str" cm="1">
        <f t="array" aca="1" ref="O217" ca="1">IFERROR(IF(OR('Raw Data'!O217="",LEN(TRIM('Raw Data'!O217))=0),"",IF(AND(ISNUMBER('Raw Data'!O217), IFERROR('Raw Data'!O217 = ROUND('Raw Data'!O217, 2),FALSE)),"",_xlfn.REGEXEXTRACT(CELL("address",O217), "\$([A-Z]+)\$[0-9]+"))),_xlfn.REGEXEXTRACT(CELL("address",O217), "\$([A-Z]+)\$[0-9]+"))</f>
        <v/>
      </c>
      <c r="P217" s="7" t="str" cm="1">
        <f t="array" aca="1" ref="P217" ca="1">IFERROR(IF(OR('Raw Data'!P217="",LEN(TRIM('Raw Data'!P217))=0),"",IF(AND(ISNUMBER('Raw Data'!P217),'Raw Data'!P217&gt;=Configuration!$D$2),"",_xlfn.REGEXEXTRACT(CELL("address",'Raw Data'!P217),"\$([A-Z]+)\$[0-9]+"))),_xlfn.REGEXEXTRACT(CELL("address",P217), "\$([A-Z]+)\$[0-9]+"))</f>
        <v/>
      </c>
      <c r="Q217" s="7" t="str" cm="1">
        <f t="array" aca="1" ref="Q217" ca="1">IFERROR(IF(OR('Raw Data'!Q217="",LEN(TRIM('Raw Data'!Q217))=0),"",IF(AND(ISNUMBER('Raw Data'!Q217),'Raw Data'!Q217&gt;=Configuration!$D$2),"",_xlfn.REGEXEXTRACT(CELL("address",'Raw Data'!Q217),"\$([A-Z]+)\$[0-9]+"))),_xlfn.REGEXEXTRACT(CELL("address",Q217), "\$([A-Z]+)\$[0-9]+"))</f>
        <v/>
      </c>
      <c r="R217" s="7" t="str" cm="1">
        <f t="array" aca="1" ref="R217" ca="1">IFERROR(IF(OR('Raw Data'!R217="",LEN(TRIM('Raw Data'!R217))=0),"",IF(AND(ISNUMBER('Raw Data'!R217), IFERROR('Raw Data'!R217 = ROUND('Raw Data'!R217, 2),FALSE)),"",_xlfn.REGEXEXTRACT(CELL("address",R217), "\$([A-Z]+)\$[0-9]+"))),_xlfn.REGEXEXTRACT(CELL("address",R217), "\$([A-Z]+)\$[0-9]+"))</f>
        <v/>
      </c>
      <c r="S217" s="7" t="str" cm="1">
        <f t="array" aca="1" ref="S217" ca="1">IFERROR(IF(OR('Raw Data'!S217="",LEN(TRIM('Raw Data'!S217))=0),"",IF(AND(ISNUMBER('Raw Data'!S217), IFERROR('Raw Data'!S217 = ROUND('Raw Data'!S217, 2),FALSE)),"",_xlfn.REGEXEXTRACT(CELL("address",S217), "\$([A-Z]+)\$[0-9]+"))),_xlfn.REGEXEXTRACT(CELL("address",S217), "\$([A-Z]+)\$[0-9]+"))</f>
        <v/>
      </c>
      <c r="T217" s="7" t="str" cm="1">
        <f t="array" aca="1" ref="T217" ca="1">IFERROR(IF(OR('Raw Data'!T217="",LEN(TRIM('Raw Data'!T217))=0),"",IF(AND(ISNUMBER('Raw Data'!T217), IFERROR('Raw Data'!T217 = ROUND('Raw Data'!T217, 2),FALSE)),"",_xlfn.REGEXEXTRACT(CELL("address",T217), "\$([A-Z]+)\$[0-9]+"))),_xlfn.REGEXEXTRACT(CELL("address",T217), "\$([A-Z]+)\$[0-9]+"))</f>
        <v/>
      </c>
      <c r="U217" s="7" t="str" cm="1">
        <f t="array" aca="1" ref="U217" ca="1">IFERROR(IF(OR('Raw Data'!U217="",LEN(TRIM('Raw Data'!U217))=0),"",IF(AND(LEN('Raw Data'!U217) &lt;= 5,LEN('Raw Data'!U217)&gt; 0),"",_xlfn.REGEXEXTRACT(CELL("address",'Raw Data'!U217),"\$([A-Z]+)\$[0-9]+"))),_xlfn.REGEXEXTRACT(CELL("address",'Raw Data'!U217),"\$([A-Z]+)\$[0-9]+"))</f>
        <v/>
      </c>
      <c r="V217" s="7" t="str" cm="1">
        <f t="array" aca="1" ref="V217" ca="1">IFERROR(IF(OR('Raw Data'!V217="",LEN(TRIM('Raw Data'!V217))=0),"",IF(AND(ISNUMBER('Raw Data'!V217), IFERROR('Raw Data'!V217 = ROUND('Raw Data'!V217, 2),FALSE)),"",_xlfn.REGEXEXTRACT(CELL("address",V217), "\$([A-Z]+)\$[0-9]+"))),_xlfn.REGEXEXTRACT(CELL("address",V217), "\$([A-Z]+)\$[0-9]+"))</f>
        <v/>
      </c>
      <c r="W217" s="7" t="str" cm="1">
        <f t="array" aca="1" ref="W217" ca="1">IFERROR(IF(OR('Raw Data'!W217="",LEN(TRIM('Raw Data'!W217))=0),"",IF(AND(ISNUMBER('Raw Data'!W217), IFERROR('Raw Data'!W217 = ROUND('Raw Data'!W217, 2),FALSE)),"",_xlfn.REGEXEXTRACT(CELL("address",W217), "\$([A-Z]+)\$[0-9]+"))),_xlfn.REGEXEXTRACT(CELL("address",W217), "\$([A-Z]+)\$[0-9]+"))</f>
        <v/>
      </c>
      <c r="X217" s="7" t="str" cm="1">
        <f t="array" aca="1" ref="X217" ca="1">IFERROR(IF(OR('Raw Data'!X217="",LEN(TRIM('Raw Data'!X217))=0),"",IF(AND(ISNUMBER('Raw Data'!X217), IFERROR('Raw Data'!X217 = ROUND('Raw Data'!X217, 2),FALSE)),"",_xlfn.REGEXEXTRACT(CELL("address",X217), "\$([A-Z]+)\$[0-9]+"))),_xlfn.REGEXEXTRACT(CELL("address",X217), "\$([A-Z]+)\$[0-9]+"))</f>
        <v/>
      </c>
    </row>
    <row r="218" spans="2:24" x14ac:dyDescent="0.25">
      <c r="B218" s="7" t="str" cm="1">
        <f t="array" aca="1" ref="B218" ca="1">IFERROR(IF(OR('Raw Data'!B218="",LEN(TRIM('Raw Data'!B218))=0),"",IF(AND(LEN('Raw Data'!B218) &lt;= 50,LEN('Raw Data'!B218)&gt; 0),"",_xlfn.REGEXEXTRACT(CELL("address",'Raw Data'!B218),"\$([A-Z]+)\$[0-9]+"))),_xlfn.REGEXEXTRACT(CELL("address",'Raw Data'!B218),"\$([A-Z]+)\$[0-9]+"))</f>
        <v/>
      </c>
      <c r="C218" s="7" t="str" cm="1">
        <f t="array" aca="1" ref="C218" ca="1">IFERROR(IF(OR('Raw Data'!C218="",LEN(TRIM('Raw Data'!C218))=0),"",IF(AND(LEN('Raw Data'!C218) &lt;= 50,LEN('Raw Data'!C218)&gt; 0),"",_xlfn.REGEXEXTRACT(CELL("address",'Raw Data'!C218),"\$([A-Z]+)\$[0-9]+"))),_xlfn.REGEXEXTRACT(CELL("address",'Raw Data'!C218),"\$([A-Z]+)\$[0-9]+"))</f>
        <v/>
      </c>
      <c r="D218" s="7" t="str" cm="1">
        <f t="array" aca="1" ref="D218" ca="1">IFERROR(IF(OR('Raw Data'!D218="",LEN(TRIM('Raw Data'!D218))=0),"",IF(AND(LEN('Raw Data'!D218) &lt;= 255,LEN('Raw Data'!D218)&gt; 0),"",_xlfn.REGEXEXTRACT(CELL("address",'Raw Data'!D218),"\$([A-Z]+)\$[0-9]+"))),_xlfn.REGEXEXTRACT(CELL("address",'Raw Data'!D218),"\$([A-Z]+)\$[0-9]+"))</f>
        <v/>
      </c>
      <c r="E218" s="7" t="str" cm="1">
        <f t="array" aca="1" ref="E218" ca="1">IFERROR(IF(OR('Raw Data'!E218="",LEN(TRIM('Raw Data'!E218))=0),"",IF(AND(ISNUMBER('Raw Data'!E218),'Raw Data'!E218&gt;=Configuration!$D$2),"",_xlfn.REGEXEXTRACT(CELL("address",'Raw Data'!E218),"\$([A-Z]+)\$[0-9]+"))),_xlfn.REGEXEXTRACT(CELL("address",E218), "\$([A-Z]+)\$[0-9]+"))</f>
        <v/>
      </c>
      <c r="F218" s="7" t="str" cm="1">
        <f t="array" aca="1" ref="F218" ca="1">IFERROR(IF(OR('Raw Data'!F218="",LEN(TRIM('Raw Data'!F218))=0),"",IF(AND(LEN('Raw Data'!F218) &lt;= 20,LEN('Raw Data'!F218)&gt; 0),"",_xlfn.REGEXEXTRACT(CELL("address",'Raw Data'!F218),"\$([A-Z]+)\$[0-9]+"))),_xlfn.REGEXEXTRACT(CELL("address",'Raw Data'!F218),"\$([A-Z]+)\$[0-9]+"))</f>
        <v/>
      </c>
      <c r="G218" s="7" t="str" cm="1">
        <f t="array" aca="1" ref="G218" ca="1">IFERROR(IF(OR('Raw Data'!G218="",LEN(TRIM('Raw Data'!G218))=0),"",IF(AND(ISNUMBER('Raw Data'!G218), IFERROR('Raw Data'!G218 = ROUND('Raw Data'!G218, 2),FALSE)),"",_xlfn.REGEXEXTRACT(CELL("address",G218), "\$([A-Z]+)\$[0-9]+"))),_xlfn.REGEXEXTRACT(CELL("address",G218), "\$([A-Z]+)\$[0-9]+"))</f>
        <v/>
      </c>
      <c r="H218" s="7" t="str" cm="1">
        <f t="array" aca="1" ref="H218" ca="1">IFERROR(IF(OR('Raw Data'!H218="",LEN(TRIM('Raw Data'!H218))=0),"",IF(AND(ISNUMBER('Raw Data'!H218), IFERROR('Raw Data'!H218 = ROUND('Raw Data'!H218, 2),FALSE)),"",_xlfn.REGEXEXTRACT(CELL("address",H218), "\$([A-Z]+)\$[0-9]+"))),_xlfn.REGEXEXTRACT(CELL("address",H218), "\$([A-Z]+)\$[0-9]+"))</f>
        <v/>
      </c>
      <c r="I218" s="7" t="str" cm="1">
        <f t="array" aca="1" ref="I218" ca="1">IFERROR(IF(OR('Raw Data'!I218="",LEN(TRIM('Raw Data'!I218))=0),"",IF(AND(LEN('Raw Data'!I218) &lt;= 50,LEN('Raw Data'!I218)&gt; 0),"",_xlfn.REGEXEXTRACT(CELL("address",'Raw Data'!I218),"\$([A-Z]+)\$[0-9]+"))),_xlfn.REGEXEXTRACT(CELL("address",'Raw Data'!I218),"\$([A-Z]+)\$[0-9]+"))</f>
        <v/>
      </c>
      <c r="J218" s="7" t="str" cm="1">
        <f t="array" aca="1" ref="J218" ca="1">IFERROR(IF(OR('Raw Data'!J218="",LEN(TRIM('Raw Data'!J218))=0),"",IF(AND(ISNUMBER('Raw Data'!J218),'Raw Data'!J218&gt;=Configuration!$D$2),"",_xlfn.REGEXEXTRACT(CELL("address",'Raw Data'!J218),"\$([A-Z]+)\$[0-9]+"))),_xlfn.REGEXEXTRACT(CELL("address",J218), "\$([A-Z]+)\$[0-9]+"))</f>
        <v/>
      </c>
      <c r="K218" s="7" t="str" cm="1">
        <f t="array" aca="1" ref="K218" ca="1">IFERROR(IF(OR('Raw Data'!K218="",LEN(TRIM('Raw Data'!K218))=0),"",IF(AND(ISNUMBER('Raw Data'!K218), IFERROR('Raw Data'!K218 = ROUND('Raw Data'!K218, 2),FALSE)),"",_xlfn.REGEXEXTRACT(CELL("address",K218), "\$([A-Z]+)\$[0-9]+"))),_xlfn.REGEXEXTRACT(CELL("address",K218), "\$([A-Z]+)\$[0-9]+"))</f>
        <v/>
      </c>
      <c r="L218" s="7" t="str" cm="1">
        <f t="array" aca="1" ref="L218" ca="1">IFERROR(IF(OR('Raw Data'!L218="",LEN(TRIM('Raw Data'!L218))=0),"",IF(AND(ISNUMBER('Raw Data'!L218), IFERROR('Raw Data'!L218 = ROUND('Raw Data'!L218, 2),FALSE)),"",_xlfn.REGEXEXTRACT(CELL("address",L218), "\$([A-Z]+)\$[0-9]+"))),_xlfn.REGEXEXTRACT(CELL("address",L218), "\$([A-Z]+)\$[0-9]+"))</f>
        <v/>
      </c>
      <c r="M218" s="7" t="str" cm="1">
        <f t="array" aca="1" ref="M218" ca="1">IFERROR(IF(OR('Raw Data'!M218="",LEN(TRIM('Raw Data'!M218))=0),"",IF(AND(ISNUMBER('Raw Data'!M218), IFERROR('Raw Data'!M218 = ROUND('Raw Data'!M218, 2),FALSE)),"",_xlfn.REGEXEXTRACT(CELL("address",M218), "\$([A-Z]+)\$[0-9]+"))),_xlfn.REGEXEXTRACT(CELL("address",M218), "\$([A-Z]+)\$[0-9]+"))</f>
        <v/>
      </c>
      <c r="N218" s="7" t="str" cm="1">
        <f t="array" aca="1" ref="N218" ca="1">IFERROR(IF(OR('Raw Data'!N218="",LEN(TRIM('Raw Data'!N218))=0),"",IF(AND(ISNUMBER('Raw Data'!N218), IFERROR('Raw Data'!N218 = ROUND('Raw Data'!N218, 2),FALSE)),"",_xlfn.REGEXEXTRACT(CELL("address",N218), "\$([A-Z]+)\$[0-9]+"))),_xlfn.REGEXEXTRACT(CELL("address",N218), "\$([A-Z]+)\$[0-9]+"))</f>
        <v/>
      </c>
      <c r="O218" s="7" t="str" cm="1">
        <f t="array" aca="1" ref="O218" ca="1">IFERROR(IF(OR('Raw Data'!O218="",LEN(TRIM('Raw Data'!O218))=0),"",IF(AND(ISNUMBER('Raw Data'!O218), IFERROR('Raw Data'!O218 = ROUND('Raw Data'!O218, 2),FALSE)),"",_xlfn.REGEXEXTRACT(CELL("address",O218), "\$([A-Z]+)\$[0-9]+"))),_xlfn.REGEXEXTRACT(CELL("address",O218), "\$([A-Z]+)\$[0-9]+"))</f>
        <v/>
      </c>
      <c r="P218" s="7" t="str" cm="1">
        <f t="array" aca="1" ref="P218" ca="1">IFERROR(IF(OR('Raw Data'!P218="",LEN(TRIM('Raw Data'!P218))=0),"",IF(AND(ISNUMBER('Raw Data'!P218),'Raw Data'!P218&gt;=Configuration!$D$2),"",_xlfn.REGEXEXTRACT(CELL("address",'Raw Data'!P218),"\$([A-Z]+)\$[0-9]+"))),_xlfn.REGEXEXTRACT(CELL("address",P218), "\$([A-Z]+)\$[0-9]+"))</f>
        <v/>
      </c>
      <c r="Q218" s="7" t="str" cm="1">
        <f t="array" aca="1" ref="Q218" ca="1">IFERROR(IF(OR('Raw Data'!Q218="",LEN(TRIM('Raw Data'!Q218))=0),"",IF(AND(ISNUMBER('Raw Data'!Q218),'Raw Data'!Q218&gt;=Configuration!$D$2),"",_xlfn.REGEXEXTRACT(CELL("address",'Raw Data'!Q218),"\$([A-Z]+)\$[0-9]+"))),_xlfn.REGEXEXTRACT(CELL("address",Q218), "\$([A-Z]+)\$[0-9]+"))</f>
        <v/>
      </c>
      <c r="R218" s="7" t="str" cm="1">
        <f t="array" aca="1" ref="R218" ca="1">IFERROR(IF(OR('Raw Data'!R218="",LEN(TRIM('Raw Data'!R218))=0),"",IF(AND(ISNUMBER('Raw Data'!R218), IFERROR('Raw Data'!R218 = ROUND('Raw Data'!R218, 2),FALSE)),"",_xlfn.REGEXEXTRACT(CELL("address",R218), "\$([A-Z]+)\$[0-9]+"))),_xlfn.REGEXEXTRACT(CELL("address",R218), "\$([A-Z]+)\$[0-9]+"))</f>
        <v/>
      </c>
      <c r="S218" s="7" t="str" cm="1">
        <f t="array" aca="1" ref="S218" ca="1">IFERROR(IF(OR('Raw Data'!S218="",LEN(TRIM('Raw Data'!S218))=0),"",IF(AND(ISNUMBER('Raw Data'!S218), IFERROR('Raw Data'!S218 = ROUND('Raw Data'!S218, 2),FALSE)),"",_xlfn.REGEXEXTRACT(CELL("address",S218), "\$([A-Z]+)\$[0-9]+"))),_xlfn.REGEXEXTRACT(CELL("address",S218), "\$([A-Z]+)\$[0-9]+"))</f>
        <v/>
      </c>
      <c r="T218" s="7" t="str" cm="1">
        <f t="array" aca="1" ref="T218" ca="1">IFERROR(IF(OR('Raw Data'!T218="",LEN(TRIM('Raw Data'!T218))=0),"",IF(AND(ISNUMBER('Raw Data'!T218), IFERROR('Raw Data'!T218 = ROUND('Raw Data'!T218, 2),FALSE)),"",_xlfn.REGEXEXTRACT(CELL("address",T218), "\$([A-Z]+)\$[0-9]+"))),_xlfn.REGEXEXTRACT(CELL("address",T218), "\$([A-Z]+)\$[0-9]+"))</f>
        <v/>
      </c>
      <c r="U218" s="7" t="str" cm="1">
        <f t="array" aca="1" ref="U218" ca="1">IFERROR(IF(OR('Raw Data'!U218="",LEN(TRIM('Raw Data'!U218))=0),"",IF(AND(LEN('Raw Data'!U218) &lt;= 5,LEN('Raw Data'!U218)&gt; 0),"",_xlfn.REGEXEXTRACT(CELL("address",'Raw Data'!U218),"\$([A-Z]+)\$[0-9]+"))),_xlfn.REGEXEXTRACT(CELL("address",'Raw Data'!U218),"\$([A-Z]+)\$[0-9]+"))</f>
        <v/>
      </c>
      <c r="V218" s="7" t="str" cm="1">
        <f t="array" aca="1" ref="V218" ca="1">IFERROR(IF(OR('Raw Data'!V218="",LEN(TRIM('Raw Data'!V218))=0),"",IF(AND(ISNUMBER('Raw Data'!V218), IFERROR('Raw Data'!V218 = ROUND('Raw Data'!V218, 2),FALSE)),"",_xlfn.REGEXEXTRACT(CELL("address",V218), "\$([A-Z]+)\$[0-9]+"))),_xlfn.REGEXEXTRACT(CELL("address",V218), "\$([A-Z]+)\$[0-9]+"))</f>
        <v/>
      </c>
      <c r="W218" s="7" t="str" cm="1">
        <f t="array" aca="1" ref="W218" ca="1">IFERROR(IF(OR('Raw Data'!W218="",LEN(TRIM('Raw Data'!W218))=0),"",IF(AND(ISNUMBER('Raw Data'!W218), IFERROR('Raw Data'!W218 = ROUND('Raw Data'!W218, 2),FALSE)),"",_xlfn.REGEXEXTRACT(CELL("address",W218), "\$([A-Z]+)\$[0-9]+"))),_xlfn.REGEXEXTRACT(CELL("address",W218), "\$([A-Z]+)\$[0-9]+"))</f>
        <v/>
      </c>
      <c r="X218" s="7" t="str" cm="1">
        <f t="array" aca="1" ref="X218" ca="1">IFERROR(IF(OR('Raw Data'!X218="",LEN(TRIM('Raw Data'!X218))=0),"",IF(AND(ISNUMBER('Raw Data'!X218), IFERROR('Raw Data'!X218 = ROUND('Raw Data'!X218, 2),FALSE)),"",_xlfn.REGEXEXTRACT(CELL("address",X218), "\$([A-Z]+)\$[0-9]+"))),_xlfn.REGEXEXTRACT(CELL("address",X218), "\$([A-Z]+)\$[0-9]+"))</f>
        <v/>
      </c>
    </row>
    <row r="219" spans="2:24" x14ac:dyDescent="0.25">
      <c r="B219" s="7" t="str" cm="1">
        <f t="array" aca="1" ref="B219" ca="1">IFERROR(IF(OR('Raw Data'!B219="",LEN(TRIM('Raw Data'!B219))=0),"",IF(AND(LEN('Raw Data'!B219) &lt;= 50,LEN('Raw Data'!B219)&gt; 0),"",_xlfn.REGEXEXTRACT(CELL("address",'Raw Data'!B219),"\$([A-Z]+)\$[0-9]+"))),_xlfn.REGEXEXTRACT(CELL("address",'Raw Data'!B219),"\$([A-Z]+)\$[0-9]+"))</f>
        <v/>
      </c>
      <c r="C219" s="7" t="str" cm="1">
        <f t="array" aca="1" ref="C219" ca="1">IFERROR(IF(OR('Raw Data'!C219="",LEN(TRIM('Raw Data'!C219))=0),"",IF(AND(LEN('Raw Data'!C219) &lt;= 50,LEN('Raw Data'!C219)&gt; 0),"",_xlfn.REGEXEXTRACT(CELL("address",'Raw Data'!C219),"\$([A-Z]+)\$[0-9]+"))),_xlfn.REGEXEXTRACT(CELL("address",'Raw Data'!C219),"\$([A-Z]+)\$[0-9]+"))</f>
        <v/>
      </c>
      <c r="D219" s="7" t="str" cm="1">
        <f t="array" aca="1" ref="D219" ca="1">IFERROR(IF(OR('Raw Data'!D219="",LEN(TRIM('Raw Data'!D219))=0),"",IF(AND(LEN('Raw Data'!D219) &lt;= 255,LEN('Raw Data'!D219)&gt; 0),"",_xlfn.REGEXEXTRACT(CELL("address",'Raw Data'!D219),"\$([A-Z]+)\$[0-9]+"))),_xlfn.REGEXEXTRACT(CELL("address",'Raw Data'!D219),"\$([A-Z]+)\$[0-9]+"))</f>
        <v/>
      </c>
      <c r="E219" s="7" t="str" cm="1">
        <f t="array" aca="1" ref="E219" ca="1">IFERROR(IF(OR('Raw Data'!E219="",LEN(TRIM('Raw Data'!E219))=0),"",IF(AND(ISNUMBER('Raw Data'!E219),'Raw Data'!E219&gt;=Configuration!$D$2),"",_xlfn.REGEXEXTRACT(CELL("address",'Raw Data'!E219),"\$([A-Z]+)\$[0-9]+"))),_xlfn.REGEXEXTRACT(CELL("address",E219), "\$([A-Z]+)\$[0-9]+"))</f>
        <v/>
      </c>
      <c r="F219" s="7" t="str" cm="1">
        <f t="array" aca="1" ref="F219" ca="1">IFERROR(IF(OR('Raw Data'!F219="",LEN(TRIM('Raw Data'!F219))=0),"",IF(AND(LEN('Raw Data'!F219) &lt;= 20,LEN('Raw Data'!F219)&gt; 0),"",_xlfn.REGEXEXTRACT(CELL("address",'Raw Data'!F219),"\$([A-Z]+)\$[0-9]+"))),_xlfn.REGEXEXTRACT(CELL("address",'Raw Data'!F219),"\$([A-Z]+)\$[0-9]+"))</f>
        <v/>
      </c>
      <c r="G219" s="7" t="str" cm="1">
        <f t="array" aca="1" ref="G219" ca="1">IFERROR(IF(OR('Raw Data'!G219="",LEN(TRIM('Raw Data'!G219))=0),"",IF(AND(ISNUMBER('Raw Data'!G219), IFERROR('Raw Data'!G219 = ROUND('Raw Data'!G219, 2),FALSE)),"",_xlfn.REGEXEXTRACT(CELL("address",G219), "\$([A-Z]+)\$[0-9]+"))),_xlfn.REGEXEXTRACT(CELL("address",G219), "\$([A-Z]+)\$[0-9]+"))</f>
        <v/>
      </c>
      <c r="H219" s="7" t="str" cm="1">
        <f t="array" aca="1" ref="H219" ca="1">IFERROR(IF(OR('Raw Data'!H219="",LEN(TRIM('Raw Data'!H219))=0),"",IF(AND(ISNUMBER('Raw Data'!H219), IFERROR('Raw Data'!H219 = ROUND('Raw Data'!H219, 2),FALSE)),"",_xlfn.REGEXEXTRACT(CELL("address",H219), "\$([A-Z]+)\$[0-9]+"))),_xlfn.REGEXEXTRACT(CELL("address",H219), "\$([A-Z]+)\$[0-9]+"))</f>
        <v/>
      </c>
      <c r="I219" s="7" t="str" cm="1">
        <f t="array" aca="1" ref="I219" ca="1">IFERROR(IF(OR('Raw Data'!I219="",LEN(TRIM('Raw Data'!I219))=0),"",IF(AND(LEN('Raw Data'!I219) &lt;= 50,LEN('Raw Data'!I219)&gt; 0),"",_xlfn.REGEXEXTRACT(CELL("address",'Raw Data'!I219),"\$([A-Z]+)\$[0-9]+"))),_xlfn.REGEXEXTRACT(CELL("address",'Raw Data'!I219),"\$([A-Z]+)\$[0-9]+"))</f>
        <v/>
      </c>
      <c r="J219" s="7" t="str" cm="1">
        <f t="array" aca="1" ref="J219" ca="1">IFERROR(IF(OR('Raw Data'!J219="",LEN(TRIM('Raw Data'!J219))=0),"",IF(AND(ISNUMBER('Raw Data'!J219),'Raw Data'!J219&gt;=Configuration!$D$2),"",_xlfn.REGEXEXTRACT(CELL("address",'Raw Data'!J219),"\$([A-Z]+)\$[0-9]+"))),_xlfn.REGEXEXTRACT(CELL("address",J219), "\$([A-Z]+)\$[0-9]+"))</f>
        <v/>
      </c>
      <c r="K219" s="7" t="str" cm="1">
        <f t="array" aca="1" ref="K219" ca="1">IFERROR(IF(OR('Raw Data'!K219="",LEN(TRIM('Raw Data'!K219))=0),"",IF(AND(ISNUMBER('Raw Data'!K219), IFERROR('Raw Data'!K219 = ROUND('Raw Data'!K219, 2),FALSE)),"",_xlfn.REGEXEXTRACT(CELL("address",K219), "\$([A-Z]+)\$[0-9]+"))),_xlfn.REGEXEXTRACT(CELL("address",K219), "\$([A-Z]+)\$[0-9]+"))</f>
        <v/>
      </c>
      <c r="L219" s="7" t="str" cm="1">
        <f t="array" aca="1" ref="L219" ca="1">IFERROR(IF(OR('Raw Data'!L219="",LEN(TRIM('Raw Data'!L219))=0),"",IF(AND(ISNUMBER('Raw Data'!L219), IFERROR('Raw Data'!L219 = ROUND('Raw Data'!L219, 2),FALSE)),"",_xlfn.REGEXEXTRACT(CELL("address",L219), "\$([A-Z]+)\$[0-9]+"))),_xlfn.REGEXEXTRACT(CELL("address",L219), "\$([A-Z]+)\$[0-9]+"))</f>
        <v/>
      </c>
      <c r="M219" s="7" t="str" cm="1">
        <f t="array" aca="1" ref="M219" ca="1">IFERROR(IF(OR('Raw Data'!M219="",LEN(TRIM('Raw Data'!M219))=0),"",IF(AND(ISNUMBER('Raw Data'!M219), IFERROR('Raw Data'!M219 = ROUND('Raw Data'!M219, 2),FALSE)),"",_xlfn.REGEXEXTRACT(CELL("address",M219), "\$([A-Z]+)\$[0-9]+"))),_xlfn.REGEXEXTRACT(CELL("address",M219), "\$([A-Z]+)\$[0-9]+"))</f>
        <v/>
      </c>
      <c r="N219" s="7" t="str" cm="1">
        <f t="array" aca="1" ref="N219" ca="1">IFERROR(IF(OR('Raw Data'!N219="",LEN(TRIM('Raw Data'!N219))=0),"",IF(AND(ISNUMBER('Raw Data'!N219), IFERROR('Raw Data'!N219 = ROUND('Raw Data'!N219, 2),FALSE)),"",_xlfn.REGEXEXTRACT(CELL("address",N219), "\$([A-Z]+)\$[0-9]+"))),_xlfn.REGEXEXTRACT(CELL("address",N219), "\$([A-Z]+)\$[0-9]+"))</f>
        <v/>
      </c>
      <c r="O219" s="7" t="str" cm="1">
        <f t="array" aca="1" ref="O219" ca="1">IFERROR(IF(OR('Raw Data'!O219="",LEN(TRIM('Raw Data'!O219))=0),"",IF(AND(ISNUMBER('Raw Data'!O219), IFERROR('Raw Data'!O219 = ROUND('Raw Data'!O219, 2),FALSE)),"",_xlfn.REGEXEXTRACT(CELL("address",O219), "\$([A-Z]+)\$[0-9]+"))),_xlfn.REGEXEXTRACT(CELL("address",O219), "\$([A-Z]+)\$[0-9]+"))</f>
        <v/>
      </c>
      <c r="P219" s="7" t="str" cm="1">
        <f t="array" aca="1" ref="P219" ca="1">IFERROR(IF(OR('Raw Data'!P219="",LEN(TRIM('Raw Data'!P219))=0),"",IF(AND(ISNUMBER('Raw Data'!P219),'Raw Data'!P219&gt;=Configuration!$D$2),"",_xlfn.REGEXEXTRACT(CELL("address",'Raw Data'!P219),"\$([A-Z]+)\$[0-9]+"))),_xlfn.REGEXEXTRACT(CELL("address",P219), "\$([A-Z]+)\$[0-9]+"))</f>
        <v/>
      </c>
      <c r="Q219" s="7" t="str" cm="1">
        <f t="array" aca="1" ref="Q219" ca="1">IFERROR(IF(OR('Raw Data'!Q219="",LEN(TRIM('Raw Data'!Q219))=0),"",IF(AND(ISNUMBER('Raw Data'!Q219),'Raw Data'!Q219&gt;=Configuration!$D$2),"",_xlfn.REGEXEXTRACT(CELL("address",'Raw Data'!Q219),"\$([A-Z]+)\$[0-9]+"))),_xlfn.REGEXEXTRACT(CELL("address",Q219), "\$([A-Z]+)\$[0-9]+"))</f>
        <v/>
      </c>
      <c r="R219" s="7" t="str" cm="1">
        <f t="array" aca="1" ref="R219" ca="1">IFERROR(IF(OR('Raw Data'!R219="",LEN(TRIM('Raw Data'!R219))=0),"",IF(AND(ISNUMBER('Raw Data'!R219), IFERROR('Raw Data'!R219 = ROUND('Raw Data'!R219, 2),FALSE)),"",_xlfn.REGEXEXTRACT(CELL("address",R219), "\$([A-Z]+)\$[0-9]+"))),_xlfn.REGEXEXTRACT(CELL("address",R219), "\$([A-Z]+)\$[0-9]+"))</f>
        <v/>
      </c>
      <c r="S219" s="7" t="str" cm="1">
        <f t="array" aca="1" ref="S219" ca="1">IFERROR(IF(OR('Raw Data'!S219="",LEN(TRIM('Raw Data'!S219))=0),"",IF(AND(ISNUMBER('Raw Data'!S219), IFERROR('Raw Data'!S219 = ROUND('Raw Data'!S219, 2),FALSE)),"",_xlfn.REGEXEXTRACT(CELL("address",S219), "\$([A-Z]+)\$[0-9]+"))),_xlfn.REGEXEXTRACT(CELL("address",S219), "\$([A-Z]+)\$[0-9]+"))</f>
        <v/>
      </c>
      <c r="T219" s="7" t="str" cm="1">
        <f t="array" aca="1" ref="T219" ca="1">IFERROR(IF(OR('Raw Data'!T219="",LEN(TRIM('Raw Data'!T219))=0),"",IF(AND(ISNUMBER('Raw Data'!T219), IFERROR('Raw Data'!T219 = ROUND('Raw Data'!T219, 2),FALSE)),"",_xlfn.REGEXEXTRACT(CELL("address",T219), "\$([A-Z]+)\$[0-9]+"))),_xlfn.REGEXEXTRACT(CELL("address",T219), "\$([A-Z]+)\$[0-9]+"))</f>
        <v/>
      </c>
      <c r="U219" s="7" t="str" cm="1">
        <f t="array" aca="1" ref="U219" ca="1">IFERROR(IF(OR('Raw Data'!U219="",LEN(TRIM('Raw Data'!U219))=0),"",IF(AND(LEN('Raw Data'!U219) &lt;= 5,LEN('Raw Data'!U219)&gt; 0),"",_xlfn.REGEXEXTRACT(CELL("address",'Raw Data'!U219),"\$([A-Z]+)\$[0-9]+"))),_xlfn.REGEXEXTRACT(CELL("address",'Raw Data'!U219),"\$([A-Z]+)\$[0-9]+"))</f>
        <v/>
      </c>
      <c r="V219" s="7" t="str" cm="1">
        <f t="array" aca="1" ref="V219" ca="1">IFERROR(IF(OR('Raw Data'!V219="",LEN(TRIM('Raw Data'!V219))=0),"",IF(AND(ISNUMBER('Raw Data'!V219), IFERROR('Raw Data'!V219 = ROUND('Raw Data'!V219, 2),FALSE)),"",_xlfn.REGEXEXTRACT(CELL("address",V219), "\$([A-Z]+)\$[0-9]+"))),_xlfn.REGEXEXTRACT(CELL("address",V219), "\$([A-Z]+)\$[0-9]+"))</f>
        <v/>
      </c>
      <c r="W219" s="7" t="str" cm="1">
        <f t="array" aca="1" ref="W219" ca="1">IFERROR(IF(OR('Raw Data'!W219="",LEN(TRIM('Raw Data'!W219))=0),"",IF(AND(ISNUMBER('Raw Data'!W219), IFERROR('Raw Data'!W219 = ROUND('Raw Data'!W219, 2),FALSE)),"",_xlfn.REGEXEXTRACT(CELL("address",W219), "\$([A-Z]+)\$[0-9]+"))),_xlfn.REGEXEXTRACT(CELL("address",W219), "\$([A-Z]+)\$[0-9]+"))</f>
        <v/>
      </c>
      <c r="X219" s="7" t="str" cm="1">
        <f t="array" aca="1" ref="X219" ca="1">IFERROR(IF(OR('Raw Data'!X219="",LEN(TRIM('Raw Data'!X219))=0),"",IF(AND(ISNUMBER('Raw Data'!X219), IFERROR('Raw Data'!X219 = ROUND('Raw Data'!X219, 2),FALSE)),"",_xlfn.REGEXEXTRACT(CELL("address",X219), "\$([A-Z]+)\$[0-9]+"))),_xlfn.REGEXEXTRACT(CELL("address",X219), "\$([A-Z]+)\$[0-9]+"))</f>
        <v/>
      </c>
    </row>
    <row r="220" spans="2:24" x14ac:dyDescent="0.25">
      <c r="B220" s="7" t="str" cm="1">
        <f t="array" aca="1" ref="B220" ca="1">IFERROR(IF(OR('Raw Data'!B220="",LEN(TRIM('Raw Data'!B220))=0),"",IF(AND(LEN('Raw Data'!B220) &lt;= 50,LEN('Raw Data'!B220)&gt; 0),"",_xlfn.REGEXEXTRACT(CELL("address",'Raw Data'!B220),"\$([A-Z]+)\$[0-9]+"))),_xlfn.REGEXEXTRACT(CELL("address",'Raw Data'!B220),"\$([A-Z]+)\$[0-9]+"))</f>
        <v/>
      </c>
      <c r="C220" s="7" t="str" cm="1">
        <f t="array" aca="1" ref="C220" ca="1">IFERROR(IF(OR('Raw Data'!C220="",LEN(TRIM('Raw Data'!C220))=0),"",IF(AND(LEN('Raw Data'!C220) &lt;= 50,LEN('Raw Data'!C220)&gt; 0),"",_xlfn.REGEXEXTRACT(CELL("address",'Raw Data'!C220),"\$([A-Z]+)\$[0-9]+"))),_xlfn.REGEXEXTRACT(CELL("address",'Raw Data'!C220),"\$([A-Z]+)\$[0-9]+"))</f>
        <v/>
      </c>
      <c r="D220" s="7" t="str" cm="1">
        <f t="array" aca="1" ref="D220" ca="1">IFERROR(IF(OR('Raw Data'!D220="",LEN(TRIM('Raw Data'!D220))=0),"",IF(AND(LEN('Raw Data'!D220) &lt;= 255,LEN('Raw Data'!D220)&gt; 0),"",_xlfn.REGEXEXTRACT(CELL("address",'Raw Data'!D220),"\$([A-Z]+)\$[0-9]+"))),_xlfn.REGEXEXTRACT(CELL("address",'Raw Data'!D220),"\$([A-Z]+)\$[0-9]+"))</f>
        <v/>
      </c>
      <c r="E220" s="7" t="str" cm="1">
        <f t="array" aca="1" ref="E220" ca="1">IFERROR(IF(OR('Raw Data'!E220="",LEN(TRIM('Raw Data'!E220))=0),"",IF(AND(ISNUMBER('Raw Data'!E220),'Raw Data'!E220&gt;=Configuration!$D$2),"",_xlfn.REGEXEXTRACT(CELL("address",'Raw Data'!E220),"\$([A-Z]+)\$[0-9]+"))),_xlfn.REGEXEXTRACT(CELL("address",E220), "\$([A-Z]+)\$[0-9]+"))</f>
        <v/>
      </c>
      <c r="F220" s="7" t="str" cm="1">
        <f t="array" aca="1" ref="F220" ca="1">IFERROR(IF(OR('Raw Data'!F220="",LEN(TRIM('Raw Data'!F220))=0),"",IF(AND(LEN('Raw Data'!F220) &lt;= 20,LEN('Raw Data'!F220)&gt; 0),"",_xlfn.REGEXEXTRACT(CELL("address",'Raw Data'!F220),"\$([A-Z]+)\$[0-9]+"))),_xlfn.REGEXEXTRACT(CELL("address",'Raw Data'!F220),"\$([A-Z]+)\$[0-9]+"))</f>
        <v/>
      </c>
      <c r="G220" s="7" t="str" cm="1">
        <f t="array" aca="1" ref="G220" ca="1">IFERROR(IF(OR('Raw Data'!G220="",LEN(TRIM('Raw Data'!G220))=0),"",IF(AND(ISNUMBER('Raw Data'!G220), IFERROR('Raw Data'!G220 = ROUND('Raw Data'!G220, 2),FALSE)),"",_xlfn.REGEXEXTRACT(CELL("address",G220), "\$([A-Z]+)\$[0-9]+"))),_xlfn.REGEXEXTRACT(CELL("address",G220), "\$([A-Z]+)\$[0-9]+"))</f>
        <v/>
      </c>
      <c r="H220" s="7" t="str" cm="1">
        <f t="array" aca="1" ref="H220" ca="1">IFERROR(IF(OR('Raw Data'!H220="",LEN(TRIM('Raw Data'!H220))=0),"",IF(AND(ISNUMBER('Raw Data'!H220), IFERROR('Raw Data'!H220 = ROUND('Raw Data'!H220, 2),FALSE)),"",_xlfn.REGEXEXTRACT(CELL("address",H220), "\$([A-Z]+)\$[0-9]+"))),_xlfn.REGEXEXTRACT(CELL("address",H220), "\$([A-Z]+)\$[0-9]+"))</f>
        <v/>
      </c>
      <c r="I220" s="7" t="str" cm="1">
        <f t="array" aca="1" ref="I220" ca="1">IFERROR(IF(OR('Raw Data'!I220="",LEN(TRIM('Raw Data'!I220))=0),"",IF(AND(LEN('Raw Data'!I220) &lt;= 50,LEN('Raw Data'!I220)&gt; 0),"",_xlfn.REGEXEXTRACT(CELL("address",'Raw Data'!I220),"\$([A-Z]+)\$[0-9]+"))),_xlfn.REGEXEXTRACT(CELL("address",'Raw Data'!I220),"\$([A-Z]+)\$[0-9]+"))</f>
        <v/>
      </c>
      <c r="J220" s="7" t="str" cm="1">
        <f t="array" aca="1" ref="J220" ca="1">IFERROR(IF(OR('Raw Data'!J220="",LEN(TRIM('Raw Data'!J220))=0),"",IF(AND(ISNUMBER('Raw Data'!J220),'Raw Data'!J220&gt;=Configuration!$D$2),"",_xlfn.REGEXEXTRACT(CELL("address",'Raw Data'!J220),"\$([A-Z]+)\$[0-9]+"))),_xlfn.REGEXEXTRACT(CELL("address",J220), "\$([A-Z]+)\$[0-9]+"))</f>
        <v/>
      </c>
      <c r="K220" s="7" t="str" cm="1">
        <f t="array" aca="1" ref="K220" ca="1">IFERROR(IF(OR('Raw Data'!K220="",LEN(TRIM('Raw Data'!K220))=0),"",IF(AND(ISNUMBER('Raw Data'!K220), IFERROR('Raw Data'!K220 = ROUND('Raw Data'!K220, 2),FALSE)),"",_xlfn.REGEXEXTRACT(CELL("address",K220), "\$([A-Z]+)\$[0-9]+"))),_xlfn.REGEXEXTRACT(CELL("address",K220), "\$([A-Z]+)\$[0-9]+"))</f>
        <v/>
      </c>
      <c r="L220" s="7" t="str" cm="1">
        <f t="array" aca="1" ref="L220" ca="1">IFERROR(IF(OR('Raw Data'!L220="",LEN(TRIM('Raw Data'!L220))=0),"",IF(AND(ISNUMBER('Raw Data'!L220), IFERROR('Raw Data'!L220 = ROUND('Raw Data'!L220, 2),FALSE)),"",_xlfn.REGEXEXTRACT(CELL("address",L220), "\$([A-Z]+)\$[0-9]+"))),_xlfn.REGEXEXTRACT(CELL("address",L220), "\$([A-Z]+)\$[0-9]+"))</f>
        <v/>
      </c>
      <c r="M220" s="7" t="str" cm="1">
        <f t="array" aca="1" ref="M220" ca="1">IFERROR(IF(OR('Raw Data'!M220="",LEN(TRIM('Raw Data'!M220))=0),"",IF(AND(ISNUMBER('Raw Data'!M220), IFERROR('Raw Data'!M220 = ROUND('Raw Data'!M220, 2),FALSE)),"",_xlfn.REGEXEXTRACT(CELL("address",M220), "\$([A-Z]+)\$[0-9]+"))),_xlfn.REGEXEXTRACT(CELL("address",M220), "\$([A-Z]+)\$[0-9]+"))</f>
        <v/>
      </c>
      <c r="N220" s="7" t="str" cm="1">
        <f t="array" aca="1" ref="N220" ca="1">IFERROR(IF(OR('Raw Data'!N220="",LEN(TRIM('Raw Data'!N220))=0),"",IF(AND(ISNUMBER('Raw Data'!N220), IFERROR('Raw Data'!N220 = ROUND('Raw Data'!N220, 2),FALSE)),"",_xlfn.REGEXEXTRACT(CELL("address",N220), "\$([A-Z]+)\$[0-9]+"))),_xlfn.REGEXEXTRACT(CELL("address",N220), "\$([A-Z]+)\$[0-9]+"))</f>
        <v/>
      </c>
      <c r="O220" s="7" t="str" cm="1">
        <f t="array" aca="1" ref="O220" ca="1">IFERROR(IF(OR('Raw Data'!O220="",LEN(TRIM('Raw Data'!O220))=0),"",IF(AND(ISNUMBER('Raw Data'!O220), IFERROR('Raw Data'!O220 = ROUND('Raw Data'!O220, 2),FALSE)),"",_xlfn.REGEXEXTRACT(CELL("address",O220), "\$([A-Z]+)\$[0-9]+"))),_xlfn.REGEXEXTRACT(CELL("address",O220), "\$([A-Z]+)\$[0-9]+"))</f>
        <v/>
      </c>
      <c r="P220" s="7" t="str" cm="1">
        <f t="array" aca="1" ref="P220" ca="1">IFERROR(IF(OR('Raw Data'!P220="",LEN(TRIM('Raw Data'!P220))=0),"",IF(AND(ISNUMBER('Raw Data'!P220),'Raw Data'!P220&gt;=Configuration!$D$2),"",_xlfn.REGEXEXTRACT(CELL("address",'Raw Data'!P220),"\$([A-Z]+)\$[0-9]+"))),_xlfn.REGEXEXTRACT(CELL("address",P220), "\$([A-Z]+)\$[0-9]+"))</f>
        <v/>
      </c>
      <c r="Q220" s="7" t="str" cm="1">
        <f t="array" aca="1" ref="Q220" ca="1">IFERROR(IF(OR('Raw Data'!Q220="",LEN(TRIM('Raw Data'!Q220))=0),"",IF(AND(ISNUMBER('Raw Data'!Q220),'Raw Data'!Q220&gt;=Configuration!$D$2),"",_xlfn.REGEXEXTRACT(CELL("address",'Raw Data'!Q220),"\$([A-Z]+)\$[0-9]+"))),_xlfn.REGEXEXTRACT(CELL("address",Q220), "\$([A-Z]+)\$[0-9]+"))</f>
        <v/>
      </c>
      <c r="R220" s="7" t="str" cm="1">
        <f t="array" aca="1" ref="R220" ca="1">IFERROR(IF(OR('Raw Data'!R220="",LEN(TRIM('Raw Data'!R220))=0),"",IF(AND(ISNUMBER('Raw Data'!R220), IFERROR('Raw Data'!R220 = ROUND('Raw Data'!R220, 2),FALSE)),"",_xlfn.REGEXEXTRACT(CELL("address",R220), "\$([A-Z]+)\$[0-9]+"))),_xlfn.REGEXEXTRACT(CELL("address",R220), "\$([A-Z]+)\$[0-9]+"))</f>
        <v/>
      </c>
      <c r="S220" s="7" t="str" cm="1">
        <f t="array" aca="1" ref="S220" ca="1">IFERROR(IF(OR('Raw Data'!S220="",LEN(TRIM('Raw Data'!S220))=0),"",IF(AND(ISNUMBER('Raw Data'!S220), IFERROR('Raw Data'!S220 = ROUND('Raw Data'!S220, 2),FALSE)),"",_xlfn.REGEXEXTRACT(CELL("address",S220), "\$([A-Z]+)\$[0-9]+"))),_xlfn.REGEXEXTRACT(CELL("address",S220), "\$([A-Z]+)\$[0-9]+"))</f>
        <v/>
      </c>
      <c r="T220" s="7" t="str" cm="1">
        <f t="array" aca="1" ref="T220" ca="1">IFERROR(IF(OR('Raw Data'!T220="",LEN(TRIM('Raw Data'!T220))=0),"",IF(AND(ISNUMBER('Raw Data'!T220), IFERROR('Raw Data'!T220 = ROUND('Raw Data'!T220, 2),FALSE)),"",_xlfn.REGEXEXTRACT(CELL("address",T220), "\$([A-Z]+)\$[0-9]+"))),_xlfn.REGEXEXTRACT(CELL("address",T220), "\$([A-Z]+)\$[0-9]+"))</f>
        <v/>
      </c>
      <c r="U220" s="7" t="str" cm="1">
        <f t="array" aca="1" ref="U220" ca="1">IFERROR(IF(OR('Raw Data'!U220="",LEN(TRIM('Raw Data'!U220))=0),"",IF(AND(LEN('Raw Data'!U220) &lt;= 5,LEN('Raw Data'!U220)&gt; 0),"",_xlfn.REGEXEXTRACT(CELL("address",'Raw Data'!U220),"\$([A-Z]+)\$[0-9]+"))),_xlfn.REGEXEXTRACT(CELL("address",'Raw Data'!U220),"\$([A-Z]+)\$[0-9]+"))</f>
        <v/>
      </c>
      <c r="V220" s="7" t="str" cm="1">
        <f t="array" aca="1" ref="V220" ca="1">IFERROR(IF(OR('Raw Data'!V220="",LEN(TRIM('Raw Data'!V220))=0),"",IF(AND(ISNUMBER('Raw Data'!V220), IFERROR('Raw Data'!V220 = ROUND('Raw Data'!V220, 2),FALSE)),"",_xlfn.REGEXEXTRACT(CELL("address",V220), "\$([A-Z]+)\$[0-9]+"))),_xlfn.REGEXEXTRACT(CELL("address",V220), "\$([A-Z]+)\$[0-9]+"))</f>
        <v/>
      </c>
      <c r="W220" s="7" t="str" cm="1">
        <f t="array" aca="1" ref="W220" ca="1">IFERROR(IF(OR('Raw Data'!W220="",LEN(TRIM('Raw Data'!W220))=0),"",IF(AND(ISNUMBER('Raw Data'!W220), IFERROR('Raw Data'!W220 = ROUND('Raw Data'!W220, 2),FALSE)),"",_xlfn.REGEXEXTRACT(CELL("address",W220), "\$([A-Z]+)\$[0-9]+"))),_xlfn.REGEXEXTRACT(CELL("address",W220), "\$([A-Z]+)\$[0-9]+"))</f>
        <v/>
      </c>
      <c r="X220" s="7" t="str" cm="1">
        <f t="array" aca="1" ref="X220" ca="1">IFERROR(IF(OR('Raw Data'!X220="",LEN(TRIM('Raw Data'!X220))=0),"",IF(AND(ISNUMBER('Raw Data'!X220), IFERROR('Raw Data'!X220 = ROUND('Raw Data'!X220, 2),FALSE)),"",_xlfn.REGEXEXTRACT(CELL("address",X220), "\$([A-Z]+)\$[0-9]+"))),_xlfn.REGEXEXTRACT(CELL("address",X220), "\$([A-Z]+)\$[0-9]+"))</f>
        <v/>
      </c>
    </row>
    <row r="221" spans="2:24" x14ac:dyDescent="0.25">
      <c r="B221" s="7" t="str" cm="1">
        <f t="array" aca="1" ref="B221" ca="1">IFERROR(IF(OR('Raw Data'!B221="",LEN(TRIM('Raw Data'!B221))=0),"",IF(AND(LEN('Raw Data'!B221) &lt;= 50,LEN('Raw Data'!B221)&gt; 0),"",_xlfn.REGEXEXTRACT(CELL("address",'Raw Data'!B221),"\$([A-Z]+)\$[0-9]+"))),_xlfn.REGEXEXTRACT(CELL("address",'Raw Data'!B221),"\$([A-Z]+)\$[0-9]+"))</f>
        <v/>
      </c>
      <c r="C221" s="7" t="str" cm="1">
        <f t="array" aca="1" ref="C221" ca="1">IFERROR(IF(OR('Raw Data'!C221="",LEN(TRIM('Raw Data'!C221))=0),"",IF(AND(LEN('Raw Data'!C221) &lt;= 50,LEN('Raw Data'!C221)&gt; 0),"",_xlfn.REGEXEXTRACT(CELL("address",'Raw Data'!C221),"\$([A-Z]+)\$[0-9]+"))),_xlfn.REGEXEXTRACT(CELL("address",'Raw Data'!C221),"\$([A-Z]+)\$[0-9]+"))</f>
        <v/>
      </c>
      <c r="D221" s="7" t="str" cm="1">
        <f t="array" aca="1" ref="D221" ca="1">IFERROR(IF(OR('Raw Data'!D221="",LEN(TRIM('Raw Data'!D221))=0),"",IF(AND(LEN('Raw Data'!D221) &lt;= 255,LEN('Raw Data'!D221)&gt; 0),"",_xlfn.REGEXEXTRACT(CELL("address",'Raw Data'!D221),"\$([A-Z]+)\$[0-9]+"))),_xlfn.REGEXEXTRACT(CELL("address",'Raw Data'!D221),"\$([A-Z]+)\$[0-9]+"))</f>
        <v/>
      </c>
      <c r="E221" s="7" t="str" cm="1">
        <f t="array" aca="1" ref="E221" ca="1">IFERROR(IF(OR('Raw Data'!E221="",LEN(TRIM('Raw Data'!E221))=0),"",IF(AND(ISNUMBER('Raw Data'!E221),'Raw Data'!E221&gt;=Configuration!$D$2),"",_xlfn.REGEXEXTRACT(CELL("address",'Raw Data'!E221),"\$([A-Z]+)\$[0-9]+"))),_xlfn.REGEXEXTRACT(CELL("address",E221), "\$([A-Z]+)\$[0-9]+"))</f>
        <v/>
      </c>
      <c r="F221" s="7" t="str" cm="1">
        <f t="array" aca="1" ref="F221" ca="1">IFERROR(IF(OR('Raw Data'!F221="",LEN(TRIM('Raw Data'!F221))=0),"",IF(AND(LEN('Raw Data'!F221) &lt;= 20,LEN('Raw Data'!F221)&gt; 0),"",_xlfn.REGEXEXTRACT(CELL("address",'Raw Data'!F221),"\$([A-Z]+)\$[0-9]+"))),_xlfn.REGEXEXTRACT(CELL("address",'Raw Data'!F221),"\$([A-Z]+)\$[0-9]+"))</f>
        <v/>
      </c>
      <c r="G221" s="7" t="str" cm="1">
        <f t="array" aca="1" ref="G221" ca="1">IFERROR(IF(OR('Raw Data'!G221="",LEN(TRIM('Raw Data'!G221))=0),"",IF(AND(ISNUMBER('Raw Data'!G221), IFERROR('Raw Data'!G221 = ROUND('Raw Data'!G221, 2),FALSE)),"",_xlfn.REGEXEXTRACT(CELL("address",G221), "\$([A-Z]+)\$[0-9]+"))),_xlfn.REGEXEXTRACT(CELL("address",G221), "\$([A-Z]+)\$[0-9]+"))</f>
        <v/>
      </c>
      <c r="H221" s="7" t="str" cm="1">
        <f t="array" aca="1" ref="H221" ca="1">IFERROR(IF(OR('Raw Data'!H221="",LEN(TRIM('Raw Data'!H221))=0),"",IF(AND(ISNUMBER('Raw Data'!H221), IFERROR('Raw Data'!H221 = ROUND('Raw Data'!H221, 2),FALSE)),"",_xlfn.REGEXEXTRACT(CELL("address",H221), "\$([A-Z]+)\$[0-9]+"))),_xlfn.REGEXEXTRACT(CELL("address",H221), "\$([A-Z]+)\$[0-9]+"))</f>
        <v/>
      </c>
      <c r="I221" s="7" t="str" cm="1">
        <f t="array" aca="1" ref="I221" ca="1">IFERROR(IF(OR('Raw Data'!I221="",LEN(TRIM('Raw Data'!I221))=0),"",IF(AND(LEN('Raw Data'!I221) &lt;= 50,LEN('Raw Data'!I221)&gt; 0),"",_xlfn.REGEXEXTRACT(CELL("address",'Raw Data'!I221),"\$([A-Z]+)\$[0-9]+"))),_xlfn.REGEXEXTRACT(CELL("address",'Raw Data'!I221),"\$([A-Z]+)\$[0-9]+"))</f>
        <v/>
      </c>
      <c r="J221" s="7" t="str" cm="1">
        <f t="array" aca="1" ref="J221" ca="1">IFERROR(IF(OR('Raw Data'!J221="",LEN(TRIM('Raw Data'!J221))=0),"",IF(AND(ISNUMBER('Raw Data'!J221),'Raw Data'!J221&gt;=Configuration!$D$2),"",_xlfn.REGEXEXTRACT(CELL("address",'Raw Data'!J221),"\$([A-Z]+)\$[0-9]+"))),_xlfn.REGEXEXTRACT(CELL("address",J221), "\$([A-Z]+)\$[0-9]+"))</f>
        <v/>
      </c>
      <c r="K221" s="7" t="str" cm="1">
        <f t="array" aca="1" ref="K221" ca="1">IFERROR(IF(OR('Raw Data'!K221="",LEN(TRIM('Raw Data'!K221))=0),"",IF(AND(ISNUMBER('Raw Data'!K221), IFERROR('Raw Data'!K221 = ROUND('Raw Data'!K221, 2),FALSE)),"",_xlfn.REGEXEXTRACT(CELL("address",K221), "\$([A-Z]+)\$[0-9]+"))),_xlfn.REGEXEXTRACT(CELL("address",K221), "\$([A-Z]+)\$[0-9]+"))</f>
        <v/>
      </c>
      <c r="L221" s="7" t="str" cm="1">
        <f t="array" aca="1" ref="L221" ca="1">IFERROR(IF(OR('Raw Data'!L221="",LEN(TRIM('Raw Data'!L221))=0),"",IF(AND(ISNUMBER('Raw Data'!L221), IFERROR('Raw Data'!L221 = ROUND('Raw Data'!L221, 2),FALSE)),"",_xlfn.REGEXEXTRACT(CELL("address",L221), "\$([A-Z]+)\$[0-9]+"))),_xlfn.REGEXEXTRACT(CELL("address",L221), "\$([A-Z]+)\$[0-9]+"))</f>
        <v/>
      </c>
      <c r="M221" s="7" t="str" cm="1">
        <f t="array" aca="1" ref="M221" ca="1">IFERROR(IF(OR('Raw Data'!M221="",LEN(TRIM('Raw Data'!M221))=0),"",IF(AND(ISNUMBER('Raw Data'!M221), IFERROR('Raw Data'!M221 = ROUND('Raw Data'!M221, 2),FALSE)),"",_xlfn.REGEXEXTRACT(CELL("address",M221), "\$([A-Z]+)\$[0-9]+"))),_xlfn.REGEXEXTRACT(CELL("address",M221), "\$([A-Z]+)\$[0-9]+"))</f>
        <v/>
      </c>
      <c r="N221" s="7" t="str" cm="1">
        <f t="array" aca="1" ref="N221" ca="1">IFERROR(IF(OR('Raw Data'!N221="",LEN(TRIM('Raw Data'!N221))=0),"",IF(AND(ISNUMBER('Raw Data'!N221), IFERROR('Raw Data'!N221 = ROUND('Raw Data'!N221, 2),FALSE)),"",_xlfn.REGEXEXTRACT(CELL("address",N221), "\$([A-Z]+)\$[0-9]+"))),_xlfn.REGEXEXTRACT(CELL("address",N221), "\$([A-Z]+)\$[0-9]+"))</f>
        <v/>
      </c>
      <c r="O221" s="7" t="str" cm="1">
        <f t="array" aca="1" ref="O221" ca="1">IFERROR(IF(OR('Raw Data'!O221="",LEN(TRIM('Raw Data'!O221))=0),"",IF(AND(ISNUMBER('Raw Data'!O221), IFERROR('Raw Data'!O221 = ROUND('Raw Data'!O221, 2),FALSE)),"",_xlfn.REGEXEXTRACT(CELL("address",O221), "\$([A-Z]+)\$[0-9]+"))),_xlfn.REGEXEXTRACT(CELL("address",O221), "\$([A-Z]+)\$[0-9]+"))</f>
        <v/>
      </c>
      <c r="P221" s="7" t="str" cm="1">
        <f t="array" aca="1" ref="P221" ca="1">IFERROR(IF(OR('Raw Data'!P221="",LEN(TRIM('Raw Data'!P221))=0),"",IF(AND(ISNUMBER('Raw Data'!P221),'Raw Data'!P221&gt;=Configuration!$D$2),"",_xlfn.REGEXEXTRACT(CELL("address",'Raw Data'!P221),"\$([A-Z]+)\$[0-9]+"))),_xlfn.REGEXEXTRACT(CELL("address",P221), "\$([A-Z]+)\$[0-9]+"))</f>
        <v/>
      </c>
      <c r="Q221" s="7" t="str" cm="1">
        <f t="array" aca="1" ref="Q221" ca="1">IFERROR(IF(OR('Raw Data'!Q221="",LEN(TRIM('Raw Data'!Q221))=0),"",IF(AND(ISNUMBER('Raw Data'!Q221),'Raw Data'!Q221&gt;=Configuration!$D$2),"",_xlfn.REGEXEXTRACT(CELL("address",'Raw Data'!Q221),"\$([A-Z]+)\$[0-9]+"))),_xlfn.REGEXEXTRACT(CELL("address",Q221), "\$([A-Z]+)\$[0-9]+"))</f>
        <v/>
      </c>
      <c r="R221" s="7" t="str" cm="1">
        <f t="array" aca="1" ref="R221" ca="1">IFERROR(IF(OR('Raw Data'!R221="",LEN(TRIM('Raw Data'!R221))=0),"",IF(AND(ISNUMBER('Raw Data'!R221), IFERROR('Raw Data'!R221 = ROUND('Raw Data'!R221, 2),FALSE)),"",_xlfn.REGEXEXTRACT(CELL("address",R221), "\$([A-Z]+)\$[0-9]+"))),_xlfn.REGEXEXTRACT(CELL("address",R221), "\$([A-Z]+)\$[0-9]+"))</f>
        <v/>
      </c>
      <c r="S221" s="7" t="str" cm="1">
        <f t="array" aca="1" ref="S221" ca="1">IFERROR(IF(OR('Raw Data'!S221="",LEN(TRIM('Raw Data'!S221))=0),"",IF(AND(ISNUMBER('Raw Data'!S221), IFERROR('Raw Data'!S221 = ROUND('Raw Data'!S221, 2),FALSE)),"",_xlfn.REGEXEXTRACT(CELL("address",S221), "\$([A-Z]+)\$[0-9]+"))),_xlfn.REGEXEXTRACT(CELL("address",S221), "\$([A-Z]+)\$[0-9]+"))</f>
        <v/>
      </c>
      <c r="T221" s="7" t="str" cm="1">
        <f t="array" aca="1" ref="T221" ca="1">IFERROR(IF(OR('Raw Data'!T221="",LEN(TRIM('Raw Data'!T221))=0),"",IF(AND(ISNUMBER('Raw Data'!T221), IFERROR('Raw Data'!T221 = ROUND('Raw Data'!T221, 2),FALSE)),"",_xlfn.REGEXEXTRACT(CELL("address",T221), "\$([A-Z]+)\$[0-9]+"))),_xlfn.REGEXEXTRACT(CELL("address",T221), "\$([A-Z]+)\$[0-9]+"))</f>
        <v/>
      </c>
      <c r="U221" s="7" t="str" cm="1">
        <f t="array" aca="1" ref="U221" ca="1">IFERROR(IF(OR('Raw Data'!U221="",LEN(TRIM('Raw Data'!U221))=0),"",IF(AND(LEN('Raw Data'!U221) &lt;= 5,LEN('Raw Data'!U221)&gt; 0),"",_xlfn.REGEXEXTRACT(CELL("address",'Raw Data'!U221),"\$([A-Z]+)\$[0-9]+"))),_xlfn.REGEXEXTRACT(CELL("address",'Raw Data'!U221),"\$([A-Z]+)\$[0-9]+"))</f>
        <v/>
      </c>
      <c r="V221" s="7" t="str" cm="1">
        <f t="array" aca="1" ref="V221" ca="1">IFERROR(IF(OR('Raw Data'!V221="",LEN(TRIM('Raw Data'!V221))=0),"",IF(AND(ISNUMBER('Raw Data'!V221), IFERROR('Raw Data'!V221 = ROUND('Raw Data'!V221, 2),FALSE)),"",_xlfn.REGEXEXTRACT(CELL("address",V221), "\$([A-Z]+)\$[0-9]+"))),_xlfn.REGEXEXTRACT(CELL("address",V221), "\$([A-Z]+)\$[0-9]+"))</f>
        <v/>
      </c>
      <c r="W221" s="7" t="str" cm="1">
        <f t="array" aca="1" ref="W221" ca="1">IFERROR(IF(OR('Raw Data'!W221="",LEN(TRIM('Raw Data'!W221))=0),"",IF(AND(ISNUMBER('Raw Data'!W221), IFERROR('Raw Data'!W221 = ROUND('Raw Data'!W221, 2),FALSE)),"",_xlfn.REGEXEXTRACT(CELL("address",W221), "\$([A-Z]+)\$[0-9]+"))),_xlfn.REGEXEXTRACT(CELL("address",W221), "\$([A-Z]+)\$[0-9]+"))</f>
        <v/>
      </c>
      <c r="X221" s="7" t="str" cm="1">
        <f t="array" aca="1" ref="X221" ca="1">IFERROR(IF(OR('Raw Data'!X221="",LEN(TRIM('Raw Data'!X221))=0),"",IF(AND(ISNUMBER('Raw Data'!X221), IFERROR('Raw Data'!X221 = ROUND('Raw Data'!X221, 2),FALSE)),"",_xlfn.REGEXEXTRACT(CELL("address",X221), "\$([A-Z]+)\$[0-9]+"))),_xlfn.REGEXEXTRACT(CELL("address",X221), "\$([A-Z]+)\$[0-9]+"))</f>
        <v/>
      </c>
    </row>
    <row r="222" spans="2:24" x14ac:dyDescent="0.25">
      <c r="B222" s="7" t="str" cm="1">
        <f t="array" aca="1" ref="B222" ca="1">IFERROR(IF(OR('Raw Data'!B222="",LEN(TRIM('Raw Data'!B222))=0),"",IF(AND(LEN('Raw Data'!B222) &lt;= 50,LEN('Raw Data'!B222)&gt; 0),"",_xlfn.REGEXEXTRACT(CELL("address",'Raw Data'!B222),"\$([A-Z]+)\$[0-9]+"))),_xlfn.REGEXEXTRACT(CELL("address",'Raw Data'!B222),"\$([A-Z]+)\$[0-9]+"))</f>
        <v/>
      </c>
      <c r="C222" s="7" t="str" cm="1">
        <f t="array" aca="1" ref="C222" ca="1">IFERROR(IF(OR('Raw Data'!C222="",LEN(TRIM('Raw Data'!C222))=0),"",IF(AND(LEN('Raw Data'!C222) &lt;= 50,LEN('Raw Data'!C222)&gt; 0),"",_xlfn.REGEXEXTRACT(CELL("address",'Raw Data'!C222),"\$([A-Z]+)\$[0-9]+"))),_xlfn.REGEXEXTRACT(CELL("address",'Raw Data'!C222),"\$([A-Z]+)\$[0-9]+"))</f>
        <v/>
      </c>
      <c r="D222" s="7" t="str" cm="1">
        <f t="array" aca="1" ref="D222" ca="1">IFERROR(IF(OR('Raw Data'!D222="",LEN(TRIM('Raw Data'!D222))=0),"",IF(AND(LEN('Raw Data'!D222) &lt;= 255,LEN('Raw Data'!D222)&gt; 0),"",_xlfn.REGEXEXTRACT(CELL("address",'Raw Data'!D222),"\$([A-Z]+)\$[0-9]+"))),_xlfn.REGEXEXTRACT(CELL("address",'Raw Data'!D222),"\$([A-Z]+)\$[0-9]+"))</f>
        <v/>
      </c>
      <c r="E222" s="7" t="str" cm="1">
        <f t="array" aca="1" ref="E222" ca="1">IFERROR(IF(OR('Raw Data'!E222="",LEN(TRIM('Raw Data'!E222))=0),"",IF(AND(ISNUMBER('Raw Data'!E222),'Raw Data'!E222&gt;=Configuration!$D$2),"",_xlfn.REGEXEXTRACT(CELL("address",'Raw Data'!E222),"\$([A-Z]+)\$[0-9]+"))),_xlfn.REGEXEXTRACT(CELL("address",E222), "\$([A-Z]+)\$[0-9]+"))</f>
        <v/>
      </c>
      <c r="F222" s="7" t="str" cm="1">
        <f t="array" aca="1" ref="F222" ca="1">IFERROR(IF(OR('Raw Data'!F222="",LEN(TRIM('Raw Data'!F222))=0),"",IF(AND(LEN('Raw Data'!F222) &lt;= 20,LEN('Raw Data'!F222)&gt; 0),"",_xlfn.REGEXEXTRACT(CELL("address",'Raw Data'!F222),"\$([A-Z]+)\$[0-9]+"))),_xlfn.REGEXEXTRACT(CELL("address",'Raw Data'!F222),"\$([A-Z]+)\$[0-9]+"))</f>
        <v/>
      </c>
      <c r="G222" s="7" t="str" cm="1">
        <f t="array" aca="1" ref="G222" ca="1">IFERROR(IF(OR('Raw Data'!G222="",LEN(TRIM('Raw Data'!G222))=0),"",IF(AND(ISNUMBER('Raw Data'!G222), IFERROR('Raw Data'!G222 = ROUND('Raw Data'!G222, 2),FALSE)),"",_xlfn.REGEXEXTRACT(CELL("address",G222), "\$([A-Z]+)\$[0-9]+"))),_xlfn.REGEXEXTRACT(CELL("address",G222), "\$([A-Z]+)\$[0-9]+"))</f>
        <v/>
      </c>
      <c r="H222" s="7" t="str" cm="1">
        <f t="array" aca="1" ref="H222" ca="1">IFERROR(IF(OR('Raw Data'!H222="",LEN(TRIM('Raw Data'!H222))=0),"",IF(AND(ISNUMBER('Raw Data'!H222), IFERROR('Raw Data'!H222 = ROUND('Raw Data'!H222, 2),FALSE)),"",_xlfn.REGEXEXTRACT(CELL("address",H222), "\$([A-Z]+)\$[0-9]+"))),_xlfn.REGEXEXTRACT(CELL("address",H222), "\$([A-Z]+)\$[0-9]+"))</f>
        <v/>
      </c>
      <c r="I222" s="7" t="str" cm="1">
        <f t="array" aca="1" ref="I222" ca="1">IFERROR(IF(OR('Raw Data'!I222="",LEN(TRIM('Raw Data'!I222))=0),"",IF(AND(LEN('Raw Data'!I222) &lt;= 50,LEN('Raw Data'!I222)&gt; 0),"",_xlfn.REGEXEXTRACT(CELL("address",'Raw Data'!I222),"\$([A-Z]+)\$[0-9]+"))),_xlfn.REGEXEXTRACT(CELL("address",'Raw Data'!I222),"\$([A-Z]+)\$[0-9]+"))</f>
        <v/>
      </c>
      <c r="J222" s="7" t="str" cm="1">
        <f t="array" aca="1" ref="J222" ca="1">IFERROR(IF(OR('Raw Data'!J222="",LEN(TRIM('Raw Data'!J222))=0),"",IF(AND(ISNUMBER('Raw Data'!J222),'Raw Data'!J222&gt;=Configuration!$D$2),"",_xlfn.REGEXEXTRACT(CELL("address",'Raw Data'!J222),"\$([A-Z]+)\$[0-9]+"))),_xlfn.REGEXEXTRACT(CELL("address",J222), "\$([A-Z]+)\$[0-9]+"))</f>
        <v/>
      </c>
      <c r="K222" s="7" t="str" cm="1">
        <f t="array" aca="1" ref="K222" ca="1">IFERROR(IF(OR('Raw Data'!K222="",LEN(TRIM('Raw Data'!K222))=0),"",IF(AND(ISNUMBER('Raw Data'!K222), IFERROR('Raw Data'!K222 = ROUND('Raw Data'!K222, 2),FALSE)),"",_xlfn.REGEXEXTRACT(CELL("address",K222), "\$([A-Z]+)\$[0-9]+"))),_xlfn.REGEXEXTRACT(CELL("address",K222), "\$([A-Z]+)\$[0-9]+"))</f>
        <v/>
      </c>
      <c r="L222" s="7" t="str" cm="1">
        <f t="array" aca="1" ref="L222" ca="1">IFERROR(IF(OR('Raw Data'!L222="",LEN(TRIM('Raw Data'!L222))=0),"",IF(AND(ISNUMBER('Raw Data'!L222), IFERROR('Raw Data'!L222 = ROUND('Raw Data'!L222, 2),FALSE)),"",_xlfn.REGEXEXTRACT(CELL("address",L222), "\$([A-Z]+)\$[0-9]+"))),_xlfn.REGEXEXTRACT(CELL("address",L222), "\$([A-Z]+)\$[0-9]+"))</f>
        <v/>
      </c>
      <c r="M222" s="7" t="str" cm="1">
        <f t="array" aca="1" ref="M222" ca="1">IFERROR(IF(OR('Raw Data'!M222="",LEN(TRIM('Raw Data'!M222))=0),"",IF(AND(ISNUMBER('Raw Data'!M222), IFERROR('Raw Data'!M222 = ROUND('Raw Data'!M222, 2),FALSE)),"",_xlfn.REGEXEXTRACT(CELL("address",M222), "\$([A-Z]+)\$[0-9]+"))),_xlfn.REGEXEXTRACT(CELL("address",M222), "\$([A-Z]+)\$[0-9]+"))</f>
        <v/>
      </c>
      <c r="N222" s="7" t="str" cm="1">
        <f t="array" aca="1" ref="N222" ca="1">IFERROR(IF(OR('Raw Data'!N222="",LEN(TRIM('Raw Data'!N222))=0),"",IF(AND(ISNUMBER('Raw Data'!N222), IFERROR('Raw Data'!N222 = ROUND('Raw Data'!N222, 2),FALSE)),"",_xlfn.REGEXEXTRACT(CELL("address",N222), "\$([A-Z]+)\$[0-9]+"))),_xlfn.REGEXEXTRACT(CELL("address",N222), "\$([A-Z]+)\$[0-9]+"))</f>
        <v/>
      </c>
      <c r="O222" s="7" t="str" cm="1">
        <f t="array" aca="1" ref="O222" ca="1">IFERROR(IF(OR('Raw Data'!O222="",LEN(TRIM('Raw Data'!O222))=0),"",IF(AND(ISNUMBER('Raw Data'!O222), IFERROR('Raw Data'!O222 = ROUND('Raw Data'!O222, 2),FALSE)),"",_xlfn.REGEXEXTRACT(CELL("address",O222), "\$([A-Z]+)\$[0-9]+"))),_xlfn.REGEXEXTRACT(CELL("address",O222), "\$([A-Z]+)\$[0-9]+"))</f>
        <v/>
      </c>
      <c r="P222" s="7" t="str" cm="1">
        <f t="array" aca="1" ref="P222" ca="1">IFERROR(IF(OR('Raw Data'!P222="",LEN(TRIM('Raw Data'!P222))=0),"",IF(AND(ISNUMBER('Raw Data'!P222),'Raw Data'!P222&gt;=Configuration!$D$2),"",_xlfn.REGEXEXTRACT(CELL("address",'Raw Data'!P222),"\$([A-Z]+)\$[0-9]+"))),_xlfn.REGEXEXTRACT(CELL("address",P222), "\$([A-Z]+)\$[0-9]+"))</f>
        <v/>
      </c>
      <c r="Q222" s="7" t="str" cm="1">
        <f t="array" aca="1" ref="Q222" ca="1">IFERROR(IF(OR('Raw Data'!Q222="",LEN(TRIM('Raw Data'!Q222))=0),"",IF(AND(ISNUMBER('Raw Data'!Q222),'Raw Data'!Q222&gt;=Configuration!$D$2),"",_xlfn.REGEXEXTRACT(CELL("address",'Raw Data'!Q222),"\$([A-Z]+)\$[0-9]+"))),_xlfn.REGEXEXTRACT(CELL("address",Q222), "\$([A-Z]+)\$[0-9]+"))</f>
        <v/>
      </c>
      <c r="R222" s="7" t="str" cm="1">
        <f t="array" aca="1" ref="R222" ca="1">IFERROR(IF(OR('Raw Data'!R222="",LEN(TRIM('Raw Data'!R222))=0),"",IF(AND(ISNUMBER('Raw Data'!R222), IFERROR('Raw Data'!R222 = ROUND('Raw Data'!R222, 2),FALSE)),"",_xlfn.REGEXEXTRACT(CELL("address",R222), "\$([A-Z]+)\$[0-9]+"))),_xlfn.REGEXEXTRACT(CELL("address",R222), "\$([A-Z]+)\$[0-9]+"))</f>
        <v/>
      </c>
      <c r="S222" s="7" t="str" cm="1">
        <f t="array" aca="1" ref="S222" ca="1">IFERROR(IF(OR('Raw Data'!S222="",LEN(TRIM('Raw Data'!S222))=0),"",IF(AND(ISNUMBER('Raw Data'!S222), IFERROR('Raw Data'!S222 = ROUND('Raw Data'!S222, 2),FALSE)),"",_xlfn.REGEXEXTRACT(CELL("address",S222), "\$([A-Z]+)\$[0-9]+"))),_xlfn.REGEXEXTRACT(CELL("address",S222), "\$([A-Z]+)\$[0-9]+"))</f>
        <v/>
      </c>
      <c r="T222" s="7" t="str" cm="1">
        <f t="array" aca="1" ref="T222" ca="1">IFERROR(IF(OR('Raw Data'!T222="",LEN(TRIM('Raw Data'!T222))=0),"",IF(AND(ISNUMBER('Raw Data'!T222), IFERROR('Raw Data'!T222 = ROUND('Raw Data'!T222, 2),FALSE)),"",_xlfn.REGEXEXTRACT(CELL("address",T222), "\$([A-Z]+)\$[0-9]+"))),_xlfn.REGEXEXTRACT(CELL("address",T222), "\$([A-Z]+)\$[0-9]+"))</f>
        <v/>
      </c>
      <c r="U222" s="7" t="str" cm="1">
        <f t="array" aca="1" ref="U222" ca="1">IFERROR(IF(OR('Raw Data'!U222="",LEN(TRIM('Raw Data'!U222))=0),"",IF(AND(LEN('Raw Data'!U222) &lt;= 5,LEN('Raw Data'!U222)&gt; 0),"",_xlfn.REGEXEXTRACT(CELL("address",'Raw Data'!U222),"\$([A-Z]+)\$[0-9]+"))),_xlfn.REGEXEXTRACT(CELL("address",'Raw Data'!U222),"\$([A-Z]+)\$[0-9]+"))</f>
        <v/>
      </c>
      <c r="V222" s="7" t="str" cm="1">
        <f t="array" aca="1" ref="V222" ca="1">IFERROR(IF(OR('Raw Data'!V222="",LEN(TRIM('Raw Data'!V222))=0),"",IF(AND(ISNUMBER('Raw Data'!V222), IFERROR('Raw Data'!V222 = ROUND('Raw Data'!V222, 2),FALSE)),"",_xlfn.REGEXEXTRACT(CELL("address",V222), "\$([A-Z]+)\$[0-9]+"))),_xlfn.REGEXEXTRACT(CELL("address",V222), "\$([A-Z]+)\$[0-9]+"))</f>
        <v/>
      </c>
      <c r="W222" s="7" t="str" cm="1">
        <f t="array" aca="1" ref="W222" ca="1">IFERROR(IF(OR('Raw Data'!W222="",LEN(TRIM('Raw Data'!W222))=0),"",IF(AND(ISNUMBER('Raw Data'!W222), IFERROR('Raw Data'!W222 = ROUND('Raw Data'!W222, 2),FALSE)),"",_xlfn.REGEXEXTRACT(CELL("address",W222), "\$([A-Z]+)\$[0-9]+"))),_xlfn.REGEXEXTRACT(CELL("address",W222), "\$([A-Z]+)\$[0-9]+"))</f>
        <v/>
      </c>
      <c r="X222" s="7" t="str" cm="1">
        <f t="array" aca="1" ref="X222" ca="1">IFERROR(IF(OR('Raw Data'!X222="",LEN(TRIM('Raw Data'!X222))=0),"",IF(AND(ISNUMBER('Raw Data'!X222), IFERROR('Raw Data'!X222 = ROUND('Raw Data'!X222, 2),FALSE)),"",_xlfn.REGEXEXTRACT(CELL("address",X222), "\$([A-Z]+)\$[0-9]+"))),_xlfn.REGEXEXTRACT(CELL("address",X222), "\$([A-Z]+)\$[0-9]+"))</f>
        <v/>
      </c>
    </row>
    <row r="223" spans="2:24" x14ac:dyDescent="0.25">
      <c r="B223" s="7" t="str" cm="1">
        <f t="array" aca="1" ref="B223" ca="1">IFERROR(IF(OR('Raw Data'!B223="",LEN(TRIM('Raw Data'!B223))=0),"",IF(AND(LEN('Raw Data'!B223) &lt;= 50,LEN('Raw Data'!B223)&gt; 0),"",_xlfn.REGEXEXTRACT(CELL("address",'Raw Data'!B223),"\$([A-Z]+)\$[0-9]+"))),_xlfn.REGEXEXTRACT(CELL("address",'Raw Data'!B223),"\$([A-Z]+)\$[0-9]+"))</f>
        <v/>
      </c>
      <c r="C223" s="7" t="str" cm="1">
        <f t="array" aca="1" ref="C223" ca="1">IFERROR(IF(OR('Raw Data'!C223="",LEN(TRIM('Raw Data'!C223))=0),"",IF(AND(LEN('Raw Data'!C223) &lt;= 50,LEN('Raw Data'!C223)&gt; 0),"",_xlfn.REGEXEXTRACT(CELL("address",'Raw Data'!C223),"\$([A-Z]+)\$[0-9]+"))),_xlfn.REGEXEXTRACT(CELL("address",'Raw Data'!C223),"\$([A-Z]+)\$[0-9]+"))</f>
        <v/>
      </c>
      <c r="D223" s="7" t="str" cm="1">
        <f t="array" aca="1" ref="D223" ca="1">IFERROR(IF(OR('Raw Data'!D223="",LEN(TRIM('Raw Data'!D223))=0),"",IF(AND(LEN('Raw Data'!D223) &lt;= 255,LEN('Raw Data'!D223)&gt; 0),"",_xlfn.REGEXEXTRACT(CELL("address",'Raw Data'!D223),"\$([A-Z]+)\$[0-9]+"))),_xlfn.REGEXEXTRACT(CELL("address",'Raw Data'!D223),"\$([A-Z]+)\$[0-9]+"))</f>
        <v/>
      </c>
      <c r="E223" s="7" t="str" cm="1">
        <f t="array" aca="1" ref="E223" ca="1">IFERROR(IF(OR('Raw Data'!E223="",LEN(TRIM('Raw Data'!E223))=0),"",IF(AND(ISNUMBER('Raw Data'!E223),'Raw Data'!E223&gt;=Configuration!$D$2),"",_xlfn.REGEXEXTRACT(CELL("address",'Raw Data'!E223),"\$([A-Z]+)\$[0-9]+"))),_xlfn.REGEXEXTRACT(CELL("address",E223), "\$([A-Z]+)\$[0-9]+"))</f>
        <v/>
      </c>
      <c r="F223" s="7" t="str" cm="1">
        <f t="array" aca="1" ref="F223" ca="1">IFERROR(IF(OR('Raw Data'!F223="",LEN(TRIM('Raw Data'!F223))=0),"",IF(AND(LEN('Raw Data'!F223) &lt;= 20,LEN('Raw Data'!F223)&gt; 0),"",_xlfn.REGEXEXTRACT(CELL("address",'Raw Data'!F223),"\$([A-Z]+)\$[0-9]+"))),_xlfn.REGEXEXTRACT(CELL("address",'Raw Data'!F223),"\$([A-Z]+)\$[0-9]+"))</f>
        <v/>
      </c>
      <c r="G223" s="7" t="str" cm="1">
        <f t="array" aca="1" ref="G223" ca="1">IFERROR(IF(OR('Raw Data'!G223="",LEN(TRIM('Raw Data'!G223))=0),"",IF(AND(ISNUMBER('Raw Data'!G223), IFERROR('Raw Data'!G223 = ROUND('Raw Data'!G223, 2),FALSE)),"",_xlfn.REGEXEXTRACT(CELL("address",G223), "\$([A-Z]+)\$[0-9]+"))),_xlfn.REGEXEXTRACT(CELL("address",G223), "\$([A-Z]+)\$[0-9]+"))</f>
        <v/>
      </c>
      <c r="H223" s="7" t="str" cm="1">
        <f t="array" aca="1" ref="H223" ca="1">IFERROR(IF(OR('Raw Data'!H223="",LEN(TRIM('Raw Data'!H223))=0),"",IF(AND(ISNUMBER('Raw Data'!H223), IFERROR('Raw Data'!H223 = ROUND('Raw Data'!H223, 2),FALSE)),"",_xlfn.REGEXEXTRACT(CELL("address",H223), "\$([A-Z]+)\$[0-9]+"))),_xlfn.REGEXEXTRACT(CELL("address",H223), "\$([A-Z]+)\$[0-9]+"))</f>
        <v/>
      </c>
      <c r="I223" s="7" t="str" cm="1">
        <f t="array" aca="1" ref="I223" ca="1">IFERROR(IF(OR('Raw Data'!I223="",LEN(TRIM('Raw Data'!I223))=0),"",IF(AND(LEN('Raw Data'!I223) &lt;= 50,LEN('Raw Data'!I223)&gt; 0),"",_xlfn.REGEXEXTRACT(CELL("address",'Raw Data'!I223),"\$([A-Z]+)\$[0-9]+"))),_xlfn.REGEXEXTRACT(CELL("address",'Raw Data'!I223),"\$([A-Z]+)\$[0-9]+"))</f>
        <v/>
      </c>
      <c r="J223" s="7" t="str" cm="1">
        <f t="array" aca="1" ref="J223" ca="1">IFERROR(IF(OR('Raw Data'!J223="",LEN(TRIM('Raw Data'!J223))=0),"",IF(AND(ISNUMBER('Raw Data'!J223),'Raw Data'!J223&gt;=Configuration!$D$2),"",_xlfn.REGEXEXTRACT(CELL("address",'Raw Data'!J223),"\$([A-Z]+)\$[0-9]+"))),_xlfn.REGEXEXTRACT(CELL("address",J223), "\$([A-Z]+)\$[0-9]+"))</f>
        <v/>
      </c>
      <c r="K223" s="7" t="str" cm="1">
        <f t="array" aca="1" ref="K223" ca="1">IFERROR(IF(OR('Raw Data'!K223="",LEN(TRIM('Raw Data'!K223))=0),"",IF(AND(ISNUMBER('Raw Data'!K223), IFERROR('Raw Data'!K223 = ROUND('Raw Data'!K223, 2),FALSE)),"",_xlfn.REGEXEXTRACT(CELL("address",K223), "\$([A-Z]+)\$[0-9]+"))),_xlfn.REGEXEXTRACT(CELL("address",K223), "\$([A-Z]+)\$[0-9]+"))</f>
        <v/>
      </c>
      <c r="L223" s="7" t="str" cm="1">
        <f t="array" aca="1" ref="L223" ca="1">IFERROR(IF(OR('Raw Data'!L223="",LEN(TRIM('Raw Data'!L223))=0),"",IF(AND(ISNUMBER('Raw Data'!L223), IFERROR('Raw Data'!L223 = ROUND('Raw Data'!L223, 2),FALSE)),"",_xlfn.REGEXEXTRACT(CELL("address",L223), "\$([A-Z]+)\$[0-9]+"))),_xlfn.REGEXEXTRACT(CELL("address",L223), "\$([A-Z]+)\$[0-9]+"))</f>
        <v/>
      </c>
      <c r="M223" s="7" t="str" cm="1">
        <f t="array" aca="1" ref="M223" ca="1">IFERROR(IF(OR('Raw Data'!M223="",LEN(TRIM('Raw Data'!M223))=0),"",IF(AND(ISNUMBER('Raw Data'!M223), IFERROR('Raw Data'!M223 = ROUND('Raw Data'!M223, 2),FALSE)),"",_xlfn.REGEXEXTRACT(CELL("address",M223), "\$([A-Z]+)\$[0-9]+"))),_xlfn.REGEXEXTRACT(CELL("address",M223), "\$([A-Z]+)\$[0-9]+"))</f>
        <v/>
      </c>
      <c r="N223" s="7" t="str" cm="1">
        <f t="array" aca="1" ref="N223" ca="1">IFERROR(IF(OR('Raw Data'!N223="",LEN(TRIM('Raw Data'!N223))=0),"",IF(AND(ISNUMBER('Raw Data'!N223), IFERROR('Raw Data'!N223 = ROUND('Raw Data'!N223, 2),FALSE)),"",_xlfn.REGEXEXTRACT(CELL("address",N223), "\$([A-Z]+)\$[0-9]+"))),_xlfn.REGEXEXTRACT(CELL("address",N223), "\$([A-Z]+)\$[0-9]+"))</f>
        <v/>
      </c>
      <c r="O223" s="7" t="str" cm="1">
        <f t="array" aca="1" ref="O223" ca="1">IFERROR(IF(OR('Raw Data'!O223="",LEN(TRIM('Raw Data'!O223))=0),"",IF(AND(ISNUMBER('Raw Data'!O223), IFERROR('Raw Data'!O223 = ROUND('Raw Data'!O223, 2),FALSE)),"",_xlfn.REGEXEXTRACT(CELL("address",O223), "\$([A-Z]+)\$[0-9]+"))),_xlfn.REGEXEXTRACT(CELL("address",O223), "\$([A-Z]+)\$[0-9]+"))</f>
        <v/>
      </c>
      <c r="P223" s="7" t="str" cm="1">
        <f t="array" aca="1" ref="P223" ca="1">IFERROR(IF(OR('Raw Data'!P223="",LEN(TRIM('Raw Data'!P223))=0),"",IF(AND(ISNUMBER('Raw Data'!P223),'Raw Data'!P223&gt;=Configuration!$D$2),"",_xlfn.REGEXEXTRACT(CELL("address",'Raw Data'!P223),"\$([A-Z]+)\$[0-9]+"))),_xlfn.REGEXEXTRACT(CELL("address",P223), "\$([A-Z]+)\$[0-9]+"))</f>
        <v/>
      </c>
      <c r="Q223" s="7" t="str" cm="1">
        <f t="array" aca="1" ref="Q223" ca="1">IFERROR(IF(OR('Raw Data'!Q223="",LEN(TRIM('Raw Data'!Q223))=0),"",IF(AND(ISNUMBER('Raw Data'!Q223),'Raw Data'!Q223&gt;=Configuration!$D$2),"",_xlfn.REGEXEXTRACT(CELL("address",'Raw Data'!Q223),"\$([A-Z]+)\$[0-9]+"))),_xlfn.REGEXEXTRACT(CELL("address",Q223), "\$([A-Z]+)\$[0-9]+"))</f>
        <v/>
      </c>
      <c r="R223" s="7" t="str" cm="1">
        <f t="array" aca="1" ref="R223" ca="1">IFERROR(IF(OR('Raw Data'!R223="",LEN(TRIM('Raw Data'!R223))=0),"",IF(AND(ISNUMBER('Raw Data'!R223), IFERROR('Raw Data'!R223 = ROUND('Raw Data'!R223, 2),FALSE)),"",_xlfn.REGEXEXTRACT(CELL("address",R223), "\$([A-Z]+)\$[0-9]+"))),_xlfn.REGEXEXTRACT(CELL("address",R223), "\$([A-Z]+)\$[0-9]+"))</f>
        <v/>
      </c>
      <c r="S223" s="7" t="str" cm="1">
        <f t="array" aca="1" ref="S223" ca="1">IFERROR(IF(OR('Raw Data'!S223="",LEN(TRIM('Raw Data'!S223))=0),"",IF(AND(ISNUMBER('Raw Data'!S223), IFERROR('Raw Data'!S223 = ROUND('Raw Data'!S223, 2),FALSE)),"",_xlfn.REGEXEXTRACT(CELL("address",S223), "\$([A-Z]+)\$[0-9]+"))),_xlfn.REGEXEXTRACT(CELL("address",S223), "\$([A-Z]+)\$[0-9]+"))</f>
        <v/>
      </c>
      <c r="T223" s="7" t="str" cm="1">
        <f t="array" aca="1" ref="T223" ca="1">IFERROR(IF(OR('Raw Data'!T223="",LEN(TRIM('Raw Data'!T223))=0),"",IF(AND(ISNUMBER('Raw Data'!T223), IFERROR('Raw Data'!T223 = ROUND('Raw Data'!T223, 2),FALSE)),"",_xlfn.REGEXEXTRACT(CELL("address",T223), "\$([A-Z]+)\$[0-9]+"))),_xlfn.REGEXEXTRACT(CELL("address",T223), "\$([A-Z]+)\$[0-9]+"))</f>
        <v/>
      </c>
      <c r="U223" s="7" t="str" cm="1">
        <f t="array" aca="1" ref="U223" ca="1">IFERROR(IF(OR('Raw Data'!U223="",LEN(TRIM('Raw Data'!U223))=0),"",IF(AND(LEN('Raw Data'!U223) &lt;= 5,LEN('Raw Data'!U223)&gt; 0),"",_xlfn.REGEXEXTRACT(CELL("address",'Raw Data'!U223),"\$([A-Z]+)\$[0-9]+"))),_xlfn.REGEXEXTRACT(CELL("address",'Raw Data'!U223),"\$([A-Z]+)\$[0-9]+"))</f>
        <v/>
      </c>
      <c r="V223" s="7" t="str" cm="1">
        <f t="array" aca="1" ref="V223" ca="1">IFERROR(IF(OR('Raw Data'!V223="",LEN(TRIM('Raw Data'!V223))=0),"",IF(AND(ISNUMBER('Raw Data'!V223), IFERROR('Raw Data'!V223 = ROUND('Raw Data'!V223, 2),FALSE)),"",_xlfn.REGEXEXTRACT(CELL("address",V223), "\$([A-Z]+)\$[0-9]+"))),_xlfn.REGEXEXTRACT(CELL("address",V223), "\$([A-Z]+)\$[0-9]+"))</f>
        <v/>
      </c>
      <c r="W223" s="7" t="str" cm="1">
        <f t="array" aca="1" ref="W223" ca="1">IFERROR(IF(OR('Raw Data'!W223="",LEN(TRIM('Raw Data'!W223))=0),"",IF(AND(ISNUMBER('Raw Data'!W223), IFERROR('Raw Data'!W223 = ROUND('Raw Data'!W223, 2),FALSE)),"",_xlfn.REGEXEXTRACT(CELL("address",W223), "\$([A-Z]+)\$[0-9]+"))),_xlfn.REGEXEXTRACT(CELL("address",W223), "\$([A-Z]+)\$[0-9]+"))</f>
        <v/>
      </c>
      <c r="X223" s="7" t="str" cm="1">
        <f t="array" aca="1" ref="X223" ca="1">IFERROR(IF(OR('Raw Data'!X223="",LEN(TRIM('Raw Data'!X223))=0),"",IF(AND(ISNUMBER('Raw Data'!X223), IFERROR('Raw Data'!X223 = ROUND('Raw Data'!X223, 2),FALSE)),"",_xlfn.REGEXEXTRACT(CELL("address",X223), "\$([A-Z]+)\$[0-9]+"))),_xlfn.REGEXEXTRACT(CELL("address",X223), "\$([A-Z]+)\$[0-9]+"))</f>
        <v/>
      </c>
    </row>
    <row r="224" spans="2:24" x14ac:dyDescent="0.25">
      <c r="B224" s="7" t="str" cm="1">
        <f t="array" aca="1" ref="B224" ca="1">IFERROR(IF(OR('Raw Data'!B224="",LEN(TRIM('Raw Data'!B224))=0),"",IF(AND(LEN('Raw Data'!B224) &lt;= 50,LEN('Raw Data'!B224)&gt; 0),"",_xlfn.REGEXEXTRACT(CELL("address",'Raw Data'!B224),"\$([A-Z]+)\$[0-9]+"))),_xlfn.REGEXEXTRACT(CELL("address",'Raw Data'!B224),"\$([A-Z]+)\$[0-9]+"))</f>
        <v/>
      </c>
      <c r="C224" s="7" t="str" cm="1">
        <f t="array" aca="1" ref="C224" ca="1">IFERROR(IF(OR('Raw Data'!C224="",LEN(TRIM('Raw Data'!C224))=0),"",IF(AND(LEN('Raw Data'!C224) &lt;= 50,LEN('Raw Data'!C224)&gt; 0),"",_xlfn.REGEXEXTRACT(CELL("address",'Raw Data'!C224),"\$([A-Z]+)\$[0-9]+"))),_xlfn.REGEXEXTRACT(CELL("address",'Raw Data'!C224),"\$([A-Z]+)\$[0-9]+"))</f>
        <v/>
      </c>
      <c r="D224" s="7" t="str" cm="1">
        <f t="array" aca="1" ref="D224" ca="1">IFERROR(IF(OR('Raw Data'!D224="",LEN(TRIM('Raw Data'!D224))=0),"",IF(AND(LEN('Raw Data'!D224) &lt;= 255,LEN('Raw Data'!D224)&gt; 0),"",_xlfn.REGEXEXTRACT(CELL("address",'Raw Data'!D224),"\$([A-Z]+)\$[0-9]+"))),_xlfn.REGEXEXTRACT(CELL("address",'Raw Data'!D224),"\$([A-Z]+)\$[0-9]+"))</f>
        <v/>
      </c>
      <c r="E224" s="7" t="str" cm="1">
        <f t="array" aca="1" ref="E224" ca="1">IFERROR(IF(OR('Raw Data'!E224="",LEN(TRIM('Raw Data'!E224))=0),"",IF(AND(ISNUMBER('Raw Data'!E224),'Raw Data'!E224&gt;=Configuration!$D$2),"",_xlfn.REGEXEXTRACT(CELL("address",'Raw Data'!E224),"\$([A-Z]+)\$[0-9]+"))),_xlfn.REGEXEXTRACT(CELL("address",E224), "\$([A-Z]+)\$[0-9]+"))</f>
        <v/>
      </c>
      <c r="F224" s="7" t="str" cm="1">
        <f t="array" aca="1" ref="F224" ca="1">IFERROR(IF(OR('Raw Data'!F224="",LEN(TRIM('Raw Data'!F224))=0),"",IF(AND(LEN('Raw Data'!F224) &lt;= 20,LEN('Raw Data'!F224)&gt; 0),"",_xlfn.REGEXEXTRACT(CELL("address",'Raw Data'!F224),"\$([A-Z]+)\$[0-9]+"))),_xlfn.REGEXEXTRACT(CELL("address",'Raw Data'!F224),"\$([A-Z]+)\$[0-9]+"))</f>
        <v/>
      </c>
      <c r="G224" s="7" t="str" cm="1">
        <f t="array" aca="1" ref="G224" ca="1">IFERROR(IF(OR('Raw Data'!G224="",LEN(TRIM('Raw Data'!G224))=0),"",IF(AND(ISNUMBER('Raw Data'!G224), IFERROR('Raw Data'!G224 = ROUND('Raw Data'!G224, 2),FALSE)),"",_xlfn.REGEXEXTRACT(CELL("address",G224), "\$([A-Z]+)\$[0-9]+"))),_xlfn.REGEXEXTRACT(CELL("address",G224), "\$([A-Z]+)\$[0-9]+"))</f>
        <v/>
      </c>
      <c r="H224" s="7" t="str" cm="1">
        <f t="array" aca="1" ref="H224" ca="1">IFERROR(IF(OR('Raw Data'!H224="",LEN(TRIM('Raw Data'!H224))=0),"",IF(AND(ISNUMBER('Raw Data'!H224), IFERROR('Raw Data'!H224 = ROUND('Raw Data'!H224, 2),FALSE)),"",_xlfn.REGEXEXTRACT(CELL("address",H224), "\$([A-Z]+)\$[0-9]+"))),_xlfn.REGEXEXTRACT(CELL("address",H224), "\$([A-Z]+)\$[0-9]+"))</f>
        <v/>
      </c>
      <c r="I224" s="7" t="str" cm="1">
        <f t="array" aca="1" ref="I224" ca="1">IFERROR(IF(OR('Raw Data'!I224="",LEN(TRIM('Raw Data'!I224))=0),"",IF(AND(LEN('Raw Data'!I224) &lt;= 50,LEN('Raw Data'!I224)&gt; 0),"",_xlfn.REGEXEXTRACT(CELL("address",'Raw Data'!I224),"\$([A-Z]+)\$[0-9]+"))),_xlfn.REGEXEXTRACT(CELL("address",'Raw Data'!I224),"\$([A-Z]+)\$[0-9]+"))</f>
        <v/>
      </c>
      <c r="J224" s="7" t="str" cm="1">
        <f t="array" aca="1" ref="J224" ca="1">IFERROR(IF(OR('Raw Data'!J224="",LEN(TRIM('Raw Data'!J224))=0),"",IF(AND(ISNUMBER('Raw Data'!J224),'Raw Data'!J224&gt;=Configuration!$D$2),"",_xlfn.REGEXEXTRACT(CELL("address",'Raw Data'!J224),"\$([A-Z]+)\$[0-9]+"))),_xlfn.REGEXEXTRACT(CELL("address",J224), "\$([A-Z]+)\$[0-9]+"))</f>
        <v/>
      </c>
      <c r="K224" s="7" t="str" cm="1">
        <f t="array" aca="1" ref="K224" ca="1">IFERROR(IF(OR('Raw Data'!K224="",LEN(TRIM('Raw Data'!K224))=0),"",IF(AND(ISNUMBER('Raw Data'!K224), IFERROR('Raw Data'!K224 = ROUND('Raw Data'!K224, 2),FALSE)),"",_xlfn.REGEXEXTRACT(CELL("address",K224), "\$([A-Z]+)\$[0-9]+"))),_xlfn.REGEXEXTRACT(CELL("address",K224), "\$([A-Z]+)\$[0-9]+"))</f>
        <v/>
      </c>
      <c r="L224" s="7" t="str" cm="1">
        <f t="array" aca="1" ref="L224" ca="1">IFERROR(IF(OR('Raw Data'!L224="",LEN(TRIM('Raw Data'!L224))=0),"",IF(AND(ISNUMBER('Raw Data'!L224), IFERROR('Raw Data'!L224 = ROUND('Raw Data'!L224, 2),FALSE)),"",_xlfn.REGEXEXTRACT(CELL("address",L224), "\$([A-Z]+)\$[0-9]+"))),_xlfn.REGEXEXTRACT(CELL("address",L224), "\$([A-Z]+)\$[0-9]+"))</f>
        <v/>
      </c>
      <c r="M224" s="7" t="str" cm="1">
        <f t="array" aca="1" ref="M224" ca="1">IFERROR(IF(OR('Raw Data'!M224="",LEN(TRIM('Raw Data'!M224))=0),"",IF(AND(ISNUMBER('Raw Data'!M224), IFERROR('Raw Data'!M224 = ROUND('Raw Data'!M224, 2),FALSE)),"",_xlfn.REGEXEXTRACT(CELL("address",M224), "\$([A-Z]+)\$[0-9]+"))),_xlfn.REGEXEXTRACT(CELL("address",M224), "\$([A-Z]+)\$[0-9]+"))</f>
        <v/>
      </c>
      <c r="N224" s="7" t="str" cm="1">
        <f t="array" aca="1" ref="N224" ca="1">IFERROR(IF(OR('Raw Data'!N224="",LEN(TRIM('Raw Data'!N224))=0),"",IF(AND(ISNUMBER('Raw Data'!N224), IFERROR('Raw Data'!N224 = ROUND('Raw Data'!N224, 2),FALSE)),"",_xlfn.REGEXEXTRACT(CELL("address",N224), "\$([A-Z]+)\$[0-9]+"))),_xlfn.REGEXEXTRACT(CELL("address",N224), "\$([A-Z]+)\$[0-9]+"))</f>
        <v/>
      </c>
      <c r="O224" s="7" t="str" cm="1">
        <f t="array" aca="1" ref="O224" ca="1">IFERROR(IF(OR('Raw Data'!O224="",LEN(TRIM('Raw Data'!O224))=0),"",IF(AND(ISNUMBER('Raw Data'!O224), IFERROR('Raw Data'!O224 = ROUND('Raw Data'!O224, 2),FALSE)),"",_xlfn.REGEXEXTRACT(CELL("address",O224), "\$([A-Z]+)\$[0-9]+"))),_xlfn.REGEXEXTRACT(CELL("address",O224), "\$([A-Z]+)\$[0-9]+"))</f>
        <v/>
      </c>
      <c r="P224" s="7" t="str" cm="1">
        <f t="array" aca="1" ref="P224" ca="1">IFERROR(IF(OR('Raw Data'!P224="",LEN(TRIM('Raw Data'!P224))=0),"",IF(AND(ISNUMBER('Raw Data'!P224),'Raw Data'!P224&gt;=Configuration!$D$2),"",_xlfn.REGEXEXTRACT(CELL("address",'Raw Data'!P224),"\$([A-Z]+)\$[0-9]+"))),_xlfn.REGEXEXTRACT(CELL("address",P224), "\$([A-Z]+)\$[0-9]+"))</f>
        <v/>
      </c>
      <c r="Q224" s="7" t="str" cm="1">
        <f t="array" aca="1" ref="Q224" ca="1">IFERROR(IF(OR('Raw Data'!Q224="",LEN(TRIM('Raw Data'!Q224))=0),"",IF(AND(ISNUMBER('Raw Data'!Q224),'Raw Data'!Q224&gt;=Configuration!$D$2),"",_xlfn.REGEXEXTRACT(CELL("address",'Raw Data'!Q224),"\$([A-Z]+)\$[0-9]+"))),_xlfn.REGEXEXTRACT(CELL("address",Q224), "\$([A-Z]+)\$[0-9]+"))</f>
        <v/>
      </c>
      <c r="R224" s="7" t="str" cm="1">
        <f t="array" aca="1" ref="R224" ca="1">IFERROR(IF(OR('Raw Data'!R224="",LEN(TRIM('Raw Data'!R224))=0),"",IF(AND(ISNUMBER('Raw Data'!R224), IFERROR('Raw Data'!R224 = ROUND('Raw Data'!R224, 2),FALSE)),"",_xlfn.REGEXEXTRACT(CELL("address",R224), "\$([A-Z]+)\$[0-9]+"))),_xlfn.REGEXEXTRACT(CELL("address",R224), "\$([A-Z]+)\$[0-9]+"))</f>
        <v/>
      </c>
      <c r="S224" s="7" t="str" cm="1">
        <f t="array" aca="1" ref="S224" ca="1">IFERROR(IF(OR('Raw Data'!S224="",LEN(TRIM('Raw Data'!S224))=0),"",IF(AND(ISNUMBER('Raw Data'!S224), IFERROR('Raw Data'!S224 = ROUND('Raw Data'!S224, 2),FALSE)),"",_xlfn.REGEXEXTRACT(CELL("address",S224), "\$([A-Z]+)\$[0-9]+"))),_xlfn.REGEXEXTRACT(CELL("address",S224), "\$([A-Z]+)\$[0-9]+"))</f>
        <v/>
      </c>
      <c r="T224" s="7" t="str" cm="1">
        <f t="array" aca="1" ref="T224" ca="1">IFERROR(IF(OR('Raw Data'!T224="",LEN(TRIM('Raw Data'!T224))=0),"",IF(AND(ISNUMBER('Raw Data'!T224), IFERROR('Raw Data'!T224 = ROUND('Raw Data'!T224, 2),FALSE)),"",_xlfn.REGEXEXTRACT(CELL("address",T224), "\$([A-Z]+)\$[0-9]+"))),_xlfn.REGEXEXTRACT(CELL("address",T224), "\$([A-Z]+)\$[0-9]+"))</f>
        <v/>
      </c>
      <c r="U224" s="7" t="str" cm="1">
        <f t="array" aca="1" ref="U224" ca="1">IFERROR(IF(OR('Raw Data'!U224="",LEN(TRIM('Raw Data'!U224))=0),"",IF(AND(LEN('Raw Data'!U224) &lt;= 5,LEN('Raw Data'!U224)&gt; 0),"",_xlfn.REGEXEXTRACT(CELL("address",'Raw Data'!U224),"\$([A-Z]+)\$[0-9]+"))),_xlfn.REGEXEXTRACT(CELL("address",'Raw Data'!U224),"\$([A-Z]+)\$[0-9]+"))</f>
        <v/>
      </c>
      <c r="V224" s="7" t="str" cm="1">
        <f t="array" aca="1" ref="V224" ca="1">IFERROR(IF(OR('Raw Data'!V224="",LEN(TRIM('Raw Data'!V224))=0),"",IF(AND(ISNUMBER('Raw Data'!V224), IFERROR('Raw Data'!V224 = ROUND('Raw Data'!V224, 2),FALSE)),"",_xlfn.REGEXEXTRACT(CELL("address",V224), "\$([A-Z]+)\$[0-9]+"))),_xlfn.REGEXEXTRACT(CELL("address",V224), "\$([A-Z]+)\$[0-9]+"))</f>
        <v/>
      </c>
      <c r="W224" s="7" t="str" cm="1">
        <f t="array" aca="1" ref="W224" ca="1">IFERROR(IF(OR('Raw Data'!W224="",LEN(TRIM('Raw Data'!W224))=0),"",IF(AND(ISNUMBER('Raw Data'!W224), IFERROR('Raw Data'!W224 = ROUND('Raw Data'!W224, 2),FALSE)),"",_xlfn.REGEXEXTRACT(CELL("address",W224), "\$([A-Z]+)\$[0-9]+"))),_xlfn.REGEXEXTRACT(CELL("address",W224), "\$([A-Z]+)\$[0-9]+"))</f>
        <v/>
      </c>
      <c r="X224" s="7" t="str" cm="1">
        <f t="array" aca="1" ref="X224" ca="1">IFERROR(IF(OR('Raw Data'!X224="",LEN(TRIM('Raw Data'!X224))=0),"",IF(AND(ISNUMBER('Raw Data'!X224), IFERROR('Raw Data'!X224 = ROUND('Raw Data'!X224, 2),FALSE)),"",_xlfn.REGEXEXTRACT(CELL("address",X224), "\$([A-Z]+)\$[0-9]+"))),_xlfn.REGEXEXTRACT(CELL("address",X224), "\$([A-Z]+)\$[0-9]+"))</f>
        <v/>
      </c>
    </row>
    <row r="225" spans="2:24" x14ac:dyDescent="0.25">
      <c r="B225" s="7" t="str" cm="1">
        <f t="array" aca="1" ref="B225" ca="1">IFERROR(IF(OR('Raw Data'!B225="",LEN(TRIM('Raw Data'!B225))=0),"",IF(AND(LEN('Raw Data'!B225) &lt;= 50,LEN('Raw Data'!B225)&gt; 0),"",_xlfn.REGEXEXTRACT(CELL("address",'Raw Data'!B225),"\$([A-Z]+)\$[0-9]+"))),_xlfn.REGEXEXTRACT(CELL("address",'Raw Data'!B225),"\$([A-Z]+)\$[0-9]+"))</f>
        <v/>
      </c>
      <c r="C225" s="7" t="str" cm="1">
        <f t="array" aca="1" ref="C225" ca="1">IFERROR(IF(OR('Raw Data'!C225="",LEN(TRIM('Raw Data'!C225))=0),"",IF(AND(LEN('Raw Data'!C225) &lt;= 50,LEN('Raw Data'!C225)&gt; 0),"",_xlfn.REGEXEXTRACT(CELL("address",'Raw Data'!C225),"\$([A-Z]+)\$[0-9]+"))),_xlfn.REGEXEXTRACT(CELL("address",'Raw Data'!C225),"\$([A-Z]+)\$[0-9]+"))</f>
        <v/>
      </c>
      <c r="D225" s="7" t="str" cm="1">
        <f t="array" aca="1" ref="D225" ca="1">IFERROR(IF(OR('Raw Data'!D225="",LEN(TRIM('Raw Data'!D225))=0),"",IF(AND(LEN('Raw Data'!D225) &lt;= 255,LEN('Raw Data'!D225)&gt; 0),"",_xlfn.REGEXEXTRACT(CELL("address",'Raw Data'!D225),"\$([A-Z]+)\$[0-9]+"))),_xlfn.REGEXEXTRACT(CELL("address",'Raw Data'!D225),"\$([A-Z]+)\$[0-9]+"))</f>
        <v/>
      </c>
      <c r="E225" s="7" t="str" cm="1">
        <f t="array" aca="1" ref="E225" ca="1">IFERROR(IF(OR('Raw Data'!E225="",LEN(TRIM('Raw Data'!E225))=0),"",IF(AND(ISNUMBER('Raw Data'!E225),'Raw Data'!E225&gt;=Configuration!$D$2),"",_xlfn.REGEXEXTRACT(CELL("address",'Raw Data'!E225),"\$([A-Z]+)\$[0-9]+"))),_xlfn.REGEXEXTRACT(CELL("address",E225), "\$([A-Z]+)\$[0-9]+"))</f>
        <v/>
      </c>
      <c r="F225" s="7" t="str" cm="1">
        <f t="array" aca="1" ref="F225" ca="1">IFERROR(IF(OR('Raw Data'!F225="",LEN(TRIM('Raw Data'!F225))=0),"",IF(AND(LEN('Raw Data'!F225) &lt;= 20,LEN('Raw Data'!F225)&gt; 0),"",_xlfn.REGEXEXTRACT(CELL("address",'Raw Data'!F225),"\$([A-Z]+)\$[0-9]+"))),_xlfn.REGEXEXTRACT(CELL("address",'Raw Data'!F225),"\$([A-Z]+)\$[0-9]+"))</f>
        <v/>
      </c>
      <c r="G225" s="7" t="str" cm="1">
        <f t="array" aca="1" ref="G225" ca="1">IFERROR(IF(OR('Raw Data'!G225="",LEN(TRIM('Raw Data'!G225))=0),"",IF(AND(ISNUMBER('Raw Data'!G225), IFERROR('Raw Data'!G225 = ROUND('Raw Data'!G225, 2),FALSE)),"",_xlfn.REGEXEXTRACT(CELL("address",G225), "\$([A-Z]+)\$[0-9]+"))),_xlfn.REGEXEXTRACT(CELL("address",G225), "\$([A-Z]+)\$[0-9]+"))</f>
        <v/>
      </c>
      <c r="H225" s="7" t="str" cm="1">
        <f t="array" aca="1" ref="H225" ca="1">IFERROR(IF(OR('Raw Data'!H225="",LEN(TRIM('Raw Data'!H225))=0),"",IF(AND(ISNUMBER('Raw Data'!H225), IFERROR('Raw Data'!H225 = ROUND('Raw Data'!H225, 2),FALSE)),"",_xlfn.REGEXEXTRACT(CELL("address",H225), "\$([A-Z]+)\$[0-9]+"))),_xlfn.REGEXEXTRACT(CELL("address",H225), "\$([A-Z]+)\$[0-9]+"))</f>
        <v/>
      </c>
      <c r="I225" s="7" t="str" cm="1">
        <f t="array" aca="1" ref="I225" ca="1">IFERROR(IF(OR('Raw Data'!I225="",LEN(TRIM('Raw Data'!I225))=0),"",IF(AND(LEN('Raw Data'!I225) &lt;= 50,LEN('Raw Data'!I225)&gt; 0),"",_xlfn.REGEXEXTRACT(CELL("address",'Raw Data'!I225),"\$([A-Z]+)\$[0-9]+"))),_xlfn.REGEXEXTRACT(CELL("address",'Raw Data'!I225),"\$([A-Z]+)\$[0-9]+"))</f>
        <v/>
      </c>
      <c r="J225" s="7" t="str" cm="1">
        <f t="array" aca="1" ref="J225" ca="1">IFERROR(IF(OR('Raw Data'!J225="",LEN(TRIM('Raw Data'!J225))=0),"",IF(AND(ISNUMBER('Raw Data'!J225),'Raw Data'!J225&gt;=Configuration!$D$2),"",_xlfn.REGEXEXTRACT(CELL("address",'Raw Data'!J225),"\$([A-Z]+)\$[0-9]+"))),_xlfn.REGEXEXTRACT(CELL("address",J225), "\$([A-Z]+)\$[0-9]+"))</f>
        <v/>
      </c>
      <c r="K225" s="7" t="str" cm="1">
        <f t="array" aca="1" ref="K225" ca="1">IFERROR(IF(OR('Raw Data'!K225="",LEN(TRIM('Raw Data'!K225))=0),"",IF(AND(ISNUMBER('Raw Data'!K225), IFERROR('Raw Data'!K225 = ROUND('Raw Data'!K225, 2),FALSE)),"",_xlfn.REGEXEXTRACT(CELL("address",K225), "\$([A-Z]+)\$[0-9]+"))),_xlfn.REGEXEXTRACT(CELL("address",K225), "\$([A-Z]+)\$[0-9]+"))</f>
        <v/>
      </c>
      <c r="L225" s="7" t="str" cm="1">
        <f t="array" aca="1" ref="L225" ca="1">IFERROR(IF(OR('Raw Data'!L225="",LEN(TRIM('Raw Data'!L225))=0),"",IF(AND(ISNUMBER('Raw Data'!L225), IFERROR('Raw Data'!L225 = ROUND('Raw Data'!L225, 2),FALSE)),"",_xlfn.REGEXEXTRACT(CELL("address",L225), "\$([A-Z]+)\$[0-9]+"))),_xlfn.REGEXEXTRACT(CELL("address",L225), "\$([A-Z]+)\$[0-9]+"))</f>
        <v/>
      </c>
      <c r="M225" s="7" t="str" cm="1">
        <f t="array" aca="1" ref="M225" ca="1">IFERROR(IF(OR('Raw Data'!M225="",LEN(TRIM('Raw Data'!M225))=0),"",IF(AND(ISNUMBER('Raw Data'!M225), IFERROR('Raw Data'!M225 = ROUND('Raw Data'!M225, 2),FALSE)),"",_xlfn.REGEXEXTRACT(CELL("address",M225), "\$([A-Z]+)\$[0-9]+"))),_xlfn.REGEXEXTRACT(CELL("address",M225), "\$([A-Z]+)\$[0-9]+"))</f>
        <v/>
      </c>
      <c r="N225" s="7" t="str" cm="1">
        <f t="array" aca="1" ref="N225" ca="1">IFERROR(IF(OR('Raw Data'!N225="",LEN(TRIM('Raw Data'!N225))=0),"",IF(AND(ISNUMBER('Raw Data'!N225), IFERROR('Raw Data'!N225 = ROUND('Raw Data'!N225, 2),FALSE)),"",_xlfn.REGEXEXTRACT(CELL("address",N225), "\$([A-Z]+)\$[0-9]+"))),_xlfn.REGEXEXTRACT(CELL("address",N225), "\$([A-Z]+)\$[0-9]+"))</f>
        <v/>
      </c>
      <c r="O225" s="7" t="str" cm="1">
        <f t="array" aca="1" ref="O225" ca="1">IFERROR(IF(OR('Raw Data'!O225="",LEN(TRIM('Raw Data'!O225))=0),"",IF(AND(ISNUMBER('Raw Data'!O225), IFERROR('Raw Data'!O225 = ROUND('Raw Data'!O225, 2),FALSE)),"",_xlfn.REGEXEXTRACT(CELL("address",O225), "\$([A-Z]+)\$[0-9]+"))),_xlfn.REGEXEXTRACT(CELL("address",O225), "\$([A-Z]+)\$[0-9]+"))</f>
        <v/>
      </c>
      <c r="P225" s="7" t="str" cm="1">
        <f t="array" aca="1" ref="P225" ca="1">IFERROR(IF(OR('Raw Data'!P225="",LEN(TRIM('Raw Data'!P225))=0),"",IF(AND(ISNUMBER('Raw Data'!P225),'Raw Data'!P225&gt;=Configuration!$D$2),"",_xlfn.REGEXEXTRACT(CELL("address",'Raw Data'!P225),"\$([A-Z]+)\$[0-9]+"))),_xlfn.REGEXEXTRACT(CELL("address",P225), "\$([A-Z]+)\$[0-9]+"))</f>
        <v/>
      </c>
      <c r="Q225" s="7" t="str" cm="1">
        <f t="array" aca="1" ref="Q225" ca="1">IFERROR(IF(OR('Raw Data'!Q225="",LEN(TRIM('Raw Data'!Q225))=0),"",IF(AND(ISNUMBER('Raw Data'!Q225),'Raw Data'!Q225&gt;=Configuration!$D$2),"",_xlfn.REGEXEXTRACT(CELL("address",'Raw Data'!Q225),"\$([A-Z]+)\$[0-9]+"))),_xlfn.REGEXEXTRACT(CELL("address",Q225), "\$([A-Z]+)\$[0-9]+"))</f>
        <v/>
      </c>
      <c r="R225" s="7" t="str" cm="1">
        <f t="array" aca="1" ref="R225" ca="1">IFERROR(IF(OR('Raw Data'!R225="",LEN(TRIM('Raw Data'!R225))=0),"",IF(AND(ISNUMBER('Raw Data'!R225), IFERROR('Raw Data'!R225 = ROUND('Raw Data'!R225, 2),FALSE)),"",_xlfn.REGEXEXTRACT(CELL("address",R225), "\$([A-Z]+)\$[0-9]+"))),_xlfn.REGEXEXTRACT(CELL("address",R225), "\$([A-Z]+)\$[0-9]+"))</f>
        <v/>
      </c>
      <c r="S225" s="7" t="str" cm="1">
        <f t="array" aca="1" ref="S225" ca="1">IFERROR(IF(OR('Raw Data'!S225="",LEN(TRIM('Raw Data'!S225))=0),"",IF(AND(ISNUMBER('Raw Data'!S225), IFERROR('Raw Data'!S225 = ROUND('Raw Data'!S225, 2),FALSE)),"",_xlfn.REGEXEXTRACT(CELL("address",S225), "\$([A-Z]+)\$[0-9]+"))),_xlfn.REGEXEXTRACT(CELL("address",S225), "\$([A-Z]+)\$[0-9]+"))</f>
        <v/>
      </c>
      <c r="T225" s="7" t="str" cm="1">
        <f t="array" aca="1" ref="T225" ca="1">IFERROR(IF(OR('Raw Data'!T225="",LEN(TRIM('Raw Data'!T225))=0),"",IF(AND(ISNUMBER('Raw Data'!T225), IFERROR('Raw Data'!T225 = ROUND('Raw Data'!T225, 2),FALSE)),"",_xlfn.REGEXEXTRACT(CELL("address",T225), "\$([A-Z]+)\$[0-9]+"))),_xlfn.REGEXEXTRACT(CELL("address",T225), "\$([A-Z]+)\$[0-9]+"))</f>
        <v/>
      </c>
      <c r="U225" s="7" t="str" cm="1">
        <f t="array" aca="1" ref="U225" ca="1">IFERROR(IF(OR('Raw Data'!U225="",LEN(TRIM('Raw Data'!U225))=0),"",IF(AND(LEN('Raw Data'!U225) &lt;= 5,LEN('Raw Data'!U225)&gt; 0),"",_xlfn.REGEXEXTRACT(CELL("address",'Raw Data'!U225),"\$([A-Z]+)\$[0-9]+"))),_xlfn.REGEXEXTRACT(CELL("address",'Raw Data'!U225),"\$([A-Z]+)\$[0-9]+"))</f>
        <v/>
      </c>
      <c r="V225" s="7" t="str" cm="1">
        <f t="array" aca="1" ref="V225" ca="1">IFERROR(IF(OR('Raw Data'!V225="",LEN(TRIM('Raw Data'!V225))=0),"",IF(AND(ISNUMBER('Raw Data'!V225), IFERROR('Raw Data'!V225 = ROUND('Raw Data'!V225, 2),FALSE)),"",_xlfn.REGEXEXTRACT(CELL("address",V225), "\$([A-Z]+)\$[0-9]+"))),_xlfn.REGEXEXTRACT(CELL("address",V225), "\$([A-Z]+)\$[0-9]+"))</f>
        <v/>
      </c>
      <c r="W225" s="7" t="str" cm="1">
        <f t="array" aca="1" ref="W225" ca="1">IFERROR(IF(OR('Raw Data'!W225="",LEN(TRIM('Raw Data'!W225))=0),"",IF(AND(ISNUMBER('Raw Data'!W225), IFERROR('Raw Data'!W225 = ROUND('Raw Data'!W225, 2),FALSE)),"",_xlfn.REGEXEXTRACT(CELL("address",W225), "\$([A-Z]+)\$[0-9]+"))),_xlfn.REGEXEXTRACT(CELL("address",W225), "\$([A-Z]+)\$[0-9]+"))</f>
        <v/>
      </c>
      <c r="X225" s="7" t="str" cm="1">
        <f t="array" aca="1" ref="X225" ca="1">IFERROR(IF(OR('Raw Data'!X225="",LEN(TRIM('Raw Data'!X225))=0),"",IF(AND(ISNUMBER('Raw Data'!X225), IFERROR('Raw Data'!X225 = ROUND('Raw Data'!X225, 2),FALSE)),"",_xlfn.REGEXEXTRACT(CELL("address",X225), "\$([A-Z]+)\$[0-9]+"))),_xlfn.REGEXEXTRACT(CELL("address",X225), "\$([A-Z]+)\$[0-9]+"))</f>
        <v/>
      </c>
    </row>
    <row r="226" spans="2:24" x14ac:dyDescent="0.25">
      <c r="B226" s="7" t="str" cm="1">
        <f t="array" aca="1" ref="B226" ca="1">IFERROR(IF(OR('Raw Data'!B226="",LEN(TRIM('Raw Data'!B226))=0),"",IF(AND(LEN('Raw Data'!B226) &lt;= 50,LEN('Raw Data'!B226)&gt; 0),"",_xlfn.REGEXEXTRACT(CELL("address",'Raw Data'!B226),"\$([A-Z]+)\$[0-9]+"))),_xlfn.REGEXEXTRACT(CELL("address",'Raw Data'!B226),"\$([A-Z]+)\$[0-9]+"))</f>
        <v/>
      </c>
      <c r="C226" s="7" t="str" cm="1">
        <f t="array" aca="1" ref="C226" ca="1">IFERROR(IF(OR('Raw Data'!C226="",LEN(TRIM('Raw Data'!C226))=0),"",IF(AND(LEN('Raw Data'!C226) &lt;= 50,LEN('Raw Data'!C226)&gt; 0),"",_xlfn.REGEXEXTRACT(CELL("address",'Raw Data'!C226),"\$([A-Z]+)\$[0-9]+"))),_xlfn.REGEXEXTRACT(CELL("address",'Raw Data'!C226),"\$([A-Z]+)\$[0-9]+"))</f>
        <v/>
      </c>
      <c r="D226" s="7" t="str" cm="1">
        <f t="array" aca="1" ref="D226" ca="1">IFERROR(IF(OR('Raw Data'!D226="",LEN(TRIM('Raw Data'!D226))=0),"",IF(AND(LEN('Raw Data'!D226) &lt;= 255,LEN('Raw Data'!D226)&gt; 0),"",_xlfn.REGEXEXTRACT(CELL("address",'Raw Data'!D226),"\$([A-Z]+)\$[0-9]+"))),_xlfn.REGEXEXTRACT(CELL("address",'Raw Data'!D226),"\$([A-Z]+)\$[0-9]+"))</f>
        <v/>
      </c>
      <c r="E226" s="7" t="str" cm="1">
        <f t="array" aca="1" ref="E226" ca="1">IFERROR(IF(OR('Raw Data'!E226="",LEN(TRIM('Raw Data'!E226))=0),"",IF(AND(ISNUMBER('Raw Data'!E226),'Raw Data'!E226&gt;=Configuration!$D$2),"",_xlfn.REGEXEXTRACT(CELL("address",'Raw Data'!E226),"\$([A-Z]+)\$[0-9]+"))),_xlfn.REGEXEXTRACT(CELL("address",E226), "\$([A-Z]+)\$[0-9]+"))</f>
        <v/>
      </c>
      <c r="F226" s="7" t="str" cm="1">
        <f t="array" aca="1" ref="F226" ca="1">IFERROR(IF(OR('Raw Data'!F226="",LEN(TRIM('Raw Data'!F226))=0),"",IF(AND(LEN('Raw Data'!F226) &lt;= 20,LEN('Raw Data'!F226)&gt; 0),"",_xlfn.REGEXEXTRACT(CELL("address",'Raw Data'!F226),"\$([A-Z]+)\$[0-9]+"))),_xlfn.REGEXEXTRACT(CELL("address",'Raw Data'!F226),"\$([A-Z]+)\$[0-9]+"))</f>
        <v/>
      </c>
      <c r="G226" s="7" t="str" cm="1">
        <f t="array" aca="1" ref="G226" ca="1">IFERROR(IF(OR('Raw Data'!G226="",LEN(TRIM('Raw Data'!G226))=0),"",IF(AND(ISNUMBER('Raw Data'!G226), IFERROR('Raw Data'!G226 = ROUND('Raw Data'!G226, 2),FALSE)),"",_xlfn.REGEXEXTRACT(CELL("address",G226), "\$([A-Z]+)\$[0-9]+"))),_xlfn.REGEXEXTRACT(CELL("address",G226), "\$([A-Z]+)\$[0-9]+"))</f>
        <v/>
      </c>
      <c r="H226" s="7" t="str" cm="1">
        <f t="array" aca="1" ref="H226" ca="1">IFERROR(IF(OR('Raw Data'!H226="",LEN(TRIM('Raw Data'!H226))=0),"",IF(AND(ISNUMBER('Raw Data'!H226), IFERROR('Raw Data'!H226 = ROUND('Raw Data'!H226, 2),FALSE)),"",_xlfn.REGEXEXTRACT(CELL("address",H226), "\$([A-Z]+)\$[0-9]+"))),_xlfn.REGEXEXTRACT(CELL("address",H226), "\$([A-Z]+)\$[0-9]+"))</f>
        <v/>
      </c>
      <c r="I226" s="7" t="str" cm="1">
        <f t="array" aca="1" ref="I226" ca="1">IFERROR(IF(OR('Raw Data'!I226="",LEN(TRIM('Raw Data'!I226))=0),"",IF(AND(LEN('Raw Data'!I226) &lt;= 50,LEN('Raw Data'!I226)&gt; 0),"",_xlfn.REGEXEXTRACT(CELL("address",'Raw Data'!I226),"\$([A-Z]+)\$[0-9]+"))),_xlfn.REGEXEXTRACT(CELL("address",'Raw Data'!I226),"\$([A-Z]+)\$[0-9]+"))</f>
        <v/>
      </c>
      <c r="J226" s="7" t="str" cm="1">
        <f t="array" aca="1" ref="J226" ca="1">IFERROR(IF(OR('Raw Data'!J226="",LEN(TRIM('Raw Data'!J226))=0),"",IF(AND(ISNUMBER('Raw Data'!J226),'Raw Data'!J226&gt;=Configuration!$D$2),"",_xlfn.REGEXEXTRACT(CELL("address",'Raw Data'!J226),"\$([A-Z]+)\$[0-9]+"))),_xlfn.REGEXEXTRACT(CELL("address",J226), "\$([A-Z]+)\$[0-9]+"))</f>
        <v/>
      </c>
      <c r="K226" s="7" t="str" cm="1">
        <f t="array" aca="1" ref="K226" ca="1">IFERROR(IF(OR('Raw Data'!K226="",LEN(TRIM('Raw Data'!K226))=0),"",IF(AND(ISNUMBER('Raw Data'!K226), IFERROR('Raw Data'!K226 = ROUND('Raw Data'!K226, 2),FALSE)),"",_xlfn.REGEXEXTRACT(CELL("address",K226), "\$([A-Z]+)\$[0-9]+"))),_xlfn.REGEXEXTRACT(CELL("address",K226), "\$([A-Z]+)\$[0-9]+"))</f>
        <v/>
      </c>
      <c r="L226" s="7" t="str" cm="1">
        <f t="array" aca="1" ref="L226" ca="1">IFERROR(IF(OR('Raw Data'!L226="",LEN(TRIM('Raw Data'!L226))=0),"",IF(AND(ISNUMBER('Raw Data'!L226), IFERROR('Raw Data'!L226 = ROUND('Raw Data'!L226, 2),FALSE)),"",_xlfn.REGEXEXTRACT(CELL("address",L226), "\$([A-Z]+)\$[0-9]+"))),_xlfn.REGEXEXTRACT(CELL("address",L226), "\$([A-Z]+)\$[0-9]+"))</f>
        <v/>
      </c>
      <c r="M226" s="7" t="str" cm="1">
        <f t="array" aca="1" ref="M226" ca="1">IFERROR(IF(OR('Raw Data'!M226="",LEN(TRIM('Raw Data'!M226))=0),"",IF(AND(ISNUMBER('Raw Data'!M226), IFERROR('Raw Data'!M226 = ROUND('Raw Data'!M226, 2),FALSE)),"",_xlfn.REGEXEXTRACT(CELL("address",M226), "\$([A-Z]+)\$[0-9]+"))),_xlfn.REGEXEXTRACT(CELL("address",M226), "\$([A-Z]+)\$[0-9]+"))</f>
        <v/>
      </c>
      <c r="N226" s="7" t="str" cm="1">
        <f t="array" aca="1" ref="N226" ca="1">IFERROR(IF(OR('Raw Data'!N226="",LEN(TRIM('Raw Data'!N226))=0),"",IF(AND(ISNUMBER('Raw Data'!N226), IFERROR('Raw Data'!N226 = ROUND('Raw Data'!N226, 2),FALSE)),"",_xlfn.REGEXEXTRACT(CELL("address",N226), "\$([A-Z]+)\$[0-9]+"))),_xlfn.REGEXEXTRACT(CELL("address",N226), "\$([A-Z]+)\$[0-9]+"))</f>
        <v/>
      </c>
      <c r="O226" s="7" t="str" cm="1">
        <f t="array" aca="1" ref="O226" ca="1">IFERROR(IF(OR('Raw Data'!O226="",LEN(TRIM('Raw Data'!O226))=0),"",IF(AND(ISNUMBER('Raw Data'!O226), IFERROR('Raw Data'!O226 = ROUND('Raw Data'!O226, 2),FALSE)),"",_xlfn.REGEXEXTRACT(CELL("address",O226), "\$([A-Z]+)\$[0-9]+"))),_xlfn.REGEXEXTRACT(CELL("address",O226), "\$([A-Z]+)\$[0-9]+"))</f>
        <v/>
      </c>
      <c r="P226" s="7" t="str" cm="1">
        <f t="array" aca="1" ref="P226" ca="1">IFERROR(IF(OR('Raw Data'!P226="",LEN(TRIM('Raw Data'!P226))=0),"",IF(AND(ISNUMBER('Raw Data'!P226),'Raw Data'!P226&gt;=Configuration!$D$2),"",_xlfn.REGEXEXTRACT(CELL("address",'Raw Data'!P226),"\$([A-Z]+)\$[0-9]+"))),_xlfn.REGEXEXTRACT(CELL("address",P226), "\$([A-Z]+)\$[0-9]+"))</f>
        <v/>
      </c>
      <c r="Q226" s="7" t="str" cm="1">
        <f t="array" aca="1" ref="Q226" ca="1">IFERROR(IF(OR('Raw Data'!Q226="",LEN(TRIM('Raw Data'!Q226))=0),"",IF(AND(ISNUMBER('Raw Data'!Q226),'Raw Data'!Q226&gt;=Configuration!$D$2),"",_xlfn.REGEXEXTRACT(CELL("address",'Raw Data'!Q226),"\$([A-Z]+)\$[0-9]+"))),_xlfn.REGEXEXTRACT(CELL("address",Q226), "\$([A-Z]+)\$[0-9]+"))</f>
        <v/>
      </c>
      <c r="R226" s="7" t="str" cm="1">
        <f t="array" aca="1" ref="R226" ca="1">IFERROR(IF(OR('Raw Data'!R226="",LEN(TRIM('Raw Data'!R226))=0),"",IF(AND(ISNUMBER('Raw Data'!R226), IFERROR('Raw Data'!R226 = ROUND('Raw Data'!R226, 2),FALSE)),"",_xlfn.REGEXEXTRACT(CELL("address",R226), "\$([A-Z]+)\$[0-9]+"))),_xlfn.REGEXEXTRACT(CELL("address",R226), "\$([A-Z]+)\$[0-9]+"))</f>
        <v/>
      </c>
      <c r="S226" s="7" t="str" cm="1">
        <f t="array" aca="1" ref="S226" ca="1">IFERROR(IF(OR('Raw Data'!S226="",LEN(TRIM('Raw Data'!S226))=0),"",IF(AND(ISNUMBER('Raw Data'!S226), IFERROR('Raw Data'!S226 = ROUND('Raw Data'!S226, 2),FALSE)),"",_xlfn.REGEXEXTRACT(CELL("address",S226), "\$([A-Z]+)\$[0-9]+"))),_xlfn.REGEXEXTRACT(CELL("address",S226), "\$([A-Z]+)\$[0-9]+"))</f>
        <v/>
      </c>
      <c r="T226" s="7" t="str" cm="1">
        <f t="array" aca="1" ref="T226" ca="1">IFERROR(IF(OR('Raw Data'!T226="",LEN(TRIM('Raw Data'!T226))=0),"",IF(AND(ISNUMBER('Raw Data'!T226), IFERROR('Raw Data'!T226 = ROUND('Raw Data'!T226, 2),FALSE)),"",_xlfn.REGEXEXTRACT(CELL("address",T226), "\$([A-Z]+)\$[0-9]+"))),_xlfn.REGEXEXTRACT(CELL("address",T226), "\$([A-Z]+)\$[0-9]+"))</f>
        <v/>
      </c>
      <c r="U226" s="7" t="str" cm="1">
        <f t="array" aca="1" ref="U226" ca="1">IFERROR(IF(OR('Raw Data'!U226="",LEN(TRIM('Raw Data'!U226))=0),"",IF(AND(LEN('Raw Data'!U226) &lt;= 5,LEN('Raw Data'!U226)&gt; 0),"",_xlfn.REGEXEXTRACT(CELL("address",'Raw Data'!U226),"\$([A-Z]+)\$[0-9]+"))),_xlfn.REGEXEXTRACT(CELL("address",'Raw Data'!U226),"\$([A-Z]+)\$[0-9]+"))</f>
        <v/>
      </c>
      <c r="V226" s="7" t="str" cm="1">
        <f t="array" aca="1" ref="V226" ca="1">IFERROR(IF(OR('Raw Data'!V226="",LEN(TRIM('Raw Data'!V226))=0),"",IF(AND(ISNUMBER('Raw Data'!V226), IFERROR('Raw Data'!V226 = ROUND('Raw Data'!V226, 2),FALSE)),"",_xlfn.REGEXEXTRACT(CELL("address",V226), "\$([A-Z]+)\$[0-9]+"))),_xlfn.REGEXEXTRACT(CELL("address",V226), "\$([A-Z]+)\$[0-9]+"))</f>
        <v/>
      </c>
      <c r="W226" s="7" t="str" cm="1">
        <f t="array" aca="1" ref="W226" ca="1">IFERROR(IF(OR('Raw Data'!W226="",LEN(TRIM('Raw Data'!W226))=0),"",IF(AND(ISNUMBER('Raw Data'!W226), IFERROR('Raw Data'!W226 = ROUND('Raw Data'!W226, 2),FALSE)),"",_xlfn.REGEXEXTRACT(CELL("address",W226), "\$([A-Z]+)\$[0-9]+"))),_xlfn.REGEXEXTRACT(CELL("address",W226), "\$([A-Z]+)\$[0-9]+"))</f>
        <v/>
      </c>
      <c r="X226" s="7" t="str" cm="1">
        <f t="array" aca="1" ref="X226" ca="1">IFERROR(IF(OR('Raw Data'!X226="",LEN(TRIM('Raw Data'!X226))=0),"",IF(AND(ISNUMBER('Raw Data'!X226), IFERROR('Raw Data'!X226 = ROUND('Raw Data'!X226, 2),FALSE)),"",_xlfn.REGEXEXTRACT(CELL("address",X226), "\$([A-Z]+)\$[0-9]+"))),_xlfn.REGEXEXTRACT(CELL("address",X226), "\$([A-Z]+)\$[0-9]+"))</f>
        <v/>
      </c>
    </row>
    <row r="227" spans="2:24" x14ac:dyDescent="0.25">
      <c r="B227" s="7" t="str" cm="1">
        <f t="array" aca="1" ref="B227" ca="1">IFERROR(IF(OR('Raw Data'!B227="",LEN(TRIM('Raw Data'!B227))=0),"",IF(AND(LEN('Raw Data'!B227) &lt;= 50,LEN('Raw Data'!B227)&gt; 0),"",_xlfn.REGEXEXTRACT(CELL("address",'Raw Data'!B227),"\$([A-Z]+)\$[0-9]+"))),_xlfn.REGEXEXTRACT(CELL("address",'Raw Data'!B227),"\$([A-Z]+)\$[0-9]+"))</f>
        <v/>
      </c>
      <c r="C227" s="7" t="str" cm="1">
        <f t="array" aca="1" ref="C227" ca="1">IFERROR(IF(OR('Raw Data'!C227="",LEN(TRIM('Raw Data'!C227))=0),"",IF(AND(LEN('Raw Data'!C227) &lt;= 50,LEN('Raw Data'!C227)&gt; 0),"",_xlfn.REGEXEXTRACT(CELL("address",'Raw Data'!C227),"\$([A-Z]+)\$[0-9]+"))),_xlfn.REGEXEXTRACT(CELL("address",'Raw Data'!C227),"\$([A-Z]+)\$[0-9]+"))</f>
        <v/>
      </c>
      <c r="D227" s="7" t="str" cm="1">
        <f t="array" aca="1" ref="D227" ca="1">IFERROR(IF(OR('Raw Data'!D227="",LEN(TRIM('Raw Data'!D227))=0),"",IF(AND(LEN('Raw Data'!D227) &lt;= 255,LEN('Raw Data'!D227)&gt; 0),"",_xlfn.REGEXEXTRACT(CELL("address",'Raw Data'!D227),"\$([A-Z]+)\$[0-9]+"))),_xlfn.REGEXEXTRACT(CELL("address",'Raw Data'!D227),"\$([A-Z]+)\$[0-9]+"))</f>
        <v/>
      </c>
      <c r="E227" s="7" t="str" cm="1">
        <f t="array" aca="1" ref="E227" ca="1">IFERROR(IF(OR('Raw Data'!E227="",LEN(TRIM('Raw Data'!E227))=0),"",IF(AND(ISNUMBER('Raw Data'!E227),'Raw Data'!E227&gt;=Configuration!$D$2),"",_xlfn.REGEXEXTRACT(CELL("address",'Raw Data'!E227),"\$([A-Z]+)\$[0-9]+"))),_xlfn.REGEXEXTRACT(CELL("address",E227), "\$([A-Z]+)\$[0-9]+"))</f>
        <v/>
      </c>
      <c r="F227" s="7" t="str" cm="1">
        <f t="array" aca="1" ref="F227" ca="1">IFERROR(IF(OR('Raw Data'!F227="",LEN(TRIM('Raw Data'!F227))=0),"",IF(AND(LEN('Raw Data'!F227) &lt;= 20,LEN('Raw Data'!F227)&gt; 0),"",_xlfn.REGEXEXTRACT(CELL("address",'Raw Data'!F227),"\$([A-Z]+)\$[0-9]+"))),_xlfn.REGEXEXTRACT(CELL("address",'Raw Data'!F227),"\$([A-Z]+)\$[0-9]+"))</f>
        <v/>
      </c>
      <c r="G227" s="7" t="str" cm="1">
        <f t="array" aca="1" ref="G227" ca="1">IFERROR(IF(OR('Raw Data'!G227="",LEN(TRIM('Raw Data'!G227))=0),"",IF(AND(ISNUMBER('Raw Data'!G227), IFERROR('Raw Data'!G227 = ROUND('Raw Data'!G227, 2),FALSE)),"",_xlfn.REGEXEXTRACT(CELL("address",G227), "\$([A-Z]+)\$[0-9]+"))),_xlfn.REGEXEXTRACT(CELL("address",G227), "\$([A-Z]+)\$[0-9]+"))</f>
        <v/>
      </c>
      <c r="H227" s="7" t="str" cm="1">
        <f t="array" aca="1" ref="H227" ca="1">IFERROR(IF(OR('Raw Data'!H227="",LEN(TRIM('Raw Data'!H227))=0),"",IF(AND(ISNUMBER('Raw Data'!H227), IFERROR('Raw Data'!H227 = ROUND('Raw Data'!H227, 2),FALSE)),"",_xlfn.REGEXEXTRACT(CELL("address",H227), "\$([A-Z]+)\$[0-9]+"))),_xlfn.REGEXEXTRACT(CELL("address",H227), "\$([A-Z]+)\$[0-9]+"))</f>
        <v/>
      </c>
      <c r="I227" s="7" t="str" cm="1">
        <f t="array" aca="1" ref="I227" ca="1">IFERROR(IF(OR('Raw Data'!I227="",LEN(TRIM('Raw Data'!I227))=0),"",IF(AND(LEN('Raw Data'!I227) &lt;= 50,LEN('Raw Data'!I227)&gt; 0),"",_xlfn.REGEXEXTRACT(CELL("address",'Raw Data'!I227),"\$([A-Z]+)\$[0-9]+"))),_xlfn.REGEXEXTRACT(CELL("address",'Raw Data'!I227),"\$([A-Z]+)\$[0-9]+"))</f>
        <v/>
      </c>
      <c r="J227" s="7" t="str" cm="1">
        <f t="array" aca="1" ref="J227" ca="1">IFERROR(IF(OR('Raw Data'!J227="",LEN(TRIM('Raw Data'!J227))=0),"",IF(AND(ISNUMBER('Raw Data'!J227),'Raw Data'!J227&gt;=Configuration!$D$2),"",_xlfn.REGEXEXTRACT(CELL("address",'Raw Data'!J227),"\$([A-Z]+)\$[0-9]+"))),_xlfn.REGEXEXTRACT(CELL("address",J227), "\$([A-Z]+)\$[0-9]+"))</f>
        <v/>
      </c>
      <c r="K227" s="7" t="str" cm="1">
        <f t="array" aca="1" ref="K227" ca="1">IFERROR(IF(OR('Raw Data'!K227="",LEN(TRIM('Raw Data'!K227))=0),"",IF(AND(ISNUMBER('Raw Data'!K227), IFERROR('Raw Data'!K227 = ROUND('Raw Data'!K227, 2),FALSE)),"",_xlfn.REGEXEXTRACT(CELL("address",K227), "\$([A-Z]+)\$[0-9]+"))),_xlfn.REGEXEXTRACT(CELL("address",K227), "\$([A-Z]+)\$[0-9]+"))</f>
        <v/>
      </c>
      <c r="L227" s="7" t="str" cm="1">
        <f t="array" aca="1" ref="L227" ca="1">IFERROR(IF(OR('Raw Data'!L227="",LEN(TRIM('Raw Data'!L227))=0),"",IF(AND(ISNUMBER('Raw Data'!L227), IFERROR('Raw Data'!L227 = ROUND('Raw Data'!L227, 2),FALSE)),"",_xlfn.REGEXEXTRACT(CELL("address",L227), "\$([A-Z]+)\$[0-9]+"))),_xlfn.REGEXEXTRACT(CELL("address",L227), "\$([A-Z]+)\$[0-9]+"))</f>
        <v/>
      </c>
      <c r="M227" s="7" t="str" cm="1">
        <f t="array" aca="1" ref="M227" ca="1">IFERROR(IF(OR('Raw Data'!M227="",LEN(TRIM('Raw Data'!M227))=0),"",IF(AND(ISNUMBER('Raw Data'!M227), IFERROR('Raw Data'!M227 = ROUND('Raw Data'!M227, 2),FALSE)),"",_xlfn.REGEXEXTRACT(CELL("address",M227), "\$([A-Z]+)\$[0-9]+"))),_xlfn.REGEXEXTRACT(CELL("address",M227), "\$([A-Z]+)\$[0-9]+"))</f>
        <v/>
      </c>
      <c r="N227" s="7" t="str" cm="1">
        <f t="array" aca="1" ref="N227" ca="1">IFERROR(IF(OR('Raw Data'!N227="",LEN(TRIM('Raw Data'!N227))=0),"",IF(AND(ISNUMBER('Raw Data'!N227), IFERROR('Raw Data'!N227 = ROUND('Raw Data'!N227, 2),FALSE)),"",_xlfn.REGEXEXTRACT(CELL("address",N227), "\$([A-Z]+)\$[0-9]+"))),_xlfn.REGEXEXTRACT(CELL("address",N227), "\$([A-Z]+)\$[0-9]+"))</f>
        <v/>
      </c>
      <c r="O227" s="7" t="str" cm="1">
        <f t="array" aca="1" ref="O227" ca="1">IFERROR(IF(OR('Raw Data'!O227="",LEN(TRIM('Raw Data'!O227))=0),"",IF(AND(ISNUMBER('Raw Data'!O227), IFERROR('Raw Data'!O227 = ROUND('Raw Data'!O227, 2),FALSE)),"",_xlfn.REGEXEXTRACT(CELL("address",O227), "\$([A-Z]+)\$[0-9]+"))),_xlfn.REGEXEXTRACT(CELL("address",O227), "\$([A-Z]+)\$[0-9]+"))</f>
        <v/>
      </c>
      <c r="P227" s="7" t="str" cm="1">
        <f t="array" aca="1" ref="P227" ca="1">IFERROR(IF(OR('Raw Data'!P227="",LEN(TRIM('Raw Data'!P227))=0),"",IF(AND(ISNUMBER('Raw Data'!P227),'Raw Data'!P227&gt;=Configuration!$D$2),"",_xlfn.REGEXEXTRACT(CELL("address",'Raw Data'!P227),"\$([A-Z]+)\$[0-9]+"))),_xlfn.REGEXEXTRACT(CELL("address",P227), "\$([A-Z]+)\$[0-9]+"))</f>
        <v/>
      </c>
      <c r="Q227" s="7" t="str" cm="1">
        <f t="array" aca="1" ref="Q227" ca="1">IFERROR(IF(OR('Raw Data'!Q227="",LEN(TRIM('Raw Data'!Q227))=0),"",IF(AND(ISNUMBER('Raw Data'!Q227),'Raw Data'!Q227&gt;=Configuration!$D$2),"",_xlfn.REGEXEXTRACT(CELL("address",'Raw Data'!Q227),"\$([A-Z]+)\$[0-9]+"))),_xlfn.REGEXEXTRACT(CELL("address",Q227), "\$([A-Z]+)\$[0-9]+"))</f>
        <v/>
      </c>
      <c r="R227" s="7" t="str" cm="1">
        <f t="array" aca="1" ref="R227" ca="1">IFERROR(IF(OR('Raw Data'!R227="",LEN(TRIM('Raw Data'!R227))=0),"",IF(AND(ISNUMBER('Raw Data'!R227), IFERROR('Raw Data'!R227 = ROUND('Raw Data'!R227, 2),FALSE)),"",_xlfn.REGEXEXTRACT(CELL("address",R227), "\$([A-Z]+)\$[0-9]+"))),_xlfn.REGEXEXTRACT(CELL("address",R227), "\$([A-Z]+)\$[0-9]+"))</f>
        <v/>
      </c>
      <c r="S227" s="7" t="str" cm="1">
        <f t="array" aca="1" ref="S227" ca="1">IFERROR(IF(OR('Raw Data'!S227="",LEN(TRIM('Raw Data'!S227))=0),"",IF(AND(ISNUMBER('Raw Data'!S227), IFERROR('Raw Data'!S227 = ROUND('Raw Data'!S227, 2),FALSE)),"",_xlfn.REGEXEXTRACT(CELL("address",S227), "\$([A-Z]+)\$[0-9]+"))),_xlfn.REGEXEXTRACT(CELL("address",S227), "\$([A-Z]+)\$[0-9]+"))</f>
        <v/>
      </c>
      <c r="T227" s="7" t="str" cm="1">
        <f t="array" aca="1" ref="T227" ca="1">IFERROR(IF(OR('Raw Data'!T227="",LEN(TRIM('Raw Data'!T227))=0),"",IF(AND(ISNUMBER('Raw Data'!T227), IFERROR('Raw Data'!T227 = ROUND('Raw Data'!T227, 2),FALSE)),"",_xlfn.REGEXEXTRACT(CELL("address",T227), "\$([A-Z]+)\$[0-9]+"))),_xlfn.REGEXEXTRACT(CELL("address",T227), "\$([A-Z]+)\$[0-9]+"))</f>
        <v/>
      </c>
      <c r="U227" s="7" t="str" cm="1">
        <f t="array" aca="1" ref="U227" ca="1">IFERROR(IF(OR('Raw Data'!U227="",LEN(TRIM('Raw Data'!U227))=0),"",IF(AND(LEN('Raw Data'!U227) &lt;= 5,LEN('Raw Data'!U227)&gt; 0),"",_xlfn.REGEXEXTRACT(CELL("address",'Raw Data'!U227),"\$([A-Z]+)\$[0-9]+"))),_xlfn.REGEXEXTRACT(CELL("address",'Raw Data'!U227),"\$([A-Z]+)\$[0-9]+"))</f>
        <v/>
      </c>
      <c r="V227" s="7" t="str" cm="1">
        <f t="array" aca="1" ref="V227" ca="1">IFERROR(IF(OR('Raw Data'!V227="",LEN(TRIM('Raw Data'!V227))=0),"",IF(AND(ISNUMBER('Raw Data'!V227), IFERROR('Raw Data'!V227 = ROUND('Raw Data'!V227, 2),FALSE)),"",_xlfn.REGEXEXTRACT(CELL("address",V227), "\$([A-Z]+)\$[0-9]+"))),_xlfn.REGEXEXTRACT(CELL("address",V227), "\$([A-Z]+)\$[0-9]+"))</f>
        <v/>
      </c>
      <c r="W227" s="7" t="str" cm="1">
        <f t="array" aca="1" ref="W227" ca="1">IFERROR(IF(OR('Raw Data'!W227="",LEN(TRIM('Raw Data'!W227))=0),"",IF(AND(ISNUMBER('Raw Data'!W227), IFERROR('Raw Data'!W227 = ROUND('Raw Data'!W227, 2),FALSE)),"",_xlfn.REGEXEXTRACT(CELL("address",W227), "\$([A-Z]+)\$[0-9]+"))),_xlfn.REGEXEXTRACT(CELL("address",W227), "\$([A-Z]+)\$[0-9]+"))</f>
        <v/>
      </c>
      <c r="X227" s="7" t="str" cm="1">
        <f t="array" aca="1" ref="X227" ca="1">IFERROR(IF(OR('Raw Data'!X227="",LEN(TRIM('Raw Data'!X227))=0),"",IF(AND(ISNUMBER('Raw Data'!X227), IFERROR('Raw Data'!X227 = ROUND('Raw Data'!X227, 2),FALSE)),"",_xlfn.REGEXEXTRACT(CELL("address",X227), "\$([A-Z]+)\$[0-9]+"))),_xlfn.REGEXEXTRACT(CELL("address",X227), "\$([A-Z]+)\$[0-9]+"))</f>
        <v/>
      </c>
    </row>
    <row r="228" spans="2:24" x14ac:dyDescent="0.25">
      <c r="B228" s="7" t="str" cm="1">
        <f t="array" aca="1" ref="B228" ca="1">IFERROR(IF(OR('Raw Data'!B228="",LEN(TRIM('Raw Data'!B228))=0),"",IF(AND(LEN('Raw Data'!B228) &lt;= 50,LEN('Raw Data'!B228)&gt; 0),"",_xlfn.REGEXEXTRACT(CELL("address",'Raw Data'!B228),"\$([A-Z]+)\$[0-9]+"))),_xlfn.REGEXEXTRACT(CELL("address",'Raw Data'!B228),"\$([A-Z]+)\$[0-9]+"))</f>
        <v/>
      </c>
      <c r="C228" s="7" t="str" cm="1">
        <f t="array" aca="1" ref="C228" ca="1">IFERROR(IF(OR('Raw Data'!C228="",LEN(TRIM('Raw Data'!C228))=0),"",IF(AND(LEN('Raw Data'!C228) &lt;= 50,LEN('Raw Data'!C228)&gt; 0),"",_xlfn.REGEXEXTRACT(CELL("address",'Raw Data'!C228),"\$([A-Z]+)\$[0-9]+"))),_xlfn.REGEXEXTRACT(CELL("address",'Raw Data'!C228),"\$([A-Z]+)\$[0-9]+"))</f>
        <v/>
      </c>
      <c r="D228" s="7" t="str" cm="1">
        <f t="array" aca="1" ref="D228" ca="1">IFERROR(IF(OR('Raw Data'!D228="",LEN(TRIM('Raw Data'!D228))=0),"",IF(AND(LEN('Raw Data'!D228) &lt;= 255,LEN('Raw Data'!D228)&gt; 0),"",_xlfn.REGEXEXTRACT(CELL("address",'Raw Data'!D228),"\$([A-Z]+)\$[0-9]+"))),_xlfn.REGEXEXTRACT(CELL("address",'Raw Data'!D228),"\$([A-Z]+)\$[0-9]+"))</f>
        <v/>
      </c>
      <c r="E228" s="7" t="str" cm="1">
        <f t="array" aca="1" ref="E228" ca="1">IFERROR(IF(OR('Raw Data'!E228="",LEN(TRIM('Raw Data'!E228))=0),"",IF(AND(ISNUMBER('Raw Data'!E228),'Raw Data'!E228&gt;=Configuration!$D$2),"",_xlfn.REGEXEXTRACT(CELL("address",'Raw Data'!E228),"\$([A-Z]+)\$[0-9]+"))),_xlfn.REGEXEXTRACT(CELL("address",E228), "\$([A-Z]+)\$[0-9]+"))</f>
        <v/>
      </c>
      <c r="F228" s="7" t="str" cm="1">
        <f t="array" aca="1" ref="F228" ca="1">IFERROR(IF(OR('Raw Data'!F228="",LEN(TRIM('Raw Data'!F228))=0),"",IF(AND(LEN('Raw Data'!F228) &lt;= 20,LEN('Raw Data'!F228)&gt; 0),"",_xlfn.REGEXEXTRACT(CELL("address",'Raw Data'!F228),"\$([A-Z]+)\$[0-9]+"))),_xlfn.REGEXEXTRACT(CELL("address",'Raw Data'!F228),"\$([A-Z]+)\$[0-9]+"))</f>
        <v/>
      </c>
      <c r="G228" s="7" t="str" cm="1">
        <f t="array" aca="1" ref="G228" ca="1">IFERROR(IF(OR('Raw Data'!G228="",LEN(TRIM('Raw Data'!G228))=0),"",IF(AND(ISNUMBER('Raw Data'!G228), IFERROR('Raw Data'!G228 = ROUND('Raw Data'!G228, 2),FALSE)),"",_xlfn.REGEXEXTRACT(CELL("address",G228), "\$([A-Z]+)\$[0-9]+"))),_xlfn.REGEXEXTRACT(CELL("address",G228), "\$([A-Z]+)\$[0-9]+"))</f>
        <v/>
      </c>
      <c r="H228" s="7" t="str" cm="1">
        <f t="array" aca="1" ref="H228" ca="1">IFERROR(IF(OR('Raw Data'!H228="",LEN(TRIM('Raw Data'!H228))=0),"",IF(AND(ISNUMBER('Raw Data'!H228), IFERROR('Raw Data'!H228 = ROUND('Raw Data'!H228, 2),FALSE)),"",_xlfn.REGEXEXTRACT(CELL("address",H228), "\$([A-Z]+)\$[0-9]+"))),_xlfn.REGEXEXTRACT(CELL("address",H228), "\$([A-Z]+)\$[0-9]+"))</f>
        <v/>
      </c>
      <c r="I228" s="7" t="str" cm="1">
        <f t="array" aca="1" ref="I228" ca="1">IFERROR(IF(OR('Raw Data'!I228="",LEN(TRIM('Raw Data'!I228))=0),"",IF(AND(LEN('Raw Data'!I228) &lt;= 50,LEN('Raw Data'!I228)&gt; 0),"",_xlfn.REGEXEXTRACT(CELL("address",'Raw Data'!I228),"\$([A-Z]+)\$[0-9]+"))),_xlfn.REGEXEXTRACT(CELL("address",'Raw Data'!I228),"\$([A-Z]+)\$[0-9]+"))</f>
        <v/>
      </c>
      <c r="J228" s="7" t="str" cm="1">
        <f t="array" aca="1" ref="J228" ca="1">IFERROR(IF(OR('Raw Data'!J228="",LEN(TRIM('Raw Data'!J228))=0),"",IF(AND(ISNUMBER('Raw Data'!J228),'Raw Data'!J228&gt;=Configuration!$D$2),"",_xlfn.REGEXEXTRACT(CELL("address",'Raw Data'!J228),"\$([A-Z]+)\$[0-9]+"))),_xlfn.REGEXEXTRACT(CELL("address",J228), "\$([A-Z]+)\$[0-9]+"))</f>
        <v/>
      </c>
      <c r="K228" s="7" t="str" cm="1">
        <f t="array" aca="1" ref="K228" ca="1">IFERROR(IF(OR('Raw Data'!K228="",LEN(TRIM('Raw Data'!K228))=0),"",IF(AND(ISNUMBER('Raw Data'!K228), IFERROR('Raw Data'!K228 = ROUND('Raw Data'!K228, 2),FALSE)),"",_xlfn.REGEXEXTRACT(CELL("address",K228), "\$([A-Z]+)\$[0-9]+"))),_xlfn.REGEXEXTRACT(CELL("address",K228), "\$([A-Z]+)\$[0-9]+"))</f>
        <v/>
      </c>
      <c r="L228" s="7" t="str" cm="1">
        <f t="array" aca="1" ref="L228" ca="1">IFERROR(IF(OR('Raw Data'!L228="",LEN(TRIM('Raw Data'!L228))=0),"",IF(AND(ISNUMBER('Raw Data'!L228), IFERROR('Raw Data'!L228 = ROUND('Raw Data'!L228, 2),FALSE)),"",_xlfn.REGEXEXTRACT(CELL("address",L228), "\$([A-Z]+)\$[0-9]+"))),_xlfn.REGEXEXTRACT(CELL("address",L228), "\$([A-Z]+)\$[0-9]+"))</f>
        <v/>
      </c>
      <c r="M228" s="7" t="str" cm="1">
        <f t="array" aca="1" ref="M228" ca="1">IFERROR(IF(OR('Raw Data'!M228="",LEN(TRIM('Raw Data'!M228))=0),"",IF(AND(ISNUMBER('Raw Data'!M228), IFERROR('Raw Data'!M228 = ROUND('Raw Data'!M228, 2),FALSE)),"",_xlfn.REGEXEXTRACT(CELL("address",M228), "\$([A-Z]+)\$[0-9]+"))),_xlfn.REGEXEXTRACT(CELL("address",M228), "\$([A-Z]+)\$[0-9]+"))</f>
        <v/>
      </c>
      <c r="N228" s="7" t="str" cm="1">
        <f t="array" aca="1" ref="N228" ca="1">IFERROR(IF(OR('Raw Data'!N228="",LEN(TRIM('Raw Data'!N228))=0),"",IF(AND(ISNUMBER('Raw Data'!N228), IFERROR('Raw Data'!N228 = ROUND('Raw Data'!N228, 2),FALSE)),"",_xlfn.REGEXEXTRACT(CELL("address",N228), "\$([A-Z]+)\$[0-9]+"))),_xlfn.REGEXEXTRACT(CELL("address",N228), "\$([A-Z]+)\$[0-9]+"))</f>
        <v/>
      </c>
      <c r="O228" s="7" t="str" cm="1">
        <f t="array" aca="1" ref="O228" ca="1">IFERROR(IF(OR('Raw Data'!O228="",LEN(TRIM('Raw Data'!O228))=0),"",IF(AND(ISNUMBER('Raw Data'!O228), IFERROR('Raw Data'!O228 = ROUND('Raw Data'!O228, 2),FALSE)),"",_xlfn.REGEXEXTRACT(CELL("address",O228), "\$([A-Z]+)\$[0-9]+"))),_xlfn.REGEXEXTRACT(CELL("address",O228), "\$([A-Z]+)\$[0-9]+"))</f>
        <v/>
      </c>
      <c r="P228" s="7" t="str" cm="1">
        <f t="array" aca="1" ref="P228" ca="1">IFERROR(IF(OR('Raw Data'!P228="",LEN(TRIM('Raw Data'!P228))=0),"",IF(AND(ISNUMBER('Raw Data'!P228),'Raw Data'!P228&gt;=Configuration!$D$2),"",_xlfn.REGEXEXTRACT(CELL("address",'Raw Data'!P228),"\$([A-Z]+)\$[0-9]+"))),_xlfn.REGEXEXTRACT(CELL("address",P228), "\$([A-Z]+)\$[0-9]+"))</f>
        <v/>
      </c>
      <c r="Q228" s="7" t="str" cm="1">
        <f t="array" aca="1" ref="Q228" ca="1">IFERROR(IF(OR('Raw Data'!Q228="",LEN(TRIM('Raw Data'!Q228))=0),"",IF(AND(ISNUMBER('Raw Data'!Q228),'Raw Data'!Q228&gt;=Configuration!$D$2),"",_xlfn.REGEXEXTRACT(CELL("address",'Raw Data'!Q228),"\$([A-Z]+)\$[0-9]+"))),_xlfn.REGEXEXTRACT(CELL("address",Q228), "\$([A-Z]+)\$[0-9]+"))</f>
        <v/>
      </c>
      <c r="R228" s="7" t="str" cm="1">
        <f t="array" aca="1" ref="R228" ca="1">IFERROR(IF(OR('Raw Data'!R228="",LEN(TRIM('Raw Data'!R228))=0),"",IF(AND(ISNUMBER('Raw Data'!R228), IFERROR('Raw Data'!R228 = ROUND('Raw Data'!R228, 2),FALSE)),"",_xlfn.REGEXEXTRACT(CELL("address",R228), "\$([A-Z]+)\$[0-9]+"))),_xlfn.REGEXEXTRACT(CELL("address",R228), "\$([A-Z]+)\$[0-9]+"))</f>
        <v/>
      </c>
      <c r="S228" s="7" t="str" cm="1">
        <f t="array" aca="1" ref="S228" ca="1">IFERROR(IF(OR('Raw Data'!S228="",LEN(TRIM('Raw Data'!S228))=0),"",IF(AND(ISNUMBER('Raw Data'!S228), IFERROR('Raw Data'!S228 = ROUND('Raw Data'!S228, 2),FALSE)),"",_xlfn.REGEXEXTRACT(CELL("address",S228), "\$([A-Z]+)\$[0-9]+"))),_xlfn.REGEXEXTRACT(CELL("address",S228), "\$([A-Z]+)\$[0-9]+"))</f>
        <v/>
      </c>
      <c r="T228" s="7" t="str" cm="1">
        <f t="array" aca="1" ref="T228" ca="1">IFERROR(IF(OR('Raw Data'!T228="",LEN(TRIM('Raw Data'!T228))=0),"",IF(AND(ISNUMBER('Raw Data'!T228), IFERROR('Raw Data'!T228 = ROUND('Raw Data'!T228, 2),FALSE)),"",_xlfn.REGEXEXTRACT(CELL("address",T228), "\$([A-Z]+)\$[0-9]+"))),_xlfn.REGEXEXTRACT(CELL("address",T228), "\$([A-Z]+)\$[0-9]+"))</f>
        <v/>
      </c>
      <c r="U228" s="7" t="str" cm="1">
        <f t="array" aca="1" ref="U228" ca="1">IFERROR(IF(OR('Raw Data'!U228="",LEN(TRIM('Raw Data'!U228))=0),"",IF(AND(LEN('Raw Data'!U228) &lt;= 5,LEN('Raw Data'!U228)&gt; 0),"",_xlfn.REGEXEXTRACT(CELL("address",'Raw Data'!U228),"\$([A-Z]+)\$[0-9]+"))),_xlfn.REGEXEXTRACT(CELL("address",'Raw Data'!U228),"\$([A-Z]+)\$[0-9]+"))</f>
        <v/>
      </c>
      <c r="V228" s="7" t="str" cm="1">
        <f t="array" aca="1" ref="V228" ca="1">IFERROR(IF(OR('Raw Data'!V228="",LEN(TRIM('Raw Data'!V228))=0),"",IF(AND(ISNUMBER('Raw Data'!V228), IFERROR('Raw Data'!V228 = ROUND('Raw Data'!V228, 2),FALSE)),"",_xlfn.REGEXEXTRACT(CELL("address",V228), "\$([A-Z]+)\$[0-9]+"))),_xlfn.REGEXEXTRACT(CELL("address",V228), "\$([A-Z]+)\$[0-9]+"))</f>
        <v/>
      </c>
      <c r="W228" s="7" t="str" cm="1">
        <f t="array" aca="1" ref="W228" ca="1">IFERROR(IF(OR('Raw Data'!W228="",LEN(TRIM('Raw Data'!W228))=0),"",IF(AND(ISNUMBER('Raw Data'!W228), IFERROR('Raw Data'!W228 = ROUND('Raw Data'!W228, 2),FALSE)),"",_xlfn.REGEXEXTRACT(CELL("address",W228), "\$([A-Z]+)\$[0-9]+"))),_xlfn.REGEXEXTRACT(CELL("address",W228), "\$([A-Z]+)\$[0-9]+"))</f>
        <v/>
      </c>
      <c r="X228" s="7" t="str" cm="1">
        <f t="array" aca="1" ref="X228" ca="1">IFERROR(IF(OR('Raw Data'!X228="",LEN(TRIM('Raw Data'!X228))=0),"",IF(AND(ISNUMBER('Raw Data'!X228), IFERROR('Raw Data'!X228 = ROUND('Raw Data'!X228, 2),FALSE)),"",_xlfn.REGEXEXTRACT(CELL("address",X228), "\$([A-Z]+)\$[0-9]+"))),_xlfn.REGEXEXTRACT(CELL("address",X228), "\$([A-Z]+)\$[0-9]+"))</f>
        <v/>
      </c>
    </row>
    <row r="229" spans="2:24" x14ac:dyDescent="0.25">
      <c r="B229" s="7" t="str" cm="1">
        <f t="array" aca="1" ref="B229" ca="1">IFERROR(IF(OR('Raw Data'!B229="",LEN(TRIM('Raw Data'!B229))=0),"",IF(AND(LEN('Raw Data'!B229) &lt;= 50,LEN('Raw Data'!B229)&gt; 0),"",_xlfn.REGEXEXTRACT(CELL("address",'Raw Data'!B229),"\$([A-Z]+)\$[0-9]+"))),_xlfn.REGEXEXTRACT(CELL("address",'Raw Data'!B229),"\$([A-Z]+)\$[0-9]+"))</f>
        <v/>
      </c>
      <c r="C229" s="7" t="str" cm="1">
        <f t="array" aca="1" ref="C229" ca="1">IFERROR(IF(OR('Raw Data'!C229="",LEN(TRIM('Raw Data'!C229))=0),"",IF(AND(LEN('Raw Data'!C229) &lt;= 50,LEN('Raw Data'!C229)&gt; 0),"",_xlfn.REGEXEXTRACT(CELL("address",'Raw Data'!C229),"\$([A-Z]+)\$[0-9]+"))),_xlfn.REGEXEXTRACT(CELL("address",'Raw Data'!C229),"\$([A-Z]+)\$[0-9]+"))</f>
        <v/>
      </c>
      <c r="D229" s="7" t="str" cm="1">
        <f t="array" aca="1" ref="D229" ca="1">IFERROR(IF(OR('Raw Data'!D229="",LEN(TRIM('Raw Data'!D229))=0),"",IF(AND(LEN('Raw Data'!D229) &lt;= 255,LEN('Raw Data'!D229)&gt; 0),"",_xlfn.REGEXEXTRACT(CELL("address",'Raw Data'!D229),"\$([A-Z]+)\$[0-9]+"))),_xlfn.REGEXEXTRACT(CELL("address",'Raw Data'!D229),"\$([A-Z]+)\$[0-9]+"))</f>
        <v/>
      </c>
      <c r="E229" s="7" t="str" cm="1">
        <f t="array" aca="1" ref="E229" ca="1">IFERROR(IF(OR('Raw Data'!E229="",LEN(TRIM('Raw Data'!E229))=0),"",IF(AND(ISNUMBER('Raw Data'!E229),'Raw Data'!E229&gt;=Configuration!$D$2),"",_xlfn.REGEXEXTRACT(CELL("address",'Raw Data'!E229),"\$([A-Z]+)\$[0-9]+"))),_xlfn.REGEXEXTRACT(CELL("address",E229), "\$([A-Z]+)\$[0-9]+"))</f>
        <v/>
      </c>
      <c r="F229" s="7" t="str" cm="1">
        <f t="array" aca="1" ref="F229" ca="1">IFERROR(IF(OR('Raw Data'!F229="",LEN(TRIM('Raw Data'!F229))=0),"",IF(AND(LEN('Raw Data'!F229) &lt;= 20,LEN('Raw Data'!F229)&gt; 0),"",_xlfn.REGEXEXTRACT(CELL("address",'Raw Data'!F229),"\$([A-Z]+)\$[0-9]+"))),_xlfn.REGEXEXTRACT(CELL("address",'Raw Data'!F229),"\$([A-Z]+)\$[0-9]+"))</f>
        <v/>
      </c>
      <c r="G229" s="7" t="str" cm="1">
        <f t="array" aca="1" ref="G229" ca="1">IFERROR(IF(OR('Raw Data'!G229="",LEN(TRIM('Raw Data'!G229))=0),"",IF(AND(ISNUMBER('Raw Data'!G229), IFERROR('Raw Data'!G229 = ROUND('Raw Data'!G229, 2),FALSE)),"",_xlfn.REGEXEXTRACT(CELL("address",G229), "\$([A-Z]+)\$[0-9]+"))),_xlfn.REGEXEXTRACT(CELL("address",G229), "\$([A-Z]+)\$[0-9]+"))</f>
        <v/>
      </c>
      <c r="H229" s="7" t="str" cm="1">
        <f t="array" aca="1" ref="H229" ca="1">IFERROR(IF(OR('Raw Data'!H229="",LEN(TRIM('Raw Data'!H229))=0),"",IF(AND(ISNUMBER('Raw Data'!H229), IFERROR('Raw Data'!H229 = ROUND('Raw Data'!H229, 2),FALSE)),"",_xlfn.REGEXEXTRACT(CELL("address",H229), "\$([A-Z]+)\$[0-9]+"))),_xlfn.REGEXEXTRACT(CELL("address",H229), "\$([A-Z]+)\$[0-9]+"))</f>
        <v/>
      </c>
      <c r="I229" s="7" t="str" cm="1">
        <f t="array" aca="1" ref="I229" ca="1">IFERROR(IF(OR('Raw Data'!I229="",LEN(TRIM('Raw Data'!I229))=0),"",IF(AND(LEN('Raw Data'!I229) &lt;= 50,LEN('Raw Data'!I229)&gt; 0),"",_xlfn.REGEXEXTRACT(CELL("address",'Raw Data'!I229),"\$([A-Z]+)\$[0-9]+"))),_xlfn.REGEXEXTRACT(CELL("address",'Raw Data'!I229),"\$([A-Z]+)\$[0-9]+"))</f>
        <v/>
      </c>
      <c r="J229" s="7" t="str" cm="1">
        <f t="array" aca="1" ref="J229" ca="1">IFERROR(IF(OR('Raw Data'!J229="",LEN(TRIM('Raw Data'!J229))=0),"",IF(AND(ISNUMBER('Raw Data'!J229),'Raw Data'!J229&gt;=Configuration!$D$2),"",_xlfn.REGEXEXTRACT(CELL("address",'Raw Data'!J229),"\$([A-Z]+)\$[0-9]+"))),_xlfn.REGEXEXTRACT(CELL("address",J229), "\$([A-Z]+)\$[0-9]+"))</f>
        <v/>
      </c>
      <c r="K229" s="7" t="str" cm="1">
        <f t="array" aca="1" ref="K229" ca="1">IFERROR(IF(OR('Raw Data'!K229="",LEN(TRIM('Raw Data'!K229))=0),"",IF(AND(ISNUMBER('Raw Data'!K229), IFERROR('Raw Data'!K229 = ROUND('Raw Data'!K229, 2),FALSE)),"",_xlfn.REGEXEXTRACT(CELL("address",K229), "\$([A-Z]+)\$[0-9]+"))),_xlfn.REGEXEXTRACT(CELL("address",K229), "\$([A-Z]+)\$[0-9]+"))</f>
        <v/>
      </c>
      <c r="L229" s="7" t="str" cm="1">
        <f t="array" aca="1" ref="L229" ca="1">IFERROR(IF(OR('Raw Data'!L229="",LEN(TRIM('Raw Data'!L229))=0),"",IF(AND(ISNUMBER('Raw Data'!L229), IFERROR('Raw Data'!L229 = ROUND('Raw Data'!L229, 2),FALSE)),"",_xlfn.REGEXEXTRACT(CELL("address",L229), "\$([A-Z]+)\$[0-9]+"))),_xlfn.REGEXEXTRACT(CELL("address",L229), "\$([A-Z]+)\$[0-9]+"))</f>
        <v/>
      </c>
      <c r="M229" s="7" t="str" cm="1">
        <f t="array" aca="1" ref="M229" ca="1">IFERROR(IF(OR('Raw Data'!M229="",LEN(TRIM('Raw Data'!M229))=0),"",IF(AND(ISNUMBER('Raw Data'!M229), IFERROR('Raw Data'!M229 = ROUND('Raw Data'!M229, 2),FALSE)),"",_xlfn.REGEXEXTRACT(CELL("address",M229), "\$([A-Z]+)\$[0-9]+"))),_xlfn.REGEXEXTRACT(CELL("address",M229), "\$([A-Z]+)\$[0-9]+"))</f>
        <v/>
      </c>
      <c r="N229" s="7" t="str" cm="1">
        <f t="array" aca="1" ref="N229" ca="1">IFERROR(IF(OR('Raw Data'!N229="",LEN(TRIM('Raw Data'!N229))=0),"",IF(AND(ISNUMBER('Raw Data'!N229), IFERROR('Raw Data'!N229 = ROUND('Raw Data'!N229, 2),FALSE)),"",_xlfn.REGEXEXTRACT(CELL("address",N229), "\$([A-Z]+)\$[0-9]+"))),_xlfn.REGEXEXTRACT(CELL("address",N229), "\$([A-Z]+)\$[0-9]+"))</f>
        <v/>
      </c>
      <c r="O229" s="7" t="str" cm="1">
        <f t="array" aca="1" ref="O229" ca="1">IFERROR(IF(OR('Raw Data'!O229="",LEN(TRIM('Raw Data'!O229))=0),"",IF(AND(ISNUMBER('Raw Data'!O229), IFERROR('Raw Data'!O229 = ROUND('Raw Data'!O229, 2),FALSE)),"",_xlfn.REGEXEXTRACT(CELL("address",O229), "\$([A-Z]+)\$[0-9]+"))),_xlfn.REGEXEXTRACT(CELL("address",O229), "\$([A-Z]+)\$[0-9]+"))</f>
        <v/>
      </c>
      <c r="P229" s="7" t="str" cm="1">
        <f t="array" aca="1" ref="P229" ca="1">IFERROR(IF(OR('Raw Data'!P229="",LEN(TRIM('Raw Data'!P229))=0),"",IF(AND(ISNUMBER('Raw Data'!P229),'Raw Data'!P229&gt;=Configuration!$D$2),"",_xlfn.REGEXEXTRACT(CELL("address",'Raw Data'!P229),"\$([A-Z]+)\$[0-9]+"))),_xlfn.REGEXEXTRACT(CELL("address",P229), "\$([A-Z]+)\$[0-9]+"))</f>
        <v/>
      </c>
      <c r="Q229" s="7" t="str" cm="1">
        <f t="array" aca="1" ref="Q229" ca="1">IFERROR(IF(OR('Raw Data'!Q229="",LEN(TRIM('Raw Data'!Q229))=0),"",IF(AND(ISNUMBER('Raw Data'!Q229),'Raw Data'!Q229&gt;=Configuration!$D$2),"",_xlfn.REGEXEXTRACT(CELL("address",'Raw Data'!Q229),"\$([A-Z]+)\$[0-9]+"))),_xlfn.REGEXEXTRACT(CELL("address",Q229), "\$([A-Z]+)\$[0-9]+"))</f>
        <v/>
      </c>
      <c r="R229" s="7" t="str" cm="1">
        <f t="array" aca="1" ref="R229" ca="1">IFERROR(IF(OR('Raw Data'!R229="",LEN(TRIM('Raw Data'!R229))=0),"",IF(AND(ISNUMBER('Raw Data'!R229), IFERROR('Raw Data'!R229 = ROUND('Raw Data'!R229, 2),FALSE)),"",_xlfn.REGEXEXTRACT(CELL("address",R229), "\$([A-Z]+)\$[0-9]+"))),_xlfn.REGEXEXTRACT(CELL("address",R229), "\$([A-Z]+)\$[0-9]+"))</f>
        <v/>
      </c>
      <c r="S229" s="7" t="str" cm="1">
        <f t="array" aca="1" ref="S229" ca="1">IFERROR(IF(OR('Raw Data'!S229="",LEN(TRIM('Raw Data'!S229))=0),"",IF(AND(ISNUMBER('Raw Data'!S229), IFERROR('Raw Data'!S229 = ROUND('Raw Data'!S229, 2),FALSE)),"",_xlfn.REGEXEXTRACT(CELL("address",S229), "\$([A-Z]+)\$[0-9]+"))),_xlfn.REGEXEXTRACT(CELL("address",S229), "\$([A-Z]+)\$[0-9]+"))</f>
        <v/>
      </c>
      <c r="T229" s="7" t="str" cm="1">
        <f t="array" aca="1" ref="T229" ca="1">IFERROR(IF(OR('Raw Data'!T229="",LEN(TRIM('Raw Data'!T229))=0),"",IF(AND(ISNUMBER('Raw Data'!T229), IFERROR('Raw Data'!T229 = ROUND('Raw Data'!T229, 2),FALSE)),"",_xlfn.REGEXEXTRACT(CELL("address",T229), "\$([A-Z]+)\$[0-9]+"))),_xlfn.REGEXEXTRACT(CELL("address",T229), "\$([A-Z]+)\$[0-9]+"))</f>
        <v/>
      </c>
      <c r="U229" s="7" t="str" cm="1">
        <f t="array" aca="1" ref="U229" ca="1">IFERROR(IF(OR('Raw Data'!U229="",LEN(TRIM('Raw Data'!U229))=0),"",IF(AND(LEN('Raw Data'!U229) &lt;= 5,LEN('Raw Data'!U229)&gt; 0),"",_xlfn.REGEXEXTRACT(CELL("address",'Raw Data'!U229),"\$([A-Z]+)\$[0-9]+"))),_xlfn.REGEXEXTRACT(CELL("address",'Raw Data'!U229),"\$([A-Z]+)\$[0-9]+"))</f>
        <v/>
      </c>
      <c r="V229" s="7" t="str" cm="1">
        <f t="array" aca="1" ref="V229" ca="1">IFERROR(IF(OR('Raw Data'!V229="",LEN(TRIM('Raw Data'!V229))=0),"",IF(AND(ISNUMBER('Raw Data'!V229), IFERROR('Raw Data'!V229 = ROUND('Raw Data'!V229, 2),FALSE)),"",_xlfn.REGEXEXTRACT(CELL("address",V229), "\$([A-Z]+)\$[0-9]+"))),_xlfn.REGEXEXTRACT(CELL("address",V229), "\$([A-Z]+)\$[0-9]+"))</f>
        <v/>
      </c>
      <c r="W229" s="7" t="str" cm="1">
        <f t="array" aca="1" ref="W229" ca="1">IFERROR(IF(OR('Raw Data'!W229="",LEN(TRIM('Raw Data'!W229))=0),"",IF(AND(ISNUMBER('Raw Data'!W229), IFERROR('Raw Data'!W229 = ROUND('Raw Data'!W229, 2),FALSE)),"",_xlfn.REGEXEXTRACT(CELL("address",W229), "\$([A-Z]+)\$[0-9]+"))),_xlfn.REGEXEXTRACT(CELL("address",W229), "\$([A-Z]+)\$[0-9]+"))</f>
        <v/>
      </c>
      <c r="X229" s="7" t="str" cm="1">
        <f t="array" aca="1" ref="X229" ca="1">IFERROR(IF(OR('Raw Data'!X229="",LEN(TRIM('Raw Data'!X229))=0),"",IF(AND(ISNUMBER('Raw Data'!X229), IFERROR('Raw Data'!X229 = ROUND('Raw Data'!X229, 2),FALSE)),"",_xlfn.REGEXEXTRACT(CELL("address",X229), "\$([A-Z]+)\$[0-9]+"))),_xlfn.REGEXEXTRACT(CELL("address",X229), "\$([A-Z]+)\$[0-9]+"))</f>
        <v/>
      </c>
    </row>
    <row r="230" spans="2:24" x14ac:dyDescent="0.25">
      <c r="B230" s="7" t="str" cm="1">
        <f t="array" aca="1" ref="B230" ca="1">IFERROR(IF(OR('Raw Data'!B230="",LEN(TRIM('Raw Data'!B230))=0),"",IF(AND(LEN('Raw Data'!B230) &lt;= 50,LEN('Raw Data'!B230)&gt; 0),"",_xlfn.REGEXEXTRACT(CELL("address",'Raw Data'!B230),"\$([A-Z]+)\$[0-9]+"))),_xlfn.REGEXEXTRACT(CELL("address",'Raw Data'!B230),"\$([A-Z]+)\$[0-9]+"))</f>
        <v/>
      </c>
      <c r="C230" s="7" t="str" cm="1">
        <f t="array" aca="1" ref="C230" ca="1">IFERROR(IF(OR('Raw Data'!C230="",LEN(TRIM('Raw Data'!C230))=0),"",IF(AND(LEN('Raw Data'!C230) &lt;= 50,LEN('Raw Data'!C230)&gt; 0),"",_xlfn.REGEXEXTRACT(CELL("address",'Raw Data'!C230),"\$([A-Z]+)\$[0-9]+"))),_xlfn.REGEXEXTRACT(CELL("address",'Raw Data'!C230),"\$([A-Z]+)\$[0-9]+"))</f>
        <v/>
      </c>
      <c r="D230" s="7" t="str" cm="1">
        <f t="array" aca="1" ref="D230" ca="1">IFERROR(IF(OR('Raw Data'!D230="",LEN(TRIM('Raw Data'!D230))=0),"",IF(AND(LEN('Raw Data'!D230) &lt;= 255,LEN('Raw Data'!D230)&gt; 0),"",_xlfn.REGEXEXTRACT(CELL("address",'Raw Data'!D230),"\$([A-Z]+)\$[0-9]+"))),_xlfn.REGEXEXTRACT(CELL("address",'Raw Data'!D230),"\$([A-Z]+)\$[0-9]+"))</f>
        <v/>
      </c>
      <c r="E230" s="7" t="str" cm="1">
        <f t="array" aca="1" ref="E230" ca="1">IFERROR(IF(OR('Raw Data'!E230="",LEN(TRIM('Raw Data'!E230))=0),"",IF(AND(ISNUMBER('Raw Data'!E230),'Raw Data'!E230&gt;=Configuration!$D$2),"",_xlfn.REGEXEXTRACT(CELL("address",'Raw Data'!E230),"\$([A-Z]+)\$[0-9]+"))),_xlfn.REGEXEXTRACT(CELL("address",E230), "\$([A-Z]+)\$[0-9]+"))</f>
        <v/>
      </c>
      <c r="F230" s="7" t="str" cm="1">
        <f t="array" aca="1" ref="F230" ca="1">IFERROR(IF(OR('Raw Data'!F230="",LEN(TRIM('Raw Data'!F230))=0),"",IF(AND(LEN('Raw Data'!F230) &lt;= 20,LEN('Raw Data'!F230)&gt; 0),"",_xlfn.REGEXEXTRACT(CELL("address",'Raw Data'!F230),"\$([A-Z]+)\$[0-9]+"))),_xlfn.REGEXEXTRACT(CELL("address",'Raw Data'!F230),"\$([A-Z]+)\$[0-9]+"))</f>
        <v/>
      </c>
      <c r="G230" s="7" t="str" cm="1">
        <f t="array" aca="1" ref="G230" ca="1">IFERROR(IF(OR('Raw Data'!G230="",LEN(TRIM('Raw Data'!G230))=0),"",IF(AND(ISNUMBER('Raw Data'!G230), IFERROR('Raw Data'!G230 = ROUND('Raw Data'!G230, 2),FALSE)),"",_xlfn.REGEXEXTRACT(CELL("address",G230), "\$([A-Z]+)\$[0-9]+"))),_xlfn.REGEXEXTRACT(CELL("address",G230), "\$([A-Z]+)\$[0-9]+"))</f>
        <v/>
      </c>
      <c r="H230" s="7" t="str" cm="1">
        <f t="array" aca="1" ref="H230" ca="1">IFERROR(IF(OR('Raw Data'!H230="",LEN(TRIM('Raw Data'!H230))=0),"",IF(AND(ISNUMBER('Raw Data'!H230), IFERROR('Raw Data'!H230 = ROUND('Raw Data'!H230, 2),FALSE)),"",_xlfn.REGEXEXTRACT(CELL("address",H230), "\$([A-Z]+)\$[0-9]+"))),_xlfn.REGEXEXTRACT(CELL("address",H230), "\$([A-Z]+)\$[0-9]+"))</f>
        <v/>
      </c>
      <c r="I230" s="7" t="str" cm="1">
        <f t="array" aca="1" ref="I230" ca="1">IFERROR(IF(OR('Raw Data'!I230="",LEN(TRIM('Raw Data'!I230))=0),"",IF(AND(LEN('Raw Data'!I230) &lt;= 50,LEN('Raw Data'!I230)&gt; 0),"",_xlfn.REGEXEXTRACT(CELL("address",'Raw Data'!I230),"\$([A-Z]+)\$[0-9]+"))),_xlfn.REGEXEXTRACT(CELL("address",'Raw Data'!I230),"\$([A-Z]+)\$[0-9]+"))</f>
        <v/>
      </c>
      <c r="J230" s="7" t="str" cm="1">
        <f t="array" aca="1" ref="J230" ca="1">IFERROR(IF(OR('Raw Data'!J230="",LEN(TRIM('Raw Data'!J230))=0),"",IF(AND(ISNUMBER('Raw Data'!J230),'Raw Data'!J230&gt;=Configuration!$D$2),"",_xlfn.REGEXEXTRACT(CELL("address",'Raw Data'!J230),"\$([A-Z]+)\$[0-9]+"))),_xlfn.REGEXEXTRACT(CELL("address",J230), "\$([A-Z]+)\$[0-9]+"))</f>
        <v/>
      </c>
      <c r="K230" s="7" t="str" cm="1">
        <f t="array" aca="1" ref="K230" ca="1">IFERROR(IF(OR('Raw Data'!K230="",LEN(TRIM('Raw Data'!K230))=0),"",IF(AND(ISNUMBER('Raw Data'!K230), IFERROR('Raw Data'!K230 = ROUND('Raw Data'!K230, 2),FALSE)),"",_xlfn.REGEXEXTRACT(CELL("address",K230), "\$([A-Z]+)\$[0-9]+"))),_xlfn.REGEXEXTRACT(CELL("address",K230), "\$([A-Z]+)\$[0-9]+"))</f>
        <v/>
      </c>
      <c r="L230" s="7" t="str" cm="1">
        <f t="array" aca="1" ref="L230" ca="1">IFERROR(IF(OR('Raw Data'!L230="",LEN(TRIM('Raw Data'!L230))=0),"",IF(AND(ISNUMBER('Raw Data'!L230), IFERROR('Raw Data'!L230 = ROUND('Raw Data'!L230, 2),FALSE)),"",_xlfn.REGEXEXTRACT(CELL("address",L230), "\$([A-Z]+)\$[0-9]+"))),_xlfn.REGEXEXTRACT(CELL("address",L230), "\$([A-Z]+)\$[0-9]+"))</f>
        <v/>
      </c>
      <c r="M230" s="7" t="str" cm="1">
        <f t="array" aca="1" ref="M230" ca="1">IFERROR(IF(OR('Raw Data'!M230="",LEN(TRIM('Raw Data'!M230))=0),"",IF(AND(ISNUMBER('Raw Data'!M230), IFERROR('Raw Data'!M230 = ROUND('Raw Data'!M230, 2),FALSE)),"",_xlfn.REGEXEXTRACT(CELL("address",M230), "\$([A-Z]+)\$[0-9]+"))),_xlfn.REGEXEXTRACT(CELL("address",M230), "\$([A-Z]+)\$[0-9]+"))</f>
        <v/>
      </c>
      <c r="N230" s="7" t="str" cm="1">
        <f t="array" aca="1" ref="N230" ca="1">IFERROR(IF(OR('Raw Data'!N230="",LEN(TRIM('Raw Data'!N230))=0),"",IF(AND(ISNUMBER('Raw Data'!N230), IFERROR('Raw Data'!N230 = ROUND('Raw Data'!N230, 2),FALSE)),"",_xlfn.REGEXEXTRACT(CELL("address",N230), "\$([A-Z]+)\$[0-9]+"))),_xlfn.REGEXEXTRACT(CELL("address",N230), "\$([A-Z]+)\$[0-9]+"))</f>
        <v/>
      </c>
      <c r="O230" s="7" t="str" cm="1">
        <f t="array" aca="1" ref="O230" ca="1">IFERROR(IF(OR('Raw Data'!O230="",LEN(TRIM('Raw Data'!O230))=0),"",IF(AND(ISNUMBER('Raw Data'!O230), IFERROR('Raw Data'!O230 = ROUND('Raw Data'!O230, 2),FALSE)),"",_xlfn.REGEXEXTRACT(CELL("address",O230), "\$([A-Z]+)\$[0-9]+"))),_xlfn.REGEXEXTRACT(CELL("address",O230), "\$([A-Z]+)\$[0-9]+"))</f>
        <v/>
      </c>
      <c r="P230" s="7" t="str" cm="1">
        <f t="array" aca="1" ref="P230" ca="1">IFERROR(IF(OR('Raw Data'!P230="",LEN(TRIM('Raw Data'!P230))=0),"",IF(AND(ISNUMBER('Raw Data'!P230),'Raw Data'!P230&gt;=Configuration!$D$2),"",_xlfn.REGEXEXTRACT(CELL("address",'Raw Data'!P230),"\$([A-Z]+)\$[0-9]+"))),_xlfn.REGEXEXTRACT(CELL("address",P230), "\$([A-Z]+)\$[0-9]+"))</f>
        <v/>
      </c>
      <c r="Q230" s="7" t="str" cm="1">
        <f t="array" aca="1" ref="Q230" ca="1">IFERROR(IF(OR('Raw Data'!Q230="",LEN(TRIM('Raw Data'!Q230))=0),"",IF(AND(ISNUMBER('Raw Data'!Q230),'Raw Data'!Q230&gt;=Configuration!$D$2),"",_xlfn.REGEXEXTRACT(CELL("address",'Raw Data'!Q230),"\$([A-Z]+)\$[0-9]+"))),_xlfn.REGEXEXTRACT(CELL("address",Q230), "\$([A-Z]+)\$[0-9]+"))</f>
        <v/>
      </c>
      <c r="R230" s="7" t="str" cm="1">
        <f t="array" aca="1" ref="R230" ca="1">IFERROR(IF(OR('Raw Data'!R230="",LEN(TRIM('Raw Data'!R230))=0),"",IF(AND(ISNUMBER('Raw Data'!R230), IFERROR('Raw Data'!R230 = ROUND('Raw Data'!R230, 2),FALSE)),"",_xlfn.REGEXEXTRACT(CELL("address",R230), "\$([A-Z]+)\$[0-9]+"))),_xlfn.REGEXEXTRACT(CELL("address",R230), "\$([A-Z]+)\$[0-9]+"))</f>
        <v/>
      </c>
      <c r="S230" s="7" t="str" cm="1">
        <f t="array" aca="1" ref="S230" ca="1">IFERROR(IF(OR('Raw Data'!S230="",LEN(TRIM('Raw Data'!S230))=0),"",IF(AND(ISNUMBER('Raw Data'!S230), IFERROR('Raw Data'!S230 = ROUND('Raw Data'!S230, 2),FALSE)),"",_xlfn.REGEXEXTRACT(CELL("address",S230), "\$([A-Z]+)\$[0-9]+"))),_xlfn.REGEXEXTRACT(CELL("address",S230), "\$([A-Z]+)\$[0-9]+"))</f>
        <v/>
      </c>
      <c r="T230" s="7" t="str" cm="1">
        <f t="array" aca="1" ref="T230" ca="1">IFERROR(IF(OR('Raw Data'!T230="",LEN(TRIM('Raw Data'!T230))=0),"",IF(AND(ISNUMBER('Raw Data'!T230), IFERROR('Raw Data'!T230 = ROUND('Raw Data'!T230, 2),FALSE)),"",_xlfn.REGEXEXTRACT(CELL("address",T230), "\$([A-Z]+)\$[0-9]+"))),_xlfn.REGEXEXTRACT(CELL("address",T230), "\$([A-Z]+)\$[0-9]+"))</f>
        <v/>
      </c>
      <c r="U230" s="7" t="str" cm="1">
        <f t="array" aca="1" ref="U230" ca="1">IFERROR(IF(OR('Raw Data'!U230="",LEN(TRIM('Raw Data'!U230))=0),"",IF(AND(LEN('Raw Data'!U230) &lt;= 5,LEN('Raw Data'!U230)&gt; 0),"",_xlfn.REGEXEXTRACT(CELL("address",'Raw Data'!U230),"\$([A-Z]+)\$[0-9]+"))),_xlfn.REGEXEXTRACT(CELL("address",'Raw Data'!U230),"\$([A-Z]+)\$[0-9]+"))</f>
        <v/>
      </c>
      <c r="V230" s="7" t="str" cm="1">
        <f t="array" aca="1" ref="V230" ca="1">IFERROR(IF(OR('Raw Data'!V230="",LEN(TRIM('Raw Data'!V230))=0),"",IF(AND(ISNUMBER('Raw Data'!V230), IFERROR('Raw Data'!V230 = ROUND('Raw Data'!V230, 2),FALSE)),"",_xlfn.REGEXEXTRACT(CELL("address",V230), "\$([A-Z]+)\$[0-9]+"))),_xlfn.REGEXEXTRACT(CELL("address",V230), "\$([A-Z]+)\$[0-9]+"))</f>
        <v/>
      </c>
      <c r="W230" s="7" t="str" cm="1">
        <f t="array" aca="1" ref="W230" ca="1">IFERROR(IF(OR('Raw Data'!W230="",LEN(TRIM('Raw Data'!W230))=0),"",IF(AND(ISNUMBER('Raw Data'!W230), IFERROR('Raw Data'!W230 = ROUND('Raw Data'!W230, 2),FALSE)),"",_xlfn.REGEXEXTRACT(CELL("address",W230), "\$([A-Z]+)\$[0-9]+"))),_xlfn.REGEXEXTRACT(CELL("address",W230), "\$([A-Z]+)\$[0-9]+"))</f>
        <v/>
      </c>
      <c r="X230" s="7" t="str" cm="1">
        <f t="array" aca="1" ref="X230" ca="1">IFERROR(IF(OR('Raw Data'!X230="",LEN(TRIM('Raw Data'!X230))=0),"",IF(AND(ISNUMBER('Raw Data'!X230), IFERROR('Raw Data'!X230 = ROUND('Raw Data'!X230, 2),FALSE)),"",_xlfn.REGEXEXTRACT(CELL("address",X230), "\$([A-Z]+)\$[0-9]+"))),_xlfn.REGEXEXTRACT(CELL("address",X230), "\$([A-Z]+)\$[0-9]+"))</f>
        <v/>
      </c>
    </row>
    <row r="231" spans="2:24" x14ac:dyDescent="0.25">
      <c r="B231" s="7" t="str" cm="1">
        <f t="array" aca="1" ref="B231" ca="1">IFERROR(IF(OR('Raw Data'!B231="",LEN(TRIM('Raw Data'!B231))=0),"",IF(AND(LEN('Raw Data'!B231) &lt;= 50,LEN('Raw Data'!B231)&gt; 0),"",_xlfn.REGEXEXTRACT(CELL("address",'Raw Data'!B231),"\$([A-Z]+)\$[0-9]+"))),_xlfn.REGEXEXTRACT(CELL("address",'Raw Data'!B231),"\$([A-Z]+)\$[0-9]+"))</f>
        <v/>
      </c>
      <c r="C231" s="7" t="str" cm="1">
        <f t="array" aca="1" ref="C231" ca="1">IFERROR(IF(OR('Raw Data'!C231="",LEN(TRIM('Raw Data'!C231))=0),"",IF(AND(LEN('Raw Data'!C231) &lt;= 50,LEN('Raw Data'!C231)&gt; 0),"",_xlfn.REGEXEXTRACT(CELL("address",'Raw Data'!C231),"\$([A-Z]+)\$[0-9]+"))),_xlfn.REGEXEXTRACT(CELL("address",'Raw Data'!C231),"\$([A-Z]+)\$[0-9]+"))</f>
        <v/>
      </c>
      <c r="D231" s="7" t="str" cm="1">
        <f t="array" aca="1" ref="D231" ca="1">IFERROR(IF(OR('Raw Data'!D231="",LEN(TRIM('Raw Data'!D231))=0),"",IF(AND(LEN('Raw Data'!D231) &lt;= 255,LEN('Raw Data'!D231)&gt; 0),"",_xlfn.REGEXEXTRACT(CELL("address",'Raw Data'!D231),"\$([A-Z]+)\$[0-9]+"))),_xlfn.REGEXEXTRACT(CELL("address",'Raw Data'!D231),"\$([A-Z]+)\$[0-9]+"))</f>
        <v/>
      </c>
      <c r="E231" s="7" t="str" cm="1">
        <f t="array" aca="1" ref="E231" ca="1">IFERROR(IF(OR('Raw Data'!E231="",LEN(TRIM('Raw Data'!E231))=0),"",IF(AND(ISNUMBER('Raw Data'!E231),'Raw Data'!E231&gt;=Configuration!$D$2),"",_xlfn.REGEXEXTRACT(CELL("address",'Raw Data'!E231),"\$([A-Z]+)\$[0-9]+"))),_xlfn.REGEXEXTRACT(CELL("address",E231), "\$([A-Z]+)\$[0-9]+"))</f>
        <v/>
      </c>
      <c r="F231" s="7" t="str" cm="1">
        <f t="array" aca="1" ref="F231" ca="1">IFERROR(IF(OR('Raw Data'!F231="",LEN(TRIM('Raw Data'!F231))=0),"",IF(AND(LEN('Raw Data'!F231) &lt;= 20,LEN('Raw Data'!F231)&gt; 0),"",_xlfn.REGEXEXTRACT(CELL("address",'Raw Data'!F231),"\$([A-Z]+)\$[0-9]+"))),_xlfn.REGEXEXTRACT(CELL("address",'Raw Data'!F231),"\$([A-Z]+)\$[0-9]+"))</f>
        <v/>
      </c>
      <c r="G231" s="7" t="str" cm="1">
        <f t="array" aca="1" ref="G231" ca="1">IFERROR(IF(OR('Raw Data'!G231="",LEN(TRIM('Raw Data'!G231))=0),"",IF(AND(ISNUMBER('Raw Data'!G231), IFERROR('Raw Data'!G231 = ROUND('Raw Data'!G231, 2),FALSE)),"",_xlfn.REGEXEXTRACT(CELL("address",G231), "\$([A-Z]+)\$[0-9]+"))),_xlfn.REGEXEXTRACT(CELL("address",G231), "\$([A-Z]+)\$[0-9]+"))</f>
        <v/>
      </c>
      <c r="H231" s="7" t="str" cm="1">
        <f t="array" aca="1" ref="H231" ca="1">IFERROR(IF(OR('Raw Data'!H231="",LEN(TRIM('Raw Data'!H231))=0),"",IF(AND(ISNUMBER('Raw Data'!H231), IFERROR('Raw Data'!H231 = ROUND('Raw Data'!H231, 2),FALSE)),"",_xlfn.REGEXEXTRACT(CELL("address",H231), "\$([A-Z]+)\$[0-9]+"))),_xlfn.REGEXEXTRACT(CELL("address",H231), "\$([A-Z]+)\$[0-9]+"))</f>
        <v/>
      </c>
      <c r="I231" s="7" t="str" cm="1">
        <f t="array" aca="1" ref="I231" ca="1">IFERROR(IF(OR('Raw Data'!I231="",LEN(TRIM('Raw Data'!I231))=0),"",IF(AND(LEN('Raw Data'!I231) &lt;= 50,LEN('Raw Data'!I231)&gt; 0),"",_xlfn.REGEXEXTRACT(CELL("address",'Raw Data'!I231),"\$([A-Z]+)\$[0-9]+"))),_xlfn.REGEXEXTRACT(CELL("address",'Raw Data'!I231),"\$([A-Z]+)\$[0-9]+"))</f>
        <v/>
      </c>
      <c r="J231" s="7" t="str" cm="1">
        <f t="array" aca="1" ref="J231" ca="1">IFERROR(IF(OR('Raw Data'!J231="",LEN(TRIM('Raw Data'!J231))=0),"",IF(AND(ISNUMBER('Raw Data'!J231),'Raw Data'!J231&gt;=Configuration!$D$2),"",_xlfn.REGEXEXTRACT(CELL("address",'Raw Data'!J231),"\$([A-Z]+)\$[0-9]+"))),_xlfn.REGEXEXTRACT(CELL("address",J231), "\$([A-Z]+)\$[0-9]+"))</f>
        <v/>
      </c>
      <c r="K231" s="7" t="str" cm="1">
        <f t="array" aca="1" ref="K231" ca="1">IFERROR(IF(OR('Raw Data'!K231="",LEN(TRIM('Raw Data'!K231))=0),"",IF(AND(ISNUMBER('Raw Data'!K231), IFERROR('Raw Data'!K231 = ROUND('Raw Data'!K231, 2),FALSE)),"",_xlfn.REGEXEXTRACT(CELL("address",K231), "\$([A-Z]+)\$[0-9]+"))),_xlfn.REGEXEXTRACT(CELL("address",K231), "\$([A-Z]+)\$[0-9]+"))</f>
        <v/>
      </c>
      <c r="L231" s="7" t="str" cm="1">
        <f t="array" aca="1" ref="L231" ca="1">IFERROR(IF(OR('Raw Data'!L231="",LEN(TRIM('Raw Data'!L231))=0),"",IF(AND(ISNUMBER('Raw Data'!L231), IFERROR('Raw Data'!L231 = ROUND('Raw Data'!L231, 2),FALSE)),"",_xlfn.REGEXEXTRACT(CELL("address",L231), "\$([A-Z]+)\$[0-9]+"))),_xlfn.REGEXEXTRACT(CELL("address",L231), "\$([A-Z]+)\$[0-9]+"))</f>
        <v/>
      </c>
      <c r="M231" s="7" t="str" cm="1">
        <f t="array" aca="1" ref="M231" ca="1">IFERROR(IF(OR('Raw Data'!M231="",LEN(TRIM('Raw Data'!M231))=0),"",IF(AND(ISNUMBER('Raw Data'!M231), IFERROR('Raw Data'!M231 = ROUND('Raw Data'!M231, 2),FALSE)),"",_xlfn.REGEXEXTRACT(CELL("address",M231), "\$([A-Z]+)\$[0-9]+"))),_xlfn.REGEXEXTRACT(CELL("address",M231), "\$([A-Z]+)\$[0-9]+"))</f>
        <v/>
      </c>
      <c r="N231" s="7" t="str" cm="1">
        <f t="array" aca="1" ref="N231" ca="1">IFERROR(IF(OR('Raw Data'!N231="",LEN(TRIM('Raw Data'!N231))=0),"",IF(AND(ISNUMBER('Raw Data'!N231), IFERROR('Raw Data'!N231 = ROUND('Raw Data'!N231, 2),FALSE)),"",_xlfn.REGEXEXTRACT(CELL("address",N231), "\$([A-Z]+)\$[0-9]+"))),_xlfn.REGEXEXTRACT(CELL("address",N231), "\$([A-Z]+)\$[0-9]+"))</f>
        <v/>
      </c>
      <c r="O231" s="7" t="str" cm="1">
        <f t="array" aca="1" ref="O231" ca="1">IFERROR(IF(OR('Raw Data'!O231="",LEN(TRIM('Raw Data'!O231))=0),"",IF(AND(ISNUMBER('Raw Data'!O231), IFERROR('Raw Data'!O231 = ROUND('Raw Data'!O231, 2),FALSE)),"",_xlfn.REGEXEXTRACT(CELL("address",O231), "\$([A-Z]+)\$[0-9]+"))),_xlfn.REGEXEXTRACT(CELL("address",O231), "\$([A-Z]+)\$[0-9]+"))</f>
        <v/>
      </c>
      <c r="P231" s="7" t="str" cm="1">
        <f t="array" aca="1" ref="P231" ca="1">IFERROR(IF(OR('Raw Data'!P231="",LEN(TRIM('Raw Data'!P231))=0),"",IF(AND(ISNUMBER('Raw Data'!P231),'Raw Data'!P231&gt;=Configuration!$D$2),"",_xlfn.REGEXEXTRACT(CELL("address",'Raw Data'!P231),"\$([A-Z]+)\$[0-9]+"))),_xlfn.REGEXEXTRACT(CELL("address",P231), "\$([A-Z]+)\$[0-9]+"))</f>
        <v/>
      </c>
      <c r="Q231" s="7" t="str" cm="1">
        <f t="array" aca="1" ref="Q231" ca="1">IFERROR(IF(OR('Raw Data'!Q231="",LEN(TRIM('Raw Data'!Q231))=0),"",IF(AND(ISNUMBER('Raw Data'!Q231),'Raw Data'!Q231&gt;=Configuration!$D$2),"",_xlfn.REGEXEXTRACT(CELL("address",'Raw Data'!Q231),"\$([A-Z]+)\$[0-9]+"))),_xlfn.REGEXEXTRACT(CELL("address",Q231), "\$([A-Z]+)\$[0-9]+"))</f>
        <v/>
      </c>
      <c r="R231" s="7" t="str" cm="1">
        <f t="array" aca="1" ref="R231" ca="1">IFERROR(IF(OR('Raw Data'!R231="",LEN(TRIM('Raw Data'!R231))=0),"",IF(AND(ISNUMBER('Raw Data'!R231), IFERROR('Raw Data'!R231 = ROUND('Raw Data'!R231, 2),FALSE)),"",_xlfn.REGEXEXTRACT(CELL("address",R231), "\$([A-Z]+)\$[0-9]+"))),_xlfn.REGEXEXTRACT(CELL("address",R231), "\$([A-Z]+)\$[0-9]+"))</f>
        <v/>
      </c>
      <c r="S231" s="7" t="str" cm="1">
        <f t="array" aca="1" ref="S231" ca="1">IFERROR(IF(OR('Raw Data'!S231="",LEN(TRIM('Raw Data'!S231))=0),"",IF(AND(ISNUMBER('Raw Data'!S231), IFERROR('Raw Data'!S231 = ROUND('Raw Data'!S231, 2),FALSE)),"",_xlfn.REGEXEXTRACT(CELL("address",S231), "\$([A-Z]+)\$[0-9]+"))),_xlfn.REGEXEXTRACT(CELL("address",S231), "\$([A-Z]+)\$[0-9]+"))</f>
        <v/>
      </c>
      <c r="T231" s="7" t="str" cm="1">
        <f t="array" aca="1" ref="T231" ca="1">IFERROR(IF(OR('Raw Data'!T231="",LEN(TRIM('Raw Data'!T231))=0),"",IF(AND(ISNUMBER('Raw Data'!T231), IFERROR('Raw Data'!T231 = ROUND('Raw Data'!T231, 2),FALSE)),"",_xlfn.REGEXEXTRACT(CELL("address",T231), "\$([A-Z]+)\$[0-9]+"))),_xlfn.REGEXEXTRACT(CELL("address",T231), "\$([A-Z]+)\$[0-9]+"))</f>
        <v/>
      </c>
      <c r="U231" s="7" t="str" cm="1">
        <f t="array" aca="1" ref="U231" ca="1">IFERROR(IF(OR('Raw Data'!U231="",LEN(TRIM('Raw Data'!U231))=0),"",IF(AND(LEN('Raw Data'!U231) &lt;= 5,LEN('Raw Data'!U231)&gt; 0),"",_xlfn.REGEXEXTRACT(CELL("address",'Raw Data'!U231),"\$([A-Z]+)\$[0-9]+"))),_xlfn.REGEXEXTRACT(CELL("address",'Raw Data'!U231),"\$([A-Z]+)\$[0-9]+"))</f>
        <v/>
      </c>
      <c r="V231" s="7" t="str" cm="1">
        <f t="array" aca="1" ref="V231" ca="1">IFERROR(IF(OR('Raw Data'!V231="",LEN(TRIM('Raw Data'!V231))=0),"",IF(AND(ISNUMBER('Raw Data'!V231), IFERROR('Raw Data'!V231 = ROUND('Raw Data'!V231, 2),FALSE)),"",_xlfn.REGEXEXTRACT(CELL("address",V231), "\$([A-Z]+)\$[0-9]+"))),_xlfn.REGEXEXTRACT(CELL("address",V231), "\$([A-Z]+)\$[0-9]+"))</f>
        <v/>
      </c>
      <c r="W231" s="7" t="str" cm="1">
        <f t="array" aca="1" ref="W231" ca="1">IFERROR(IF(OR('Raw Data'!W231="",LEN(TRIM('Raw Data'!W231))=0),"",IF(AND(ISNUMBER('Raw Data'!W231), IFERROR('Raw Data'!W231 = ROUND('Raw Data'!W231, 2),FALSE)),"",_xlfn.REGEXEXTRACT(CELL("address",W231), "\$([A-Z]+)\$[0-9]+"))),_xlfn.REGEXEXTRACT(CELL("address",W231), "\$([A-Z]+)\$[0-9]+"))</f>
        <v/>
      </c>
      <c r="X231" s="7" t="str" cm="1">
        <f t="array" aca="1" ref="X231" ca="1">IFERROR(IF(OR('Raw Data'!X231="",LEN(TRIM('Raw Data'!X231))=0),"",IF(AND(ISNUMBER('Raw Data'!X231), IFERROR('Raw Data'!X231 = ROUND('Raw Data'!X231, 2),FALSE)),"",_xlfn.REGEXEXTRACT(CELL("address",X231), "\$([A-Z]+)\$[0-9]+"))),_xlfn.REGEXEXTRACT(CELL("address",X231), "\$([A-Z]+)\$[0-9]+"))</f>
        <v/>
      </c>
    </row>
    <row r="232" spans="2:24" x14ac:dyDescent="0.25">
      <c r="B232" s="7" t="str" cm="1">
        <f t="array" aca="1" ref="B232" ca="1">IFERROR(IF(OR('Raw Data'!B232="",LEN(TRIM('Raw Data'!B232))=0),"",IF(AND(LEN('Raw Data'!B232) &lt;= 50,LEN('Raw Data'!B232)&gt; 0),"",_xlfn.REGEXEXTRACT(CELL("address",'Raw Data'!B232),"\$([A-Z]+)\$[0-9]+"))),_xlfn.REGEXEXTRACT(CELL("address",'Raw Data'!B232),"\$([A-Z]+)\$[0-9]+"))</f>
        <v/>
      </c>
      <c r="C232" s="7" t="str" cm="1">
        <f t="array" aca="1" ref="C232" ca="1">IFERROR(IF(OR('Raw Data'!C232="",LEN(TRIM('Raw Data'!C232))=0),"",IF(AND(LEN('Raw Data'!C232) &lt;= 50,LEN('Raw Data'!C232)&gt; 0),"",_xlfn.REGEXEXTRACT(CELL("address",'Raw Data'!C232),"\$([A-Z]+)\$[0-9]+"))),_xlfn.REGEXEXTRACT(CELL("address",'Raw Data'!C232),"\$([A-Z]+)\$[0-9]+"))</f>
        <v/>
      </c>
      <c r="D232" s="7" t="str" cm="1">
        <f t="array" aca="1" ref="D232" ca="1">IFERROR(IF(OR('Raw Data'!D232="",LEN(TRIM('Raw Data'!D232))=0),"",IF(AND(LEN('Raw Data'!D232) &lt;= 255,LEN('Raw Data'!D232)&gt; 0),"",_xlfn.REGEXEXTRACT(CELL("address",'Raw Data'!D232),"\$([A-Z]+)\$[0-9]+"))),_xlfn.REGEXEXTRACT(CELL("address",'Raw Data'!D232),"\$([A-Z]+)\$[0-9]+"))</f>
        <v/>
      </c>
      <c r="E232" s="7" t="str" cm="1">
        <f t="array" aca="1" ref="E232" ca="1">IFERROR(IF(OR('Raw Data'!E232="",LEN(TRIM('Raw Data'!E232))=0),"",IF(AND(ISNUMBER('Raw Data'!E232),'Raw Data'!E232&gt;=Configuration!$D$2),"",_xlfn.REGEXEXTRACT(CELL("address",'Raw Data'!E232),"\$([A-Z]+)\$[0-9]+"))),_xlfn.REGEXEXTRACT(CELL("address",E232), "\$([A-Z]+)\$[0-9]+"))</f>
        <v/>
      </c>
      <c r="F232" s="7" t="str" cm="1">
        <f t="array" aca="1" ref="F232" ca="1">IFERROR(IF(OR('Raw Data'!F232="",LEN(TRIM('Raw Data'!F232))=0),"",IF(AND(LEN('Raw Data'!F232) &lt;= 20,LEN('Raw Data'!F232)&gt; 0),"",_xlfn.REGEXEXTRACT(CELL("address",'Raw Data'!F232),"\$([A-Z]+)\$[0-9]+"))),_xlfn.REGEXEXTRACT(CELL("address",'Raw Data'!F232),"\$([A-Z]+)\$[0-9]+"))</f>
        <v/>
      </c>
      <c r="G232" s="7" t="str" cm="1">
        <f t="array" aca="1" ref="G232" ca="1">IFERROR(IF(OR('Raw Data'!G232="",LEN(TRIM('Raw Data'!G232))=0),"",IF(AND(ISNUMBER('Raw Data'!G232), IFERROR('Raw Data'!G232 = ROUND('Raw Data'!G232, 2),FALSE)),"",_xlfn.REGEXEXTRACT(CELL("address",G232), "\$([A-Z]+)\$[0-9]+"))),_xlfn.REGEXEXTRACT(CELL("address",G232), "\$([A-Z]+)\$[0-9]+"))</f>
        <v/>
      </c>
      <c r="H232" s="7" t="str" cm="1">
        <f t="array" aca="1" ref="H232" ca="1">IFERROR(IF(OR('Raw Data'!H232="",LEN(TRIM('Raw Data'!H232))=0),"",IF(AND(ISNUMBER('Raw Data'!H232), IFERROR('Raw Data'!H232 = ROUND('Raw Data'!H232, 2),FALSE)),"",_xlfn.REGEXEXTRACT(CELL("address",H232), "\$([A-Z]+)\$[0-9]+"))),_xlfn.REGEXEXTRACT(CELL("address",H232), "\$([A-Z]+)\$[0-9]+"))</f>
        <v/>
      </c>
      <c r="I232" s="7" t="str" cm="1">
        <f t="array" aca="1" ref="I232" ca="1">IFERROR(IF(OR('Raw Data'!I232="",LEN(TRIM('Raw Data'!I232))=0),"",IF(AND(LEN('Raw Data'!I232) &lt;= 50,LEN('Raw Data'!I232)&gt; 0),"",_xlfn.REGEXEXTRACT(CELL("address",'Raw Data'!I232),"\$([A-Z]+)\$[0-9]+"))),_xlfn.REGEXEXTRACT(CELL("address",'Raw Data'!I232),"\$([A-Z]+)\$[0-9]+"))</f>
        <v/>
      </c>
      <c r="J232" s="7" t="str" cm="1">
        <f t="array" aca="1" ref="J232" ca="1">IFERROR(IF(OR('Raw Data'!J232="",LEN(TRIM('Raw Data'!J232))=0),"",IF(AND(ISNUMBER('Raw Data'!J232),'Raw Data'!J232&gt;=Configuration!$D$2),"",_xlfn.REGEXEXTRACT(CELL("address",'Raw Data'!J232),"\$([A-Z]+)\$[0-9]+"))),_xlfn.REGEXEXTRACT(CELL("address",J232), "\$([A-Z]+)\$[0-9]+"))</f>
        <v/>
      </c>
      <c r="K232" s="7" t="str" cm="1">
        <f t="array" aca="1" ref="K232" ca="1">IFERROR(IF(OR('Raw Data'!K232="",LEN(TRIM('Raw Data'!K232))=0),"",IF(AND(ISNUMBER('Raw Data'!K232), IFERROR('Raw Data'!K232 = ROUND('Raw Data'!K232, 2),FALSE)),"",_xlfn.REGEXEXTRACT(CELL("address",K232), "\$([A-Z]+)\$[0-9]+"))),_xlfn.REGEXEXTRACT(CELL("address",K232), "\$([A-Z]+)\$[0-9]+"))</f>
        <v/>
      </c>
      <c r="L232" s="7" t="str" cm="1">
        <f t="array" aca="1" ref="L232" ca="1">IFERROR(IF(OR('Raw Data'!L232="",LEN(TRIM('Raw Data'!L232))=0),"",IF(AND(ISNUMBER('Raw Data'!L232), IFERROR('Raw Data'!L232 = ROUND('Raw Data'!L232, 2),FALSE)),"",_xlfn.REGEXEXTRACT(CELL("address",L232), "\$([A-Z]+)\$[0-9]+"))),_xlfn.REGEXEXTRACT(CELL("address",L232), "\$([A-Z]+)\$[0-9]+"))</f>
        <v/>
      </c>
      <c r="M232" s="7" t="str" cm="1">
        <f t="array" aca="1" ref="M232" ca="1">IFERROR(IF(OR('Raw Data'!M232="",LEN(TRIM('Raw Data'!M232))=0),"",IF(AND(ISNUMBER('Raw Data'!M232), IFERROR('Raw Data'!M232 = ROUND('Raw Data'!M232, 2),FALSE)),"",_xlfn.REGEXEXTRACT(CELL("address",M232), "\$([A-Z]+)\$[0-9]+"))),_xlfn.REGEXEXTRACT(CELL("address",M232), "\$([A-Z]+)\$[0-9]+"))</f>
        <v/>
      </c>
      <c r="N232" s="7" t="str" cm="1">
        <f t="array" aca="1" ref="N232" ca="1">IFERROR(IF(OR('Raw Data'!N232="",LEN(TRIM('Raw Data'!N232))=0),"",IF(AND(ISNUMBER('Raw Data'!N232), IFERROR('Raw Data'!N232 = ROUND('Raw Data'!N232, 2),FALSE)),"",_xlfn.REGEXEXTRACT(CELL("address",N232), "\$([A-Z]+)\$[0-9]+"))),_xlfn.REGEXEXTRACT(CELL("address",N232), "\$([A-Z]+)\$[0-9]+"))</f>
        <v/>
      </c>
      <c r="O232" s="7" t="str" cm="1">
        <f t="array" aca="1" ref="O232" ca="1">IFERROR(IF(OR('Raw Data'!O232="",LEN(TRIM('Raw Data'!O232))=0),"",IF(AND(ISNUMBER('Raw Data'!O232), IFERROR('Raw Data'!O232 = ROUND('Raw Data'!O232, 2),FALSE)),"",_xlfn.REGEXEXTRACT(CELL("address",O232), "\$([A-Z]+)\$[0-9]+"))),_xlfn.REGEXEXTRACT(CELL("address",O232), "\$([A-Z]+)\$[0-9]+"))</f>
        <v/>
      </c>
      <c r="P232" s="7" t="str" cm="1">
        <f t="array" aca="1" ref="P232" ca="1">IFERROR(IF(OR('Raw Data'!P232="",LEN(TRIM('Raw Data'!P232))=0),"",IF(AND(ISNUMBER('Raw Data'!P232),'Raw Data'!P232&gt;=Configuration!$D$2),"",_xlfn.REGEXEXTRACT(CELL("address",'Raw Data'!P232),"\$([A-Z]+)\$[0-9]+"))),_xlfn.REGEXEXTRACT(CELL("address",P232), "\$([A-Z]+)\$[0-9]+"))</f>
        <v/>
      </c>
      <c r="Q232" s="7" t="str" cm="1">
        <f t="array" aca="1" ref="Q232" ca="1">IFERROR(IF(OR('Raw Data'!Q232="",LEN(TRIM('Raw Data'!Q232))=0),"",IF(AND(ISNUMBER('Raw Data'!Q232),'Raw Data'!Q232&gt;=Configuration!$D$2),"",_xlfn.REGEXEXTRACT(CELL("address",'Raw Data'!Q232),"\$([A-Z]+)\$[0-9]+"))),_xlfn.REGEXEXTRACT(CELL("address",Q232), "\$([A-Z]+)\$[0-9]+"))</f>
        <v/>
      </c>
      <c r="R232" s="7" t="str" cm="1">
        <f t="array" aca="1" ref="R232" ca="1">IFERROR(IF(OR('Raw Data'!R232="",LEN(TRIM('Raw Data'!R232))=0),"",IF(AND(ISNUMBER('Raw Data'!R232), IFERROR('Raw Data'!R232 = ROUND('Raw Data'!R232, 2),FALSE)),"",_xlfn.REGEXEXTRACT(CELL("address",R232), "\$([A-Z]+)\$[0-9]+"))),_xlfn.REGEXEXTRACT(CELL("address",R232), "\$([A-Z]+)\$[0-9]+"))</f>
        <v/>
      </c>
      <c r="S232" s="7" t="str" cm="1">
        <f t="array" aca="1" ref="S232" ca="1">IFERROR(IF(OR('Raw Data'!S232="",LEN(TRIM('Raw Data'!S232))=0),"",IF(AND(ISNUMBER('Raw Data'!S232), IFERROR('Raw Data'!S232 = ROUND('Raw Data'!S232, 2),FALSE)),"",_xlfn.REGEXEXTRACT(CELL("address",S232), "\$([A-Z]+)\$[0-9]+"))),_xlfn.REGEXEXTRACT(CELL("address",S232), "\$([A-Z]+)\$[0-9]+"))</f>
        <v/>
      </c>
      <c r="T232" s="7" t="str" cm="1">
        <f t="array" aca="1" ref="T232" ca="1">IFERROR(IF(OR('Raw Data'!T232="",LEN(TRIM('Raw Data'!T232))=0),"",IF(AND(ISNUMBER('Raw Data'!T232), IFERROR('Raw Data'!T232 = ROUND('Raw Data'!T232, 2),FALSE)),"",_xlfn.REGEXEXTRACT(CELL("address",T232), "\$([A-Z]+)\$[0-9]+"))),_xlfn.REGEXEXTRACT(CELL("address",T232), "\$([A-Z]+)\$[0-9]+"))</f>
        <v/>
      </c>
      <c r="U232" s="7" t="str" cm="1">
        <f t="array" aca="1" ref="U232" ca="1">IFERROR(IF(OR('Raw Data'!U232="",LEN(TRIM('Raw Data'!U232))=0),"",IF(AND(LEN('Raw Data'!U232) &lt;= 5,LEN('Raw Data'!U232)&gt; 0),"",_xlfn.REGEXEXTRACT(CELL("address",'Raw Data'!U232),"\$([A-Z]+)\$[0-9]+"))),_xlfn.REGEXEXTRACT(CELL("address",'Raw Data'!U232),"\$([A-Z]+)\$[0-9]+"))</f>
        <v/>
      </c>
      <c r="V232" s="7" t="str" cm="1">
        <f t="array" aca="1" ref="V232" ca="1">IFERROR(IF(OR('Raw Data'!V232="",LEN(TRIM('Raw Data'!V232))=0),"",IF(AND(ISNUMBER('Raw Data'!V232), IFERROR('Raw Data'!V232 = ROUND('Raw Data'!V232, 2),FALSE)),"",_xlfn.REGEXEXTRACT(CELL("address",V232), "\$([A-Z]+)\$[0-9]+"))),_xlfn.REGEXEXTRACT(CELL("address",V232), "\$([A-Z]+)\$[0-9]+"))</f>
        <v/>
      </c>
      <c r="W232" s="7" t="str" cm="1">
        <f t="array" aca="1" ref="W232" ca="1">IFERROR(IF(OR('Raw Data'!W232="",LEN(TRIM('Raw Data'!W232))=0),"",IF(AND(ISNUMBER('Raw Data'!W232), IFERROR('Raw Data'!W232 = ROUND('Raw Data'!W232, 2),FALSE)),"",_xlfn.REGEXEXTRACT(CELL("address",W232), "\$([A-Z]+)\$[0-9]+"))),_xlfn.REGEXEXTRACT(CELL("address",W232), "\$([A-Z]+)\$[0-9]+"))</f>
        <v/>
      </c>
      <c r="X232" s="7" t="str" cm="1">
        <f t="array" aca="1" ref="X232" ca="1">IFERROR(IF(OR('Raw Data'!X232="",LEN(TRIM('Raw Data'!X232))=0),"",IF(AND(ISNUMBER('Raw Data'!X232), IFERROR('Raw Data'!X232 = ROUND('Raw Data'!X232, 2),FALSE)),"",_xlfn.REGEXEXTRACT(CELL("address",X232), "\$([A-Z]+)\$[0-9]+"))),_xlfn.REGEXEXTRACT(CELL("address",X232), "\$([A-Z]+)\$[0-9]+"))</f>
        <v/>
      </c>
    </row>
    <row r="233" spans="2:24" x14ac:dyDescent="0.25">
      <c r="B233" s="7" t="str" cm="1">
        <f t="array" aca="1" ref="B233" ca="1">IFERROR(IF(OR('Raw Data'!B233="",LEN(TRIM('Raw Data'!B233))=0),"",IF(AND(LEN('Raw Data'!B233) &lt;= 50,LEN('Raw Data'!B233)&gt; 0),"",_xlfn.REGEXEXTRACT(CELL("address",'Raw Data'!B233),"\$([A-Z]+)\$[0-9]+"))),_xlfn.REGEXEXTRACT(CELL("address",'Raw Data'!B233),"\$([A-Z]+)\$[0-9]+"))</f>
        <v/>
      </c>
      <c r="C233" s="7" t="str" cm="1">
        <f t="array" aca="1" ref="C233" ca="1">IFERROR(IF(OR('Raw Data'!C233="",LEN(TRIM('Raw Data'!C233))=0),"",IF(AND(LEN('Raw Data'!C233) &lt;= 50,LEN('Raw Data'!C233)&gt; 0),"",_xlfn.REGEXEXTRACT(CELL("address",'Raw Data'!C233),"\$([A-Z]+)\$[0-9]+"))),_xlfn.REGEXEXTRACT(CELL("address",'Raw Data'!C233),"\$([A-Z]+)\$[0-9]+"))</f>
        <v/>
      </c>
      <c r="D233" s="7" t="str" cm="1">
        <f t="array" aca="1" ref="D233" ca="1">IFERROR(IF(OR('Raw Data'!D233="",LEN(TRIM('Raw Data'!D233))=0),"",IF(AND(LEN('Raw Data'!D233) &lt;= 255,LEN('Raw Data'!D233)&gt; 0),"",_xlfn.REGEXEXTRACT(CELL("address",'Raw Data'!D233),"\$([A-Z]+)\$[0-9]+"))),_xlfn.REGEXEXTRACT(CELL("address",'Raw Data'!D233),"\$([A-Z]+)\$[0-9]+"))</f>
        <v/>
      </c>
      <c r="E233" s="7" t="str" cm="1">
        <f t="array" aca="1" ref="E233" ca="1">IFERROR(IF(OR('Raw Data'!E233="",LEN(TRIM('Raw Data'!E233))=0),"",IF(AND(ISNUMBER('Raw Data'!E233),'Raw Data'!E233&gt;=Configuration!$D$2),"",_xlfn.REGEXEXTRACT(CELL("address",'Raw Data'!E233),"\$([A-Z]+)\$[0-9]+"))),_xlfn.REGEXEXTRACT(CELL("address",E233), "\$([A-Z]+)\$[0-9]+"))</f>
        <v/>
      </c>
      <c r="F233" s="7" t="str" cm="1">
        <f t="array" aca="1" ref="F233" ca="1">IFERROR(IF(OR('Raw Data'!F233="",LEN(TRIM('Raw Data'!F233))=0),"",IF(AND(LEN('Raw Data'!F233) &lt;= 20,LEN('Raw Data'!F233)&gt; 0),"",_xlfn.REGEXEXTRACT(CELL("address",'Raw Data'!F233),"\$([A-Z]+)\$[0-9]+"))),_xlfn.REGEXEXTRACT(CELL("address",'Raw Data'!F233),"\$([A-Z]+)\$[0-9]+"))</f>
        <v/>
      </c>
      <c r="G233" s="7" t="str" cm="1">
        <f t="array" aca="1" ref="G233" ca="1">IFERROR(IF(OR('Raw Data'!G233="",LEN(TRIM('Raw Data'!G233))=0),"",IF(AND(ISNUMBER('Raw Data'!G233), IFERROR('Raw Data'!G233 = ROUND('Raw Data'!G233, 2),FALSE)),"",_xlfn.REGEXEXTRACT(CELL("address",G233), "\$([A-Z]+)\$[0-9]+"))),_xlfn.REGEXEXTRACT(CELL("address",G233), "\$([A-Z]+)\$[0-9]+"))</f>
        <v/>
      </c>
      <c r="H233" s="7" t="str" cm="1">
        <f t="array" aca="1" ref="H233" ca="1">IFERROR(IF(OR('Raw Data'!H233="",LEN(TRIM('Raw Data'!H233))=0),"",IF(AND(ISNUMBER('Raw Data'!H233), IFERROR('Raw Data'!H233 = ROUND('Raw Data'!H233, 2),FALSE)),"",_xlfn.REGEXEXTRACT(CELL("address",H233), "\$([A-Z]+)\$[0-9]+"))),_xlfn.REGEXEXTRACT(CELL("address",H233), "\$([A-Z]+)\$[0-9]+"))</f>
        <v/>
      </c>
      <c r="I233" s="7" t="str" cm="1">
        <f t="array" aca="1" ref="I233" ca="1">IFERROR(IF(OR('Raw Data'!I233="",LEN(TRIM('Raw Data'!I233))=0),"",IF(AND(LEN('Raw Data'!I233) &lt;= 50,LEN('Raw Data'!I233)&gt; 0),"",_xlfn.REGEXEXTRACT(CELL("address",'Raw Data'!I233),"\$([A-Z]+)\$[0-9]+"))),_xlfn.REGEXEXTRACT(CELL("address",'Raw Data'!I233),"\$([A-Z]+)\$[0-9]+"))</f>
        <v/>
      </c>
      <c r="J233" s="7" t="str" cm="1">
        <f t="array" aca="1" ref="J233" ca="1">IFERROR(IF(OR('Raw Data'!J233="",LEN(TRIM('Raw Data'!J233))=0),"",IF(AND(ISNUMBER('Raw Data'!J233),'Raw Data'!J233&gt;=Configuration!$D$2),"",_xlfn.REGEXEXTRACT(CELL("address",'Raw Data'!J233),"\$([A-Z]+)\$[0-9]+"))),_xlfn.REGEXEXTRACT(CELL("address",J233), "\$([A-Z]+)\$[0-9]+"))</f>
        <v/>
      </c>
      <c r="K233" s="7" t="str" cm="1">
        <f t="array" aca="1" ref="K233" ca="1">IFERROR(IF(OR('Raw Data'!K233="",LEN(TRIM('Raw Data'!K233))=0),"",IF(AND(ISNUMBER('Raw Data'!K233), IFERROR('Raw Data'!K233 = ROUND('Raw Data'!K233, 2),FALSE)),"",_xlfn.REGEXEXTRACT(CELL("address",K233), "\$([A-Z]+)\$[0-9]+"))),_xlfn.REGEXEXTRACT(CELL("address",K233), "\$([A-Z]+)\$[0-9]+"))</f>
        <v/>
      </c>
      <c r="L233" s="7" t="str" cm="1">
        <f t="array" aca="1" ref="L233" ca="1">IFERROR(IF(OR('Raw Data'!L233="",LEN(TRIM('Raw Data'!L233))=0),"",IF(AND(ISNUMBER('Raw Data'!L233), IFERROR('Raw Data'!L233 = ROUND('Raw Data'!L233, 2),FALSE)),"",_xlfn.REGEXEXTRACT(CELL("address",L233), "\$([A-Z]+)\$[0-9]+"))),_xlfn.REGEXEXTRACT(CELL("address",L233), "\$([A-Z]+)\$[0-9]+"))</f>
        <v/>
      </c>
      <c r="M233" s="7" t="str" cm="1">
        <f t="array" aca="1" ref="M233" ca="1">IFERROR(IF(OR('Raw Data'!M233="",LEN(TRIM('Raw Data'!M233))=0),"",IF(AND(ISNUMBER('Raw Data'!M233), IFERROR('Raw Data'!M233 = ROUND('Raw Data'!M233, 2),FALSE)),"",_xlfn.REGEXEXTRACT(CELL("address",M233), "\$([A-Z]+)\$[0-9]+"))),_xlfn.REGEXEXTRACT(CELL("address",M233), "\$([A-Z]+)\$[0-9]+"))</f>
        <v/>
      </c>
      <c r="N233" s="7" t="str" cm="1">
        <f t="array" aca="1" ref="N233" ca="1">IFERROR(IF(OR('Raw Data'!N233="",LEN(TRIM('Raw Data'!N233))=0),"",IF(AND(ISNUMBER('Raw Data'!N233), IFERROR('Raw Data'!N233 = ROUND('Raw Data'!N233, 2),FALSE)),"",_xlfn.REGEXEXTRACT(CELL("address",N233), "\$([A-Z]+)\$[0-9]+"))),_xlfn.REGEXEXTRACT(CELL("address",N233), "\$([A-Z]+)\$[0-9]+"))</f>
        <v/>
      </c>
      <c r="O233" s="7" t="str" cm="1">
        <f t="array" aca="1" ref="O233" ca="1">IFERROR(IF(OR('Raw Data'!O233="",LEN(TRIM('Raw Data'!O233))=0),"",IF(AND(ISNUMBER('Raw Data'!O233), IFERROR('Raw Data'!O233 = ROUND('Raw Data'!O233, 2),FALSE)),"",_xlfn.REGEXEXTRACT(CELL("address",O233), "\$([A-Z]+)\$[0-9]+"))),_xlfn.REGEXEXTRACT(CELL("address",O233), "\$([A-Z]+)\$[0-9]+"))</f>
        <v/>
      </c>
      <c r="P233" s="7" t="str" cm="1">
        <f t="array" aca="1" ref="P233" ca="1">IFERROR(IF(OR('Raw Data'!P233="",LEN(TRIM('Raw Data'!P233))=0),"",IF(AND(ISNUMBER('Raw Data'!P233),'Raw Data'!P233&gt;=Configuration!$D$2),"",_xlfn.REGEXEXTRACT(CELL("address",'Raw Data'!P233),"\$([A-Z]+)\$[0-9]+"))),_xlfn.REGEXEXTRACT(CELL("address",P233), "\$([A-Z]+)\$[0-9]+"))</f>
        <v/>
      </c>
      <c r="Q233" s="7" t="str" cm="1">
        <f t="array" aca="1" ref="Q233" ca="1">IFERROR(IF(OR('Raw Data'!Q233="",LEN(TRIM('Raw Data'!Q233))=0),"",IF(AND(ISNUMBER('Raw Data'!Q233),'Raw Data'!Q233&gt;=Configuration!$D$2),"",_xlfn.REGEXEXTRACT(CELL("address",'Raw Data'!Q233),"\$([A-Z]+)\$[0-9]+"))),_xlfn.REGEXEXTRACT(CELL("address",Q233), "\$([A-Z]+)\$[0-9]+"))</f>
        <v/>
      </c>
      <c r="R233" s="7" t="str" cm="1">
        <f t="array" aca="1" ref="R233" ca="1">IFERROR(IF(OR('Raw Data'!R233="",LEN(TRIM('Raw Data'!R233))=0),"",IF(AND(ISNUMBER('Raw Data'!R233), IFERROR('Raw Data'!R233 = ROUND('Raw Data'!R233, 2),FALSE)),"",_xlfn.REGEXEXTRACT(CELL("address",R233), "\$([A-Z]+)\$[0-9]+"))),_xlfn.REGEXEXTRACT(CELL("address",R233), "\$([A-Z]+)\$[0-9]+"))</f>
        <v/>
      </c>
      <c r="S233" s="7" t="str" cm="1">
        <f t="array" aca="1" ref="S233" ca="1">IFERROR(IF(OR('Raw Data'!S233="",LEN(TRIM('Raw Data'!S233))=0),"",IF(AND(ISNUMBER('Raw Data'!S233), IFERROR('Raw Data'!S233 = ROUND('Raw Data'!S233, 2),FALSE)),"",_xlfn.REGEXEXTRACT(CELL("address",S233), "\$([A-Z]+)\$[0-9]+"))),_xlfn.REGEXEXTRACT(CELL("address",S233), "\$([A-Z]+)\$[0-9]+"))</f>
        <v/>
      </c>
      <c r="T233" s="7" t="str" cm="1">
        <f t="array" aca="1" ref="T233" ca="1">IFERROR(IF(OR('Raw Data'!T233="",LEN(TRIM('Raw Data'!T233))=0),"",IF(AND(ISNUMBER('Raw Data'!T233), IFERROR('Raw Data'!T233 = ROUND('Raw Data'!T233, 2),FALSE)),"",_xlfn.REGEXEXTRACT(CELL("address",T233), "\$([A-Z]+)\$[0-9]+"))),_xlfn.REGEXEXTRACT(CELL("address",T233), "\$([A-Z]+)\$[0-9]+"))</f>
        <v/>
      </c>
      <c r="U233" s="7" t="str" cm="1">
        <f t="array" aca="1" ref="U233" ca="1">IFERROR(IF(OR('Raw Data'!U233="",LEN(TRIM('Raw Data'!U233))=0),"",IF(AND(LEN('Raw Data'!U233) &lt;= 5,LEN('Raw Data'!U233)&gt; 0),"",_xlfn.REGEXEXTRACT(CELL("address",'Raw Data'!U233),"\$([A-Z]+)\$[0-9]+"))),_xlfn.REGEXEXTRACT(CELL("address",'Raw Data'!U233),"\$([A-Z]+)\$[0-9]+"))</f>
        <v/>
      </c>
      <c r="V233" s="7" t="str" cm="1">
        <f t="array" aca="1" ref="V233" ca="1">IFERROR(IF(OR('Raw Data'!V233="",LEN(TRIM('Raw Data'!V233))=0),"",IF(AND(ISNUMBER('Raw Data'!V233), IFERROR('Raw Data'!V233 = ROUND('Raw Data'!V233, 2),FALSE)),"",_xlfn.REGEXEXTRACT(CELL("address",V233), "\$([A-Z]+)\$[0-9]+"))),_xlfn.REGEXEXTRACT(CELL("address",V233), "\$([A-Z]+)\$[0-9]+"))</f>
        <v/>
      </c>
      <c r="W233" s="7" t="str" cm="1">
        <f t="array" aca="1" ref="W233" ca="1">IFERROR(IF(OR('Raw Data'!W233="",LEN(TRIM('Raw Data'!W233))=0),"",IF(AND(ISNUMBER('Raw Data'!W233), IFERROR('Raw Data'!W233 = ROUND('Raw Data'!W233, 2),FALSE)),"",_xlfn.REGEXEXTRACT(CELL("address",W233), "\$([A-Z]+)\$[0-9]+"))),_xlfn.REGEXEXTRACT(CELL("address",W233), "\$([A-Z]+)\$[0-9]+"))</f>
        <v/>
      </c>
      <c r="X233" s="7" t="str" cm="1">
        <f t="array" aca="1" ref="X233" ca="1">IFERROR(IF(OR('Raw Data'!X233="",LEN(TRIM('Raw Data'!X233))=0),"",IF(AND(ISNUMBER('Raw Data'!X233), IFERROR('Raw Data'!X233 = ROUND('Raw Data'!X233, 2),FALSE)),"",_xlfn.REGEXEXTRACT(CELL("address",X233), "\$([A-Z]+)\$[0-9]+"))),_xlfn.REGEXEXTRACT(CELL("address",X233), "\$([A-Z]+)\$[0-9]+"))</f>
        <v/>
      </c>
    </row>
    <row r="234" spans="2:24" x14ac:dyDescent="0.25">
      <c r="B234" s="7" t="str" cm="1">
        <f t="array" aca="1" ref="B234" ca="1">IFERROR(IF(OR('Raw Data'!B234="",LEN(TRIM('Raw Data'!B234))=0),"",IF(AND(LEN('Raw Data'!B234) &lt;= 50,LEN('Raw Data'!B234)&gt; 0),"",_xlfn.REGEXEXTRACT(CELL("address",'Raw Data'!B234),"\$([A-Z]+)\$[0-9]+"))),_xlfn.REGEXEXTRACT(CELL("address",'Raw Data'!B234),"\$([A-Z]+)\$[0-9]+"))</f>
        <v/>
      </c>
      <c r="C234" s="7" t="str" cm="1">
        <f t="array" aca="1" ref="C234" ca="1">IFERROR(IF(OR('Raw Data'!C234="",LEN(TRIM('Raw Data'!C234))=0),"",IF(AND(LEN('Raw Data'!C234) &lt;= 50,LEN('Raw Data'!C234)&gt; 0),"",_xlfn.REGEXEXTRACT(CELL("address",'Raw Data'!C234),"\$([A-Z]+)\$[0-9]+"))),_xlfn.REGEXEXTRACT(CELL("address",'Raw Data'!C234),"\$([A-Z]+)\$[0-9]+"))</f>
        <v/>
      </c>
      <c r="D234" s="7" t="str" cm="1">
        <f t="array" aca="1" ref="D234" ca="1">IFERROR(IF(OR('Raw Data'!D234="",LEN(TRIM('Raw Data'!D234))=0),"",IF(AND(LEN('Raw Data'!D234) &lt;= 255,LEN('Raw Data'!D234)&gt; 0),"",_xlfn.REGEXEXTRACT(CELL("address",'Raw Data'!D234),"\$([A-Z]+)\$[0-9]+"))),_xlfn.REGEXEXTRACT(CELL("address",'Raw Data'!D234),"\$([A-Z]+)\$[0-9]+"))</f>
        <v/>
      </c>
      <c r="E234" s="7" t="str" cm="1">
        <f t="array" aca="1" ref="E234" ca="1">IFERROR(IF(OR('Raw Data'!E234="",LEN(TRIM('Raw Data'!E234))=0),"",IF(AND(ISNUMBER('Raw Data'!E234),'Raw Data'!E234&gt;=Configuration!$D$2),"",_xlfn.REGEXEXTRACT(CELL("address",'Raw Data'!E234),"\$([A-Z]+)\$[0-9]+"))),_xlfn.REGEXEXTRACT(CELL("address",E234), "\$([A-Z]+)\$[0-9]+"))</f>
        <v/>
      </c>
      <c r="F234" s="7" t="str" cm="1">
        <f t="array" aca="1" ref="F234" ca="1">IFERROR(IF(OR('Raw Data'!F234="",LEN(TRIM('Raw Data'!F234))=0),"",IF(AND(LEN('Raw Data'!F234) &lt;= 20,LEN('Raw Data'!F234)&gt; 0),"",_xlfn.REGEXEXTRACT(CELL("address",'Raw Data'!F234),"\$([A-Z]+)\$[0-9]+"))),_xlfn.REGEXEXTRACT(CELL("address",'Raw Data'!F234),"\$([A-Z]+)\$[0-9]+"))</f>
        <v/>
      </c>
      <c r="G234" s="7" t="str" cm="1">
        <f t="array" aca="1" ref="G234" ca="1">IFERROR(IF(OR('Raw Data'!G234="",LEN(TRIM('Raw Data'!G234))=0),"",IF(AND(ISNUMBER('Raw Data'!G234), IFERROR('Raw Data'!G234 = ROUND('Raw Data'!G234, 2),FALSE)),"",_xlfn.REGEXEXTRACT(CELL("address",G234), "\$([A-Z]+)\$[0-9]+"))),_xlfn.REGEXEXTRACT(CELL("address",G234), "\$([A-Z]+)\$[0-9]+"))</f>
        <v/>
      </c>
      <c r="H234" s="7" t="str" cm="1">
        <f t="array" aca="1" ref="H234" ca="1">IFERROR(IF(OR('Raw Data'!H234="",LEN(TRIM('Raw Data'!H234))=0),"",IF(AND(ISNUMBER('Raw Data'!H234), IFERROR('Raw Data'!H234 = ROUND('Raw Data'!H234, 2),FALSE)),"",_xlfn.REGEXEXTRACT(CELL("address",H234), "\$([A-Z]+)\$[0-9]+"))),_xlfn.REGEXEXTRACT(CELL("address",H234), "\$([A-Z]+)\$[0-9]+"))</f>
        <v/>
      </c>
      <c r="I234" s="7" t="str" cm="1">
        <f t="array" aca="1" ref="I234" ca="1">IFERROR(IF(OR('Raw Data'!I234="",LEN(TRIM('Raw Data'!I234))=0),"",IF(AND(LEN('Raw Data'!I234) &lt;= 50,LEN('Raw Data'!I234)&gt; 0),"",_xlfn.REGEXEXTRACT(CELL("address",'Raw Data'!I234),"\$([A-Z]+)\$[0-9]+"))),_xlfn.REGEXEXTRACT(CELL("address",'Raw Data'!I234),"\$([A-Z]+)\$[0-9]+"))</f>
        <v/>
      </c>
      <c r="J234" s="7" t="str" cm="1">
        <f t="array" aca="1" ref="J234" ca="1">IFERROR(IF(OR('Raw Data'!J234="",LEN(TRIM('Raw Data'!J234))=0),"",IF(AND(ISNUMBER('Raw Data'!J234),'Raw Data'!J234&gt;=Configuration!$D$2),"",_xlfn.REGEXEXTRACT(CELL("address",'Raw Data'!J234),"\$([A-Z]+)\$[0-9]+"))),_xlfn.REGEXEXTRACT(CELL("address",J234), "\$([A-Z]+)\$[0-9]+"))</f>
        <v/>
      </c>
      <c r="K234" s="7" t="str" cm="1">
        <f t="array" aca="1" ref="K234" ca="1">IFERROR(IF(OR('Raw Data'!K234="",LEN(TRIM('Raw Data'!K234))=0),"",IF(AND(ISNUMBER('Raw Data'!K234), IFERROR('Raw Data'!K234 = ROUND('Raw Data'!K234, 2),FALSE)),"",_xlfn.REGEXEXTRACT(CELL("address",K234), "\$([A-Z]+)\$[0-9]+"))),_xlfn.REGEXEXTRACT(CELL("address",K234), "\$([A-Z]+)\$[0-9]+"))</f>
        <v/>
      </c>
      <c r="L234" s="7" t="str" cm="1">
        <f t="array" aca="1" ref="L234" ca="1">IFERROR(IF(OR('Raw Data'!L234="",LEN(TRIM('Raw Data'!L234))=0),"",IF(AND(ISNUMBER('Raw Data'!L234), IFERROR('Raw Data'!L234 = ROUND('Raw Data'!L234, 2),FALSE)),"",_xlfn.REGEXEXTRACT(CELL("address",L234), "\$([A-Z]+)\$[0-9]+"))),_xlfn.REGEXEXTRACT(CELL("address",L234), "\$([A-Z]+)\$[0-9]+"))</f>
        <v/>
      </c>
      <c r="M234" s="7" t="str" cm="1">
        <f t="array" aca="1" ref="M234" ca="1">IFERROR(IF(OR('Raw Data'!M234="",LEN(TRIM('Raw Data'!M234))=0),"",IF(AND(ISNUMBER('Raw Data'!M234), IFERROR('Raw Data'!M234 = ROUND('Raw Data'!M234, 2),FALSE)),"",_xlfn.REGEXEXTRACT(CELL("address",M234), "\$([A-Z]+)\$[0-9]+"))),_xlfn.REGEXEXTRACT(CELL("address",M234), "\$([A-Z]+)\$[0-9]+"))</f>
        <v/>
      </c>
      <c r="N234" s="7" t="str" cm="1">
        <f t="array" aca="1" ref="N234" ca="1">IFERROR(IF(OR('Raw Data'!N234="",LEN(TRIM('Raw Data'!N234))=0),"",IF(AND(ISNUMBER('Raw Data'!N234), IFERROR('Raw Data'!N234 = ROUND('Raw Data'!N234, 2),FALSE)),"",_xlfn.REGEXEXTRACT(CELL("address",N234), "\$([A-Z]+)\$[0-9]+"))),_xlfn.REGEXEXTRACT(CELL("address",N234), "\$([A-Z]+)\$[0-9]+"))</f>
        <v/>
      </c>
      <c r="O234" s="7" t="str" cm="1">
        <f t="array" aca="1" ref="O234" ca="1">IFERROR(IF(OR('Raw Data'!O234="",LEN(TRIM('Raw Data'!O234))=0),"",IF(AND(ISNUMBER('Raw Data'!O234), IFERROR('Raw Data'!O234 = ROUND('Raw Data'!O234, 2),FALSE)),"",_xlfn.REGEXEXTRACT(CELL("address",O234), "\$([A-Z]+)\$[0-9]+"))),_xlfn.REGEXEXTRACT(CELL("address",O234), "\$([A-Z]+)\$[0-9]+"))</f>
        <v/>
      </c>
      <c r="P234" s="7" t="str" cm="1">
        <f t="array" aca="1" ref="P234" ca="1">IFERROR(IF(OR('Raw Data'!P234="",LEN(TRIM('Raw Data'!P234))=0),"",IF(AND(ISNUMBER('Raw Data'!P234),'Raw Data'!P234&gt;=Configuration!$D$2),"",_xlfn.REGEXEXTRACT(CELL("address",'Raw Data'!P234),"\$([A-Z]+)\$[0-9]+"))),_xlfn.REGEXEXTRACT(CELL("address",P234), "\$([A-Z]+)\$[0-9]+"))</f>
        <v/>
      </c>
      <c r="Q234" s="7" t="str" cm="1">
        <f t="array" aca="1" ref="Q234" ca="1">IFERROR(IF(OR('Raw Data'!Q234="",LEN(TRIM('Raw Data'!Q234))=0),"",IF(AND(ISNUMBER('Raw Data'!Q234),'Raw Data'!Q234&gt;=Configuration!$D$2),"",_xlfn.REGEXEXTRACT(CELL("address",'Raw Data'!Q234),"\$([A-Z]+)\$[0-9]+"))),_xlfn.REGEXEXTRACT(CELL("address",Q234), "\$([A-Z]+)\$[0-9]+"))</f>
        <v/>
      </c>
      <c r="R234" s="7" t="str" cm="1">
        <f t="array" aca="1" ref="R234" ca="1">IFERROR(IF(OR('Raw Data'!R234="",LEN(TRIM('Raw Data'!R234))=0),"",IF(AND(ISNUMBER('Raw Data'!R234), IFERROR('Raw Data'!R234 = ROUND('Raw Data'!R234, 2),FALSE)),"",_xlfn.REGEXEXTRACT(CELL("address",R234), "\$([A-Z]+)\$[0-9]+"))),_xlfn.REGEXEXTRACT(CELL("address",R234), "\$([A-Z]+)\$[0-9]+"))</f>
        <v/>
      </c>
      <c r="S234" s="7" t="str" cm="1">
        <f t="array" aca="1" ref="S234" ca="1">IFERROR(IF(OR('Raw Data'!S234="",LEN(TRIM('Raw Data'!S234))=0),"",IF(AND(ISNUMBER('Raw Data'!S234), IFERROR('Raw Data'!S234 = ROUND('Raw Data'!S234, 2),FALSE)),"",_xlfn.REGEXEXTRACT(CELL("address",S234), "\$([A-Z]+)\$[0-9]+"))),_xlfn.REGEXEXTRACT(CELL("address",S234), "\$([A-Z]+)\$[0-9]+"))</f>
        <v/>
      </c>
      <c r="T234" s="7" t="str" cm="1">
        <f t="array" aca="1" ref="T234" ca="1">IFERROR(IF(OR('Raw Data'!T234="",LEN(TRIM('Raw Data'!T234))=0),"",IF(AND(ISNUMBER('Raw Data'!T234), IFERROR('Raw Data'!T234 = ROUND('Raw Data'!T234, 2),FALSE)),"",_xlfn.REGEXEXTRACT(CELL("address",T234), "\$([A-Z]+)\$[0-9]+"))),_xlfn.REGEXEXTRACT(CELL("address",T234), "\$([A-Z]+)\$[0-9]+"))</f>
        <v/>
      </c>
      <c r="U234" s="7" t="str" cm="1">
        <f t="array" aca="1" ref="U234" ca="1">IFERROR(IF(OR('Raw Data'!U234="",LEN(TRIM('Raw Data'!U234))=0),"",IF(AND(LEN('Raw Data'!U234) &lt;= 5,LEN('Raw Data'!U234)&gt; 0),"",_xlfn.REGEXEXTRACT(CELL("address",'Raw Data'!U234),"\$([A-Z]+)\$[0-9]+"))),_xlfn.REGEXEXTRACT(CELL("address",'Raw Data'!U234),"\$([A-Z]+)\$[0-9]+"))</f>
        <v/>
      </c>
      <c r="V234" s="7" t="str" cm="1">
        <f t="array" aca="1" ref="V234" ca="1">IFERROR(IF(OR('Raw Data'!V234="",LEN(TRIM('Raw Data'!V234))=0),"",IF(AND(ISNUMBER('Raw Data'!V234), IFERROR('Raw Data'!V234 = ROUND('Raw Data'!V234, 2),FALSE)),"",_xlfn.REGEXEXTRACT(CELL("address",V234), "\$([A-Z]+)\$[0-9]+"))),_xlfn.REGEXEXTRACT(CELL("address",V234), "\$([A-Z]+)\$[0-9]+"))</f>
        <v/>
      </c>
      <c r="W234" s="7" t="str" cm="1">
        <f t="array" aca="1" ref="W234" ca="1">IFERROR(IF(OR('Raw Data'!W234="",LEN(TRIM('Raw Data'!W234))=0),"",IF(AND(ISNUMBER('Raw Data'!W234), IFERROR('Raw Data'!W234 = ROUND('Raw Data'!W234, 2),FALSE)),"",_xlfn.REGEXEXTRACT(CELL("address",W234), "\$([A-Z]+)\$[0-9]+"))),_xlfn.REGEXEXTRACT(CELL("address",W234), "\$([A-Z]+)\$[0-9]+"))</f>
        <v/>
      </c>
      <c r="X234" s="7" t="str" cm="1">
        <f t="array" aca="1" ref="X234" ca="1">IFERROR(IF(OR('Raw Data'!X234="",LEN(TRIM('Raw Data'!X234))=0),"",IF(AND(ISNUMBER('Raw Data'!X234), IFERROR('Raw Data'!X234 = ROUND('Raw Data'!X234, 2),FALSE)),"",_xlfn.REGEXEXTRACT(CELL("address",X234), "\$([A-Z]+)\$[0-9]+"))),_xlfn.REGEXEXTRACT(CELL("address",X234), "\$([A-Z]+)\$[0-9]+"))</f>
        <v/>
      </c>
    </row>
    <row r="235" spans="2:24" x14ac:dyDescent="0.25">
      <c r="B235" s="7" t="str" cm="1">
        <f t="array" aca="1" ref="B235" ca="1">IFERROR(IF(OR('Raw Data'!B235="",LEN(TRIM('Raw Data'!B235))=0),"",IF(AND(LEN('Raw Data'!B235) &lt;= 50,LEN('Raw Data'!B235)&gt; 0),"",_xlfn.REGEXEXTRACT(CELL("address",'Raw Data'!B235),"\$([A-Z]+)\$[0-9]+"))),_xlfn.REGEXEXTRACT(CELL("address",'Raw Data'!B235),"\$([A-Z]+)\$[0-9]+"))</f>
        <v/>
      </c>
      <c r="C235" s="7" t="str" cm="1">
        <f t="array" aca="1" ref="C235" ca="1">IFERROR(IF(OR('Raw Data'!C235="",LEN(TRIM('Raw Data'!C235))=0),"",IF(AND(LEN('Raw Data'!C235) &lt;= 50,LEN('Raw Data'!C235)&gt; 0),"",_xlfn.REGEXEXTRACT(CELL("address",'Raw Data'!C235),"\$([A-Z]+)\$[0-9]+"))),_xlfn.REGEXEXTRACT(CELL("address",'Raw Data'!C235),"\$([A-Z]+)\$[0-9]+"))</f>
        <v/>
      </c>
      <c r="D235" s="7" t="str" cm="1">
        <f t="array" aca="1" ref="D235" ca="1">IFERROR(IF(OR('Raw Data'!D235="",LEN(TRIM('Raw Data'!D235))=0),"",IF(AND(LEN('Raw Data'!D235) &lt;= 255,LEN('Raw Data'!D235)&gt; 0),"",_xlfn.REGEXEXTRACT(CELL("address",'Raw Data'!D235),"\$([A-Z]+)\$[0-9]+"))),_xlfn.REGEXEXTRACT(CELL("address",'Raw Data'!D235),"\$([A-Z]+)\$[0-9]+"))</f>
        <v/>
      </c>
      <c r="E235" s="7" t="str" cm="1">
        <f t="array" aca="1" ref="E235" ca="1">IFERROR(IF(OR('Raw Data'!E235="",LEN(TRIM('Raw Data'!E235))=0),"",IF(AND(ISNUMBER('Raw Data'!E235),'Raw Data'!E235&gt;=Configuration!$D$2),"",_xlfn.REGEXEXTRACT(CELL("address",'Raw Data'!E235),"\$([A-Z]+)\$[0-9]+"))),_xlfn.REGEXEXTRACT(CELL("address",E235), "\$([A-Z]+)\$[0-9]+"))</f>
        <v/>
      </c>
      <c r="F235" s="7" t="str" cm="1">
        <f t="array" aca="1" ref="F235" ca="1">IFERROR(IF(OR('Raw Data'!F235="",LEN(TRIM('Raw Data'!F235))=0),"",IF(AND(LEN('Raw Data'!F235) &lt;= 20,LEN('Raw Data'!F235)&gt; 0),"",_xlfn.REGEXEXTRACT(CELL("address",'Raw Data'!F235),"\$([A-Z]+)\$[0-9]+"))),_xlfn.REGEXEXTRACT(CELL("address",'Raw Data'!F235),"\$([A-Z]+)\$[0-9]+"))</f>
        <v/>
      </c>
      <c r="G235" s="7" t="str" cm="1">
        <f t="array" aca="1" ref="G235" ca="1">IFERROR(IF(OR('Raw Data'!G235="",LEN(TRIM('Raw Data'!G235))=0),"",IF(AND(ISNUMBER('Raw Data'!G235), IFERROR('Raw Data'!G235 = ROUND('Raw Data'!G235, 2),FALSE)),"",_xlfn.REGEXEXTRACT(CELL("address",G235), "\$([A-Z]+)\$[0-9]+"))),_xlfn.REGEXEXTRACT(CELL("address",G235), "\$([A-Z]+)\$[0-9]+"))</f>
        <v/>
      </c>
      <c r="H235" s="7" t="str" cm="1">
        <f t="array" aca="1" ref="H235" ca="1">IFERROR(IF(OR('Raw Data'!H235="",LEN(TRIM('Raw Data'!H235))=0),"",IF(AND(ISNUMBER('Raw Data'!H235), IFERROR('Raw Data'!H235 = ROUND('Raw Data'!H235, 2),FALSE)),"",_xlfn.REGEXEXTRACT(CELL("address",H235), "\$([A-Z]+)\$[0-9]+"))),_xlfn.REGEXEXTRACT(CELL("address",H235), "\$([A-Z]+)\$[0-9]+"))</f>
        <v/>
      </c>
      <c r="I235" s="7" t="str" cm="1">
        <f t="array" aca="1" ref="I235" ca="1">IFERROR(IF(OR('Raw Data'!I235="",LEN(TRIM('Raw Data'!I235))=0),"",IF(AND(LEN('Raw Data'!I235) &lt;= 50,LEN('Raw Data'!I235)&gt; 0),"",_xlfn.REGEXEXTRACT(CELL("address",'Raw Data'!I235),"\$([A-Z]+)\$[0-9]+"))),_xlfn.REGEXEXTRACT(CELL("address",'Raw Data'!I235),"\$([A-Z]+)\$[0-9]+"))</f>
        <v/>
      </c>
      <c r="J235" s="7" t="str" cm="1">
        <f t="array" aca="1" ref="J235" ca="1">IFERROR(IF(OR('Raw Data'!J235="",LEN(TRIM('Raw Data'!J235))=0),"",IF(AND(ISNUMBER('Raw Data'!J235),'Raw Data'!J235&gt;=Configuration!$D$2),"",_xlfn.REGEXEXTRACT(CELL("address",'Raw Data'!J235),"\$([A-Z]+)\$[0-9]+"))),_xlfn.REGEXEXTRACT(CELL("address",J235), "\$([A-Z]+)\$[0-9]+"))</f>
        <v/>
      </c>
      <c r="K235" s="7" t="str" cm="1">
        <f t="array" aca="1" ref="K235" ca="1">IFERROR(IF(OR('Raw Data'!K235="",LEN(TRIM('Raw Data'!K235))=0),"",IF(AND(ISNUMBER('Raw Data'!K235), IFERROR('Raw Data'!K235 = ROUND('Raw Data'!K235, 2),FALSE)),"",_xlfn.REGEXEXTRACT(CELL("address",K235), "\$([A-Z]+)\$[0-9]+"))),_xlfn.REGEXEXTRACT(CELL("address",K235), "\$([A-Z]+)\$[0-9]+"))</f>
        <v/>
      </c>
      <c r="L235" s="7" t="str" cm="1">
        <f t="array" aca="1" ref="L235" ca="1">IFERROR(IF(OR('Raw Data'!L235="",LEN(TRIM('Raw Data'!L235))=0),"",IF(AND(ISNUMBER('Raw Data'!L235), IFERROR('Raw Data'!L235 = ROUND('Raw Data'!L235, 2),FALSE)),"",_xlfn.REGEXEXTRACT(CELL("address",L235), "\$([A-Z]+)\$[0-9]+"))),_xlfn.REGEXEXTRACT(CELL("address",L235), "\$([A-Z]+)\$[0-9]+"))</f>
        <v/>
      </c>
      <c r="M235" s="7" t="str" cm="1">
        <f t="array" aca="1" ref="M235" ca="1">IFERROR(IF(OR('Raw Data'!M235="",LEN(TRIM('Raw Data'!M235))=0),"",IF(AND(ISNUMBER('Raw Data'!M235), IFERROR('Raw Data'!M235 = ROUND('Raw Data'!M235, 2),FALSE)),"",_xlfn.REGEXEXTRACT(CELL("address",M235), "\$([A-Z]+)\$[0-9]+"))),_xlfn.REGEXEXTRACT(CELL("address",M235), "\$([A-Z]+)\$[0-9]+"))</f>
        <v/>
      </c>
      <c r="N235" s="7" t="str" cm="1">
        <f t="array" aca="1" ref="N235" ca="1">IFERROR(IF(OR('Raw Data'!N235="",LEN(TRIM('Raw Data'!N235))=0),"",IF(AND(ISNUMBER('Raw Data'!N235), IFERROR('Raw Data'!N235 = ROUND('Raw Data'!N235, 2),FALSE)),"",_xlfn.REGEXEXTRACT(CELL("address",N235), "\$([A-Z]+)\$[0-9]+"))),_xlfn.REGEXEXTRACT(CELL("address",N235), "\$([A-Z]+)\$[0-9]+"))</f>
        <v/>
      </c>
      <c r="O235" s="7" t="str" cm="1">
        <f t="array" aca="1" ref="O235" ca="1">IFERROR(IF(OR('Raw Data'!O235="",LEN(TRIM('Raw Data'!O235))=0),"",IF(AND(ISNUMBER('Raw Data'!O235), IFERROR('Raw Data'!O235 = ROUND('Raw Data'!O235, 2),FALSE)),"",_xlfn.REGEXEXTRACT(CELL("address",O235), "\$([A-Z]+)\$[0-9]+"))),_xlfn.REGEXEXTRACT(CELL("address",O235), "\$([A-Z]+)\$[0-9]+"))</f>
        <v/>
      </c>
      <c r="P235" s="7" t="str" cm="1">
        <f t="array" aca="1" ref="P235" ca="1">IFERROR(IF(OR('Raw Data'!P235="",LEN(TRIM('Raw Data'!P235))=0),"",IF(AND(ISNUMBER('Raw Data'!P235),'Raw Data'!P235&gt;=Configuration!$D$2),"",_xlfn.REGEXEXTRACT(CELL("address",'Raw Data'!P235),"\$([A-Z]+)\$[0-9]+"))),_xlfn.REGEXEXTRACT(CELL("address",P235), "\$([A-Z]+)\$[0-9]+"))</f>
        <v/>
      </c>
      <c r="Q235" s="7" t="str" cm="1">
        <f t="array" aca="1" ref="Q235" ca="1">IFERROR(IF(OR('Raw Data'!Q235="",LEN(TRIM('Raw Data'!Q235))=0),"",IF(AND(ISNUMBER('Raw Data'!Q235),'Raw Data'!Q235&gt;=Configuration!$D$2),"",_xlfn.REGEXEXTRACT(CELL("address",'Raw Data'!Q235),"\$([A-Z]+)\$[0-9]+"))),_xlfn.REGEXEXTRACT(CELL("address",Q235), "\$([A-Z]+)\$[0-9]+"))</f>
        <v/>
      </c>
      <c r="R235" s="7" t="str" cm="1">
        <f t="array" aca="1" ref="R235" ca="1">IFERROR(IF(OR('Raw Data'!R235="",LEN(TRIM('Raw Data'!R235))=0),"",IF(AND(ISNUMBER('Raw Data'!R235), IFERROR('Raw Data'!R235 = ROUND('Raw Data'!R235, 2),FALSE)),"",_xlfn.REGEXEXTRACT(CELL("address",R235), "\$([A-Z]+)\$[0-9]+"))),_xlfn.REGEXEXTRACT(CELL("address",R235), "\$([A-Z]+)\$[0-9]+"))</f>
        <v/>
      </c>
      <c r="S235" s="7" t="str" cm="1">
        <f t="array" aca="1" ref="S235" ca="1">IFERROR(IF(OR('Raw Data'!S235="",LEN(TRIM('Raw Data'!S235))=0),"",IF(AND(ISNUMBER('Raw Data'!S235), IFERROR('Raw Data'!S235 = ROUND('Raw Data'!S235, 2),FALSE)),"",_xlfn.REGEXEXTRACT(CELL("address",S235), "\$([A-Z]+)\$[0-9]+"))),_xlfn.REGEXEXTRACT(CELL("address",S235), "\$([A-Z]+)\$[0-9]+"))</f>
        <v/>
      </c>
      <c r="T235" s="7" t="str" cm="1">
        <f t="array" aca="1" ref="T235" ca="1">IFERROR(IF(OR('Raw Data'!T235="",LEN(TRIM('Raw Data'!T235))=0),"",IF(AND(ISNUMBER('Raw Data'!T235), IFERROR('Raw Data'!T235 = ROUND('Raw Data'!T235, 2),FALSE)),"",_xlfn.REGEXEXTRACT(CELL("address",T235), "\$([A-Z]+)\$[0-9]+"))),_xlfn.REGEXEXTRACT(CELL("address",T235), "\$([A-Z]+)\$[0-9]+"))</f>
        <v/>
      </c>
      <c r="U235" s="7" t="str" cm="1">
        <f t="array" aca="1" ref="U235" ca="1">IFERROR(IF(OR('Raw Data'!U235="",LEN(TRIM('Raw Data'!U235))=0),"",IF(AND(LEN('Raw Data'!U235) &lt;= 5,LEN('Raw Data'!U235)&gt; 0),"",_xlfn.REGEXEXTRACT(CELL("address",'Raw Data'!U235),"\$([A-Z]+)\$[0-9]+"))),_xlfn.REGEXEXTRACT(CELL("address",'Raw Data'!U235),"\$([A-Z]+)\$[0-9]+"))</f>
        <v/>
      </c>
      <c r="V235" s="7" t="str" cm="1">
        <f t="array" aca="1" ref="V235" ca="1">IFERROR(IF(OR('Raw Data'!V235="",LEN(TRIM('Raw Data'!V235))=0),"",IF(AND(ISNUMBER('Raw Data'!V235), IFERROR('Raw Data'!V235 = ROUND('Raw Data'!V235, 2),FALSE)),"",_xlfn.REGEXEXTRACT(CELL("address",V235), "\$([A-Z]+)\$[0-9]+"))),_xlfn.REGEXEXTRACT(CELL("address",V235), "\$([A-Z]+)\$[0-9]+"))</f>
        <v/>
      </c>
      <c r="W235" s="7" t="str" cm="1">
        <f t="array" aca="1" ref="W235" ca="1">IFERROR(IF(OR('Raw Data'!W235="",LEN(TRIM('Raw Data'!W235))=0),"",IF(AND(ISNUMBER('Raw Data'!W235), IFERROR('Raw Data'!W235 = ROUND('Raw Data'!W235, 2),FALSE)),"",_xlfn.REGEXEXTRACT(CELL("address",W235), "\$([A-Z]+)\$[0-9]+"))),_xlfn.REGEXEXTRACT(CELL("address",W235), "\$([A-Z]+)\$[0-9]+"))</f>
        <v/>
      </c>
      <c r="X235" s="7" t="str" cm="1">
        <f t="array" aca="1" ref="X235" ca="1">IFERROR(IF(OR('Raw Data'!X235="",LEN(TRIM('Raw Data'!X235))=0),"",IF(AND(ISNUMBER('Raw Data'!X235), IFERROR('Raw Data'!X235 = ROUND('Raw Data'!X235, 2),FALSE)),"",_xlfn.REGEXEXTRACT(CELL("address",X235), "\$([A-Z]+)\$[0-9]+"))),_xlfn.REGEXEXTRACT(CELL("address",X235), "\$([A-Z]+)\$[0-9]+"))</f>
        <v/>
      </c>
    </row>
    <row r="236" spans="2:24" x14ac:dyDescent="0.25">
      <c r="B236" s="7" t="str" cm="1">
        <f t="array" aca="1" ref="B236" ca="1">IFERROR(IF(OR('Raw Data'!B236="",LEN(TRIM('Raw Data'!B236))=0),"",IF(AND(LEN('Raw Data'!B236) &lt;= 50,LEN('Raw Data'!B236)&gt; 0),"",_xlfn.REGEXEXTRACT(CELL("address",'Raw Data'!B236),"\$([A-Z]+)\$[0-9]+"))),_xlfn.REGEXEXTRACT(CELL("address",'Raw Data'!B236),"\$([A-Z]+)\$[0-9]+"))</f>
        <v/>
      </c>
      <c r="C236" s="7" t="str" cm="1">
        <f t="array" aca="1" ref="C236" ca="1">IFERROR(IF(OR('Raw Data'!C236="",LEN(TRIM('Raw Data'!C236))=0),"",IF(AND(LEN('Raw Data'!C236) &lt;= 50,LEN('Raw Data'!C236)&gt; 0),"",_xlfn.REGEXEXTRACT(CELL("address",'Raw Data'!C236),"\$([A-Z]+)\$[0-9]+"))),_xlfn.REGEXEXTRACT(CELL("address",'Raw Data'!C236),"\$([A-Z]+)\$[0-9]+"))</f>
        <v/>
      </c>
      <c r="D236" s="7" t="str" cm="1">
        <f t="array" aca="1" ref="D236" ca="1">IFERROR(IF(OR('Raw Data'!D236="",LEN(TRIM('Raw Data'!D236))=0),"",IF(AND(LEN('Raw Data'!D236) &lt;= 255,LEN('Raw Data'!D236)&gt; 0),"",_xlfn.REGEXEXTRACT(CELL("address",'Raw Data'!D236),"\$([A-Z]+)\$[0-9]+"))),_xlfn.REGEXEXTRACT(CELL("address",'Raw Data'!D236),"\$([A-Z]+)\$[0-9]+"))</f>
        <v/>
      </c>
      <c r="E236" s="7" t="str" cm="1">
        <f t="array" aca="1" ref="E236" ca="1">IFERROR(IF(OR('Raw Data'!E236="",LEN(TRIM('Raw Data'!E236))=0),"",IF(AND(ISNUMBER('Raw Data'!E236),'Raw Data'!E236&gt;=Configuration!$D$2),"",_xlfn.REGEXEXTRACT(CELL("address",'Raw Data'!E236),"\$([A-Z]+)\$[0-9]+"))),_xlfn.REGEXEXTRACT(CELL("address",E236), "\$([A-Z]+)\$[0-9]+"))</f>
        <v/>
      </c>
      <c r="F236" s="7" t="str" cm="1">
        <f t="array" aca="1" ref="F236" ca="1">IFERROR(IF(OR('Raw Data'!F236="",LEN(TRIM('Raw Data'!F236))=0),"",IF(AND(LEN('Raw Data'!F236) &lt;= 20,LEN('Raw Data'!F236)&gt; 0),"",_xlfn.REGEXEXTRACT(CELL("address",'Raw Data'!F236),"\$([A-Z]+)\$[0-9]+"))),_xlfn.REGEXEXTRACT(CELL("address",'Raw Data'!F236),"\$([A-Z]+)\$[0-9]+"))</f>
        <v/>
      </c>
      <c r="G236" s="7" t="str" cm="1">
        <f t="array" aca="1" ref="G236" ca="1">IFERROR(IF(OR('Raw Data'!G236="",LEN(TRIM('Raw Data'!G236))=0),"",IF(AND(ISNUMBER('Raw Data'!G236), IFERROR('Raw Data'!G236 = ROUND('Raw Data'!G236, 2),FALSE)),"",_xlfn.REGEXEXTRACT(CELL("address",G236), "\$([A-Z]+)\$[0-9]+"))),_xlfn.REGEXEXTRACT(CELL("address",G236), "\$([A-Z]+)\$[0-9]+"))</f>
        <v/>
      </c>
      <c r="H236" s="7" t="str" cm="1">
        <f t="array" aca="1" ref="H236" ca="1">IFERROR(IF(OR('Raw Data'!H236="",LEN(TRIM('Raw Data'!H236))=0),"",IF(AND(ISNUMBER('Raw Data'!H236), IFERROR('Raw Data'!H236 = ROUND('Raw Data'!H236, 2),FALSE)),"",_xlfn.REGEXEXTRACT(CELL("address",H236), "\$([A-Z]+)\$[0-9]+"))),_xlfn.REGEXEXTRACT(CELL("address",H236), "\$([A-Z]+)\$[0-9]+"))</f>
        <v/>
      </c>
      <c r="I236" s="7" t="str" cm="1">
        <f t="array" aca="1" ref="I236" ca="1">IFERROR(IF(OR('Raw Data'!I236="",LEN(TRIM('Raw Data'!I236))=0),"",IF(AND(LEN('Raw Data'!I236) &lt;= 50,LEN('Raw Data'!I236)&gt; 0),"",_xlfn.REGEXEXTRACT(CELL("address",'Raw Data'!I236),"\$([A-Z]+)\$[0-9]+"))),_xlfn.REGEXEXTRACT(CELL("address",'Raw Data'!I236),"\$([A-Z]+)\$[0-9]+"))</f>
        <v/>
      </c>
      <c r="J236" s="7" t="str" cm="1">
        <f t="array" aca="1" ref="J236" ca="1">IFERROR(IF(OR('Raw Data'!J236="",LEN(TRIM('Raw Data'!J236))=0),"",IF(AND(ISNUMBER('Raw Data'!J236),'Raw Data'!J236&gt;=Configuration!$D$2),"",_xlfn.REGEXEXTRACT(CELL("address",'Raw Data'!J236),"\$([A-Z]+)\$[0-9]+"))),_xlfn.REGEXEXTRACT(CELL("address",J236), "\$([A-Z]+)\$[0-9]+"))</f>
        <v/>
      </c>
      <c r="K236" s="7" t="str" cm="1">
        <f t="array" aca="1" ref="K236" ca="1">IFERROR(IF(OR('Raw Data'!K236="",LEN(TRIM('Raw Data'!K236))=0),"",IF(AND(ISNUMBER('Raw Data'!K236), IFERROR('Raw Data'!K236 = ROUND('Raw Data'!K236, 2),FALSE)),"",_xlfn.REGEXEXTRACT(CELL("address",K236), "\$([A-Z]+)\$[0-9]+"))),_xlfn.REGEXEXTRACT(CELL("address",K236), "\$([A-Z]+)\$[0-9]+"))</f>
        <v/>
      </c>
      <c r="L236" s="7" t="str" cm="1">
        <f t="array" aca="1" ref="L236" ca="1">IFERROR(IF(OR('Raw Data'!L236="",LEN(TRIM('Raw Data'!L236))=0),"",IF(AND(ISNUMBER('Raw Data'!L236), IFERROR('Raw Data'!L236 = ROUND('Raw Data'!L236, 2),FALSE)),"",_xlfn.REGEXEXTRACT(CELL("address",L236), "\$([A-Z]+)\$[0-9]+"))),_xlfn.REGEXEXTRACT(CELL("address",L236), "\$([A-Z]+)\$[0-9]+"))</f>
        <v/>
      </c>
      <c r="M236" s="7" t="str" cm="1">
        <f t="array" aca="1" ref="M236" ca="1">IFERROR(IF(OR('Raw Data'!M236="",LEN(TRIM('Raw Data'!M236))=0),"",IF(AND(ISNUMBER('Raw Data'!M236), IFERROR('Raw Data'!M236 = ROUND('Raw Data'!M236, 2),FALSE)),"",_xlfn.REGEXEXTRACT(CELL("address",M236), "\$([A-Z]+)\$[0-9]+"))),_xlfn.REGEXEXTRACT(CELL("address",M236), "\$([A-Z]+)\$[0-9]+"))</f>
        <v/>
      </c>
      <c r="N236" s="7" t="str" cm="1">
        <f t="array" aca="1" ref="N236" ca="1">IFERROR(IF(OR('Raw Data'!N236="",LEN(TRIM('Raw Data'!N236))=0),"",IF(AND(ISNUMBER('Raw Data'!N236), IFERROR('Raw Data'!N236 = ROUND('Raw Data'!N236, 2),FALSE)),"",_xlfn.REGEXEXTRACT(CELL("address",N236), "\$([A-Z]+)\$[0-9]+"))),_xlfn.REGEXEXTRACT(CELL("address",N236), "\$([A-Z]+)\$[0-9]+"))</f>
        <v/>
      </c>
      <c r="O236" s="7" t="str" cm="1">
        <f t="array" aca="1" ref="O236" ca="1">IFERROR(IF(OR('Raw Data'!O236="",LEN(TRIM('Raw Data'!O236))=0),"",IF(AND(ISNUMBER('Raw Data'!O236), IFERROR('Raw Data'!O236 = ROUND('Raw Data'!O236, 2),FALSE)),"",_xlfn.REGEXEXTRACT(CELL("address",O236), "\$([A-Z]+)\$[0-9]+"))),_xlfn.REGEXEXTRACT(CELL("address",O236), "\$([A-Z]+)\$[0-9]+"))</f>
        <v/>
      </c>
      <c r="P236" s="7" t="str" cm="1">
        <f t="array" aca="1" ref="P236" ca="1">IFERROR(IF(OR('Raw Data'!P236="",LEN(TRIM('Raw Data'!P236))=0),"",IF(AND(ISNUMBER('Raw Data'!P236),'Raw Data'!P236&gt;=Configuration!$D$2),"",_xlfn.REGEXEXTRACT(CELL("address",'Raw Data'!P236),"\$([A-Z]+)\$[0-9]+"))),_xlfn.REGEXEXTRACT(CELL("address",P236), "\$([A-Z]+)\$[0-9]+"))</f>
        <v/>
      </c>
      <c r="Q236" s="7" t="str" cm="1">
        <f t="array" aca="1" ref="Q236" ca="1">IFERROR(IF(OR('Raw Data'!Q236="",LEN(TRIM('Raw Data'!Q236))=0),"",IF(AND(ISNUMBER('Raw Data'!Q236),'Raw Data'!Q236&gt;=Configuration!$D$2),"",_xlfn.REGEXEXTRACT(CELL("address",'Raw Data'!Q236),"\$([A-Z]+)\$[0-9]+"))),_xlfn.REGEXEXTRACT(CELL("address",Q236), "\$([A-Z]+)\$[0-9]+"))</f>
        <v/>
      </c>
      <c r="R236" s="7" t="str" cm="1">
        <f t="array" aca="1" ref="R236" ca="1">IFERROR(IF(OR('Raw Data'!R236="",LEN(TRIM('Raw Data'!R236))=0),"",IF(AND(ISNUMBER('Raw Data'!R236), IFERROR('Raw Data'!R236 = ROUND('Raw Data'!R236, 2),FALSE)),"",_xlfn.REGEXEXTRACT(CELL("address",R236), "\$([A-Z]+)\$[0-9]+"))),_xlfn.REGEXEXTRACT(CELL("address",R236), "\$([A-Z]+)\$[0-9]+"))</f>
        <v/>
      </c>
      <c r="S236" s="7" t="str" cm="1">
        <f t="array" aca="1" ref="S236" ca="1">IFERROR(IF(OR('Raw Data'!S236="",LEN(TRIM('Raw Data'!S236))=0),"",IF(AND(ISNUMBER('Raw Data'!S236), IFERROR('Raw Data'!S236 = ROUND('Raw Data'!S236, 2),FALSE)),"",_xlfn.REGEXEXTRACT(CELL("address",S236), "\$([A-Z]+)\$[0-9]+"))),_xlfn.REGEXEXTRACT(CELL("address",S236), "\$([A-Z]+)\$[0-9]+"))</f>
        <v/>
      </c>
      <c r="T236" s="7" t="str" cm="1">
        <f t="array" aca="1" ref="T236" ca="1">IFERROR(IF(OR('Raw Data'!T236="",LEN(TRIM('Raw Data'!T236))=0),"",IF(AND(ISNUMBER('Raw Data'!T236), IFERROR('Raw Data'!T236 = ROUND('Raw Data'!T236, 2),FALSE)),"",_xlfn.REGEXEXTRACT(CELL("address",T236), "\$([A-Z]+)\$[0-9]+"))),_xlfn.REGEXEXTRACT(CELL("address",T236), "\$([A-Z]+)\$[0-9]+"))</f>
        <v/>
      </c>
      <c r="U236" s="7" t="str" cm="1">
        <f t="array" aca="1" ref="U236" ca="1">IFERROR(IF(OR('Raw Data'!U236="",LEN(TRIM('Raw Data'!U236))=0),"",IF(AND(LEN('Raw Data'!U236) &lt;= 5,LEN('Raw Data'!U236)&gt; 0),"",_xlfn.REGEXEXTRACT(CELL("address",'Raw Data'!U236),"\$([A-Z]+)\$[0-9]+"))),_xlfn.REGEXEXTRACT(CELL("address",'Raw Data'!U236),"\$([A-Z]+)\$[0-9]+"))</f>
        <v/>
      </c>
      <c r="V236" s="7" t="str" cm="1">
        <f t="array" aca="1" ref="V236" ca="1">IFERROR(IF(OR('Raw Data'!V236="",LEN(TRIM('Raw Data'!V236))=0),"",IF(AND(ISNUMBER('Raw Data'!V236), IFERROR('Raw Data'!V236 = ROUND('Raw Data'!V236, 2),FALSE)),"",_xlfn.REGEXEXTRACT(CELL("address",V236), "\$([A-Z]+)\$[0-9]+"))),_xlfn.REGEXEXTRACT(CELL("address",V236), "\$([A-Z]+)\$[0-9]+"))</f>
        <v/>
      </c>
      <c r="W236" s="7" t="str" cm="1">
        <f t="array" aca="1" ref="W236" ca="1">IFERROR(IF(OR('Raw Data'!W236="",LEN(TRIM('Raw Data'!W236))=0),"",IF(AND(ISNUMBER('Raw Data'!W236), IFERROR('Raw Data'!W236 = ROUND('Raw Data'!W236, 2),FALSE)),"",_xlfn.REGEXEXTRACT(CELL("address",W236), "\$([A-Z]+)\$[0-9]+"))),_xlfn.REGEXEXTRACT(CELL("address",W236), "\$([A-Z]+)\$[0-9]+"))</f>
        <v/>
      </c>
      <c r="X236" s="7" t="str" cm="1">
        <f t="array" aca="1" ref="X236" ca="1">IFERROR(IF(OR('Raw Data'!X236="",LEN(TRIM('Raw Data'!X236))=0),"",IF(AND(ISNUMBER('Raw Data'!X236), IFERROR('Raw Data'!X236 = ROUND('Raw Data'!X236, 2),FALSE)),"",_xlfn.REGEXEXTRACT(CELL("address",X236), "\$([A-Z]+)\$[0-9]+"))),_xlfn.REGEXEXTRACT(CELL("address",X236), "\$([A-Z]+)\$[0-9]+"))</f>
        <v/>
      </c>
    </row>
    <row r="237" spans="2:24" x14ac:dyDescent="0.25">
      <c r="B237" s="7" t="str" cm="1">
        <f t="array" aca="1" ref="B237" ca="1">IFERROR(IF(OR('Raw Data'!B237="",LEN(TRIM('Raw Data'!B237))=0),"",IF(AND(LEN('Raw Data'!B237) &lt;= 50,LEN('Raw Data'!B237)&gt; 0),"",_xlfn.REGEXEXTRACT(CELL("address",'Raw Data'!B237),"\$([A-Z]+)\$[0-9]+"))),_xlfn.REGEXEXTRACT(CELL("address",'Raw Data'!B237),"\$([A-Z]+)\$[0-9]+"))</f>
        <v/>
      </c>
      <c r="C237" s="7" t="str" cm="1">
        <f t="array" aca="1" ref="C237" ca="1">IFERROR(IF(OR('Raw Data'!C237="",LEN(TRIM('Raw Data'!C237))=0),"",IF(AND(LEN('Raw Data'!C237) &lt;= 50,LEN('Raw Data'!C237)&gt; 0),"",_xlfn.REGEXEXTRACT(CELL("address",'Raw Data'!C237),"\$([A-Z]+)\$[0-9]+"))),_xlfn.REGEXEXTRACT(CELL("address",'Raw Data'!C237),"\$([A-Z]+)\$[0-9]+"))</f>
        <v/>
      </c>
      <c r="D237" s="7" t="str" cm="1">
        <f t="array" aca="1" ref="D237" ca="1">IFERROR(IF(OR('Raw Data'!D237="",LEN(TRIM('Raw Data'!D237))=0),"",IF(AND(LEN('Raw Data'!D237) &lt;= 255,LEN('Raw Data'!D237)&gt; 0),"",_xlfn.REGEXEXTRACT(CELL("address",'Raw Data'!D237),"\$([A-Z]+)\$[0-9]+"))),_xlfn.REGEXEXTRACT(CELL("address",'Raw Data'!D237),"\$([A-Z]+)\$[0-9]+"))</f>
        <v/>
      </c>
      <c r="E237" s="7" t="str" cm="1">
        <f t="array" aca="1" ref="E237" ca="1">IFERROR(IF(OR('Raw Data'!E237="",LEN(TRIM('Raw Data'!E237))=0),"",IF(AND(ISNUMBER('Raw Data'!E237),'Raw Data'!E237&gt;=Configuration!$D$2),"",_xlfn.REGEXEXTRACT(CELL("address",'Raw Data'!E237),"\$([A-Z]+)\$[0-9]+"))),_xlfn.REGEXEXTRACT(CELL("address",E237), "\$([A-Z]+)\$[0-9]+"))</f>
        <v/>
      </c>
      <c r="F237" s="7" t="str" cm="1">
        <f t="array" aca="1" ref="F237" ca="1">IFERROR(IF(OR('Raw Data'!F237="",LEN(TRIM('Raw Data'!F237))=0),"",IF(AND(LEN('Raw Data'!F237) &lt;= 20,LEN('Raw Data'!F237)&gt; 0),"",_xlfn.REGEXEXTRACT(CELL("address",'Raw Data'!F237),"\$([A-Z]+)\$[0-9]+"))),_xlfn.REGEXEXTRACT(CELL("address",'Raw Data'!F237),"\$([A-Z]+)\$[0-9]+"))</f>
        <v/>
      </c>
      <c r="G237" s="7" t="str" cm="1">
        <f t="array" aca="1" ref="G237" ca="1">IFERROR(IF(OR('Raw Data'!G237="",LEN(TRIM('Raw Data'!G237))=0),"",IF(AND(ISNUMBER('Raw Data'!G237), IFERROR('Raw Data'!G237 = ROUND('Raw Data'!G237, 2),FALSE)),"",_xlfn.REGEXEXTRACT(CELL("address",G237), "\$([A-Z]+)\$[0-9]+"))),_xlfn.REGEXEXTRACT(CELL("address",G237), "\$([A-Z]+)\$[0-9]+"))</f>
        <v/>
      </c>
      <c r="H237" s="7" t="str" cm="1">
        <f t="array" aca="1" ref="H237" ca="1">IFERROR(IF(OR('Raw Data'!H237="",LEN(TRIM('Raw Data'!H237))=0),"",IF(AND(ISNUMBER('Raw Data'!H237), IFERROR('Raw Data'!H237 = ROUND('Raw Data'!H237, 2),FALSE)),"",_xlfn.REGEXEXTRACT(CELL("address",H237), "\$([A-Z]+)\$[0-9]+"))),_xlfn.REGEXEXTRACT(CELL("address",H237), "\$([A-Z]+)\$[0-9]+"))</f>
        <v/>
      </c>
      <c r="I237" s="7" t="str" cm="1">
        <f t="array" aca="1" ref="I237" ca="1">IFERROR(IF(OR('Raw Data'!I237="",LEN(TRIM('Raw Data'!I237))=0),"",IF(AND(LEN('Raw Data'!I237) &lt;= 50,LEN('Raw Data'!I237)&gt; 0),"",_xlfn.REGEXEXTRACT(CELL("address",'Raw Data'!I237),"\$([A-Z]+)\$[0-9]+"))),_xlfn.REGEXEXTRACT(CELL("address",'Raw Data'!I237),"\$([A-Z]+)\$[0-9]+"))</f>
        <v/>
      </c>
      <c r="J237" s="7" t="str" cm="1">
        <f t="array" aca="1" ref="J237" ca="1">IFERROR(IF(OR('Raw Data'!J237="",LEN(TRIM('Raw Data'!J237))=0),"",IF(AND(ISNUMBER('Raw Data'!J237),'Raw Data'!J237&gt;=Configuration!$D$2),"",_xlfn.REGEXEXTRACT(CELL("address",'Raw Data'!J237),"\$([A-Z]+)\$[0-9]+"))),_xlfn.REGEXEXTRACT(CELL("address",J237), "\$([A-Z]+)\$[0-9]+"))</f>
        <v/>
      </c>
      <c r="K237" s="7" t="str" cm="1">
        <f t="array" aca="1" ref="K237" ca="1">IFERROR(IF(OR('Raw Data'!K237="",LEN(TRIM('Raw Data'!K237))=0),"",IF(AND(ISNUMBER('Raw Data'!K237), IFERROR('Raw Data'!K237 = ROUND('Raw Data'!K237, 2),FALSE)),"",_xlfn.REGEXEXTRACT(CELL("address",K237), "\$([A-Z]+)\$[0-9]+"))),_xlfn.REGEXEXTRACT(CELL("address",K237), "\$([A-Z]+)\$[0-9]+"))</f>
        <v/>
      </c>
      <c r="L237" s="7" t="str" cm="1">
        <f t="array" aca="1" ref="L237" ca="1">IFERROR(IF(OR('Raw Data'!L237="",LEN(TRIM('Raw Data'!L237))=0),"",IF(AND(ISNUMBER('Raw Data'!L237), IFERROR('Raw Data'!L237 = ROUND('Raw Data'!L237, 2),FALSE)),"",_xlfn.REGEXEXTRACT(CELL("address",L237), "\$([A-Z]+)\$[0-9]+"))),_xlfn.REGEXEXTRACT(CELL("address",L237), "\$([A-Z]+)\$[0-9]+"))</f>
        <v/>
      </c>
      <c r="M237" s="7" t="str" cm="1">
        <f t="array" aca="1" ref="M237" ca="1">IFERROR(IF(OR('Raw Data'!M237="",LEN(TRIM('Raw Data'!M237))=0),"",IF(AND(ISNUMBER('Raw Data'!M237), IFERROR('Raw Data'!M237 = ROUND('Raw Data'!M237, 2),FALSE)),"",_xlfn.REGEXEXTRACT(CELL("address",M237), "\$([A-Z]+)\$[0-9]+"))),_xlfn.REGEXEXTRACT(CELL("address",M237), "\$([A-Z]+)\$[0-9]+"))</f>
        <v/>
      </c>
      <c r="N237" s="7" t="str" cm="1">
        <f t="array" aca="1" ref="N237" ca="1">IFERROR(IF(OR('Raw Data'!N237="",LEN(TRIM('Raw Data'!N237))=0),"",IF(AND(ISNUMBER('Raw Data'!N237), IFERROR('Raw Data'!N237 = ROUND('Raw Data'!N237, 2),FALSE)),"",_xlfn.REGEXEXTRACT(CELL("address",N237), "\$([A-Z]+)\$[0-9]+"))),_xlfn.REGEXEXTRACT(CELL("address",N237), "\$([A-Z]+)\$[0-9]+"))</f>
        <v/>
      </c>
      <c r="O237" s="7" t="str" cm="1">
        <f t="array" aca="1" ref="O237" ca="1">IFERROR(IF(OR('Raw Data'!O237="",LEN(TRIM('Raw Data'!O237))=0),"",IF(AND(ISNUMBER('Raw Data'!O237), IFERROR('Raw Data'!O237 = ROUND('Raw Data'!O237, 2),FALSE)),"",_xlfn.REGEXEXTRACT(CELL("address",O237), "\$([A-Z]+)\$[0-9]+"))),_xlfn.REGEXEXTRACT(CELL("address",O237), "\$([A-Z]+)\$[0-9]+"))</f>
        <v/>
      </c>
      <c r="P237" s="7" t="str" cm="1">
        <f t="array" aca="1" ref="P237" ca="1">IFERROR(IF(OR('Raw Data'!P237="",LEN(TRIM('Raw Data'!P237))=0),"",IF(AND(ISNUMBER('Raw Data'!P237),'Raw Data'!P237&gt;=Configuration!$D$2),"",_xlfn.REGEXEXTRACT(CELL("address",'Raw Data'!P237),"\$([A-Z]+)\$[0-9]+"))),_xlfn.REGEXEXTRACT(CELL("address",P237), "\$([A-Z]+)\$[0-9]+"))</f>
        <v/>
      </c>
      <c r="Q237" s="7" t="str" cm="1">
        <f t="array" aca="1" ref="Q237" ca="1">IFERROR(IF(OR('Raw Data'!Q237="",LEN(TRIM('Raw Data'!Q237))=0),"",IF(AND(ISNUMBER('Raw Data'!Q237),'Raw Data'!Q237&gt;=Configuration!$D$2),"",_xlfn.REGEXEXTRACT(CELL("address",'Raw Data'!Q237),"\$([A-Z]+)\$[0-9]+"))),_xlfn.REGEXEXTRACT(CELL("address",Q237), "\$([A-Z]+)\$[0-9]+"))</f>
        <v/>
      </c>
      <c r="R237" s="7" t="str" cm="1">
        <f t="array" aca="1" ref="R237" ca="1">IFERROR(IF(OR('Raw Data'!R237="",LEN(TRIM('Raw Data'!R237))=0),"",IF(AND(ISNUMBER('Raw Data'!R237), IFERROR('Raw Data'!R237 = ROUND('Raw Data'!R237, 2),FALSE)),"",_xlfn.REGEXEXTRACT(CELL("address",R237), "\$([A-Z]+)\$[0-9]+"))),_xlfn.REGEXEXTRACT(CELL("address",R237), "\$([A-Z]+)\$[0-9]+"))</f>
        <v/>
      </c>
      <c r="S237" s="7" t="str" cm="1">
        <f t="array" aca="1" ref="S237" ca="1">IFERROR(IF(OR('Raw Data'!S237="",LEN(TRIM('Raw Data'!S237))=0),"",IF(AND(ISNUMBER('Raw Data'!S237), IFERROR('Raw Data'!S237 = ROUND('Raw Data'!S237, 2),FALSE)),"",_xlfn.REGEXEXTRACT(CELL("address",S237), "\$([A-Z]+)\$[0-9]+"))),_xlfn.REGEXEXTRACT(CELL("address",S237), "\$([A-Z]+)\$[0-9]+"))</f>
        <v/>
      </c>
      <c r="T237" s="7" t="str" cm="1">
        <f t="array" aca="1" ref="T237" ca="1">IFERROR(IF(OR('Raw Data'!T237="",LEN(TRIM('Raw Data'!T237))=0),"",IF(AND(ISNUMBER('Raw Data'!T237), IFERROR('Raw Data'!T237 = ROUND('Raw Data'!T237, 2),FALSE)),"",_xlfn.REGEXEXTRACT(CELL("address",T237), "\$([A-Z]+)\$[0-9]+"))),_xlfn.REGEXEXTRACT(CELL("address",T237), "\$([A-Z]+)\$[0-9]+"))</f>
        <v/>
      </c>
      <c r="U237" s="7" t="str" cm="1">
        <f t="array" aca="1" ref="U237" ca="1">IFERROR(IF(OR('Raw Data'!U237="",LEN(TRIM('Raw Data'!U237))=0),"",IF(AND(LEN('Raw Data'!U237) &lt;= 5,LEN('Raw Data'!U237)&gt; 0),"",_xlfn.REGEXEXTRACT(CELL("address",'Raw Data'!U237),"\$([A-Z]+)\$[0-9]+"))),_xlfn.REGEXEXTRACT(CELL("address",'Raw Data'!U237),"\$([A-Z]+)\$[0-9]+"))</f>
        <v/>
      </c>
      <c r="V237" s="7" t="str" cm="1">
        <f t="array" aca="1" ref="V237" ca="1">IFERROR(IF(OR('Raw Data'!V237="",LEN(TRIM('Raw Data'!V237))=0),"",IF(AND(ISNUMBER('Raw Data'!V237), IFERROR('Raw Data'!V237 = ROUND('Raw Data'!V237, 2),FALSE)),"",_xlfn.REGEXEXTRACT(CELL("address",V237), "\$([A-Z]+)\$[0-9]+"))),_xlfn.REGEXEXTRACT(CELL("address",V237), "\$([A-Z]+)\$[0-9]+"))</f>
        <v/>
      </c>
      <c r="W237" s="7" t="str" cm="1">
        <f t="array" aca="1" ref="W237" ca="1">IFERROR(IF(OR('Raw Data'!W237="",LEN(TRIM('Raw Data'!W237))=0),"",IF(AND(ISNUMBER('Raw Data'!W237), IFERROR('Raw Data'!W237 = ROUND('Raw Data'!W237, 2),FALSE)),"",_xlfn.REGEXEXTRACT(CELL("address",W237), "\$([A-Z]+)\$[0-9]+"))),_xlfn.REGEXEXTRACT(CELL("address",W237), "\$([A-Z]+)\$[0-9]+"))</f>
        <v/>
      </c>
      <c r="X237" s="7" t="str" cm="1">
        <f t="array" aca="1" ref="X237" ca="1">IFERROR(IF(OR('Raw Data'!X237="",LEN(TRIM('Raw Data'!X237))=0),"",IF(AND(ISNUMBER('Raw Data'!X237), IFERROR('Raw Data'!X237 = ROUND('Raw Data'!X237, 2),FALSE)),"",_xlfn.REGEXEXTRACT(CELL("address",X237), "\$([A-Z]+)\$[0-9]+"))),_xlfn.REGEXEXTRACT(CELL("address",X237), "\$([A-Z]+)\$[0-9]+"))</f>
        <v/>
      </c>
    </row>
    <row r="238" spans="2:24" x14ac:dyDescent="0.25">
      <c r="B238" s="7" t="str" cm="1">
        <f t="array" aca="1" ref="B238" ca="1">IFERROR(IF(OR('Raw Data'!B238="",LEN(TRIM('Raw Data'!B238))=0),"",IF(AND(LEN('Raw Data'!B238) &lt;= 50,LEN('Raw Data'!B238)&gt; 0),"",_xlfn.REGEXEXTRACT(CELL("address",'Raw Data'!B238),"\$([A-Z]+)\$[0-9]+"))),_xlfn.REGEXEXTRACT(CELL("address",'Raw Data'!B238),"\$([A-Z]+)\$[0-9]+"))</f>
        <v/>
      </c>
      <c r="C238" s="7" t="str" cm="1">
        <f t="array" aca="1" ref="C238" ca="1">IFERROR(IF(OR('Raw Data'!C238="",LEN(TRIM('Raw Data'!C238))=0),"",IF(AND(LEN('Raw Data'!C238) &lt;= 50,LEN('Raw Data'!C238)&gt; 0),"",_xlfn.REGEXEXTRACT(CELL("address",'Raw Data'!C238),"\$([A-Z]+)\$[0-9]+"))),_xlfn.REGEXEXTRACT(CELL("address",'Raw Data'!C238),"\$([A-Z]+)\$[0-9]+"))</f>
        <v/>
      </c>
      <c r="D238" s="7" t="str" cm="1">
        <f t="array" aca="1" ref="D238" ca="1">IFERROR(IF(OR('Raw Data'!D238="",LEN(TRIM('Raw Data'!D238))=0),"",IF(AND(LEN('Raw Data'!D238) &lt;= 255,LEN('Raw Data'!D238)&gt; 0),"",_xlfn.REGEXEXTRACT(CELL("address",'Raw Data'!D238),"\$([A-Z]+)\$[0-9]+"))),_xlfn.REGEXEXTRACT(CELL("address",'Raw Data'!D238),"\$([A-Z]+)\$[0-9]+"))</f>
        <v/>
      </c>
      <c r="E238" s="7" t="str" cm="1">
        <f t="array" aca="1" ref="E238" ca="1">IFERROR(IF(OR('Raw Data'!E238="",LEN(TRIM('Raw Data'!E238))=0),"",IF(AND(ISNUMBER('Raw Data'!E238),'Raw Data'!E238&gt;=Configuration!$D$2),"",_xlfn.REGEXEXTRACT(CELL("address",'Raw Data'!E238),"\$([A-Z]+)\$[0-9]+"))),_xlfn.REGEXEXTRACT(CELL("address",E238), "\$([A-Z]+)\$[0-9]+"))</f>
        <v/>
      </c>
      <c r="F238" s="7" t="str" cm="1">
        <f t="array" aca="1" ref="F238" ca="1">IFERROR(IF(OR('Raw Data'!F238="",LEN(TRIM('Raw Data'!F238))=0),"",IF(AND(LEN('Raw Data'!F238) &lt;= 20,LEN('Raw Data'!F238)&gt; 0),"",_xlfn.REGEXEXTRACT(CELL("address",'Raw Data'!F238),"\$([A-Z]+)\$[0-9]+"))),_xlfn.REGEXEXTRACT(CELL("address",'Raw Data'!F238),"\$([A-Z]+)\$[0-9]+"))</f>
        <v/>
      </c>
      <c r="G238" s="7" t="str" cm="1">
        <f t="array" aca="1" ref="G238" ca="1">IFERROR(IF(OR('Raw Data'!G238="",LEN(TRIM('Raw Data'!G238))=0),"",IF(AND(ISNUMBER('Raw Data'!G238), IFERROR('Raw Data'!G238 = ROUND('Raw Data'!G238, 2),FALSE)),"",_xlfn.REGEXEXTRACT(CELL("address",G238), "\$([A-Z]+)\$[0-9]+"))),_xlfn.REGEXEXTRACT(CELL("address",G238), "\$([A-Z]+)\$[0-9]+"))</f>
        <v/>
      </c>
      <c r="H238" s="7" t="str" cm="1">
        <f t="array" aca="1" ref="H238" ca="1">IFERROR(IF(OR('Raw Data'!H238="",LEN(TRIM('Raw Data'!H238))=0),"",IF(AND(ISNUMBER('Raw Data'!H238), IFERROR('Raw Data'!H238 = ROUND('Raw Data'!H238, 2),FALSE)),"",_xlfn.REGEXEXTRACT(CELL("address",H238), "\$([A-Z]+)\$[0-9]+"))),_xlfn.REGEXEXTRACT(CELL("address",H238), "\$([A-Z]+)\$[0-9]+"))</f>
        <v/>
      </c>
      <c r="I238" s="7" t="str" cm="1">
        <f t="array" aca="1" ref="I238" ca="1">IFERROR(IF(OR('Raw Data'!I238="",LEN(TRIM('Raw Data'!I238))=0),"",IF(AND(LEN('Raw Data'!I238) &lt;= 50,LEN('Raw Data'!I238)&gt; 0),"",_xlfn.REGEXEXTRACT(CELL("address",'Raw Data'!I238),"\$([A-Z]+)\$[0-9]+"))),_xlfn.REGEXEXTRACT(CELL("address",'Raw Data'!I238),"\$([A-Z]+)\$[0-9]+"))</f>
        <v/>
      </c>
      <c r="J238" s="7" t="str" cm="1">
        <f t="array" aca="1" ref="J238" ca="1">IFERROR(IF(OR('Raw Data'!J238="",LEN(TRIM('Raw Data'!J238))=0),"",IF(AND(ISNUMBER('Raw Data'!J238),'Raw Data'!J238&gt;=Configuration!$D$2),"",_xlfn.REGEXEXTRACT(CELL("address",'Raw Data'!J238),"\$([A-Z]+)\$[0-9]+"))),_xlfn.REGEXEXTRACT(CELL("address",J238), "\$([A-Z]+)\$[0-9]+"))</f>
        <v/>
      </c>
      <c r="K238" s="7" t="str" cm="1">
        <f t="array" aca="1" ref="K238" ca="1">IFERROR(IF(OR('Raw Data'!K238="",LEN(TRIM('Raw Data'!K238))=0),"",IF(AND(ISNUMBER('Raw Data'!K238), IFERROR('Raw Data'!K238 = ROUND('Raw Data'!K238, 2),FALSE)),"",_xlfn.REGEXEXTRACT(CELL("address",K238), "\$([A-Z]+)\$[0-9]+"))),_xlfn.REGEXEXTRACT(CELL("address",K238), "\$([A-Z]+)\$[0-9]+"))</f>
        <v/>
      </c>
      <c r="L238" s="7" t="str" cm="1">
        <f t="array" aca="1" ref="L238" ca="1">IFERROR(IF(OR('Raw Data'!L238="",LEN(TRIM('Raw Data'!L238))=0),"",IF(AND(ISNUMBER('Raw Data'!L238), IFERROR('Raw Data'!L238 = ROUND('Raw Data'!L238, 2),FALSE)),"",_xlfn.REGEXEXTRACT(CELL("address",L238), "\$([A-Z]+)\$[0-9]+"))),_xlfn.REGEXEXTRACT(CELL("address",L238), "\$([A-Z]+)\$[0-9]+"))</f>
        <v/>
      </c>
      <c r="M238" s="7" t="str" cm="1">
        <f t="array" aca="1" ref="M238" ca="1">IFERROR(IF(OR('Raw Data'!M238="",LEN(TRIM('Raw Data'!M238))=0),"",IF(AND(ISNUMBER('Raw Data'!M238), IFERROR('Raw Data'!M238 = ROUND('Raw Data'!M238, 2),FALSE)),"",_xlfn.REGEXEXTRACT(CELL("address",M238), "\$([A-Z]+)\$[0-9]+"))),_xlfn.REGEXEXTRACT(CELL("address",M238), "\$([A-Z]+)\$[0-9]+"))</f>
        <v/>
      </c>
      <c r="N238" s="7" t="str" cm="1">
        <f t="array" aca="1" ref="N238" ca="1">IFERROR(IF(OR('Raw Data'!N238="",LEN(TRIM('Raw Data'!N238))=0),"",IF(AND(ISNUMBER('Raw Data'!N238), IFERROR('Raw Data'!N238 = ROUND('Raw Data'!N238, 2),FALSE)),"",_xlfn.REGEXEXTRACT(CELL("address",N238), "\$([A-Z]+)\$[0-9]+"))),_xlfn.REGEXEXTRACT(CELL("address",N238), "\$([A-Z]+)\$[0-9]+"))</f>
        <v/>
      </c>
      <c r="O238" s="7" t="str" cm="1">
        <f t="array" aca="1" ref="O238" ca="1">IFERROR(IF(OR('Raw Data'!O238="",LEN(TRIM('Raw Data'!O238))=0),"",IF(AND(ISNUMBER('Raw Data'!O238), IFERROR('Raw Data'!O238 = ROUND('Raw Data'!O238, 2),FALSE)),"",_xlfn.REGEXEXTRACT(CELL("address",O238), "\$([A-Z]+)\$[0-9]+"))),_xlfn.REGEXEXTRACT(CELL("address",O238), "\$([A-Z]+)\$[0-9]+"))</f>
        <v/>
      </c>
      <c r="P238" s="7" t="str" cm="1">
        <f t="array" aca="1" ref="P238" ca="1">IFERROR(IF(OR('Raw Data'!P238="",LEN(TRIM('Raw Data'!P238))=0),"",IF(AND(ISNUMBER('Raw Data'!P238),'Raw Data'!P238&gt;=Configuration!$D$2),"",_xlfn.REGEXEXTRACT(CELL("address",'Raw Data'!P238),"\$([A-Z]+)\$[0-9]+"))),_xlfn.REGEXEXTRACT(CELL("address",P238), "\$([A-Z]+)\$[0-9]+"))</f>
        <v/>
      </c>
      <c r="Q238" s="7" t="str" cm="1">
        <f t="array" aca="1" ref="Q238" ca="1">IFERROR(IF(OR('Raw Data'!Q238="",LEN(TRIM('Raw Data'!Q238))=0),"",IF(AND(ISNUMBER('Raw Data'!Q238),'Raw Data'!Q238&gt;=Configuration!$D$2),"",_xlfn.REGEXEXTRACT(CELL("address",'Raw Data'!Q238),"\$([A-Z]+)\$[0-9]+"))),_xlfn.REGEXEXTRACT(CELL("address",Q238), "\$([A-Z]+)\$[0-9]+"))</f>
        <v/>
      </c>
      <c r="R238" s="7" t="str" cm="1">
        <f t="array" aca="1" ref="R238" ca="1">IFERROR(IF(OR('Raw Data'!R238="",LEN(TRIM('Raw Data'!R238))=0),"",IF(AND(ISNUMBER('Raw Data'!R238), IFERROR('Raw Data'!R238 = ROUND('Raw Data'!R238, 2),FALSE)),"",_xlfn.REGEXEXTRACT(CELL("address",R238), "\$([A-Z]+)\$[0-9]+"))),_xlfn.REGEXEXTRACT(CELL("address",R238), "\$([A-Z]+)\$[0-9]+"))</f>
        <v/>
      </c>
      <c r="S238" s="7" t="str" cm="1">
        <f t="array" aca="1" ref="S238" ca="1">IFERROR(IF(OR('Raw Data'!S238="",LEN(TRIM('Raw Data'!S238))=0),"",IF(AND(ISNUMBER('Raw Data'!S238), IFERROR('Raw Data'!S238 = ROUND('Raw Data'!S238, 2),FALSE)),"",_xlfn.REGEXEXTRACT(CELL("address",S238), "\$([A-Z]+)\$[0-9]+"))),_xlfn.REGEXEXTRACT(CELL("address",S238), "\$([A-Z]+)\$[0-9]+"))</f>
        <v/>
      </c>
      <c r="T238" s="7" t="str" cm="1">
        <f t="array" aca="1" ref="T238" ca="1">IFERROR(IF(OR('Raw Data'!T238="",LEN(TRIM('Raw Data'!T238))=0),"",IF(AND(ISNUMBER('Raw Data'!T238), IFERROR('Raw Data'!T238 = ROUND('Raw Data'!T238, 2),FALSE)),"",_xlfn.REGEXEXTRACT(CELL("address",T238), "\$([A-Z]+)\$[0-9]+"))),_xlfn.REGEXEXTRACT(CELL("address",T238), "\$([A-Z]+)\$[0-9]+"))</f>
        <v/>
      </c>
      <c r="U238" s="7" t="str" cm="1">
        <f t="array" aca="1" ref="U238" ca="1">IFERROR(IF(OR('Raw Data'!U238="",LEN(TRIM('Raw Data'!U238))=0),"",IF(AND(LEN('Raw Data'!U238) &lt;= 5,LEN('Raw Data'!U238)&gt; 0),"",_xlfn.REGEXEXTRACT(CELL("address",'Raw Data'!U238),"\$([A-Z]+)\$[0-9]+"))),_xlfn.REGEXEXTRACT(CELL("address",'Raw Data'!U238),"\$([A-Z]+)\$[0-9]+"))</f>
        <v/>
      </c>
      <c r="V238" s="7" t="str" cm="1">
        <f t="array" aca="1" ref="V238" ca="1">IFERROR(IF(OR('Raw Data'!V238="",LEN(TRIM('Raw Data'!V238))=0),"",IF(AND(ISNUMBER('Raw Data'!V238), IFERROR('Raw Data'!V238 = ROUND('Raw Data'!V238, 2),FALSE)),"",_xlfn.REGEXEXTRACT(CELL("address",V238), "\$([A-Z]+)\$[0-9]+"))),_xlfn.REGEXEXTRACT(CELL("address",V238), "\$([A-Z]+)\$[0-9]+"))</f>
        <v/>
      </c>
      <c r="W238" s="7" t="str" cm="1">
        <f t="array" aca="1" ref="W238" ca="1">IFERROR(IF(OR('Raw Data'!W238="",LEN(TRIM('Raw Data'!W238))=0),"",IF(AND(ISNUMBER('Raw Data'!W238), IFERROR('Raw Data'!W238 = ROUND('Raw Data'!W238, 2),FALSE)),"",_xlfn.REGEXEXTRACT(CELL("address",W238), "\$([A-Z]+)\$[0-9]+"))),_xlfn.REGEXEXTRACT(CELL("address",W238), "\$([A-Z]+)\$[0-9]+"))</f>
        <v/>
      </c>
      <c r="X238" s="7" t="str" cm="1">
        <f t="array" aca="1" ref="X238" ca="1">IFERROR(IF(OR('Raw Data'!X238="",LEN(TRIM('Raw Data'!X238))=0),"",IF(AND(ISNUMBER('Raw Data'!X238), IFERROR('Raw Data'!X238 = ROUND('Raw Data'!X238, 2),FALSE)),"",_xlfn.REGEXEXTRACT(CELL("address",X238), "\$([A-Z]+)\$[0-9]+"))),_xlfn.REGEXEXTRACT(CELL("address",X238), "\$([A-Z]+)\$[0-9]+"))</f>
        <v/>
      </c>
    </row>
    <row r="239" spans="2:24" x14ac:dyDescent="0.25">
      <c r="B239" s="7" t="str" cm="1">
        <f t="array" aca="1" ref="B239" ca="1">IFERROR(IF(OR('Raw Data'!B239="",LEN(TRIM('Raw Data'!B239))=0),"",IF(AND(LEN('Raw Data'!B239) &lt;= 50,LEN('Raw Data'!B239)&gt; 0),"",_xlfn.REGEXEXTRACT(CELL("address",'Raw Data'!B239),"\$([A-Z]+)\$[0-9]+"))),_xlfn.REGEXEXTRACT(CELL("address",'Raw Data'!B239),"\$([A-Z]+)\$[0-9]+"))</f>
        <v/>
      </c>
      <c r="C239" s="7" t="str" cm="1">
        <f t="array" aca="1" ref="C239" ca="1">IFERROR(IF(OR('Raw Data'!C239="",LEN(TRIM('Raw Data'!C239))=0),"",IF(AND(LEN('Raw Data'!C239) &lt;= 50,LEN('Raw Data'!C239)&gt; 0),"",_xlfn.REGEXEXTRACT(CELL("address",'Raw Data'!C239),"\$([A-Z]+)\$[0-9]+"))),_xlfn.REGEXEXTRACT(CELL("address",'Raw Data'!C239),"\$([A-Z]+)\$[0-9]+"))</f>
        <v/>
      </c>
      <c r="D239" s="7" t="str" cm="1">
        <f t="array" aca="1" ref="D239" ca="1">IFERROR(IF(OR('Raw Data'!D239="",LEN(TRIM('Raw Data'!D239))=0),"",IF(AND(LEN('Raw Data'!D239) &lt;= 255,LEN('Raw Data'!D239)&gt; 0),"",_xlfn.REGEXEXTRACT(CELL("address",'Raw Data'!D239),"\$([A-Z]+)\$[0-9]+"))),_xlfn.REGEXEXTRACT(CELL("address",'Raw Data'!D239),"\$([A-Z]+)\$[0-9]+"))</f>
        <v/>
      </c>
      <c r="E239" s="7" t="str" cm="1">
        <f t="array" aca="1" ref="E239" ca="1">IFERROR(IF(OR('Raw Data'!E239="",LEN(TRIM('Raw Data'!E239))=0),"",IF(AND(ISNUMBER('Raw Data'!E239),'Raw Data'!E239&gt;=Configuration!$D$2),"",_xlfn.REGEXEXTRACT(CELL("address",'Raw Data'!E239),"\$([A-Z]+)\$[0-9]+"))),_xlfn.REGEXEXTRACT(CELL("address",E239), "\$([A-Z]+)\$[0-9]+"))</f>
        <v/>
      </c>
      <c r="F239" s="7" t="str" cm="1">
        <f t="array" aca="1" ref="F239" ca="1">IFERROR(IF(OR('Raw Data'!F239="",LEN(TRIM('Raw Data'!F239))=0),"",IF(AND(LEN('Raw Data'!F239) &lt;= 20,LEN('Raw Data'!F239)&gt; 0),"",_xlfn.REGEXEXTRACT(CELL("address",'Raw Data'!F239),"\$([A-Z]+)\$[0-9]+"))),_xlfn.REGEXEXTRACT(CELL("address",'Raw Data'!F239),"\$([A-Z]+)\$[0-9]+"))</f>
        <v/>
      </c>
      <c r="G239" s="7" t="str" cm="1">
        <f t="array" aca="1" ref="G239" ca="1">IFERROR(IF(OR('Raw Data'!G239="",LEN(TRIM('Raw Data'!G239))=0),"",IF(AND(ISNUMBER('Raw Data'!G239), IFERROR('Raw Data'!G239 = ROUND('Raw Data'!G239, 2),FALSE)),"",_xlfn.REGEXEXTRACT(CELL("address",G239), "\$([A-Z]+)\$[0-9]+"))),_xlfn.REGEXEXTRACT(CELL("address",G239), "\$([A-Z]+)\$[0-9]+"))</f>
        <v/>
      </c>
      <c r="H239" s="7" t="str" cm="1">
        <f t="array" aca="1" ref="H239" ca="1">IFERROR(IF(OR('Raw Data'!H239="",LEN(TRIM('Raw Data'!H239))=0),"",IF(AND(ISNUMBER('Raw Data'!H239), IFERROR('Raw Data'!H239 = ROUND('Raw Data'!H239, 2),FALSE)),"",_xlfn.REGEXEXTRACT(CELL("address",H239), "\$([A-Z]+)\$[0-9]+"))),_xlfn.REGEXEXTRACT(CELL("address",H239), "\$([A-Z]+)\$[0-9]+"))</f>
        <v/>
      </c>
      <c r="I239" s="7" t="str" cm="1">
        <f t="array" aca="1" ref="I239" ca="1">IFERROR(IF(OR('Raw Data'!I239="",LEN(TRIM('Raw Data'!I239))=0),"",IF(AND(LEN('Raw Data'!I239) &lt;= 50,LEN('Raw Data'!I239)&gt; 0),"",_xlfn.REGEXEXTRACT(CELL("address",'Raw Data'!I239),"\$([A-Z]+)\$[0-9]+"))),_xlfn.REGEXEXTRACT(CELL("address",'Raw Data'!I239),"\$([A-Z]+)\$[0-9]+"))</f>
        <v/>
      </c>
      <c r="J239" s="7" t="str" cm="1">
        <f t="array" aca="1" ref="J239" ca="1">IFERROR(IF(OR('Raw Data'!J239="",LEN(TRIM('Raw Data'!J239))=0),"",IF(AND(ISNUMBER('Raw Data'!J239),'Raw Data'!J239&gt;=Configuration!$D$2),"",_xlfn.REGEXEXTRACT(CELL("address",'Raw Data'!J239),"\$([A-Z]+)\$[0-9]+"))),_xlfn.REGEXEXTRACT(CELL("address",J239), "\$([A-Z]+)\$[0-9]+"))</f>
        <v/>
      </c>
      <c r="K239" s="7" t="str" cm="1">
        <f t="array" aca="1" ref="K239" ca="1">IFERROR(IF(OR('Raw Data'!K239="",LEN(TRIM('Raw Data'!K239))=0),"",IF(AND(ISNUMBER('Raw Data'!K239), IFERROR('Raw Data'!K239 = ROUND('Raw Data'!K239, 2),FALSE)),"",_xlfn.REGEXEXTRACT(CELL("address",K239), "\$([A-Z]+)\$[0-9]+"))),_xlfn.REGEXEXTRACT(CELL("address",K239), "\$([A-Z]+)\$[0-9]+"))</f>
        <v/>
      </c>
      <c r="L239" s="7" t="str" cm="1">
        <f t="array" aca="1" ref="L239" ca="1">IFERROR(IF(OR('Raw Data'!L239="",LEN(TRIM('Raw Data'!L239))=0),"",IF(AND(ISNUMBER('Raw Data'!L239), IFERROR('Raw Data'!L239 = ROUND('Raw Data'!L239, 2),FALSE)),"",_xlfn.REGEXEXTRACT(CELL("address",L239), "\$([A-Z]+)\$[0-9]+"))),_xlfn.REGEXEXTRACT(CELL("address",L239), "\$([A-Z]+)\$[0-9]+"))</f>
        <v/>
      </c>
      <c r="M239" s="7" t="str" cm="1">
        <f t="array" aca="1" ref="M239" ca="1">IFERROR(IF(OR('Raw Data'!M239="",LEN(TRIM('Raw Data'!M239))=0),"",IF(AND(ISNUMBER('Raw Data'!M239), IFERROR('Raw Data'!M239 = ROUND('Raw Data'!M239, 2),FALSE)),"",_xlfn.REGEXEXTRACT(CELL("address",M239), "\$([A-Z]+)\$[0-9]+"))),_xlfn.REGEXEXTRACT(CELL("address",M239), "\$([A-Z]+)\$[0-9]+"))</f>
        <v/>
      </c>
      <c r="N239" s="7" t="str" cm="1">
        <f t="array" aca="1" ref="N239" ca="1">IFERROR(IF(OR('Raw Data'!N239="",LEN(TRIM('Raw Data'!N239))=0),"",IF(AND(ISNUMBER('Raw Data'!N239), IFERROR('Raw Data'!N239 = ROUND('Raw Data'!N239, 2),FALSE)),"",_xlfn.REGEXEXTRACT(CELL("address",N239), "\$([A-Z]+)\$[0-9]+"))),_xlfn.REGEXEXTRACT(CELL("address",N239), "\$([A-Z]+)\$[0-9]+"))</f>
        <v/>
      </c>
      <c r="O239" s="7" t="str" cm="1">
        <f t="array" aca="1" ref="O239" ca="1">IFERROR(IF(OR('Raw Data'!O239="",LEN(TRIM('Raw Data'!O239))=0),"",IF(AND(ISNUMBER('Raw Data'!O239), IFERROR('Raw Data'!O239 = ROUND('Raw Data'!O239, 2),FALSE)),"",_xlfn.REGEXEXTRACT(CELL("address",O239), "\$([A-Z]+)\$[0-9]+"))),_xlfn.REGEXEXTRACT(CELL("address",O239), "\$([A-Z]+)\$[0-9]+"))</f>
        <v/>
      </c>
      <c r="P239" s="7" t="str" cm="1">
        <f t="array" aca="1" ref="P239" ca="1">IFERROR(IF(OR('Raw Data'!P239="",LEN(TRIM('Raw Data'!P239))=0),"",IF(AND(ISNUMBER('Raw Data'!P239),'Raw Data'!P239&gt;=Configuration!$D$2),"",_xlfn.REGEXEXTRACT(CELL("address",'Raw Data'!P239),"\$([A-Z]+)\$[0-9]+"))),_xlfn.REGEXEXTRACT(CELL("address",P239), "\$([A-Z]+)\$[0-9]+"))</f>
        <v/>
      </c>
      <c r="Q239" s="7" t="str" cm="1">
        <f t="array" aca="1" ref="Q239" ca="1">IFERROR(IF(OR('Raw Data'!Q239="",LEN(TRIM('Raw Data'!Q239))=0),"",IF(AND(ISNUMBER('Raw Data'!Q239),'Raw Data'!Q239&gt;=Configuration!$D$2),"",_xlfn.REGEXEXTRACT(CELL("address",'Raw Data'!Q239),"\$([A-Z]+)\$[0-9]+"))),_xlfn.REGEXEXTRACT(CELL("address",Q239), "\$([A-Z]+)\$[0-9]+"))</f>
        <v/>
      </c>
      <c r="R239" s="7" t="str" cm="1">
        <f t="array" aca="1" ref="R239" ca="1">IFERROR(IF(OR('Raw Data'!R239="",LEN(TRIM('Raw Data'!R239))=0),"",IF(AND(ISNUMBER('Raw Data'!R239), IFERROR('Raw Data'!R239 = ROUND('Raw Data'!R239, 2),FALSE)),"",_xlfn.REGEXEXTRACT(CELL("address",R239), "\$([A-Z]+)\$[0-9]+"))),_xlfn.REGEXEXTRACT(CELL("address",R239), "\$([A-Z]+)\$[0-9]+"))</f>
        <v/>
      </c>
      <c r="S239" s="7" t="str" cm="1">
        <f t="array" aca="1" ref="S239" ca="1">IFERROR(IF(OR('Raw Data'!S239="",LEN(TRIM('Raw Data'!S239))=0),"",IF(AND(ISNUMBER('Raw Data'!S239), IFERROR('Raw Data'!S239 = ROUND('Raw Data'!S239, 2),FALSE)),"",_xlfn.REGEXEXTRACT(CELL("address",S239), "\$([A-Z]+)\$[0-9]+"))),_xlfn.REGEXEXTRACT(CELL("address",S239), "\$([A-Z]+)\$[0-9]+"))</f>
        <v/>
      </c>
      <c r="T239" s="7" t="str" cm="1">
        <f t="array" aca="1" ref="T239" ca="1">IFERROR(IF(OR('Raw Data'!T239="",LEN(TRIM('Raw Data'!T239))=0),"",IF(AND(ISNUMBER('Raw Data'!T239), IFERROR('Raw Data'!T239 = ROUND('Raw Data'!T239, 2),FALSE)),"",_xlfn.REGEXEXTRACT(CELL("address",T239), "\$([A-Z]+)\$[0-9]+"))),_xlfn.REGEXEXTRACT(CELL("address",T239), "\$([A-Z]+)\$[0-9]+"))</f>
        <v/>
      </c>
      <c r="U239" s="7" t="str" cm="1">
        <f t="array" aca="1" ref="U239" ca="1">IFERROR(IF(OR('Raw Data'!U239="",LEN(TRIM('Raw Data'!U239))=0),"",IF(AND(LEN('Raw Data'!U239) &lt;= 5,LEN('Raw Data'!U239)&gt; 0),"",_xlfn.REGEXEXTRACT(CELL("address",'Raw Data'!U239),"\$([A-Z]+)\$[0-9]+"))),_xlfn.REGEXEXTRACT(CELL("address",'Raw Data'!U239),"\$([A-Z]+)\$[0-9]+"))</f>
        <v/>
      </c>
      <c r="V239" s="7" t="str" cm="1">
        <f t="array" aca="1" ref="V239" ca="1">IFERROR(IF(OR('Raw Data'!V239="",LEN(TRIM('Raw Data'!V239))=0),"",IF(AND(ISNUMBER('Raw Data'!V239), IFERROR('Raw Data'!V239 = ROUND('Raw Data'!V239, 2),FALSE)),"",_xlfn.REGEXEXTRACT(CELL("address",V239), "\$([A-Z]+)\$[0-9]+"))),_xlfn.REGEXEXTRACT(CELL("address",V239), "\$([A-Z]+)\$[0-9]+"))</f>
        <v/>
      </c>
      <c r="W239" s="7" t="str" cm="1">
        <f t="array" aca="1" ref="W239" ca="1">IFERROR(IF(OR('Raw Data'!W239="",LEN(TRIM('Raw Data'!W239))=0),"",IF(AND(ISNUMBER('Raw Data'!W239), IFERROR('Raw Data'!W239 = ROUND('Raw Data'!W239, 2),FALSE)),"",_xlfn.REGEXEXTRACT(CELL("address",W239), "\$([A-Z]+)\$[0-9]+"))),_xlfn.REGEXEXTRACT(CELL("address",W239), "\$([A-Z]+)\$[0-9]+"))</f>
        <v/>
      </c>
      <c r="X239" s="7" t="str" cm="1">
        <f t="array" aca="1" ref="X239" ca="1">IFERROR(IF(OR('Raw Data'!X239="",LEN(TRIM('Raw Data'!X239))=0),"",IF(AND(ISNUMBER('Raw Data'!X239), IFERROR('Raw Data'!X239 = ROUND('Raw Data'!X239, 2),FALSE)),"",_xlfn.REGEXEXTRACT(CELL("address",X239), "\$([A-Z]+)\$[0-9]+"))),_xlfn.REGEXEXTRACT(CELL("address",X239), "\$([A-Z]+)\$[0-9]+"))</f>
        <v/>
      </c>
    </row>
    <row r="240" spans="2:24" x14ac:dyDescent="0.25">
      <c r="B240" s="7" t="str" cm="1">
        <f t="array" aca="1" ref="B240" ca="1">IFERROR(IF(OR('Raw Data'!B240="",LEN(TRIM('Raw Data'!B240))=0),"",IF(AND(LEN('Raw Data'!B240) &lt;= 50,LEN('Raw Data'!B240)&gt; 0),"",_xlfn.REGEXEXTRACT(CELL("address",'Raw Data'!B240),"\$([A-Z]+)\$[0-9]+"))),_xlfn.REGEXEXTRACT(CELL("address",'Raw Data'!B240),"\$([A-Z]+)\$[0-9]+"))</f>
        <v/>
      </c>
      <c r="C240" s="7" t="str" cm="1">
        <f t="array" aca="1" ref="C240" ca="1">IFERROR(IF(OR('Raw Data'!C240="",LEN(TRIM('Raw Data'!C240))=0),"",IF(AND(LEN('Raw Data'!C240) &lt;= 50,LEN('Raw Data'!C240)&gt; 0),"",_xlfn.REGEXEXTRACT(CELL("address",'Raw Data'!C240),"\$([A-Z]+)\$[0-9]+"))),_xlfn.REGEXEXTRACT(CELL("address",'Raw Data'!C240),"\$([A-Z]+)\$[0-9]+"))</f>
        <v/>
      </c>
      <c r="D240" s="7" t="str" cm="1">
        <f t="array" aca="1" ref="D240" ca="1">IFERROR(IF(OR('Raw Data'!D240="",LEN(TRIM('Raw Data'!D240))=0),"",IF(AND(LEN('Raw Data'!D240) &lt;= 255,LEN('Raw Data'!D240)&gt; 0),"",_xlfn.REGEXEXTRACT(CELL("address",'Raw Data'!D240),"\$([A-Z]+)\$[0-9]+"))),_xlfn.REGEXEXTRACT(CELL("address",'Raw Data'!D240),"\$([A-Z]+)\$[0-9]+"))</f>
        <v/>
      </c>
      <c r="E240" s="7" t="str" cm="1">
        <f t="array" aca="1" ref="E240" ca="1">IFERROR(IF(OR('Raw Data'!E240="",LEN(TRIM('Raw Data'!E240))=0),"",IF(AND(ISNUMBER('Raw Data'!E240),'Raw Data'!E240&gt;=Configuration!$D$2),"",_xlfn.REGEXEXTRACT(CELL("address",'Raw Data'!E240),"\$([A-Z]+)\$[0-9]+"))),_xlfn.REGEXEXTRACT(CELL("address",E240), "\$([A-Z]+)\$[0-9]+"))</f>
        <v/>
      </c>
      <c r="F240" s="7" t="str" cm="1">
        <f t="array" aca="1" ref="F240" ca="1">IFERROR(IF(OR('Raw Data'!F240="",LEN(TRIM('Raw Data'!F240))=0),"",IF(AND(LEN('Raw Data'!F240) &lt;= 20,LEN('Raw Data'!F240)&gt; 0),"",_xlfn.REGEXEXTRACT(CELL("address",'Raw Data'!F240),"\$([A-Z]+)\$[0-9]+"))),_xlfn.REGEXEXTRACT(CELL("address",'Raw Data'!F240),"\$([A-Z]+)\$[0-9]+"))</f>
        <v/>
      </c>
      <c r="G240" s="7" t="str" cm="1">
        <f t="array" aca="1" ref="G240" ca="1">IFERROR(IF(OR('Raw Data'!G240="",LEN(TRIM('Raw Data'!G240))=0),"",IF(AND(ISNUMBER('Raw Data'!G240), IFERROR('Raw Data'!G240 = ROUND('Raw Data'!G240, 2),FALSE)),"",_xlfn.REGEXEXTRACT(CELL("address",G240), "\$([A-Z]+)\$[0-9]+"))),_xlfn.REGEXEXTRACT(CELL("address",G240), "\$([A-Z]+)\$[0-9]+"))</f>
        <v/>
      </c>
      <c r="H240" s="7" t="str" cm="1">
        <f t="array" aca="1" ref="H240" ca="1">IFERROR(IF(OR('Raw Data'!H240="",LEN(TRIM('Raw Data'!H240))=0),"",IF(AND(ISNUMBER('Raw Data'!H240), IFERROR('Raw Data'!H240 = ROUND('Raw Data'!H240, 2),FALSE)),"",_xlfn.REGEXEXTRACT(CELL("address",H240), "\$([A-Z]+)\$[0-9]+"))),_xlfn.REGEXEXTRACT(CELL("address",H240), "\$([A-Z]+)\$[0-9]+"))</f>
        <v/>
      </c>
      <c r="I240" s="7" t="str" cm="1">
        <f t="array" aca="1" ref="I240" ca="1">IFERROR(IF(OR('Raw Data'!I240="",LEN(TRIM('Raw Data'!I240))=0),"",IF(AND(LEN('Raw Data'!I240) &lt;= 50,LEN('Raw Data'!I240)&gt; 0),"",_xlfn.REGEXEXTRACT(CELL("address",'Raw Data'!I240),"\$([A-Z]+)\$[0-9]+"))),_xlfn.REGEXEXTRACT(CELL("address",'Raw Data'!I240),"\$([A-Z]+)\$[0-9]+"))</f>
        <v/>
      </c>
      <c r="J240" s="7" t="str" cm="1">
        <f t="array" aca="1" ref="J240" ca="1">IFERROR(IF(OR('Raw Data'!J240="",LEN(TRIM('Raw Data'!J240))=0),"",IF(AND(ISNUMBER('Raw Data'!J240),'Raw Data'!J240&gt;=Configuration!$D$2),"",_xlfn.REGEXEXTRACT(CELL("address",'Raw Data'!J240),"\$([A-Z]+)\$[0-9]+"))),_xlfn.REGEXEXTRACT(CELL("address",J240), "\$([A-Z]+)\$[0-9]+"))</f>
        <v/>
      </c>
      <c r="K240" s="7" t="str" cm="1">
        <f t="array" aca="1" ref="K240" ca="1">IFERROR(IF(OR('Raw Data'!K240="",LEN(TRIM('Raw Data'!K240))=0),"",IF(AND(ISNUMBER('Raw Data'!K240), IFERROR('Raw Data'!K240 = ROUND('Raw Data'!K240, 2),FALSE)),"",_xlfn.REGEXEXTRACT(CELL("address",K240), "\$([A-Z]+)\$[0-9]+"))),_xlfn.REGEXEXTRACT(CELL("address",K240), "\$([A-Z]+)\$[0-9]+"))</f>
        <v/>
      </c>
      <c r="L240" s="7" t="str" cm="1">
        <f t="array" aca="1" ref="L240" ca="1">IFERROR(IF(OR('Raw Data'!L240="",LEN(TRIM('Raw Data'!L240))=0),"",IF(AND(ISNUMBER('Raw Data'!L240), IFERROR('Raw Data'!L240 = ROUND('Raw Data'!L240, 2),FALSE)),"",_xlfn.REGEXEXTRACT(CELL("address",L240), "\$([A-Z]+)\$[0-9]+"))),_xlfn.REGEXEXTRACT(CELL("address",L240), "\$([A-Z]+)\$[0-9]+"))</f>
        <v/>
      </c>
      <c r="M240" s="7" t="str" cm="1">
        <f t="array" aca="1" ref="M240" ca="1">IFERROR(IF(OR('Raw Data'!M240="",LEN(TRIM('Raw Data'!M240))=0),"",IF(AND(ISNUMBER('Raw Data'!M240), IFERROR('Raw Data'!M240 = ROUND('Raw Data'!M240, 2),FALSE)),"",_xlfn.REGEXEXTRACT(CELL("address",M240), "\$([A-Z]+)\$[0-9]+"))),_xlfn.REGEXEXTRACT(CELL("address",M240), "\$([A-Z]+)\$[0-9]+"))</f>
        <v/>
      </c>
      <c r="N240" s="7" t="str" cm="1">
        <f t="array" aca="1" ref="N240" ca="1">IFERROR(IF(OR('Raw Data'!N240="",LEN(TRIM('Raw Data'!N240))=0),"",IF(AND(ISNUMBER('Raw Data'!N240), IFERROR('Raw Data'!N240 = ROUND('Raw Data'!N240, 2),FALSE)),"",_xlfn.REGEXEXTRACT(CELL("address",N240), "\$([A-Z]+)\$[0-9]+"))),_xlfn.REGEXEXTRACT(CELL("address",N240), "\$([A-Z]+)\$[0-9]+"))</f>
        <v/>
      </c>
      <c r="O240" s="7" t="str" cm="1">
        <f t="array" aca="1" ref="O240" ca="1">IFERROR(IF(OR('Raw Data'!O240="",LEN(TRIM('Raw Data'!O240))=0),"",IF(AND(ISNUMBER('Raw Data'!O240), IFERROR('Raw Data'!O240 = ROUND('Raw Data'!O240, 2),FALSE)),"",_xlfn.REGEXEXTRACT(CELL("address",O240), "\$([A-Z]+)\$[0-9]+"))),_xlfn.REGEXEXTRACT(CELL("address",O240), "\$([A-Z]+)\$[0-9]+"))</f>
        <v/>
      </c>
      <c r="P240" s="7" t="str" cm="1">
        <f t="array" aca="1" ref="P240" ca="1">IFERROR(IF(OR('Raw Data'!P240="",LEN(TRIM('Raw Data'!P240))=0),"",IF(AND(ISNUMBER('Raw Data'!P240),'Raw Data'!P240&gt;=Configuration!$D$2),"",_xlfn.REGEXEXTRACT(CELL("address",'Raw Data'!P240),"\$([A-Z]+)\$[0-9]+"))),_xlfn.REGEXEXTRACT(CELL("address",P240), "\$([A-Z]+)\$[0-9]+"))</f>
        <v/>
      </c>
      <c r="Q240" s="7" t="str" cm="1">
        <f t="array" aca="1" ref="Q240" ca="1">IFERROR(IF(OR('Raw Data'!Q240="",LEN(TRIM('Raw Data'!Q240))=0),"",IF(AND(ISNUMBER('Raw Data'!Q240),'Raw Data'!Q240&gt;=Configuration!$D$2),"",_xlfn.REGEXEXTRACT(CELL("address",'Raw Data'!Q240),"\$([A-Z]+)\$[0-9]+"))),_xlfn.REGEXEXTRACT(CELL("address",Q240), "\$([A-Z]+)\$[0-9]+"))</f>
        <v/>
      </c>
      <c r="R240" s="7" t="str" cm="1">
        <f t="array" aca="1" ref="R240" ca="1">IFERROR(IF(OR('Raw Data'!R240="",LEN(TRIM('Raw Data'!R240))=0),"",IF(AND(ISNUMBER('Raw Data'!R240), IFERROR('Raw Data'!R240 = ROUND('Raw Data'!R240, 2),FALSE)),"",_xlfn.REGEXEXTRACT(CELL("address",R240), "\$([A-Z]+)\$[0-9]+"))),_xlfn.REGEXEXTRACT(CELL("address",R240), "\$([A-Z]+)\$[0-9]+"))</f>
        <v/>
      </c>
      <c r="S240" s="7" t="str" cm="1">
        <f t="array" aca="1" ref="S240" ca="1">IFERROR(IF(OR('Raw Data'!S240="",LEN(TRIM('Raw Data'!S240))=0),"",IF(AND(ISNUMBER('Raw Data'!S240), IFERROR('Raw Data'!S240 = ROUND('Raw Data'!S240, 2),FALSE)),"",_xlfn.REGEXEXTRACT(CELL("address",S240), "\$([A-Z]+)\$[0-9]+"))),_xlfn.REGEXEXTRACT(CELL("address",S240), "\$([A-Z]+)\$[0-9]+"))</f>
        <v/>
      </c>
      <c r="T240" s="7" t="str" cm="1">
        <f t="array" aca="1" ref="T240" ca="1">IFERROR(IF(OR('Raw Data'!T240="",LEN(TRIM('Raw Data'!T240))=0),"",IF(AND(ISNUMBER('Raw Data'!T240), IFERROR('Raw Data'!T240 = ROUND('Raw Data'!T240, 2),FALSE)),"",_xlfn.REGEXEXTRACT(CELL("address",T240), "\$([A-Z]+)\$[0-9]+"))),_xlfn.REGEXEXTRACT(CELL("address",T240), "\$([A-Z]+)\$[0-9]+"))</f>
        <v/>
      </c>
      <c r="U240" s="7" t="str" cm="1">
        <f t="array" aca="1" ref="U240" ca="1">IFERROR(IF(OR('Raw Data'!U240="",LEN(TRIM('Raw Data'!U240))=0),"",IF(AND(LEN('Raw Data'!U240) &lt;= 5,LEN('Raw Data'!U240)&gt; 0),"",_xlfn.REGEXEXTRACT(CELL("address",'Raw Data'!U240),"\$([A-Z]+)\$[0-9]+"))),_xlfn.REGEXEXTRACT(CELL("address",'Raw Data'!U240),"\$([A-Z]+)\$[0-9]+"))</f>
        <v/>
      </c>
      <c r="V240" s="7" t="str" cm="1">
        <f t="array" aca="1" ref="V240" ca="1">IFERROR(IF(OR('Raw Data'!V240="",LEN(TRIM('Raw Data'!V240))=0),"",IF(AND(ISNUMBER('Raw Data'!V240), IFERROR('Raw Data'!V240 = ROUND('Raw Data'!V240, 2),FALSE)),"",_xlfn.REGEXEXTRACT(CELL("address",V240), "\$([A-Z]+)\$[0-9]+"))),_xlfn.REGEXEXTRACT(CELL("address",V240), "\$([A-Z]+)\$[0-9]+"))</f>
        <v/>
      </c>
      <c r="W240" s="7" t="str" cm="1">
        <f t="array" aca="1" ref="W240" ca="1">IFERROR(IF(OR('Raw Data'!W240="",LEN(TRIM('Raw Data'!W240))=0),"",IF(AND(ISNUMBER('Raw Data'!W240), IFERROR('Raw Data'!W240 = ROUND('Raw Data'!W240, 2),FALSE)),"",_xlfn.REGEXEXTRACT(CELL("address",W240), "\$([A-Z]+)\$[0-9]+"))),_xlfn.REGEXEXTRACT(CELL("address",W240), "\$([A-Z]+)\$[0-9]+"))</f>
        <v/>
      </c>
      <c r="X240" s="7" t="str" cm="1">
        <f t="array" aca="1" ref="X240" ca="1">IFERROR(IF(OR('Raw Data'!X240="",LEN(TRIM('Raw Data'!X240))=0),"",IF(AND(ISNUMBER('Raw Data'!X240), IFERROR('Raw Data'!X240 = ROUND('Raw Data'!X240, 2),FALSE)),"",_xlfn.REGEXEXTRACT(CELL("address",X240), "\$([A-Z]+)\$[0-9]+"))),_xlfn.REGEXEXTRACT(CELL("address",X240), "\$([A-Z]+)\$[0-9]+"))</f>
        <v/>
      </c>
    </row>
    <row r="241" spans="2:24" x14ac:dyDescent="0.25">
      <c r="B241" s="7" t="str" cm="1">
        <f t="array" aca="1" ref="B241" ca="1">IFERROR(IF(OR('Raw Data'!B241="",LEN(TRIM('Raw Data'!B241))=0),"",IF(AND(LEN('Raw Data'!B241) &lt;= 50,LEN('Raw Data'!B241)&gt; 0),"",_xlfn.REGEXEXTRACT(CELL("address",'Raw Data'!B241),"\$([A-Z]+)\$[0-9]+"))),_xlfn.REGEXEXTRACT(CELL("address",'Raw Data'!B241),"\$([A-Z]+)\$[0-9]+"))</f>
        <v/>
      </c>
      <c r="C241" s="7" t="str" cm="1">
        <f t="array" aca="1" ref="C241" ca="1">IFERROR(IF(OR('Raw Data'!C241="",LEN(TRIM('Raw Data'!C241))=0),"",IF(AND(LEN('Raw Data'!C241) &lt;= 50,LEN('Raw Data'!C241)&gt; 0),"",_xlfn.REGEXEXTRACT(CELL("address",'Raw Data'!C241),"\$([A-Z]+)\$[0-9]+"))),_xlfn.REGEXEXTRACT(CELL("address",'Raw Data'!C241),"\$([A-Z]+)\$[0-9]+"))</f>
        <v/>
      </c>
      <c r="D241" s="7" t="str" cm="1">
        <f t="array" aca="1" ref="D241" ca="1">IFERROR(IF(OR('Raw Data'!D241="",LEN(TRIM('Raw Data'!D241))=0),"",IF(AND(LEN('Raw Data'!D241) &lt;= 255,LEN('Raw Data'!D241)&gt; 0),"",_xlfn.REGEXEXTRACT(CELL("address",'Raw Data'!D241),"\$([A-Z]+)\$[0-9]+"))),_xlfn.REGEXEXTRACT(CELL("address",'Raw Data'!D241),"\$([A-Z]+)\$[0-9]+"))</f>
        <v/>
      </c>
      <c r="E241" s="7" t="str" cm="1">
        <f t="array" aca="1" ref="E241" ca="1">IFERROR(IF(OR('Raw Data'!E241="",LEN(TRIM('Raw Data'!E241))=0),"",IF(AND(ISNUMBER('Raw Data'!E241),'Raw Data'!E241&gt;=Configuration!$D$2),"",_xlfn.REGEXEXTRACT(CELL("address",'Raw Data'!E241),"\$([A-Z]+)\$[0-9]+"))),_xlfn.REGEXEXTRACT(CELL("address",E241), "\$([A-Z]+)\$[0-9]+"))</f>
        <v/>
      </c>
      <c r="F241" s="7" t="str" cm="1">
        <f t="array" aca="1" ref="F241" ca="1">IFERROR(IF(OR('Raw Data'!F241="",LEN(TRIM('Raw Data'!F241))=0),"",IF(AND(LEN('Raw Data'!F241) &lt;= 20,LEN('Raw Data'!F241)&gt; 0),"",_xlfn.REGEXEXTRACT(CELL("address",'Raw Data'!F241),"\$([A-Z]+)\$[0-9]+"))),_xlfn.REGEXEXTRACT(CELL("address",'Raw Data'!F241),"\$([A-Z]+)\$[0-9]+"))</f>
        <v/>
      </c>
      <c r="G241" s="7" t="str" cm="1">
        <f t="array" aca="1" ref="G241" ca="1">IFERROR(IF(OR('Raw Data'!G241="",LEN(TRIM('Raw Data'!G241))=0),"",IF(AND(ISNUMBER('Raw Data'!G241), IFERROR('Raw Data'!G241 = ROUND('Raw Data'!G241, 2),FALSE)),"",_xlfn.REGEXEXTRACT(CELL("address",G241), "\$([A-Z]+)\$[0-9]+"))),_xlfn.REGEXEXTRACT(CELL("address",G241), "\$([A-Z]+)\$[0-9]+"))</f>
        <v/>
      </c>
      <c r="H241" s="7" t="str" cm="1">
        <f t="array" aca="1" ref="H241" ca="1">IFERROR(IF(OR('Raw Data'!H241="",LEN(TRIM('Raw Data'!H241))=0),"",IF(AND(ISNUMBER('Raw Data'!H241), IFERROR('Raw Data'!H241 = ROUND('Raw Data'!H241, 2),FALSE)),"",_xlfn.REGEXEXTRACT(CELL("address",H241), "\$([A-Z]+)\$[0-9]+"))),_xlfn.REGEXEXTRACT(CELL("address",H241), "\$([A-Z]+)\$[0-9]+"))</f>
        <v/>
      </c>
      <c r="I241" s="7" t="str" cm="1">
        <f t="array" aca="1" ref="I241" ca="1">IFERROR(IF(OR('Raw Data'!I241="",LEN(TRIM('Raw Data'!I241))=0),"",IF(AND(LEN('Raw Data'!I241) &lt;= 50,LEN('Raw Data'!I241)&gt; 0),"",_xlfn.REGEXEXTRACT(CELL("address",'Raw Data'!I241),"\$([A-Z]+)\$[0-9]+"))),_xlfn.REGEXEXTRACT(CELL("address",'Raw Data'!I241),"\$([A-Z]+)\$[0-9]+"))</f>
        <v/>
      </c>
      <c r="J241" s="7" t="str" cm="1">
        <f t="array" aca="1" ref="J241" ca="1">IFERROR(IF(OR('Raw Data'!J241="",LEN(TRIM('Raw Data'!J241))=0),"",IF(AND(ISNUMBER('Raw Data'!J241),'Raw Data'!J241&gt;=Configuration!$D$2),"",_xlfn.REGEXEXTRACT(CELL("address",'Raw Data'!J241),"\$([A-Z]+)\$[0-9]+"))),_xlfn.REGEXEXTRACT(CELL("address",J241), "\$([A-Z]+)\$[0-9]+"))</f>
        <v/>
      </c>
      <c r="K241" s="7" t="str" cm="1">
        <f t="array" aca="1" ref="K241" ca="1">IFERROR(IF(OR('Raw Data'!K241="",LEN(TRIM('Raw Data'!K241))=0),"",IF(AND(ISNUMBER('Raw Data'!K241), IFERROR('Raw Data'!K241 = ROUND('Raw Data'!K241, 2),FALSE)),"",_xlfn.REGEXEXTRACT(CELL("address",K241), "\$([A-Z]+)\$[0-9]+"))),_xlfn.REGEXEXTRACT(CELL("address",K241), "\$([A-Z]+)\$[0-9]+"))</f>
        <v/>
      </c>
      <c r="L241" s="7" t="str" cm="1">
        <f t="array" aca="1" ref="L241" ca="1">IFERROR(IF(OR('Raw Data'!L241="",LEN(TRIM('Raw Data'!L241))=0),"",IF(AND(ISNUMBER('Raw Data'!L241), IFERROR('Raw Data'!L241 = ROUND('Raw Data'!L241, 2),FALSE)),"",_xlfn.REGEXEXTRACT(CELL("address",L241), "\$([A-Z]+)\$[0-9]+"))),_xlfn.REGEXEXTRACT(CELL("address",L241), "\$([A-Z]+)\$[0-9]+"))</f>
        <v/>
      </c>
      <c r="M241" s="7" t="str" cm="1">
        <f t="array" aca="1" ref="M241" ca="1">IFERROR(IF(OR('Raw Data'!M241="",LEN(TRIM('Raw Data'!M241))=0),"",IF(AND(ISNUMBER('Raw Data'!M241), IFERROR('Raw Data'!M241 = ROUND('Raw Data'!M241, 2),FALSE)),"",_xlfn.REGEXEXTRACT(CELL("address",M241), "\$([A-Z]+)\$[0-9]+"))),_xlfn.REGEXEXTRACT(CELL("address",M241), "\$([A-Z]+)\$[0-9]+"))</f>
        <v/>
      </c>
      <c r="N241" s="7" t="str" cm="1">
        <f t="array" aca="1" ref="N241" ca="1">IFERROR(IF(OR('Raw Data'!N241="",LEN(TRIM('Raw Data'!N241))=0),"",IF(AND(ISNUMBER('Raw Data'!N241), IFERROR('Raw Data'!N241 = ROUND('Raw Data'!N241, 2),FALSE)),"",_xlfn.REGEXEXTRACT(CELL("address",N241), "\$([A-Z]+)\$[0-9]+"))),_xlfn.REGEXEXTRACT(CELL("address",N241), "\$([A-Z]+)\$[0-9]+"))</f>
        <v/>
      </c>
      <c r="O241" s="7" t="str" cm="1">
        <f t="array" aca="1" ref="O241" ca="1">IFERROR(IF(OR('Raw Data'!O241="",LEN(TRIM('Raw Data'!O241))=0),"",IF(AND(ISNUMBER('Raw Data'!O241), IFERROR('Raw Data'!O241 = ROUND('Raw Data'!O241, 2),FALSE)),"",_xlfn.REGEXEXTRACT(CELL("address",O241), "\$([A-Z]+)\$[0-9]+"))),_xlfn.REGEXEXTRACT(CELL("address",O241), "\$([A-Z]+)\$[0-9]+"))</f>
        <v/>
      </c>
      <c r="P241" s="7" t="str" cm="1">
        <f t="array" aca="1" ref="P241" ca="1">IFERROR(IF(OR('Raw Data'!P241="",LEN(TRIM('Raw Data'!P241))=0),"",IF(AND(ISNUMBER('Raw Data'!P241),'Raw Data'!P241&gt;=Configuration!$D$2),"",_xlfn.REGEXEXTRACT(CELL("address",'Raw Data'!P241),"\$([A-Z]+)\$[0-9]+"))),_xlfn.REGEXEXTRACT(CELL("address",P241), "\$([A-Z]+)\$[0-9]+"))</f>
        <v/>
      </c>
      <c r="Q241" s="7" t="str" cm="1">
        <f t="array" aca="1" ref="Q241" ca="1">IFERROR(IF(OR('Raw Data'!Q241="",LEN(TRIM('Raw Data'!Q241))=0),"",IF(AND(ISNUMBER('Raw Data'!Q241),'Raw Data'!Q241&gt;=Configuration!$D$2),"",_xlfn.REGEXEXTRACT(CELL("address",'Raw Data'!Q241),"\$([A-Z]+)\$[0-9]+"))),_xlfn.REGEXEXTRACT(CELL("address",Q241), "\$([A-Z]+)\$[0-9]+"))</f>
        <v/>
      </c>
      <c r="R241" s="7" t="str" cm="1">
        <f t="array" aca="1" ref="R241" ca="1">IFERROR(IF(OR('Raw Data'!R241="",LEN(TRIM('Raw Data'!R241))=0),"",IF(AND(ISNUMBER('Raw Data'!R241), IFERROR('Raw Data'!R241 = ROUND('Raw Data'!R241, 2),FALSE)),"",_xlfn.REGEXEXTRACT(CELL("address",R241), "\$([A-Z]+)\$[0-9]+"))),_xlfn.REGEXEXTRACT(CELL("address",R241), "\$([A-Z]+)\$[0-9]+"))</f>
        <v/>
      </c>
      <c r="S241" s="7" t="str" cm="1">
        <f t="array" aca="1" ref="S241" ca="1">IFERROR(IF(OR('Raw Data'!S241="",LEN(TRIM('Raw Data'!S241))=0),"",IF(AND(ISNUMBER('Raw Data'!S241), IFERROR('Raw Data'!S241 = ROUND('Raw Data'!S241, 2),FALSE)),"",_xlfn.REGEXEXTRACT(CELL("address",S241), "\$([A-Z]+)\$[0-9]+"))),_xlfn.REGEXEXTRACT(CELL("address",S241), "\$([A-Z]+)\$[0-9]+"))</f>
        <v/>
      </c>
      <c r="T241" s="7" t="str" cm="1">
        <f t="array" aca="1" ref="T241" ca="1">IFERROR(IF(OR('Raw Data'!T241="",LEN(TRIM('Raw Data'!T241))=0),"",IF(AND(ISNUMBER('Raw Data'!T241), IFERROR('Raw Data'!T241 = ROUND('Raw Data'!T241, 2),FALSE)),"",_xlfn.REGEXEXTRACT(CELL("address",T241), "\$([A-Z]+)\$[0-9]+"))),_xlfn.REGEXEXTRACT(CELL("address",T241), "\$([A-Z]+)\$[0-9]+"))</f>
        <v/>
      </c>
      <c r="U241" s="7" t="str" cm="1">
        <f t="array" aca="1" ref="U241" ca="1">IFERROR(IF(OR('Raw Data'!U241="",LEN(TRIM('Raw Data'!U241))=0),"",IF(AND(LEN('Raw Data'!U241) &lt;= 5,LEN('Raw Data'!U241)&gt; 0),"",_xlfn.REGEXEXTRACT(CELL("address",'Raw Data'!U241),"\$([A-Z]+)\$[0-9]+"))),_xlfn.REGEXEXTRACT(CELL("address",'Raw Data'!U241),"\$([A-Z]+)\$[0-9]+"))</f>
        <v/>
      </c>
      <c r="V241" s="7" t="str" cm="1">
        <f t="array" aca="1" ref="V241" ca="1">IFERROR(IF(OR('Raw Data'!V241="",LEN(TRIM('Raw Data'!V241))=0),"",IF(AND(ISNUMBER('Raw Data'!V241), IFERROR('Raw Data'!V241 = ROUND('Raw Data'!V241, 2),FALSE)),"",_xlfn.REGEXEXTRACT(CELL("address",V241), "\$([A-Z]+)\$[0-9]+"))),_xlfn.REGEXEXTRACT(CELL("address",V241), "\$([A-Z]+)\$[0-9]+"))</f>
        <v/>
      </c>
      <c r="W241" s="7" t="str" cm="1">
        <f t="array" aca="1" ref="W241" ca="1">IFERROR(IF(OR('Raw Data'!W241="",LEN(TRIM('Raw Data'!W241))=0),"",IF(AND(ISNUMBER('Raw Data'!W241), IFERROR('Raw Data'!W241 = ROUND('Raw Data'!W241, 2),FALSE)),"",_xlfn.REGEXEXTRACT(CELL("address",W241), "\$([A-Z]+)\$[0-9]+"))),_xlfn.REGEXEXTRACT(CELL("address",W241), "\$([A-Z]+)\$[0-9]+"))</f>
        <v/>
      </c>
      <c r="X241" s="7" t="str" cm="1">
        <f t="array" aca="1" ref="X241" ca="1">IFERROR(IF(OR('Raw Data'!X241="",LEN(TRIM('Raw Data'!X241))=0),"",IF(AND(ISNUMBER('Raw Data'!X241), IFERROR('Raw Data'!X241 = ROUND('Raw Data'!X241, 2),FALSE)),"",_xlfn.REGEXEXTRACT(CELL("address",X241), "\$([A-Z]+)\$[0-9]+"))),_xlfn.REGEXEXTRACT(CELL("address",X241), "\$([A-Z]+)\$[0-9]+"))</f>
        <v/>
      </c>
    </row>
    <row r="242" spans="2:24" x14ac:dyDescent="0.25">
      <c r="B242" s="7" t="str" cm="1">
        <f t="array" aca="1" ref="B242" ca="1">IFERROR(IF(OR('Raw Data'!B242="",LEN(TRIM('Raw Data'!B242))=0),"",IF(AND(LEN('Raw Data'!B242) &lt;= 50,LEN('Raw Data'!B242)&gt; 0),"",_xlfn.REGEXEXTRACT(CELL("address",'Raw Data'!B242),"\$([A-Z]+)\$[0-9]+"))),_xlfn.REGEXEXTRACT(CELL("address",'Raw Data'!B242),"\$([A-Z]+)\$[0-9]+"))</f>
        <v/>
      </c>
      <c r="C242" s="7" t="str" cm="1">
        <f t="array" aca="1" ref="C242" ca="1">IFERROR(IF(OR('Raw Data'!C242="",LEN(TRIM('Raw Data'!C242))=0),"",IF(AND(LEN('Raw Data'!C242) &lt;= 50,LEN('Raw Data'!C242)&gt; 0),"",_xlfn.REGEXEXTRACT(CELL("address",'Raw Data'!C242),"\$([A-Z]+)\$[0-9]+"))),_xlfn.REGEXEXTRACT(CELL("address",'Raw Data'!C242),"\$([A-Z]+)\$[0-9]+"))</f>
        <v/>
      </c>
      <c r="D242" s="7" t="str" cm="1">
        <f t="array" aca="1" ref="D242" ca="1">IFERROR(IF(OR('Raw Data'!D242="",LEN(TRIM('Raw Data'!D242))=0),"",IF(AND(LEN('Raw Data'!D242) &lt;= 255,LEN('Raw Data'!D242)&gt; 0),"",_xlfn.REGEXEXTRACT(CELL("address",'Raw Data'!D242),"\$([A-Z]+)\$[0-9]+"))),_xlfn.REGEXEXTRACT(CELL("address",'Raw Data'!D242),"\$([A-Z]+)\$[0-9]+"))</f>
        <v/>
      </c>
      <c r="E242" s="7" t="str" cm="1">
        <f t="array" aca="1" ref="E242" ca="1">IFERROR(IF(OR('Raw Data'!E242="",LEN(TRIM('Raw Data'!E242))=0),"",IF(AND(ISNUMBER('Raw Data'!E242),'Raw Data'!E242&gt;=Configuration!$D$2),"",_xlfn.REGEXEXTRACT(CELL("address",'Raw Data'!E242),"\$([A-Z]+)\$[0-9]+"))),_xlfn.REGEXEXTRACT(CELL("address",E242), "\$([A-Z]+)\$[0-9]+"))</f>
        <v/>
      </c>
      <c r="F242" s="7" t="str" cm="1">
        <f t="array" aca="1" ref="F242" ca="1">IFERROR(IF(OR('Raw Data'!F242="",LEN(TRIM('Raw Data'!F242))=0),"",IF(AND(LEN('Raw Data'!F242) &lt;= 20,LEN('Raw Data'!F242)&gt; 0),"",_xlfn.REGEXEXTRACT(CELL("address",'Raw Data'!F242),"\$([A-Z]+)\$[0-9]+"))),_xlfn.REGEXEXTRACT(CELL("address",'Raw Data'!F242),"\$([A-Z]+)\$[0-9]+"))</f>
        <v/>
      </c>
      <c r="G242" s="7" t="str" cm="1">
        <f t="array" aca="1" ref="G242" ca="1">IFERROR(IF(OR('Raw Data'!G242="",LEN(TRIM('Raw Data'!G242))=0),"",IF(AND(ISNUMBER('Raw Data'!G242), IFERROR('Raw Data'!G242 = ROUND('Raw Data'!G242, 2),FALSE)),"",_xlfn.REGEXEXTRACT(CELL("address",G242), "\$([A-Z]+)\$[0-9]+"))),_xlfn.REGEXEXTRACT(CELL("address",G242), "\$([A-Z]+)\$[0-9]+"))</f>
        <v/>
      </c>
      <c r="H242" s="7" t="str" cm="1">
        <f t="array" aca="1" ref="H242" ca="1">IFERROR(IF(OR('Raw Data'!H242="",LEN(TRIM('Raw Data'!H242))=0),"",IF(AND(ISNUMBER('Raw Data'!H242), IFERROR('Raw Data'!H242 = ROUND('Raw Data'!H242, 2),FALSE)),"",_xlfn.REGEXEXTRACT(CELL("address",H242), "\$([A-Z]+)\$[0-9]+"))),_xlfn.REGEXEXTRACT(CELL("address",H242), "\$([A-Z]+)\$[0-9]+"))</f>
        <v/>
      </c>
      <c r="I242" s="7" t="str" cm="1">
        <f t="array" aca="1" ref="I242" ca="1">IFERROR(IF(OR('Raw Data'!I242="",LEN(TRIM('Raw Data'!I242))=0),"",IF(AND(LEN('Raw Data'!I242) &lt;= 50,LEN('Raw Data'!I242)&gt; 0),"",_xlfn.REGEXEXTRACT(CELL("address",'Raw Data'!I242),"\$([A-Z]+)\$[0-9]+"))),_xlfn.REGEXEXTRACT(CELL("address",'Raw Data'!I242),"\$([A-Z]+)\$[0-9]+"))</f>
        <v/>
      </c>
      <c r="J242" s="7" t="str" cm="1">
        <f t="array" aca="1" ref="J242" ca="1">IFERROR(IF(OR('Raw Data'!J242="",LEN(TRIM('Raw Data'!J242))=0),"",IF(AND(ISNUMBER('Raw Data'!J242),'Raw Data'!J242&gt;=Configuration!$D$2),"",_xlfn.REGEXEXTRACT(CELL("address",'Raw Data'!J242),"\$([A-Z]+)\$[0-9]+"))),_xlfn.REGEXEXTRACT(CELL("address",J242), "\$([A-Z]+)\$[0-9]+"))</f>
        <v/>
      </c>
      <c r="K242" s="7" t="str" cm="1">
        <f t="array" aca="1" ref="K242" ca="1">IFERROR(IF(OR('Raw Data'!K242="",LEN(TRIM('Raw Data'!K242))=0),"",IF(AND(ISNUMBER('Raw Data'!K242), IFERROR('Raw Data'!K242 = ROUND('Raw Data'!K242, 2),FALSE)),"",_xlfn.REGEXEXTRACT(CELL("address",K242), "\$([A-Z]+)\$[0-9]+"))),_xlfn.REGEXEXTRACT(CELL("address",K242), "\$([A-Z]+)\$[0-9]+"))</f>
        <v/>
      </c>
      <c r="L242" s="7" t="str" cm="1">
        <f t="array" aca="1" ref="L242" ca="1">IFERROR(IF(OR('Raw Data'!L242="",LEN(TRIM('Raw Data'!L242))=0),"",IF(AND(ISNUMBER('Raw Data'!L242), IFERROR('Raw Data'!L242 = ROUND('Raw Data'!L242, 2),FALSE)),"",_xlfn.REGEXEXTRACT(CELL("address",L242), "\$([A-Z]+)\$[0-9]+"))),_xlfn.REGEXEXTRACT(CELL("address",L242), "\$([A-Z]+)\$[0-9]+"))</f>
        <v/>
      </c>
      <c r="M242" s="7" t="str" cm="1">
        <f t="array" aca="1" ref="M242" ca="1">IFERROR(IF(OR('Raw Data'!M242="",LEN(TRIM('Raw Data'!M242))=0),"",IF(AND(ISNUMBER('Raw Data'!M242), IFERROR('Raw Data'!M242 = ROUND('Raw Data'!M242, 2),FALSE)),"",_xlfn.REGEXEXTRACT(CELL("address",M242), "\$([A-Z]+)\$[0-9]+"))),_xlfn.REGEXEXTRACT(CELL("address",M242), "\$([A-Z]+)\$[0-9]+"))</f>
        <v/>
      </c>
      <c r="N242" s="7" t="str" cm="1">
        <f t="array" aca="1" ref="N242" ca="1">IFERROR(IF(OR('Raw Data'!N242="",LEN(TRIM('Raw Data'!N242))=0),"",IF(AND(ISNUMBER('Raw Data'!N242), IFERROR('Raw Data'!N242 = ROUND('Raw Data'!N242, 2),FALSE)),"",_xlfn.REGEXEXTRACT(CELL("address",N242), "\$([A-Z]+)\$[0-9]+"))),_xlfn.REGEXEXTRACT(CELL("address",N242), "\$([A-Z]+)\$[0-9]+"))</f>
        <v/>
      </c>
      <c r="O242" s="7" t="str" cm="1">
        <f t="array" aca="1" ref="O242" ca="1">IFERROR(IF(OR('Raw Data'!O242="",LEN(TRIM('Raw Data'!O242))=0),"",IF(AND(ISNUMBER('Raw Data'!O242), IFERROR('Raw Data'!O242 = ROUND('Raw Data'!O242, 2),FALSE)),"",_xlfn.REGEXEXTRACT(CELL("address",O242), "\$([A-Z]+)\$[0-9]+"))),_xlfn.REGEXEXTRACT(CELL("address",O242), "\$([A-Z]+)\$[0-9]+"))</f>
        <v/>
      </c>
      <c r="P242" s="7" t="str" cm="1">
        <f t="array" aca="1" ref="P242" ca="1">IFERROR(IF(OR('Raw Data'!P242="",LEN(TRIM('Raw Data'!P242))=0),"",IF(AND(ISNUMBER('Raw Data'!P242),'Raw Data'!P242&gt;=Configuration!$D$2),"",_xlfn.REGEXEXTRACT(CELL("address",'Raw Data'!P242),"\$([A-Z]+)\$[0-9]+"))),_xlfn.REGEXEXTRACT(CELL("address",P242), "\$([A-Z]+)\$[0-9]+"))</f>
        <v/>
      </c>
      <c r="Q242" s="7" t="str" cm="1">
        <f t="array" aca="1" ref="Q242" ca="1">IFERROR(IF(OR('Raw Data'!Q242="",LEN(TRIM('Raw Data'!Q242))=0),"",IF(AND(ISNUMBER('Raw Data'!Q242),'Raw Data'!Q242&gt;=Configuration!$D$2),"",_xlfn.REGEXEXTRACT(CELL("address",'Raw Data'!Q242),"\$([A-Z]+)\$[0-9]+"))),_xlfn.REGEXEXTRACT(CELL("address",Q242), "\$([A-Z]+)\$[0-9]+"))</f>
        <v/>
      </c>
      <c r="R242" s="7" t="str" cm="1">
        <f t="array" aca="1" ref="R242" ca="1">IFERROR(IF(OR('Raw Data'!R242="",LEN(TRIM('Raw Data'!R242))=0),"",IF(AND(ISNUMBER('Raw Data'!R242), IFERROR('Raw Data'!R242 = ROUND('Raw Data'!R242, 2),FALSE)),"",_xlfn.REGEXEXTRACT(CELL("address",R242), "\$([A-Z]+)\$[0-9]+"))),_xlfn.REGEXEXTRACT(CELL("address",R242), "\$([A-Z]+)\$[0-9]+"))</f>
        <v/>
      </c>
      <c r="S242" s="7" t="str" cm="1">
        <f t="array" aca="1" ref="S242" ca="1">IFERROR(IF(OR('Raw Data'!S242="",LEN(TRIM('Raw Data'!S242))=0),"",IF(AND(ISNUMBER('Raw Data'!S242), IFERROR('Raw Data'!S242 = ROUND('Raw Data'!S242, 2),FALSE)),"",_xlfn.REGEXEXTRACT(CELL("address",S242), "\$([A-Z]+)\$[0-9]+"))),_xlfn.REGEXEXTRACT(CELL("address",S242), "\$([A-Z]+)\$[0-9]+"))</f>
        <v/>
      </c>
      <c r="T242" s="7" t="str" cm="1">
        <f t="array" aca="1" ref="T242" ca="1">IFERROR(IF(OR('Raw Data'!T242="",LEN(TRIM('Raw Data'!T242))=0),"",IF(AND(ISNUMBER('Raw Data'!T242), IFERROR('Raw Data'!T242 = ROUND('Raw Data'!T242, 2),FALSE)),"",_xlfn.REGEXEXTRACT(CELL("address",T242), "\$([A-Z]+)\$[0-9]+"))),_xlfn.REGEXEXTRACT(CELL("address",T242), "\$([A-Z]+)\$[0-9]+"))</f>
        <v/>
      </c>
      <c r="U242" s="7" t="str" cm="1">
        <f t="array" aca="1" ref="U242" ca="1">IFERROR(IF(OR('Raw Data'!U242="",LEN(TRIM('Raw Data'!U242))=0),"",IF(AND(LEN('Raw Data'!U242) &lt;= 5,LEN('Raw Data'!U242)&gt; 0),"",_xlfn.REGEXEXTRACT(CELL("address",'Raw Data'!U242),"\$([A-Z]+)\$[0-9]+"))),_xlfn.REGEXEXTRACT(CELL("address",'Raw Data'!U242),"\$([A-Z]+)\$[0-9]+"))</f>
        <v/>
      </c>
      <c r="V242" s="7" t="str" cm="1">
        <f t="array" aca="1" ref="V242" ca="1">IFERROR(IF(OR('Raw Data'!V242="",LEN(TRIM('Raw Data'!V242))=0),"",IF(AND(ISNUMBER('Raw Data'!V242), IFERROR('Raw Data'!V242 = ROUND('Raw Data'!V242, 2),FALSE)),"",_xlfn.REGEXEXTRACT(CELL("address",V242), "\$([A-Z]+)\$[0-9]+"))),_xlfn.REGEXEXTRACT(CELL("address",V242), "\$([A-Z]+)\$[0-9]+"))</f>
        <v/>
      </c>
      <c r="W242" s="7" t="str" cm="1">
        <f t="array" aca="1" ref="W242" ca="1">IFERROR(IF(OR('Raw Data'!W242="",LEN(TRIM('Raw Data'!W242))=0),"",IF(AND(ISNUMBER('Raw Data'!W242), IFERROR('Raw Data'!W242 = ROUND('Raw Data'!W242, 2),FALSE)),"",_xlfn.REGEXEXTRACT(CELL("address",W242), "\$([A-Z]+)\$[0-9]+"))),_xlfn.REGEXEXTRACT(CELL("address",W242), "\$([A-Z]+)\$[0-9]+"))</f>
        <v/>
      </c>
      <c r="X242" s="7" t="str" cm="1">
        <f t="array" aca="1" ref="X242" ca="1">IFERROR(IF(OR('Raw Data'!X242="",LEN(TRIM('Raw Data'!X242))=0),"",IF(AND(ISNUMBER('Raw Data'!X242), IFERROR('Raw Data'!X242 = ROUND('Raw Data'!X242, 2),FALSE)),"",_xlfn.REGEXEXTRACT(CELL("address",X242), "\$([A-Z]+)\$[0-9]+"))),_xlfn.REGEXEXTRACT(CELL("address",X242), "\$([A-Z]+)\$[0-9]+"))</f>
        <v/>
      </c>
    </row>
    <row r="243" spans="2:24" x14ac:dyDescent="0.25">
      <c r="B243" s="7" t="str" cm="1">
        <f t="array" aca="1" ref="B243" ca="1">IFERROR(IF(OR('Raw Data'!B243="",LEN(TRIM('Raw Data'!B243))=0),"",IF(AND(LEN('Raw Data'!B243) &lt;= 50,LEN('Raw Data'!B243)&gt; 0),"",_xlfn.REGEXEXTRACT(CELL("address",'Raw Data'!B243),"\$([A-Z]+)\$[0-9]+"))),_xlfn.REGEXEXTRACT(CELL("address",'Raw Data'!B243),"\$([A-Z]+)\$[0-9]+"))</f>
        <v/>
      </c>
      <c r="C243" s="7" t="str" cm="1">
        <f t="array" aca="1" ref="C243" ca="1">IFERROR(IF(OR('Raw Data'!C243="",LEN(TRIM('Raw Data'!C243))=0),"",IF(AND(LEN('Raw Data'!C243) &lt;= 50,LEN('Raw Data'!C243)&gt; 0),"",_xlfn.REGEXEXTRACT(CELL("address",'Raw Data'!C243),"\$([A-Z]+)\$[0-9]+"))),_xlfn.REGEXEXTRACT(CELL("address",'Raw Data'!C243),"\$([A-Z]+)\$[0-9]+"))</f>
        <v/>
      </c>
      <c r="D243" s="7" t="str" cm="1">
        <f t="array" aca="1" ref="D243" ca="1">IFERROR(IF(OR('Raw Data'!D243="",LEN(TRIM('Raw Data'!D243))=0),"",IF(AND(LEN('Raw Data'!D243) &lt;= 255,LEN('Raw Data'!D243)&gt; 0),"",_xlfn.REGEXEXTRACT(CELL("address",'Raw Data'!D243),"\$([A-Z]+)\$[0-9]+"))),_xlfn.REGEXEXTRACT(CELL("address",'Raw Data'!D243),"\$([A-Z]+)\$[0-9]+"))</f>
        <v/>
      </c>
      <c r="E243" s="7" t="str" cm="1">
        <f t="array" aca="1" ref="E243" ca="1">IFERROR(IF(OR('Raw Data'!E243="",LEN(TRIM('Raw Data'!E243))=0),"",IF(AND(ISNUMBER('Raw Data'!E243),'Raw Data'!E243&gt;=Configuration!$D$2),"",_xlfn.REGEXEXTRACT(CELL("address",'Raw Data'!E243),"\$([A-Z]+)\$[0-9]+"))),_xlfn.REGEXEXTRACT(CELL("address",E243), "\$([A-Z]+)\$[0-9]+"))</f>
        <v/>
      </c>
      <c r="F243" s="7" t="str" cm="1">
        <f t="array" aca="1" ref="F243" ca="1">IFERROR(IF(OR('Raw Data'!F243="",LEN(TRIM('Raw Data'!F243))=0),"",IF(AND(LEN('Raw Data'!F243) &lt;= 20,LEN('Raw Data'!F243)&gt; 0),"",_xlfn.REGEXEXTRACT(CELL("address",'Raw Data'!F243),"\$([A-Z]+)\$[0-9]+"))),_xlfn.REGEXEXTRACT(CELL("address",'Raw Data'!F243),"\$([A-Z]+)\$[0-9]+"))</f>
        <v/>
      </c>
      <c r="G243" s="7" t="str" cm="1">
        <f t="array" aca="1" ref="G243" ca="1">IFERROR(IF(OR('Raw Data'!G243="",LEN(TRIM('Raw Data'!G243))=0),"",IF(AND(ISNUMBER('Raw Data'!G243), IFERROR('Raw Data'!G243 = ROUND('Raw Data'!G243, 2),FALSE)),"",_xlfn.REGEXEXTRACT(CELL("address",G243), "\$([A-Z]+)\$[0-9]+"))),_xlfn.REGEXEXTRACT(CELL("address",G243), "\$([A-Z]+)\$[0-9]+"))</f>
        <v/>
      </c>
      <c r="H243" s="7" t="str" cm="1">
        <f t="array" aca="1" ref="H243" ca="1">IFERROR(IF(OR('Raw Data'!H243="",LEN(TRIM('Raw Data'!H243))=0),"",IF(AND(ISNUMBER('Raw Data'!H243), IFERROR('Raw Data'!H243 = ROUND('Raw Data'!H243, 2),FALSE)),"",_xlfn.REGEXEXTRACT(CELL("address",H243), "\$([A-Z]+)\$[0-9]+"))),_xlfn.REGEXEXTRACT(CELL("address",H243), "\$([A-Z]+)\$[0-9]+"))</f>
        <v/>
      </c>
      <c r="I243" s="7" t="str" cm="1">
        <f t="array" aca="1" ref="I243" ca="1">IFERROR(IF(OR('Raw Data'!I243="",LEN(TRIM('Raw Data'!I243))=0),"",IF(AND(LEN('Raw Data'!I243) &lt;= 50,LEN('Raw Data'!I243)&gt; 0),"",_xlfn.REGEXEXTRACT(CELL("address",'Raw Data'!I243),"\$([A-Z]+)\$[0-9]+"))),_xlfn.REGEXEXTRACT(CELL("address",'Raw Data'!I243),"\$([A-Z]+)\$[0-9]+"))</f>
        <v/>
      </c>
      <c r="J243" s="7" t="str" cm="1">
        <f t="array" aca="1" ref="J243" ca="1">IFERROR(IF(OR('Raw Data'!J243="",LEN(TRIM('Raw Data'!J243))=0),"",IF(AND(ISNUMBER('Raw Data'!J243),'Raw Data'!J243&gt;=Configuration!$D$2),"",_xlfn.REGEXEXTRACT(CELL("address",'Raw Data'!J243),"\$([A-Z]+)\$[0-9]+"))),_xlfn.REGEXEXTRACT(CELL("address",J243), "\$([A-Z]+)\$[0-9]+"))</f>
        <v/>
      </c>
      <c r="K243" s="7" t="str" cm="1">
        <f t="array" aca="1" ref="K243" ca="1">IFERROR(IF(OR('Raw Data'!K243="",LEN(TRIM('Raw Data'!K243))=0),"",IF(AND(ISNUMBER('Raw Data'!K243), IFERROR('Raw Data'!K243 = ROUND('Raw Data'!K243, 2),FALSE)),"",_xlfn.REGEXEXTRACT(CELL("address",K243), "\$([A-Z]+)\$[0-9]+"))),_xlfn.REGEXEXTRACT(CELL("address",K243), "\$([A-Z]+)\$[0-9]+"))</f>
        <v/>
      </c>
      <c r="L243" s="7" t="str" cm="1">
        <f t="array" aca="1" ref="L243" ca="1">IFERROR(IF(OR('Raw Data'!L243="",LEN(TRIM('Raw Data'!L243))=0),"",IF(AND(ISNUMBER('Raw Data'!L243), IFERROR('Raw Data'!L243 = ROUND('Raw Data'!L243, 2),FALSE)),"",_xlfn.REGEXEXTRACT(CELL("address",L243), "\$([A-Z]+)\$[0-9]+"))),_xlfn.REGEXEXTRACT(CELL("address",L243), "\$([A-Z]+)\$[0-9]+"))</f>
        <v/>
      </c>
      <c r="M243" s="7" t="str" cm="1">
        <f t="array" aca="1" ref="M243" ca="1">IFERROR(IF(OR('Raw Data'!M243="",LEN(TRIM('Raw Data'!M243))=0),"",IF(AND(ISNUMBER('Raw Data'!M243), IFERROR('Raw Data'!M243 = ROUND('Raw Data'!M243, 2),FALSE)),"",_xlfn.REGEXEXTRACT(CELL("address",M243), "\$([A-Z]+)\$[0-9]+"))),_xlfn.REGEXEXTRACT(CELL("address",M243), "\$([A-Z]+)\$[0-9]+"))</f>
        <v/>
      </c>
      <c r="N243" s="7" t="str" cm="1">
        <f t="array" aca="1" ref="N243" ca="1">IFERROR(IF(OR('Raw Data'!N243="",LEN(TRIM('Raw Data'!N243))=0),"",IF(AND(ISNUMBER('Raw Data'!N243), IFERROR('Raw Data'!N243 = ROUND('Raw Data'!N243, 2),FALSE)),"",_xlfn.REGEXEXTRACT(CELL("address",N243), "\$([A-Z]+)\$[0-9]+"))),_xlfn.REGEXEXTRACT(CELL("address",N243), "\$([A-Z]+)\$[0-9]+"))</f>
        <v/>
      </c>
      <c r="O243" s="7" t="str" cm="1">
        <f t="array" aca="1" ref="O243" ca="1">IFERROR(IF(OR('Raw Data'!O243="",LEN(TRIM('Raw Data'!O243))=0),"",IF(AND(ISNUMBER('Raw Data'!O243), IFERROR('Raw Data'!O243 = ROUND('Raw Data'!O243, 2),FALSE)),"",_xlfn.REGEXEXTRACT(CELL("address",O243), "\$([A-Z]+)\$[0-9]+"))),_xlfn.REGEXEXTRACT(CELL("address",O243), "\$([A-Z]+)\$[0-9]+"))</f>
        <v/>
      </c>
      <c r="P243" s="7" t="str" cm="1">
        <f t="array" aca="1" ref="P243" ca="1">IFERROR(IF(OR('Raw Data'!P243="",LEN(TRIM('Raw Data'!P243))=0),"",IF(AND(ISNUMBER('Raw Data'!P243),'Raw Data'!P243&gt;=Configuration!$D$2),"",_xlfn.REGEXEXTRACT(CELL("address",'Raw Data'!P243),"\$([A-Z]+)\$[0-9]+"))),_xlfn.REGEXEXTRACT(CELL("address",P243), "\$([A-Z]+)\$[0-9]+"))</f>
        <v/>
      </c>
      <c r="Q243" s="7" t="str" cm="1">
        <f t="array" aca="1" ref="Q243" ca="1">IFERROR(IF(OR('Raw Data'!Q243="",LEN(TRIM('Raw Data'!Q243))=0),"",IF(AND(ISNUMBER('Raw Data'!Q243),'Raw Data'!Q243&gt;=Configuration!$D$2),"",_xlfn.REGEXEXTRACT(CELL("address",'Raw Data'!Q243),"\$([A-Z]+)\$[0-9]+"))),_xlfn.REGEXEXTRACT(CELL("address",Q243), "\$([A-Z]+)\$[0-9]+"))</f>
        <v/>
      </c>
      <c r="R243" s="7" t="str" cm="1">
        <f t="array" aca="1" ref="R243" ca="1">IFERROR(IF(OR('Raw Data'!R243="",LEN(TRIM('Raw Data'!R243))=0),"",IF(AND(ISNUMBER('Raw Data'!R243), IFERROR('Raw Data'!R243 = ROUND('Raw Data'!R243, 2),FALSE)),"",_xlfn.REGEXEXTRACT(CELL("address",R243), "\$([A-Z]+)\$[0-9]+"))),_xlfn.REGEXEXTRACT(CELL("address",R243), "\$([A-Z]+)\$[0-9]+"))</f>
        <v/>
      </c>
      <c r="S243" s="7" t="str" cm="1">
        <f t="array" aca="1" ref="S243" ca="1">IFERROR(IF(OR('Raw Data'!S243="",LEN(TRIM('Raw Data'!S243))=0),"",IF(AND(ISNUMBER('Raw Data'!S243), IFERROR('Raw Data'!S243 = ROUND('Raw Data'!S243, 2),FALSE)),"",_xlfn.REGEXEXTRACT(CELL("address",S243), "\$([A-Z]+)\$[0-9]+"))),_xlfn.REGEXEXTRACT(CELL("address",S243), "\$([A-Z]+)\$[0-9]+"))</f>
        <v/>
      </c>
      <c r="T243" s="7" t="str" cm="1">
        <f t="array" aca="1" ref="T243" ca="1">IFERROR(IF(OR('Raw Data'!T243="",LEN(TRIM('Raw Data'!T243))=0),"",IF(AND(ISNUMBER('Raw Data'!T243), IFERROR('Raw Data'!T243 = ROUND('Raw Data'!T243, 2),FALSE)),"",_xlfn.REGEXEXTRACT(CELL("address",T243), "\$([A-Z]+)\$[0-9]+"))),_xlfn.REGEXEXTRACT(CELL("address",T243), "\$([A-Z]+)\$[0-9]+"))</f>
        <v/>
      </c>
      <c r="U243" s="7" t="str" cm="1">
        <f t="array" aca="1" ref="U243" ca="1">IFERROR(IF(OR('Raw Data'!U243="",LEN(TRIM('Raw Data'!U243))=0),"",IF(AND(LEN('Raw Data'!U243) &lt;= 5,LEN('Raw Data'!U243)&gt; 0),"",_xlfn.REGEXEXTRACT(CELL("address",'Raw Data'!U243),"\$([A-Z]+)\$[0-9]+"))),_xlfn.REGEXEXTRACT(CELL("address",'Raw Data'!U243),"\$([A-Z]+)\$[0-9]+"))</f>
        <v/>
      </c>
      <c r="V243" s="7" t="str" cm="1">
        <f t="array" aca="1" ref="V243" ca="1">IFERROR(IF(OR('Raw Data'!V243="",LEN(TRIM('Raw Data'!V243))=0),"",IF(AND(ISNUMBER('Raw Data'!V243), IFERROR('Raw Data'!V243 = ROUND('Raw Data'!V243, 2),FALSE)),"",_xlfn.REGEXEXTRACT(CELL("address",V243), "\$([A-Z]+)\$[0-9]+"))),_xlfn.REGEXEXTRACT(CELL("address",V243), "\$([A-Z]+)\$[0-9]+"))</f>
        <v/>
      </c>
      <c r="W243" s="7" t="str" cm="1">
        <f t="array" aca="1" ref="W243" ca="1">IFERROR(IF(OR('Raw Data'!W243="",LEN(TRIM('Raw Data'!W243))=0),"",IF(AND(ISNUMBER('Raw Data'!W243), IFERROR('Raw Data'!W243 = ROUND('Raw Data'!W243, 2),FALSE)),"",_xlfn.REGEXEXTRACT(CELL("address",W243), "\$([A-Z]+)\$[0-9]+"))),_xlfn.REGEXEXTRACT(CELL("address",W243), "\$([A-Z]+)\$[0-9]+"))</f>
        <v/>
      </c>
      <c r="X243" s="7" t="str" cm="1">
        <f t="array" aca="1" ref="X243" ca="1">IFERROR(IF(OR('Raw Data'!X243="",LEN(TRIM('Raw Data'!X243))=0),"",IF(AND(ISNUMBER('Raw Data'!X243), IFERROR('Raw Data'!X243 = ROUND('Raw Data'!X243, 2),FALSE)),"",_xlfn.REGEXEXTRACT(CELL("address",X243), "\$([A-Z]+)\$[0-9]+"))),_xlfn.REGEXEXTRACT(CELL("address",X243), "\$([A-Z]+)\$[0-9]+"))</f>
        <v/>
      </c>
    </row>
    <row r="244" spans="2:24" x14ac:dyDescent="0.25">
      <c r="B244" s="7" t="str" cm="1">
        <f t="array" aca="1" ref="B244" ca="1">IFERROR(IF(OR('Raw Data'!B244="",LEN(TRIM('Raw Data'!B244))=0),"",IF(AND(LEN('Raw Data'!B244) &lt;= 50,LEN('Raw Data'!B244)&gt; 0),"",_xlfn.REGEXEXTRACT(CELL("address",'Raw Data'!B244),"\$([A-Z]+)\$[0-9]+"))),_xlfn.REGEXEXTRACT(CELL("address",'Raw Data'!B244),"\$([A-Z]+)\$[0-9]+"))</f>
        <v/>
      </c>
      <c r="C244" s="7" t="str" cm="1">
        <f t="array" aca="1" ref="C244" ca="1">IFERROR(IF(OR('Raw Data'!C244="",LEN(TRIM('Raw Data'!C244))=0),"",IF(AND(LEN('Raw Data'!C244) &lt;= 50,LEN('Raw Data'!C244)&gt; 0),"",_xlfn.REGEXEXTRACT(CELL("address",'Raw Data'!C244),"\$([A-Z]+)\$[0-9]+"))),_xlfn.REGEXEXTRACT(CELL("address",'Raw Data'!C244),"\$([A-Z]+)\$[0-9]+"))</f>
        <v/>
      </c>
      <c r="D244" s="7" t="str" cm="1">
        <f t="array" aca="1" ref="D244" ca="1">IFERROR(IF(OR('Raw Data'!D244="",LEN(TRIM('Raw Data'!D244))=0),"",IF(AND(LEN('Raw Data'!D244) &lt;= 255,LEN('Raw Data'!D244)&gt; 0),"",_xlfn.REGEXEXTRACT(CELL("address",'Raw Data'!D244),"\$([A-Z]+)\$[0-9]+"))),_xlfn.REGEXEXTRACT(CELL("address",'Raw Data'!D244),"\$([A-Z]+)\$[0-9]+"))</f>
        <v/>
      </c>
      <c r="E244" s="7" t="str" cm="1">
        <f t="array" aca="1" ref="E244" ca="1">IFERROR(IF(OR('Raw Data'!E244="",LEN(TRIM('Raw Data'!E244))=0),"",IF(AND(ISNUMBER('Raw Data'!E244),'Raw Data'!E244&gt;=Configuration!$D$2),"",_xlfn.REGEXEXTRACT(CELL("address",'Raw Data'!E244),"\$([A-Z]+)\$[0-9]+"))),_xlfn.REGEXEXTRACT(CELL("address",E244), "\$([A-Z]+)\$[0-9]+"))</f>
        <v/>
      </c>
      <c r="F244" s="7" t="str" cm="1">
        <f t="array" aca="1" ref="F244" ca="1">IFERROR(IF(OR('Raw Data'!F244="",LEN(TRIM('Raw Data'!F244))=0),"",IF(AND(LEN('Raw Data'!F244) &lt;= 20,LEN('Raw Data'!F244)&gt; 0),"",_xlfn.REGEXEXTRACT(CELL("address",'Raw Data'!F244),"\$([A-Z]+)\$[0-9]+"))),_xlfn.REGEXEXTRACT(CELL("address",'Raw Data'!F244),"\$([A-Z]+)\$[0-9]+"))</f>
        <v/>
      </c>
      <c r="G244" s="7" t="str" cm="1">
        <f t="array" aca="1" ref="G244" ca="1">IFERROR(IF(OR('Raw Data'!G244="",LEN(TRIM('Raw Data'!G244))=0),"",IF(AND(ISNUMBER('Raw Data'!G244), IFERROR('Raw Data'!G244 = ROUND('Raw Data'!G244, 2),FALSE)),"",_xlfn.REGEXEXTRACT(CELL("address",G244), "\$([A-Z]+)\$[0-9]+"))),_xlfn.REGEXEXTRACT(CELL("address",G244), "\$([A-Z]+)\$[0-9]+"))</f>
        <v/>
      </c>
      <c r="H244" s="7" t="str" cm="1">
        <f t="array" aca="1" ref="H244" ca="1">IFERROR(IF(OR('Raw Data'!H244="",LEN(TRIM('Raw Data'!H244))=0),"",IF(AND(ISNUMBER('Raw Data'!H244), IFERROR('Raw Data'!H244 = ROUND('Raw Data'!H244, 2),FALSE)),"",_xlfn.REGEXEXTRACT(CELL("address",H244), "\$([A-Z]+)\$[0-9]+"))),_xlfn.REGEXEXTRACT(CELL("address",H244), "\$([A-Z]+)\$[0-9]+"))</f>
        <v/>
      </c>
      <c r="I244" s="7" t="str" cm="1">
        <f t="array" aca="1" ref="I244" ca="1">IFERROR(IF(OR('Raw Data'!I244="",LEN(TRIM('Raw Data'!I244))=0),"",IF(AND(LEN('Raw Data'!I244) &lt;= 50,LEN('Raw Data'!I244)&gt; 0),"",_xlfn.REGEXEXTRACT(CELL("address",'Raw Data'!I244),"\$([A-Z]+)\$[0-9]+"))),_xlfn.REGEXEXTRACT(CELL("address",'Raw Data'!I244),"\$([A-Z]+)\$[0-9]+"))</f>
        <v/>
      </c>
      <c r="J244" s="7" t="str" cm="1">
        <f t="array" aca="1" ref="J244" ca="1">IFERROR(IF(OR('Raw Data'!J244="",LEN(TRIM('Raw Data'!J244))=0),"",IF(AND(ISNUMBER('Raw Data'!J244),'Raw Data'!J244&gt;=Configuration!$D$2),"",_xlfn.REGEXEXTRACT(CELL("address",'Raw Data'!J244),"\$([A-Z]+)\$[0-9]+"))),_xlfn.REGEXEXTRACT(CELL("address",J244), "\$([A-Z]+)\$[0-9]+"))</f>
        <v/>
      </c>
      <c r="K244" s="7" t="str" cm="1">
        <f t="array" aca="1" ref="K244" ca="1">IFERROR(IF(OR('Raw Data'!K244="",LEN(TRIM('Raw Data'!K244))=0),"",IF(AND(ISNUMBER('Raw Data'!K244), IFERROR('Raw Data'!K244 = ROUND('Raw Data'!K244, 2),FALSE)),"",_xlfn.REGEXEXTRACT(CELL("address",K244), "\$([A-Z]+)\$[0-9]+"))),_xlfn.REGEXEXTRACT(CELL("address",K244), "\$([A-Z]+)\$[0-9]+"))</f>
        <v/>
      </c>
      <c r="L244" s="7" t="str" cm="1">
        <f t="array" aca="1" ref="L244" ca="1">IFERROR(IF(OR('Raw Data'!L244="",LEN(TRIM('Raw Data'!L244))=0),"",IF(AND(ISNUMBER('Raw Data'!L244), IFERROR('Raw Data'!L244 = ROUND('Raw Data'!L244, 2),FALSE)),"",_xlfn.REGEXEXTRACT(CELL("address",L244), "\$([A-Z]+)\$[0-9]+"))),_xlfn.REGEXEXTRACT(CELL("address",L244), "\$([A-Z]+)\$[0-9]+"))</f>
        <v/>
      </c>
      <c r="M244" s="7" t="str" cm="1">
        <f t="array" aca="1" ref="M244" ca="1">IFERROR(IF(OR('Raw Data'!M244="",LEN(TRIM('Raw Data'!M244))=0),"",IF(AND(ISNUMBER('Raw Data'!M244), IFERROR('Raw Data'!M244 = ROUND('Raw Data'!M244, 2),FALSE)),"",_xlfn.REGEXEXTRACT(CELL("address",M244), "\$([A-Z]+)\$[0-9]+"))),_xlfn.REGEXEXTRACT(CELL("address",M244), "\$([A-Z]+)\$[0-9]+"))</f>
        <v/>
      </c>
      <c r="N244" s="7" t="str" cm="1">
        <f t="array" aca="1" ref="N244" ca="1">IFERROR(IF(OR('Raw Data'!N244="",LEN(TRIM('Raw Data'!N244))=0),"",IF(AND(ISNUMBER('Raw Data'!N244), IFERROR('Raw Data'!N244 = ROUND('Raw Data'!N244, 2),FALSE)),"",_xlfn.REGEXEXTRACT(CELL("address",N244), "\$([A-Z]+)\$[0-9]+"))),_xlfn.REGEXEXTRACT(CELL("address",N244), "\$([A-Z]+)\$[0-9]+"))</f>
        <v/>
      </c>
      <c r="O244" s="7" t="str" cm="1">
        <f t="array" aca="1" ref="O244" ca="1">IFERROR(IF(OR('Raw Data'!O244="",LEN(TRIM('Raw Data'!O244))=0),"",IF(AND(ISNUMBER('Raw Data'!O244), IFERROR('Raw Data'!O244 = ROUND('Raw Data'!O244, 2),FALSE)),"",_xlfn.REGEXEXTRACT(CELL("address",O244), "\$([A-Z]+)\$[0-9]+"))),_xlfn.REGEXEXTRACT(CELL("address",O244), "\$([A-Z]+)\$[0-9]+"))</f>
        <v/>
      </c>
      <c r="P244" s="7" t="str" cm="1">
        <f t="array" aca="1" ref="P244" ca="1">IFERROR(IF(OR('Raw Data'!P244="",LEN(TRIM('Raw Data'!P244))=0),"",IF(AND(ISNUMBER('Raw Data'!P244),'Raw Data'!P244&gt;=Configuration!$D$2),"",_xlfn.REGEXEXTRACT(CELL("address",'Raw Data'!P244),"\$([A-Z]+)\$[0-9]+"))),_xlfn.REGEXEXTRACT(CELL("address",P244), "\$([A-Z]+)\$[0-9]+"))</f>
        <v/>
      </c>
      <c r="Q244" s="7" t="str" cm="1">
        <f t="array" aca="1" ref="Q244" ca="1">IFERROR(IF(OR('Raw Data'!Q244="",LEN(TRIM('Raw Data'!Q244))=0),"",IF(AND(ISNUMBER('Raw Data'!Q244),'Raw Data'!Q244&gt;=Configuration!$D$2),"",_xlfn.REGEXEXTRACT(CELL("address",'Raw Data'!Q244),"\$([A-Z]+)\$[0-9]+"))),_xlfn.REGEXEXTRACT(CELL("address",Q244), "\$([A-Z]+)\$[0-9]+"))</f>
        <v/>
      </c>
      <c r="R244" s="7" t="str" cm="1">
        <f t="array" aca="1" ref="R244" ca="1">IFERROR(IF(OR('Raw Data'!R244="",LEN(TRIM('Raw Data'!R244))=0),"",IF(AND(ISNUMBER('Raw Data'!R244), IFERROR('Raw Data'!R244 = ROUND('Raw Data'!R244, 2),FALSE)),"",_xlfn.REGEXEXTRACT(CELL("address",R244), "\$([A-Z]+)\$[0-9]+"))),_xlfn.REGEXEXTRACT(CELL("address",R244), "\$([A-Z]+)\$[0-9]+"))</f>
        <v/>
      </c>
      <c r="S244" s="7" t="str" cm="1">
        <f t="array" aca="1" ref="S244" ca="1">IFERROR(IF(OR('Raw Data'!S244="",LEN(TRIM('Raw Data'!S244))=0),"",IF(AND(ISNUMBER('Raw Data'!S244), IFERROR('Raw Data'!S244 = ROUND('Raw Data'!S244, 2),FALSE)),"",_xlfn.REGEXEXTRACT(CELL("address",S244), "\$([A-Z]+)\$[0-9]+"))),_xlfn.REGEXEXTRACT(CELL("address",S244), "\$([A-Z]+)\$[0-9]+"))</f>
        <v/>
      </c>
      <c r="T244" s="7" t="str" cm="1">
        <f t="array" aca="1" ref="T244" ca="1">IFERROR(IF(OR('Raw Data'!T244="",LEN(TRIM('Raw Data'!T244))=0),"",IF(AND(ISNUMBER('Raw Data'!T244), IFERROR('Raw Data'!T244 = ROUND('Raw Data'!T244, 2),FALSE)),"",_xlfn.REGEXEXTRACT(CELL("address",T244), "\$([A-Z]+)\$[0-9]+"))),_xlfn.REGEXEXTRACT(CELL("address",T244), "\$([A-Z]+)\$[0-9]+"))</f>
        <v/>
      </c>
      <c r="U244" s="7" t="str" cm="1">
        <f t="array" aca="1" ref="U244" ca="1">IFERROR(IF(OR('Raw Data'!U244="",LEN(TRIM('Raw Data'!U244))=0),"",IF(AND(LEN('Raw Data'!U244) &lt;= 5,LEN('Raw Data'!U244)&gt; 0),"",_xlfn.REGEXEXTRACT(CELL("address",'Raw Data'!U244),"\$([A-Z]+)\$[0-9]+"))),_xlfn.REGEXEXTRACT(CELL("address",'Raw Data'!U244),"\$([A-Z]+)\$[0-9]+"))</f>
        <v/>
      </c>
      <c r="V244" s="7" t="str" cm="1">
        <f t="array" aca="1" ref="V244" ca="1">IFERROR(IF(OR('Raw Data'!V244="",LEN(TRIM('Raw Data'!V244))=0),"",IF(AND(ISNUMBER('Raw Data'!V244), IFERROR('Raw Data'!V244 = ROUND('Raw Data'!V244, 2),FALSE)),"",_xlfn.REGEXEXTRACT(CELL("address",V244), "\$([A-Z]+)\$[0-9]+"))),_xlfn.REGEXEXTRACT(CELL("address",V244), "\$([A-Z]+)\$[0-9]+"))</f>
        <v/>
      </c>
      <c r="W244" s="7" t="str" cm="1">
        <f t="array" aca="1" ref="W244" ca="1">IFERROR(IF(OR('Raw Data'!W244="",LEN(TRIM('Raw Data'!W244))=0),"",IF(AND(ISNUMBER('Raw Data'!W244), IFERROR('Raw Data'!W244 = ROUND('Raw Data'!W244, 2),FALSE)),"",_xlfn.REGEXEXTRACT(CELL("address",W244), "\$([A-Z]+)\$[0-9]+"))),_xlfn.REGEXEXTRACT(CELL("address",W244), "\$([A-Z]+)\$[0-9]+"))</f>
        <v/>
      </c>
      <c r="X244" s="7" t="str" cm="1">
        <f t="array" aca="1" ref="X244" ca="1">IFERROR(IF(OR('Raw Data'!X244="",LEN(TRIM('Raw Data'!X244))=0),"",IF(AND(ISNUMBER('Raw Data'!X244), IFERROR('Raw Data'!X244 = ROUND('Raw Data'!X244, 2),FALSE)),"",_xlfn.REGEXEXTRACT(CELL("address",X244), "\$([A-Z]+)\$[0-9]+"))),_xlfn.REGEXEXTRACT(CELL("address",X244), "\$([A-Z]+)\$[0-9]+"))</f>
        <v/>
      </c>
    </row>
    <row r="245" spans="2:24" x14ac:dyDescent="0.25">
      <c r="B245" s="7" t="str" cm="1">
        <f t="array" aca="1" ref="B245" ca="1">IFERROR(IF(OR('Raw Data'!B245="",LEN(TRIM('Raw Data'!B245))=0),"",IF(AND(LEN('Raw Data'!B245) &lt;= 50,LEN('Raw Data'!B245)&gt; 0),"",_xlfn.REGEXEXTRACT(CELL("address",'Raw Data'!B245),"\$([A-Z]+)\$[0-9]+"))),_xlfn.REGEXEXTRACT(CELL("address",'Raw Data'!B245),"\$([A-Z]+)\$[0-9]+"))</f>
        <v/>
      </c>
      <c r="C245" s="7" t="str" cm="1">
        <f t="array" aca="1" ref="C245" ca="1">IFERROR(IF(OR('Raw Data'!C245="",LEN(TRIM('Raw Data'!C245))=0),"",IF(AND(LEN('Raw Data'!C245) &lt;= 50,LEN('Raw Data'!C245)&gt; 0),"",_xlfn.REGEXEXTRACT(CELL("address",'Raw Data'!C245),"\$([A-Z]+)\$[0-9]+"))),_xlfn.REGEXEXTRACT(CELL("address",'Raw Data'!C245),"\$([A-Z]+)\$[0-9]+"))</f>
        <v/>
      </c>
      <c r="D245" s="7" t="str" cm="1">
        <f t="array" aca="1" ref="D245" ca="1">IFERROR(IF(OR('Raw Data'!D245="",LEN(TRIM('Raw Data'!D245))=0),"",IF(AND(LEN('Raw Data'!D245) &lt;= 255,LEN('Raw Data'!D245)&gt; 0),"",_xlfn.REGEXEXTRACT(CELL("address",'Raw Data'!D245),"\$([A-Z]+)\$[0-9]+"))),_xlfn.REGEXEXTRACT(CELL("address",'Raw Data'!D245),"\$([A-Z]+)\$[0-9]+"))</f>
        <v/>
      </c>
      <c r="E245" s="7" t="str" cm="1">
        <f t="array" aca="1" ref="E245" ca="1">IFERROR(IF(OR('Raw Data'!E245="",LEN(TRIM('Raw Data'!E245))=0),"",IF(AND(ISNUMBER('Raw Data'!E245),'Raw Data'!E245&gt;=Configuration!$D$2),"",_xlfn.REGEXEXTRACT(CELL("address",'Raw Data'!E245),"\$([A-Z]+)\$[0-9]+"))),_xlfn.REGEXEXTRACT(CELL("address",E245), "\$([A-Z]+)\$[0-9]+"))</f>
        <v/>
      </c>
      <c r="F245" s="7" t="str" cm="1">
        <f t="array" aca="1" ref="F245" ca="1">IFERROR(IF(OR('Raw Data'!F245="",LEN(TRIM('Raw Data'!F245))=0),"",IF(AND(LEN('Raw Data'!F245) &lt;= 20,LEN('Raw Data'!F245)&gt; 0),"",_xlfn.REGEXEXTRACT(CELL("address",'Raw Data'!F245),"\$([A-Z]+)\$[0-9]+"))),_xlfn.REGEXEXTRACT(CELL("address",'Raw Data'!F245),"\$([A-Z]+)\$[0-9]+"))</f>
        <v/>
      </c>
      <c r="G245" s="7" t="str" cm="1">
        <f t="array" aca="1" ref="G245" ca="1">IFERROR(IF(OR('Raw Data'!G245="",LEN(TRIM('Raw Data'!G245))=0),"",IF(AND(ISNUMBER('Raw Data'!G245), IFERROR('Raw Data'!G245 = ROUND('Raw Data'!G245, 2),FALSE)),"",_xlfn.REGEXEXTRACT(CELL("address",G245), "\$([A-Z]+)\$[0-9]+"))),_xlfn.REGEXEXTRACT(CELL("address",G245), "\$([A-Z]+)\$[0-9]+"))</f>
        <v/>
      </c>
      <c r="H245" s="7" t="str" cm="1">
        <f t="array" aca="1" ref="H245" ca="1">IFERROR(IF(OR('Raw Data'!H245="",LEN(TRIM('Raw Data'!H245))=0),"",IF(AND(ISNUMBER('Raw Data'!H245), IFERROR('Raw Data'!H245 = ROUND('Raw Data'!H245, 2),FALSE)),"",_xlfn.REGEXEXTRACT(CELL("address",H245), "\$([A-Z]+)\$[0-9]+"))),_xlfn.REGEXEXTRACT(CELL("address",H245), "\$([A-Z]+)\$[0-9]+"))</f>
        <v/>
      </c>
      <c r="I245" s="7" t="str" cm="1">
        <f t="array" aca="1" ref="I245" ca="1">IFERROR(IF(OR('Raw Data'!I245="",LEN(TRIM('Raw Data'!I245))=0),"",IF(AND(LEN('Raw Data'!I245) &lt;= 50,LEN('Raw Data'!I245)&gt; 0),"",_xlfn.REGEXEXTRACT(CELL("address",'Raw Data'!I245),"\$([A-Z]+)\$[0-9]+"))),_xlfn.REGEXEXTRACT(CELL("address",'Raw Data'!I245),"\$([A-Z]+)\$[0-9]+"))</f>
        <v/>
      </c>
      <c r="J245" s="7" t="str" cm="1">
        <f t="array" aca="1" ref="J245" ca="1">IFERROR(IF(OR('Raw Data'!J245="",LEN(TRIM('Raw Data'!J245))=0),"",IF(AND(ISNUMBER('Raw Data'!J245),'Raw Data'!J245&gt;=Configuration!$D$2),"",_xlfn.REGEXEXTRACT(CELL("address",'Raw Data'!J245),"\$([A-Z]+)\$[0-9]+"))),_xlfn.REGEXEXTRACT(CELL("address",J245), "\$([A-Z]+)\$[0-9]+"))</f>
        <v/>
      </c>
      <c r="K245" s="7" t="str" cm="1">
        <f t="array" aca="1" ref="K245" ca="1">IFERROR(IF(OR('Raw Data'!K245="",LEN(TRIM('Raw Data'!K245))=0),"",IF(AND(ISNUMBER('Raw Data'!K245), IFERROR('Raw Data'!K245 = ROUND('Raw Data'!K245, 2),FALSE)),"",_xlfn.REGEXEXTRACT(CELL("address",K245), "\$([A-Z]+)\$[0-9]+"))),_xlfn.REGEXEXTRACT(CELL("address",K245), "\$([A-Z]+)\$[0-9]+"))</f>
        <v/>
      </c>
      <c r="L245" s="7" t="str" cm="1">
        <f t="array" aca="1" ref="L245" ca="1">IFERROR(IF(OR('Raw Data'!L245="",LEN(TRIM('Raw Data'!L245))=0),"",IF(AND(ISNUMBER('Raw Data'!L245), IFERROR('Raw Data'!L245 = ROUND('Raw Data'!L245, 2),FALSE)),"",_xlfn.REGEXEXTRACT(CELL("address",L245), "\$([A-Z]+)\$[0-9]+"))),_xlfn.REGEXEXTRACT(CELL("address",L245), "\$([A-Z]+)\$[0-9]+"))</f>
        <v/>
      </c>
      <c r="M245" s="7" t="str" cm="1">
        <f t="array" aca="1" ref="M245" ca="1">IFERROR(IF(OR('Raw Data'!M245="",LEN(TRIM('Raw Data'!M245))=0),"",IF(AND(ISNUMBER('Raw Data'!M245), IFERROR('Raw Data'!M245 = ROUND('Raw Data'!M245, 2),FALSE)),"",_xlfn.REGEXEXTRACT(CELL("address",M245), "\$([A-Z]+)\$[0-9]+"))),_xlfn.REGEXEXTRACT(CELL("address",M245), "\$([A-Z]+)\$[0-9]+"))</f>
        <v/>
      </c>
      <c r="N245" s="7" t="str" cm="1">
        <f t="array" aca="1" ref="N245" ca="1">IFERROR(IF(OR('Raw Data'!N245="",LEN(TRIM('Raw Data'!N245))=0),"",IF(AND(ISNUMBER('Raw Data'!N245), IFERROR('Raw Data'!N245 = ROUND('Raw Data'!N245, 2),FALSE)),"",_xlfn.REGEXEXTRACT(CELL("address",N245), "\$([A-Z]+)\$[0-9]+"))),_xlfn.REGEXEXTRACT(CELL("address",N245), "\$([A-Z]+)\$[0-9]+"))</f>
        <v/>
      </c>
      <c r="O245" s="7" t="str" cm="1">
        <f t="array" aca="1" ref="O245" ca="1">IFERROR(IF(OR('Raw Data'!O245="",LEN(TRIM('Raw Data'!O245))=0),"",IF(AND(ISNUMBER('Raw Data'!O245), IFERROR('Raw Data'!O245 = ROUND('Raw Data'!O245, 2),FALSE)),"",_xlfn.REGEXEXTRACT(CELL("address",O245), "\$([A-Z]+)\$[0-9]+"))),_xlfn.REGEXEXTRACT(CELL("address",O245), "\$([A-Z]+)\$[0-9]+"))</f>
        <v/>
      </c>
      <c r="P245" s="7" t="str" cm="1">
        <f t="array" aca="1" ref="P245" ca="1">IFERROR(IF(OR('Raw Data'!P245="",LEN(TRIM('Raw Data'!P245))=0),"",IF(AND(ISNUMBER('Raw Data'!P245),'Raw Data'!P245&gt;=Configuration!$D$2),"",_xlfn.REGEXEXTRACT(CELL("address",'Raw Data'!P245),"\$([A-Z]+)\$[0-9]+"))),_xlfn.REGEXEXTRACT(CELL("address",P245), "\$([A-Z]+)\$[0-9]+"))</f>
        <v/>
      </c>
      <c r="Q245" s="7" t="str" cm="1">
        <f t="array" aca="1" ref="Q245" ca="1">IFERROR(IF(OR('Raw Data'!Q245="",LEN(TRIM('Raw Data'!Q245))=0),"",IF(AND(ISNUMBER('Raw Data'!Q245),'Raw Data'!Q245&gt;=Configuration!$D$2),"",_xlfn.REGEXEXTRACT(CELL("address",'Raw Data'!Q245),"\$([A-Z]+)\$[0-9]+"))),_xlfn.REGEXEXTRACT(CELL("address",Q245), "\$([A-Z]+)\$[0-9]+"))</f>
        <v/>
      </c>
      <c r="R245" s="7" t="str" cm="1">
        <f t="array" aca="1" ref="R245" ca="1">IFERROR(IF(OR('Raw Data'!R245="",LEN(TRIM('Raw Data'!R245))=0),"",IF(AND(ISNUMBER('Raw Data'!R245), IFERROR('Raw Data'!R245 = ROUND('Raw Data'!R245, 2),FALSE)),"",_xlfn.REGEXEXTRACT(CELL("address",R245), "\$([A-Z]+)\$[0-9]+"))),_xlfn.REGEXEXTRACT(CELL("address",R245), "\$([A-Z]+)\$[0-9]+"))</f>
        <v/>
      </c>
      <c r="S245" s="7" t="str" cm="1">
        <f t="array" aca="1" ref="S245" ca="1">IFERROR(IF(OR('Raw Data'!S245="",LEN(TRIM('Raw Data'!S245))=0),"",IF(AND(ISNUMBER('Raw Data'!S245), IFERROR('Raw Data'!S245 = ROUND('Raw Data'!S245, 2),FALSE)),"",_xlfn.REGEXEXTRACT(CELL("address",S245), "\$([A-Z]+)\$[0-9]+"))),_xlfn.REGEXEXTRACT(CELL("address",S245), "\$([A-Z]+)\$[0-9]+"))</f>
        <v/>
      </c>
      <c r="T245" s="7" t="str" cm="1">
        <f t="array" aca="1" ref="T245" ca="1">IFERROR(IF(OR('Raw Data'!T245="",LEN(TRIM('Raw Data'!T245))=0),"",IF(AND(ISNUMBER('Raw Data'!T245), IFERROR('Raw Data'!T245 = ROUND('Raw Data'!T245, 2),FALSE)),"",_xlfn.REGEXEXTRACT(CELL("address",T245), "\$([A-Z]+)\$[0-9]+"))),_xlfn.REGEXEXTRACT(CELL("address",T245), "\$([A-Z]+)\$[0-9]+"))</f>
        <v/>
      </c>
      <c r="U245" s="7" t="str" cm="1">
        <f t="array" aca="1" ref="U245" ca="1">IFERROR(IF(OR('Raw Data'!U245="",LEN(TRIM('Raw Data'!U245))=0),"",IF(AND(LEN('Raw Data'!U245) &lt;= 5,LEN('Raw Data'!U245)&gt; 0),"",_xlfn.REGEXEXTRACT(CELL("address",'Raw Data'!U245),"\$([A-Z]+)\$[0-9]+"))),_xlfn.REGEXEXTRACT(CELL("address",'Raw Data'!U245),"\$([A-Z]+)\$[0-9]+"))</f>
        <v/>
      </c>
      <c r="V245" s="7" t="str" cm="1">
        <f t="array" aca="1" ref="V245" ca="1">IFERROR(IF(OR('Raw Data'!V245="",LEN(TRIM('Raw Data'!V245))=0),"",IF(AND(ISNUMBER('Raw Data'!V245), IFERROR('Raw Data'!V245 = ROUND('Raw Data'!V245, 2),FALSE)),"",_xlfn.REGEXEXTRACT(CELL("address",V245), "\$([A-Z]+)\$[0-9]+"))),_xlfn.REGEXEXTRACT(CELL("address",V245), "\$([A-Z]+)\$[0-9]+"))</f>
        <v/>
      </c>
      <c r="W245" s="7" t="str" cm="1">
        <f t="array" aca="1" ref="W245" ca="1">IFERROR(IF(OR('Raw Data'!W245="",LEN(TRIM('Raw Data'!W245))=0),"",IF(AND(ISNUMBER('Raw Data'!W245), IFERROR('Raw Data'!W245 = ROUND('Raw Data'!W245, 2),FALSE)),"",_xlfn.REGEXEXTRACT(CELL("address",W245), "\$([A-Z]+)\$[0-9]+"))),_xlfn.REGEXEXTRACT(CELL("address",W245), "\$([A-Z]+)\$[0-9]+"))</f>
        <v/>
      </c>
      <c r="X245" s="7" t="str" cm="1">
        <f t="array" aca="1" ref="X245" ca="1">IFERROR(IF(OR('Raw Data'!X245="",LEN(TRIM('Raw Data'!X245))=0),"",IF(AND(ISNUMBER('Raw Data'!X245), IFERROR('Raw Data'!X245 = ROUND('Raw Data'!X245, 2),FALSE)),"",_xlfn.REGEXEXTRACT(CELL("address",X245), "\$([A-Z]+)\$[0-9]+"))),_xlfn.REGEXEXTRACT(CELL("address",X245), "\$([A-Z]+)\$[0-9]+"))</f>
        <v/>
      </c>
    </row>
    <row r="246" spans="2:24" x14ac:dyDescent="0.25">
      <c r="B246" s="7" t="str" cm="1">
        <f t="array" aca="1" ref="B246" ca="1">IFERROR(IF(OR('Raw Data'!B246="",LEN(TRIM('Raw Data'!B246))=0),"",IF(AND(LEN('Raw Data'!B246) &lt;= 50,LEN('Raw Data'!B246)&gt; 0),"",_xlfn.REGEXEXTRACT(CELL("address",'Raw Data'!B246),"\$([A-Z]+)\$[0-9]+"))),_xlfn.REGEXEXTRACT(CELL("address",'Raw Data'!B246),"\$([A-Z]+)\$[0-9]+"))</f>
        <v/>
      </c>
      <c r="C246" s="7" t="str" cm="1">
        <f t="array" aca="1" ref="C246" ca="1">IFERROR(IF(OR('Raw Data'!C246="",LEN(TRIM('Raw Data'!C246))=0),"",IF(AND(LEN('Raw Data'!C246) &lt;= 50,LEN('Raw Data'!C246)&gt; 0),"",_xlfn.REGEXEXTRACT(CELL("address",'Raw Data'!C246),"\$([A-Z]+)\$[0-9]+"))),_xlfn.REGEXEXTRACT(CELL("address",'Raw Data'!C246),"\$([A-Z]+)\$[0-9]+"))</f>
        <v/>
      </c>
      <c r="D246" s="7" t="str" cm="1">
        <f t="array" aca="1" ref="D246" ca="1">IFERROR(IF(OR('Raw Data'!D246="",LEN(TRIM('Raw Data'!D246))=0),"",IF(AND(LEN('Raw Data'!D246) &lt;= 255,LEN('Raw Data'!D246)&gt; 0),"",_xlfn.REGEXEXTRACT(CELL("address",'Raw Data'!D246),"\$([A-Z]+)\$[0-9]+"))),_xlfn.REGEXEXTRACT(CELL("address",'Raw Data'!D246),"\$([A-Z]+)\$[0-9]+"))</f>
        <v/>
      </c>
      <c r="E246" s="7" t="str" cm="1">
        <f t="array" aca="1" ref="E246" ca="1">IFERROR(IF(OR('Raw Data'!E246="",LEN(TRIM('Raw Data'!E246))=0),"",IF(AND(ISNUMBER('Raw Data'!E246),'Raw Data'!E246&gt;=Configuration!$D$2),"",_xlfn.REGEXEXTRACT(CELL("address",'Raw Data'!E246),"\$([A-Z]+)\$[0-9]+"))),_xlfn.REGEXEXTRACT(CELL("address",E246), "\$([A-Z]+)\$[0-9]+"))</f>
        <v/>
      </c>
      <c r="F246" s="7" t="str" cm="1">
        <f t="array" aca="1" ref="F246" ca="1">IFERROR(IF(OR('Raw Data'!F246="",LEN(TRIM('Raw Data'!F246))=0),"",IF(AND(LEN('Raw Data'!F246) &lt;= 20,LEN('Raw Data'!F246)&gt; 0),"",_xlfn.REGEXEXTRACT(CELL("address",'Raw Data'!F246),"\$([A-Z]+)\$[0-9]+"))),_xlfn.REGEXEXTRACT(CELL("address",'Raw Data'!F246),"\$([A-Z]+)\$[0-9]+"))</f>
        <v/>
      </c>
      <c r="G246" s="7" t="str" cm="1">
        <f t="array" aca="1" ref="G246" ca="1">IFERROR(IF(OR('Raw Data'!G246="",LEN(TRIM('Raw Data'!G246))=0),"",IF(AND(ISNUMBER('Raw Data'!G246), IFERROR('Raw Data'!G246 = ROUND('Raw Data'!G246, 2),FALSE)),"",_xlfn.REGEXEXTRACT(CELL("address",G246), "\$([A-Z]+)\$[0-9]+"))),_xlfn.REGEXEXTRACT(CELL("address",G246), "\$([A-Z]+)\$[0-9]+"))</f>
        <v/>
      </c>
      <c r="H246" s="7" t="str" cm="1">
        <f t="array" aca="1" ref="H246" ca="1">IFERROR(IF(OR('Raw Data'!H246="",LEN(TRIM('Raw Data'!H246))=0),"",IF(AND(ISNUMBER('Raw Data'!H246), IFERROR('Raw Data'!H246 = ROUND('Raw Data'!H246, 2),FALSE)),"",_xlfn.REGEXEXTRACT(CELL("address",H246), "\$([A-Z]+)\$[0-9]+"))),_xlfn.REGEXEXTRACT(CELL("address",H246), "\$([A-Z]+)\$[0-9]+"))</f>
        <v/>
      </c>
      <c r="I246" s="7" t="str" cm="1">
        <f t="array" aca="1" ref="I246" ca="1">IFERROR(IF(OR('Raw Data'!I246="",LEN(TRIM('Raw Data'!I246))=0),"",IF(AND(LEN('Raw Data'!I246) &lt;= 50,LEN('Raw Data'!I246)&gt; 0),"",_xlfn.REGEXEXTRACT(CELL("address",'Raw Data'!I246),"\$([A-Z]+)\$[0-9]+"))),_xlfn.REGEXEXTRACT(CELL("address",'Raw Data'!I246),"\$([A-Z]+)\$[0-9]+"))</f>
        <v/>
      </c>
      <c r="J246" s="7" t="str" cm="1">
        <f t="array" aca="1" ref="J246" ca="1">IFERROR(IF(OR('Raw Data'!J246="",LEN(TRIM('Raw Data'!J246))=0),"",IF(AND(ISNUMBER('Raw Data'!J246),'Raw Data'!J246&gt;=Configuration!$D$2),"",_xlfn.REGEXEXTRACT(CELL("address",'Raw Data'!J246),"\$([A-Z]+)\$[0-9]+"))),_xlfn.REGEXEXTRACT(CELL("address",J246), "\$([A-Z]+)\$[0-9]+"))</f>
        <v/>
      </c>
      <c r="K246" s="7" t="str" cm="1">
        <f t="array" aca="1" ref="K246" ca="1">IFERROR(IF(OR('Raw Data'!K246="",LEN(TRIM('Raw Data'!K246))=0),"",IF(AND(ISNUMBER('Raw Data'!K246), IFERROR('Raw Data'!K246 = ROUND('Raw Data'!K246, 2),FALSE)),"",_xlfn.REGEXEXTRACT(CELL("address",K246), "\$([A-Z]+)\$[0-9]+"))),_xlfn.REGEXEXTRACT(CELL("address",K246), "\$([A-Z]+)\$[0-9]+"))</f>
        <v/>
      </c>
      <c r="L246" s="7" t="str" cm="1">
        <f t="array" aca="1" ref="L246" ca="1">IFERROR(IF(OR('Raw Data'!L246="",LEN(TRIM('Raw Data'!L246))=0),"",IF(AND(ISNUMBER('Raw Data'!L246), IFERROR('Raw Data'!L246 = ROUND('Raw Data'!L246, 2),FALSE)),"",_xlfn.REGEXEXTRACT(CELL("address",L246), "\$([A-Z]+)\$[0-9]+"))),_xlfn.REGEXEXTRACT(CELL("address",L246), "\$([A-Z]+)\$[0-9]+"))</f>
        <v/>
      </c>
      <c r="M246" s="7" t="str" cm="1">
        <f t="array" aca="1" ref="M246" ca="1">IFERROR(IF(OR('Raw Data'!M246="",LEN(TRIM('Raw Data'!M246))=0),"",IF(AND(ISNUMBER('Raw Data'!M246), IFERROR('Raw Data'!M246 = ROUND('Raw Data'!M246, 2),FALSE)),"",_xlfn.REGEXEXTRACT(CELL("address",M246), "\$([A-Z]+)\$[0-9]+"))),_xlfn.REGEXEXTRACT(CELL("address",M246), "\$([A-Z]+)\$[0-9]+"))</f>
        <v/>
      </c>
      <c r="N246" s="7" t="str" cm="1">
        <f t="array" aca="1" ref="N246" ca="1">IFERROR(IF(OR('Raw Data'!N246="",LEN(TRIM('Raw Data'!N246))=0),"",IF(AND(ISNUMBER('Raw Data'!N246), IFERROR('Raw Data'!N246 = ROUND('Raw Data'!N246, 2),FALSE)),"",_xlfn.REGEXEXTRACT(CELL("address",N246), "\$([A-Z]+)\$[0-9]+"))),_xlfn.REGEXEXTRACT(CELL("address",N246), "\$([A-Z]+)\$[0-9]+"))</f>
        <v/>
      </c>
      <c r="O246" s="7" t="str" cm="1">
        <f t="array" aca="1" ref="O246" ca="1">IFERROR(IF(OR('Raw Data'!O246="",LEN(TRIM('Raw Data'!O246))=0),"",IF(AND(ISNUMBER('Raw Data'!O246), IFERROR('Raw Data'!O246 = ROUND('Raw Data'!O246, 2),FALSE)),"",_xlfn.REGEXEXTRACT(CELL("address",O246), "\$([A-Z]+)\$[0-9]+"))),_xlfn.REGEXEXTRACT(CELL("address",O246), "\$([A-Z]+)\$[0-9]+"))</f>
        <v/>
      </c>
      <c r="P246" s="7" t="str" cm="1">
        <f t="array" aca="1" ref="P246" ca="1">IFERROR(IF(OR('Raw Data'!P246="",LEN(TRIM('Raw Data'!P246))=0),"",IF(AND(ISNUMBER('Raw Data'!P246),'Raw Data'!P246&gt;=Configuration!$D$2),"",_xlfn.REGEXEXTRACT(CELL("address",'Raw Data'!P246),"\$([A-Z]+)\$[0-9]+"))),_xlfn.REGEXEXTRACT(CELL("address",P246), "\$([A-Z]+)\$[0-9]+"))</f>
        <v/>
      </c>
      <c r="Q246" s="7" t="str" cm="1">
        <f t="array" aca="1" ref="Q246" ca="1">IFERROR(IF(OR('Raw Data'!Q246="",LEN(TRIM('Raw Data'!Q246))=0),"",IF(AND(ISNUMBER('Raw Data'!Q246),'Raw Data'!Q246&gt;=Configuration!$D$2),"",_xlfn.REGEXEXTRACT(CELL("address",'Raw Data'!Q246),"\$([A-Z]+)\$[0-9]+"))),_xlfn.REGEXEXTRACT(CELL("address",Q246), "\$([A-Z]+)\$[0-9]+"))</f>
        <v/>
      </c>
      <c r="R246" s="7" t="str" cm="1">
        <f t="array" aca="1" ref="R246" ca="1">IFERROR(IF(OR('Raw Data'!R246="",LEN(TRIM('Raw Data'!R246))=0),"",IF(AND(ISNUMBER('Raw Data'!R246), IFERROR('Raw Data'!R246 = ROUND('Raw Data'!R246, 2),FALSE)),"",_xlfn.REGEXEXTRACT(CELL("address",R246), "\$([A-Z]+)\$[0-9]+"))),_xlfn.REGEXEXTRACT(CELL("address",R246), "\$([A-Z]+)\$[0-9]+"))</f>
        <v/>
      </c>
      <c r="S246" s="7" t="str" cm="1">
        <f t="array" aca="1" ref="S246" ca="1">IFERROR(IF(OR('Raw Data'!S246="",LEN(TRIM('Raw Data'!S246))=0),"",IF(AND(ISNUMBER('Raw Data'!S246), IFERROR('Raw Data'!S246 = ROUND('Raw Data'!S246, 2),FALSE)),"",_xlfn.REGEXEXTRACT(CELL("address",S246), "\$([A-Z]+)\$[0-9]+"))),_xlfn.REGEXEXTRACT(CELL("address",S246), "\$([A-Z]+)\$[0-9]+"))</f>
        <v/>
      </c>
      <c r="T246" s="7" t="str" cm="1">
        <f t="array" aca="1" ref="T246" ca="1">IFERROR(IF(OR('Raw Data'!T246="",LEN(TRIM('Raw Data'!T246))=0),"",IF(AND(ISNUMBER('Raw Data'!T246), IFERROR('Raw Data'!T246 = ROUND('Raw Data'!T246, 2),FALSE)),"",_xlfn.REGEXEXTRACT(CELL("address",T246), "\$([A-Z]+)\$[0-9]+"))),_xlfn.REGEXEXTRACT(CELL("address",T246), "\$([A-Z]+)\$[0-9]+"))</f>
        <v/>
      </c>
      <c r="U246" s="7" t="str" cm="1">
        <f t="array" aca="1" ref="U246" ca="1">IFERROR(IF(OR('Raw Data'!U246="",LEN(TRIM('Raw Data'!U246))=0),"",IF(AND(LEN('Raw Data'!U246) &lt;= 5,LEN('Raw Data'!U246)&gt; 0),"",_xlfn.REGEXEXTRACT(CELL("address",'Raw Data'!U246),"\$([A-Z]+)\$[0-9]+"))),_xlfn.REGEXEXTRACT(CELL("address",'Raw Data'!U246),"\$([A-Z]+)\$[0-9]+"))</f>
        <v/>
      </c>
      <c r="V246" s="7" t="str" cm="1">
        <f t="array" aca="1" ref="V246" ca="1">IFERROR(IF(OR('Raw Data'!V246="",LEN(TRIM('Raw Data'!V246))=0),"",IF(AND(ISNUMBER('Raw Data'!V246), IFERROR('Raw Data'!V246 = ROUND('Raw Data'!V246, 2),FALSE)),"",_xlfn.REGEXEXTRACT(CELL("address",V246), "\$([A-Z]+)\$[0-9]+"))),_xlfn.REGEXEXTRACT(CELL("address",V246), "\$([A-Z]+)\$[0-9]+"))</f>
        <v/>
      </c>
      <c r="W246" s="7" t="str" cm="1">
        <f t="array" aca="1" ref="W246" ca="1">IFERROR(IF(OR('Raw Data'!W246="",LEN(TRIM('Raw Data'!W246))=0),"",IF(AND(ISNUMBER('Raw Data'!W246), IFERROR('Raw Data'!W246 = ROUND('Raw Data'!W246, 2),FALSE)),"",_xlfn.REGEXEXTRACT(CELL("address",W246), "\$([A-Z]+)\$[0-9]+"))),_xlfn.REGEXEXTRACT(CELL("address",W246), "\$([A-Z]+)\$[0-9]+"))</f>
        <v/>
      </c>
      <c r="X246" s="7" t="str" cm="1">
        <f t="array" aca="1" ref="X246" ca="1">IFERROR(IF(OR('Raw Data'!X246="",LEN(TRIM('Raw Data'!X246))=0),"",IF(AND(ISNUMBER('Raw Data'!X246), IFERROR('Raw Data'!X246 = ROUND('Raw Data'!X246, 2),FALSE)),"",_xlfn.REGEXEXTRACT(CELL("address",X246), "\$([A-Z]+)\$[0-9]+"))),_xlfn.REGEXEXTRACT(CELL("address",X246), "\$([A-Z]+)\$[0-9]+"))</f>
        <v/>
      </c>
    </row>
    <row r="247" spans="2:24" x14ac:dyDescent="0.25">
      <c r="B247" s="7" t="str" cm="1">
        <f t="array" aca="1" ref="B247" ca="1">IFERROR(IF(OR('Raw Data'!B247="",LEN(TRIM('Raw Data'!B247))=0),"",IF(AND(LEN('Raw Data'!B247) &lt;= 50,LEN('Raw Data'!B247)&gt; 0),"",_xlfn.REGEXEXTRACT(CELL("address",'Raw Data'!B247),"\$([A-Z]+)\$[0-9]+"))),_xlfn.REGEXEXTRACT(CELL("address",'Raw Data'!B247),"\$([A-Z]+)\$[0-9]+"))</f>
        <v/>
      </c>
      <c r="C247" s="7" t="str" cm="1">
        <f t="array" aca="1" ref="C247" ca="1">IFERROR(IF(OR('Raw Data'!C247="",LEN(TRIM('Raw Data'!C247))=0),"",IF(AND(LEN('Raw Data'!C247) &lt;= 50,LEN('Raw Data'!C247)&gt; 0),"",_xlfn.REGEXEXTRACT(CELL("address",'Raw Data'!C247),"\$([A-Z]+)\$[0-9]+"))),_xlfn.REGEXEXTRACT(CELL("address",'Raw Data'!C247),"\$([A-Z]+)\$[0-9]+"))</f>
        <v/>
      </c>
      <c r="D247" s="7" t="str" cm="1">
        <f t="array" aca="1" ref="D247" ca="1">IFERROR(IF(OR('Raw Data'!D247="",LEN(TRIM('Raw Data'!D247))=0),"",IF(AND(LEN('Raw Data'!D247) &lt;= 255,LEN('Raw Data'!D247)&gt; 0),"",_xlfn.REGEXEXTRACT(CELL("address",'Raw Data'!D247),"\$([A-Z]+)\$[0-9]+"))),_xlfn.REGEXEXTRACT(CELL("address",'Raw Data'!D247),"\$([A-Z]+)\$[0-9]+"))</f>
        <v/>
      </c>
      <c r="E247" s="7" t="str" cm="1">
        <f t="array" aca="1" ref="E247" ca="1">IFERROR(IF(OR('Raw Data'!E247="",LEN(TRIM('Raw Data'!E247))=0),"",IF(AND(ISNUMBER('Raw Data'!E247),'Raw Data'!E247&gt;=Configuration!$D$2),"",_xlfn.REGEXEXTRACT(CELL("address",'Raw Data'!E247),"\$([A-Z]+)\$[0-9]+"))),_xlfn.REGEXEXTRACT(CELL("address",E247), "\$([A-Z]+)\$[0-9]+"))</f>
        <v/>
      </c>
      <c r="F247" s="7" t="str" cm="1">
        <f t="array" aca="1" ref="F247" ca="1">IFERROR(IF(OR('Raw Data'!F247="",LEN(TRIM('Raw Data'!F247))=0),"",IF(AND(LEN('Raw Data'!F247) &lt;= 20,LEN('Raw Data'!F247)&gt; 0),"",_xlfn.REGEXEXTRACT(CELL("address",'Raw Data'!F247),"\$([A-Z]+)\$[0-9]+"))),_xlfn.REGEXEXTRACT(CELL("address",'Raw Data'!F247),"\$([A-Z]+)\$[0-9]+"))</f>
        <v/>
      </c>
      <c r="G247" s="7" t="str" cm="1">
        <f t="array" aca="1" ref="G247" ca="1">IFERROR(IF(OR('Raw Data'!G247="",LEN(TRIM('Raw Data'!G247))=0),"",IF(AND(ISNUMBER('Raw Data'!G247), IFERROR('Raw Data'!G247 = ROUND('Raw Data'!G247, 2),FALSE)),"",_xlfn.REGEXEXTRACT(CELL("address",G247), "\$([A-Z]+)\$[0-9]+"))),_xlfn.REGEXEXTRACT(CELL("address",G247), "\$([A-Z]+)\$[0-9]+"))</f>
        <v/>
      </c>
      <c r="H247" s="7" t="str" cm="1">
        <f t="array" aca="1" ref="H247" ca="1">IFERROR(IF(OR('Raw Data'!H247="",LEN(TRIM('Raw Data'!H247))=0),"",IF(AND(ISNUMBER('Raw Data'!H247), IFERROR('Raw Data'!H247 = ROUND('Raw Data'!H247, 2),FALSE)),"",_xlfn.REGEXEXTRACT(CELL("address",H247), "\$([A-Z]+)\$[0-9]+"))),_xlfn.REGEXEXTRACT(CELL("address",H247), "\$([A-Z]+)\$[0-9]+"))</f>
        <v/>
      </c>
      <c r="I247" s="7" t="str" cm="1">
        <f t="array" aca="1" ref="I247" ca="1">IFERROR(IF(OR('Raw Data'!I247="",LEN(TRIM('Raw Data'!I247))=0),"",IF(AND(LEN('Raw Data'!I247) &lt;= 50,LEN('Raw Data'!I247)&gt; 0),"",_xlfn.REGEXEXTRACT(CELL("address",'Raw Data'!I247),"\$([A-Z]+)\$[0-9]+"))),_xlfn.REGEXEXTRACT(CELL("address",'Raw Data'!I247),"\$([A-Z]+)\$[0-9]+"))</f>
        <v/>
      </c>
      <c r="J247" s="7" t="str" cm="1">
        <f t="array" aca="1" ref="J247" ca="1">IFERROR(IF(OR('Raw Data'!J247="",LEN(TRIM('Raw Data'!J247))=0),"",IF(AND(ISNUMBER('Raw Data'!J247),'Raw Data'!J247&gt;=Configuration!$D$2),"",_xlfn.REGEXEXTRACT(CELL("address",'Raw Data'!J247),"\$([A-Z]+)\$[0-9]+"))),_xlfn.REGEXEXTRACT(CELL("address",J247), "\$([A-Z]+)\$[0-9]+"))</f>
        <v/>
      </c>
      <c r="K247" s="7" t="str" cm="1">
        <f t="array" aca="1" ref="K247" ca="1">IFERROR(IF(OR('Raw Data'!K247="",LEN(TRIM('Raw Data'!K247))=0),"",IF(AND(ISNUMBER('Raw Data'!K247), IFERROR('Raw Data'!K247 = ROUND('Raw Data'!K247, 2),FALSE)),"",_xlfn.REGEXEXTRACT(CELL("address",K247), "\$([A-Z]+)\$[0-9]+"))),_xlfn.REGEXEXTRACT(CELL("address",K247), "\$([A-Z]+)\$[0-9]+"))</f>
        <v/>
      </c>
      <c r="L247" s="7" t="str" cm="1">
        <f t="array" aca="1" ref="L247" ca="1">IFERROR(IF(OR('Raw Data'!L247="",LEN(TRIM('Raw Data'!L247))=0),"",IF(AND(ISNUMBER('Raw Data'!L247), IFERROR('Raw Data'!L247 = ROUND('Raw Data'!L247, 2),FALSE)),"",_xlfn.REGEXEXTRACT(CELL("address",L247), "\$([A-Z]+)\$[0-9]+"))),_xlfn.REGEXEXTRACT(CELL("address",L247), "\$([A-Z]+)\$[0-9]+"))</f>
        <v/>
      </c>
      <c r="M247" s="7" t="str" cm="1">
        <f t="array" aca="1" ref="M247" ca="1">IFERROR(IF(OR('Raw Data'!M247="",LEN(TRIM('Raw Data'!M247))=0),"",IF(AND(ISNUMBER('Raw Data'!M247), IFERROR('Raw Data'!M247 = ROUND('Raw Data'!M247, 2),FALSE)),"",_xlfn.REGEXEXTRACT(CELL("address",M247), "\$([A-Z]+)\$[0-9]+"))),_xlfn.REGEXEXTRACT(CELL("address",M247), "\$([A-Z]+)\$[0-9]+"))</f>
        <v/>
      </c>
      <c r="N247" s="7" t="str" cm="1">
        <f t="array" aca="1" ref="N247" ca="1">IFERROR(IF(OR('Raw Data'!N247="",LEN(TRIM('Raw Data'!N247))=0),"",IF(AND(ISNUMBER('Raw Data'!N247), IFERROR('Raw Data'!N247 = ROUND('Raw Data'!N247, 2),FALSE)),"",_xlfn.REGEXEXTRACT(CELL("address",N247), "\$([A-Z]+)\$[0-9]+"))),_xlfn.REGEXEXTRACT(CELL("address",N247), "\$([A-Z]+)\$[0-9]+"))</f>
        <v/>
      </c>
      <c r="O247" s="7" t="str" cm="1">
        <f t="array" aca="1" ref="O247" ca="1">IFERROR(IF(OR('Raw Data'!O247="",LEN(TRIM('Raw Data'!O247))=0),"",IF(AND(ISNUMBER('Raw Data'!O247), IFERROR('Raw Data'!O247 = ROUND('Raw Data'!O247, 2),FALSE)),"",_xlfn.REGEXEXTRACT(CELL("address",O247), "\$([A-Z]+)\$[0-9]+"))),_xlfn.REGEXEXTRACT(CELL("address",O247), "\$([A-Z]+)\$[0-9]+"))</f>
        <v/>
      </c>
      <c r="P247" s="7" t="str" cm="1">
        <f t="array" aca="1" ref="P247" ca="1">IFERROR(IF(OR('Raw Data'!P247="",LEN(TRIM('Raw Data'!P247))=0),"",IF(AND(ISNUMBER('Raw Data'!P247),'Raw Data'!P247&gt;=Configuration!$D$2),"",_xlfn.REGEXEXTRACT(CELL("address",'Raw Data'!P247),"\$([A-Z]+)\$[0-9]+"))),_xlfn.REGEXEXTRACT(CELL("address",P247), "\$([A-Z]+)\$[0-9]+"))</f>
        <v/>
      </c>
      <c r="Q247" s="7" t="str" cm="1">
        <f t="array" aca="1" ref="Q247" ca="1">IFERROR(IF(OR('Raw Data'!Q247="",LEN(TRIM('Raw Data'!Q247))=0),"",IF(AND(ISNUMBER('Raw Data'!Q247),'Raw Data'!Q247&gt;=Configuration!$D$2),"",_xlfn.REGEXEXTRACT(CELL("address",'Raw Data'!Q247),"\$([A-Z]+)\$[0-9]+"))),_xlfn.REGEXEXTRACT(CELL("address",Q247), "\$([A-Z]+)\$[0-9]+"))</f>
        <v/>
      </c>
      <c r="R247" s="7" t="str" cm="1">
        <f t="array" aca="1" ref="R247" ca="1">IFERROR(IF(OR('Raw Data'!R247="",LEN(TRIM('Raw Data'!R247))=0),"",IF(AND(ISNUMBER('Raw Data'!R247), IFERROR('Raw Data'!R247 = ROUND('Raw Data'!R247, 2),FALSE)),"",_xlfn.REGEXEXTRACT(CELL("address",R247), "\$([A-Z]+)\$[0-9]+"))),_xlfn.REGEXEXTRACT(CELL("address",R247), "\$([A-Z]+)\$[0-9]+"))</f>
        <v/>
      </c>
      <c r="S247" s="7" t="str" cm="1">
        <f t="array" aca="1" ref="S247" ca="1">IFERROR(IF(OR('Raw Data'!S247="",LEN(TRIM('Raw Data'!S247))=0),"",IF(AND(ISNUMBER('Raw Data'!S247), IFERROR('Raw Data'!S247 = ROUND('Raw Data'!S247, 2),FALSE)),"",_xlfn.REGEXEXTRACT(CELL("address",S247), "\$([A-Z]+)\$[0-9]+"))),_xlfn.REGEXEXTRACT(CELL("address",S247), "\$([A-Z]+)\$[0-9]+"))</f>
        <v/>
      </c>
      <c r="T247" s="7" t="str" cm="1">
        <f t="array" aca="1" ref="T247" ca="1">IFERROR(IF(OR('Raw Data'!T247="",LEN(TRIM('Raw Data'!T247))=0),"",IF(AND(ISNUMBER('Raw Data'!T247), IFERROR('Raw Data'!T247 = ROUND('Raw Data'!T247, 2),FALSE)),"",_xlfn.REGEXEXTRACT(CELL("address",T247), "\$([A-Z]+)\$[0-9]+"))),_xlfn.REGEXEXTRACT(CELL("address",T247), "\$([A-Z]+)\$[0-9]+"))</f>
        <v/>
      </c>
      <c r="U247" s="7" t="str" cm="1">
        <f t="array" aca="1" ref="U247" ca="1">IFERROR(IF(OR('Raw Data'!U247="",LEN(TRIM('Raw Data'!U247))=0),"",IF(AND(LEN('Raw Data'!U247) &lt;= 5,LEN('Raw Data'!U247)&gt; 0),"",_xlfn.REGEXEXTRACT(CELL("address",'Raw Data'!U247),"\$([A-Z]+)\$[0-9]+"))),_xlfn.REGEXEXTRACT(CELL("address",'Raw Data'!U247),"\$([A-Z]+)\$[0-9]+"))</f>
        <v/>
      </c>
      <c r="V247" s="7" t="str" cm="1">
        <f t="array" aca="1" ref="V247" ca="1">IFERROR(IF(OR('Raw Data'!V247="",LEN(TRIM('Raw Data'!V247))=0),"",IF(AND(ISNUMBER('Raw Data'!V247), IFERROR('Raw Data'!V247 = ROUND('Raw Data'!V247, 2),FALSE)),"",_xlfn.REGEXEXTRACT(CELL("address",V247), "\$([A-Z]+)\$[0-9]+"))),_xlfn.REGEXEXTRACT(CELL("address",V247), "\$([A-Z]+)\$[0-9]+"))</f>
        <v/>
      </c>
      <c r="W247" s="7" t="str" cm="1">
        <f t="array" aca="1" ref="W247" ca="1">IFERROR(IF(OR('Raw Data'!W247="",LEN(TRIM('Raw Data'!W247))=0),"",IF(AND(ISNUMBER('Raw Data'!W247), IFERROR('Raw Data'!W247 = ROUND('Raw Data'!W247, 2),FALSE)),"",_xlfn.REGEXEXTRACT(CELL("address",W247), "\$([A-Z]+)\$[0-9]+"))),_xlfn.REGEXEXTRACT(CELL("address",W247), "\$([A-Z]+)\$[0-9]+"))</f>
        <v/>
      </c>
      <c r="X247" s="7" t="str" cm="1">
        <f t="array" aca="1" ref="X247" ca="1">IFERROR(IF(OR('Raw Data'!X247="",LEN(TRIM('Raw Data'!X247))=0),"",IF(AND(ISNUMBER('Raw Data'!X247), IFERROR('Raw Data'!X247 = ROUND('Raw Data'!X247, 2),FALSE)),"",_xlfn.REGEXEXTRACT(CELL("address",X247), "\$([A-Z]+)\$[0-9]+"))),_xlfn.REGEXEXTRACT(CELL("address",X247), "\$([A-Z]+)\$[0-9]+"))</f>
        <v/>
      </c>
    </row>
    <row r="248" spans="2:24" x14ac:dyDescent="0.25">
      <c r="B248" s="7" t="str" cm="1">
        <f t="array" aca="1" ref="B248" ca="1">IFERROR(IF(OR('Raw Data'!B248="",LEN(TRIM('Raw Data'!B248))=0),"",IF(AND(LEN('Raw Data'!B248) &lt;= 50,LEN('Raw Data'!B248)&gt; 0),"",_xlfn.REGEXEXTRACT(CELL("address",'Raw Data'!B248),"\$([A-Z]+)\$[0-9]+"))),_xlfn.REGEXEXTRACT(CELL("address",'Raw Data'!B248),"\$([A-Z]+)\$[0-9]+"))</f>
        <v/>
      </c>
      <c r="C248" s="7" t="str" cm="1">
        <f t="array" aca="1" ref="C248" ca="1">IFERROR(IF(OR('Raw Data'!C248="",LEN(TRIM('Raw Data'!C248))=0),"",IF(AND(LEN('Raw Data'!C248) &lt;= 50,LEN('Raw Data'!C248)&gt; 0),"",_xlfn.REGEXEXTRACT(CELL("address",'Raw Data'!C248),"\$([A-Z]+)\$[0-9]+"))),_xlfn.REGEXEXTRACT(CELL("address",'Raw Data'!C248),"\$([A-Z]+)\$[0-9]+"))</f>
        <v/>
      </c>
      <c r="D248" s="7" t="str" cm="1">
        <f t="array" aca="1" ref="D248" ca="1">IFERROR(IF(OR('Raw Data'!D248="",LEN(TRIM('Raw Data'!D248))=0),"",IF(AND(LEN('Raw Data'!D248) &lt;= 255,LEN('Raw Data'!D248)&gt; 0),"",_xlfn.REGEXEXTRACT(CELL("address",'Raw Data'!D248),"\$([A-Z]+)\$[0-9]+"))),_xlfn.REGEXEXTRACT(CELL("address",'Raw Data'!D248),"\$([A-Z]+)\$[0-9]+"))</f>
        <v/>
      </c>
      <c r="E248" s="7" t="str" cm="1">
        <f t="array" aca="1" ref="E248" ca="1">IFERROR(IF(OR('Raw Data'!E248="",LEN(TRIM('Raw Data'!E248))=0),"",IF(AND(ISNUMBER('Raw Data'!E248),'Raw Data'!E248&gt;=Configuration!$D$2),"",_xlfn.REGEXEXTRACT(CELL("address",'Raw Data'!E248),"\$([A-Z]+)\$[0-9]+"))),_xlfn.REGEXEXTRACT(CELL("address",E248), "\$([A-Z]+)\$[0-9]+"))</f>
        <v/>
      </c>
      <c r="F248" s="7" t="str" cm="1">
        <f t="array" aca="1" ref="F248" ca="1">IFERROR(IF(OR('Raw Data'!F248="",LEN(TRIM('Raw Data'!F248))=0),"",IF(AND(LEN('Raw Data'!F248) &lt;= 20,LEN('Raw Data'!F248)&gt; 0),"",_xlfn.REGEXEXTRACT(CELL("address",'Raw Data'!F248),"\$([A-Z]+)\$[0-9]+"))),_xlfn.REGEXEXTRACT(CELL("address",'Raw Data'!F248),"\$([A-Z]+)\$[0-9]+"))</f>
        <v/>
      </c>
      <c r="G248" s="7" t="str" cm="1">
        <f t="array" aca="1" ref="G248" ca="1">IFERROR(IF(OR('Raw Data'!G248="",LEN(TRIM('Raw Data'!G248))=0),"",IF(AND(ISNUMBER('Raw Data'!G248), IFERROR('Raw Data'!G248 = ROUND('Raw Data'!G248, 2),FALSE)),"",_xlfn.REGEXEXTRACT(CELL("address",G248), "\$([A-Z]+)\$[0-9]+"))),_xlfn.REGEXEXTRACT(CELL("address",G248), "\$([A-Z]+)\$[0-9]+"))</f>
        <v/>
      </c>
      <c r="H248" s="7" t="str" cm="1">
        <f t="array" aca="1" ref="H248" ca="1">IFERROR(IF(OR('Raw Data'!H248="",LEN(TRIM('Raw Data'!H248))=0),"",IF(AND(ISNUMBER('Raw Data'!H248), IFERROR('Raw Data'!H248 = ROUND('Raw Data'!H248, 2),FALSE)),"",_xlfn.REGEXEXTRACT(CELL("address",H248), "\$([A-Z]+)\$[0-9]+"))),_xlfn.REGEXEXTRACT(CELL("address",H248), "\$([A-Z]+)\$[0-9]+"))</f>
        <v/>
      </c>
      <c r="I248" s="7" t="str" cm="1">
        <f t="array" aca="1" ref="I248" ca="1">IFERROR(IF(OR('Raw Data'!I248="",LEN(TRIM('Raw Data'!I248))=0),"",IF(AND(LEN('Raw Data'!I248) &lt;= 50,LEN('Raw Data'!I248)&gt; 0),"",_xlfn.REGEXEXTRACT(CELL("address",'Raw Data'!I248),"\$([A-Z]+)\$[0-9]+"))),_xlfn.REGEXEXTRACT(CELL("address",'Raw Data'!I248),"\$([A-Z]+)\$[0-9]+"))</f>
        <v/>
      </c>
      <c r="J248" s="7" t="str" cm="1">
        <f t="array" aca="1" ref="J248" ca="1">IFERROR(IF(OR('Raw Data'!J248="",LEN(TRIM('Raw Data'!J248))=0),"",IF(AND(ISNUMBER('Raw Data'!J248),'Raw Data'!J248&gt;=Configuration!$D$2),"",_xlfn.REGEXEXTRACT(CELL("address",'Raw Data'!J248),"\$([A-Z]+)\$[0-9]+"))),_xlfn.REGEXEXTRACT(CELL("address",J248), "\$([A-Z]+)\$[0-9]+"))</f>
        <v/>
      </c>
      <c r="K248" s="7" t="str" cm="1">
        <f t="array" aca="1" ref="K248" ca="1">IFERROR(IF(OR('Raw Data'!K248="",LEN(TRIM('Raw Data'!K248))=0),"",IF(AND(ISNUMBER('Raw Data'!K248), IFERROR('Raw Data'!K248 = ROUND('Raw Data'!K248, 2),FALSE)),"",_xlfn.REGEXEXTRACT(CELL("address",K248), "\$([A-Z]+)\$[0-9]+"))),_xlfn.REGEXEXTRACT(CELL("address",K248), "\$([A-Z]+)\$[0-9]+"))</f>
        <v/>
      </c>
      <c r="L248" s="7" t="str" cm="1">
        <f t="array" aca="1" ref="L248" ca="1">IFERROR(IF(OR('Raw Data'!L248="",LEN(TRIM('Raw Data'!L248))=0),"",IF(AND(ISNUMBER('Raw Data'!L248), IFERROR('Raw Data'!L248 = ROUND('Raw Data'!L248, 2),FALSE)),"",_xlfn.REGEXEXTRACT(CELL("address",L248), "\$([A-Z]+)\$[0-9]+"))),_xlfn.REGEXEXTRACT(CELL("address",L248), "\$([A-Z]+)\$[0-9]+"))</f>
        <v/>
      </c>
      <c r="M248" s="7" t="str" cm="1">
        <f t="array" aca="1" ref="M248" ca="1">IFERROR(IF(OR('Raw Data'!M248="",LEN(TRIM('Raw Data'!M248))=0),"",IF(AND(ISNUMBER('Raw Data'!M248), IFERROR('Raw Data'!M248 = ROUND('Raw Data'!M248, 2),FALSE)),"",_xlfn.REGEXEXTRACT(CELL("address",M248), "\$([A-Z]+)\$[0-9]+"))),_xlfn.REGEXEXTRACT(CELL("address",M248), "\$([A-Z]+)\$[0-9]+"))</f>
        <v/>
      </c>
      <c r="N248" s="7" t="str" cm="1">
        <f t="array" aca="1" ref="N248" ca="1">IFERROR(IF(OR('Raw Data'!N248="",LEN(TRIM('Raw Data'!N248))=0),"",IF(AND(ISNUMBER('Raw Data'!N248), IFERROR('Raw Data'!N248 = ROUND('Raw Data'!N248, 2),FALSE)),"",_xlfn.REGEXEXTRACT(CELL("address",N248), "\$([A-Z]+)\$[0-9]+"))),_xlfn.REGEXEXTRACT(CELL("address",N248), "\$([A-Z]+)\$[0-9]+"))</f>
        <v/>
      </c>
      <c r="O248" s="7" t="str" cm="1">
        <f t="array" aca="1" ref="O248" ca="1">IFERROR(IF(OR('Raw Data'!O248="",LEN(TRIM('Raw Data'!O248))=0),"",IF(AND(ISNUMBER('Raw Data'!O248), IFERROR('Raw Data'!O248 = ROUND('Raw Data'!O248, 2),FALSE)),"",_xlfn.REGEXEXTRACT(CELL("address",O248), "\$([A-Z]+)\$[0-9]+"))),_xlfn.REGEXEXTRACT(CELL("address",O248), "\$([A-Z]+)\$[0-9]+"))</f>
        <v/>
      </c>
      <c r="P248" s="7" t="str" cm="1">
        <f t="array" aca="1" ref="P248" ca="1">IFERROR(IF(OR('Raw Data'!P248="",LEN(TRIM('Raw Data'!P248))=0),"",IF(AND(ISNUMBER('Raw Data'!P248),'Raw Data'!P248&gt;=Configuration!$D$2),"",_xlfn.REGEXEXTRACT(CELL("address",'Raw Data'!P248),"\$([A-Z]+)\$[0-9]+"))),_xlfn.REGEXEXTRACT(CELL("address",P248), "\$([A-Z]+)\$[0-9]+"))</f>
        <v/>
      </c>
      <c r="Q248" s="7" t="str" cm="1">
        <f t="array" aca="1" ref="Q248" ca="1">IFERROR(IF(OR('Raw Data'!Q248="",LEN(TRIM('Raw Data'!Q248))=0),"",IF(AND(ISNUMBER('Raw Data'!Q248),'Raw Data'!Q248&gt;=Configuration!$D$2),"",_xlfn.REGEXEXTRACT(CELL("address",'Raw Data'!Q248),"\$([A-Z]+)\$[0-9]+"))),_xlfn.REGEXEXTRACT(CELL("address",Q248), "\$([A-Z]+)\$[0-9]+"))</f>
        <v/>
      </c>
      <c r="R248" s="7" t="str" cm="1">
        <f t="array" aca="1" ref="R248" ca="1">IFERROR(IF(OR('Raw Data'!R248="",LEN(TRIM('Raw Data'!R248))=0),"",IF(AND(ISNUMBER('Raw Data'!R248), IFERROR('Raw Data'!R248 = ROUND('Raw Data'!R248, 2),FALSE)),"",_xlfn.REGEXEXTRACT(CELL("address",R248), "\$([A-Z]+)\$[0-9]+"))),_xlfn.REGEXEXTRACT(CELL("address",R248), "\$([A-Z]+)\$[0-9]+"))</f>
        <v/>
      </c>
      <c r="S248" s="7" t="str" cm="1">
        <f t="array" aca="1" ref="S248" ca="1">IFERROR(IF(OR('Raw Data'!S248="",LEN(TRIM('Raw Data'!S248))=0),"",IF(AND(ISNUMBER('Raw Data'!S248), IFERROR('Raw Data'!S248 = ROUND('Raw Data'!S248, 2),FALSE)),"",_xlfn.REGEXEXTRACT(CELL("address",S248), "\$([A-Z]+)\$[0-9]+"))),_xlfn.REGEXEXTRACT(CELL("address",S248), "\$([A-Z]+)\$[0-9]+"))</f>
        <v/>
      </c>
      <c r="T248" s="7" t="str" cm="1">
        <f t="array" aca="1" ref="T248" ca="1">IFERROR(IF(OR('Raw Data'!T248="",LEN(TRIM('Raw Data'!T248))=0),"",IF(AND(ISNUMBER('Raw Data'!T248), IFERROR('Raw Data'!T248 = ROUND('Raw Data'!T248, 2),FALSE)),"",_xlfn.REGEXEXTRACT(CELL("address",T248), "\$([A-Z]+)\$[0-9]+"))),_xlfn.REGEXEXTRACT(CELL("address",T248), "\$([A-Z]+)\$[0-9]+"))</f>
        <v/>
      </c>
      <c r="U248" s="7" t="str" cm="1">
        <f t="array" aca="1" ref="U248" ca="1">IFERROR(IF(OR('Raw Data'!U248="",LEN(TRIM('Raw Data'!U248))=0),"",IF(AND(LEN('Raw Data'!U248) &lt;= 5,LEN('Raw Data'!U248)&gt; 0),"",_xlfn.REGEXEXTRACT(CELL("address",'Raw Data'!U248),"\$([A-Z]+)\$[0-9]+"))),_xlfn.REGEXEXTRACT(CELL("address",'Raw Data'!U248),"\$([A-Z]+)\$[0-9]+"))</f>
        <v/>
      </c>
      <c r="V248" s="7" t="str" cm="1">
        <f t="array" aca="1" ref="V248" ca="1">IFERROR(IF(OR('Raw Data'!V248="",LEN(TRIM('Raw Data'!V248))=0),"",IF(AND(ISNUMBER('Raw Data'!V248), IFERROR('Raw Data'!V248 = ROUND('Raw Data'!V248, 2),FALSE)),"",_xlfn.REGEXEXTRACT(CELL("address",V248), "\$([A-Z]+)\$[0-9]+"))),_xlfn.REGEXEXTRACT(CELL("address",V248), "\$([A-Z]+)\$[0-9]+"))</f>
        <v/>
      </c>
      <c r="W248" s="7" t="str" cm="1">
        <f t="array" aca="1" ref="W248" ca="1">IFERROR(IF(OR('Raw Data'!W248="",LEN(TRIM('Raw Data'!W248))=0),"",IF(AND(ISNUMBER('Raw Data'!W248), IFERROR('Raw Data'!W248 = ROUND('Raw Data'!W248, 2),FALSE)),"",_xlfn.REGEXEXTRACT(CELL("address",W248), "\$([A-Z]+)\$[0-9]+"))),_xlfn.REGEXEXTRACT(CELL("address",W248), "\$([A-Z]+)\$[0-9]+"))</f>
        <v/>
      </c>
      <c r="X248" s="7" t="str" cm="1">
        <f t="array" aca="1" ref="X248" ca="1">IFERROR(IF(OR('Raw Data'!X248="",LEN(TRIM('Raw Data'!X248))=0),"",IF(AND(ISNUMBER('Raw Data'!X248), IFERROR('Raw Data'!X248 = ROUND('Raw Data'!X248, 2),FALSE)),"",_xlfn.REGEXEXTRACT(CELL("address",X248), "\$([A-Z]+)\$[0-9]+"))),_xlfn.REGEXEXTRACT(CELL("address",X248), "\$([A-Z]+)\$[0-9]+"))</f>
        <v/>
      </c>
    </row>
    <row r="249" spans="2:24" x14ac:dyDescent="0.25">
      <c r="B249" s="7" t="str" cm="1">
        <f t="array" aca="1" ref="B249" ca="1">IFERROR(IF(OR('Raw Data'!B249="",LEN(TRIM('Raw Data'!B249))=0),"",IF(AND(LEN('Raw Data'!B249) &lt;= 50,LEN('Raw Data'!B249)&gt; 0),"",_xlfn.REGEXEXTRACT(CELL("address",'Raw Data'!B249),"\$([A-Z]+)\$[0-9]+"))),_xlfn.REGEXEXTRACT(CELL("address",'Raw Data'!B249),"\$([A-Z]+)\$[0-9]+"))</f>
        <v/>
      </c>
      <c r="C249" s="7" t="str" cm="1">
        <f t="array" aca="1" ref="C249" ca="1">IFERROR(IF(OR('Raw Data'!C249="",LEN(TRIM('Raw Data'!C249))=0),"",IF(AND(LEN('Raw Data'!C249) &lt;= 50,LEN('Raw Data'!C249)&gt; 0),"",_xlfn.REGEXEXTRACT(CELL("address",'Raw Data'!C249),"\$([A-Z]+)\$[0-9]+"))),_xlfn.REGEXEXTRACT(CELL("address",'Raw Data'!C249),"\$([A-Z]+)\$[0-9]+"))</f>
        <v/>
      </c>
      <c r="D249" s="7" t="str" cm="1">
        <f t="array" aca="1" ref="D249" ca="1">IFERROR(IF(OR('Raw Data'!D249="",LEN(TRIM('Raw Data'!D249))=0),"",IF(AND(LEN('Raw Data'!D249) &lt;= 255,LEN('Raw Data'!D249)&gt; 0),"",_xlfn.REGEXEXTRACT(CELL("address",'Raw Data'!D249),"\$([A-Z]+)\$[0-9]+"))),_xlfn.REGEXEXTRACT(CELL("address",'Raw Data'!D249),"\$([A-Z]+)\$[0-9]+"))</f>
        <v/>
      </c>
      <c r="E249" s="7" t="str" cm="1">
        <f t="array" aca="1" ref="E249" ca="1">IFERROR(IF(OR('Raw Data'!E249="",LEN(TRIM('Raw Data'!E249))=0),"",IF(AND(ISNUMBER('Raw Data'!E249),'Raw Data'!E249&gt;=Configuration!$D$2),"",_xlfn.REGEXEXTRACT(CELL("address",'Raw Data'!E249),"\$([A-Z]+)\$[0-9]+"))),_xlfn.REGEXEXTRACT(CELL("address",E249), "\$([A-Z]+)\$[0-9]+"))</f>
        <v/>
      </c>
      <c r="F249" s="7" t="str" cm="1">
        <f t="array" aca="1" ref="F249" ca="1">IFERROR(IF(OR('Raw Data'!F249="",LEN(TRIM('Raw Data'!F249))=0),"",IF(AND(LEN('Raw Data'!F249) &lt;= 20,LEN('Raw Data'!F249)&gt; 0),"",_xlfn.REGEXEXTRACT(CELL("address",'Raw Data'!F249),"\$([A-Z]+)\$[0-9]+"))),_xlfn.REGEXEXTRACT(CELL("address",'Raw Data'!F249),"\$([A-Z]+)\$[0-9]+"))</f>
        <v/>
      </c>
      <c r="G249" s="7" t="str" cm="1">
        <f t="array" aca="1" ref="G249" ca="1">IFERROR(IF(OR('Raw Data'!G249="",LEN(TRIM('Raw Data'!G249))=0),"",IF(AND(ISNUMBER('Raw Data'!G249), IFERROR('Raw Data'!G249 = ROUND('Raw Data'!G249, 2),FALSE)),"",_xlfn.REGEXEXTRACT(CELL("address",G249), "\$([A-Z]+)\$[0-9]+"))),_xlfn.REGEXEXTRACT(CELL("address",G249), "\$([A-Z]+)\$[0-9]+"))</f>
        <v/>
      </c>
      <c r="H249" s="7" t="str" cm="1">
        <f t="array" aca="1" ref="H249" ca="1">IFERROR(IF(OR('Raw Data'!H249="",LEN(TRIM('Raw Data'!H249))=0),"",IF(AND(ISNUMBER('Raw Data'!H249), IFERROR('Raw Data'!H249 = ROUND('Raw Data'!H249, 2),FALSE)),"",_xlfn.REGEXEXTRACT(CELL("address",H249), "\$([A-Z]+)\$[0-9]+"))),_xlfn.REGEXEXTRACT(CELL("address",H249), "\$([A-Z]+)\$[0-9]+"))</f>
        <v/>
      </c>
      <c r="I249" s="7" t="str" cm="1">
        <f t="array" aca="1" ref="I249" ca="1">IFERROR(IF(OR('Raw Data'!I249="",LEN(TRIM('Raw Data'!I249))=0),"",IF(AND(LEN('Raw Data'!I249) &lt;= 50,LEN('Raw Data'!I249)&gt; 0),"",_xlfn.REGEXEXTRACT(CELL("address",'Raw Data'!I249),"\$([A-Z]+)\$[0-9]+"))),_xlfn.REGEXEXTRACT(CELL("address",'Raw Data'!I249),"\$([A-Z]+)\$[0-9]+"))</f>
        <v/>
      </c>
      <c r="J249" s="7" t="str" cm="1">
        <f t="array" aca="1" ref="J249" ca="1">IFERROR(IF(OR('Raw Data'!J249="",LEN(TRIM('Raw Data'!J249))=0),"",IF(AND(ISNUMBER('Raw Data'!J249),'Raw Data'!J249&gt;=Configuration!$D$2),"",_xlfn.REGEXEXTRACT(CELL("address",'Raw Data'!J249),"\$([A-Z]+)\$[0-9]+"))),_xlfn.REGEXEXTRACT(CELL("address",J249), "\$([A-Z]+)\$[0-9]+"))</f>
        <v/>
      </c>
      <c r="K249" s="7" t="str" cm="1">
        <f t="array" aca="1" ref="K249" ca="1">IFERROR(IF(OR('Raw Data'!K249="",LEN(TRIM('Raw Data'!K249))=0),"",IF(AND(ISNUMBER('Raw Data'!K249), IFERROR('Raw Data'!K249 = ROUND('Raw Data'!K249, 2),FALSE)),"",_xlfn.REGEXEXTRACT(CELL("address",K249), "\$([A-Z]+)\$[0-9]+"))),_xlfn.REGEXEXTRACT(CELL("address",K249), "\$([A-Z]+)\$[0-9]+"))</f>
        <v/>
      </c>
      <c r="L249" s="7" t="str" cm="1">
        <f t="array" aca="1" ref="L249" ca="1">IFERROR(IF(OR('Raw Data'!L249="",LEN(TRIM('Raw Data'!L249))=0),"",IF(AND(ISNUMBER('Raw Data'!L249), IFERROR('Raw Data'!L249 = ROUND('Raw Data'!L249, 2),FALSE)),"",_xlfn.REGEXEXTRACT(CELL("address",L249), "\$([A-Z]+)\$[0-9]+"))),_xlfn.REGEXEXTRACT(CELL("address",L249), "\$([A-Z]+)\$[0-9]+"))</f>
        <v/>
      </c>
      <c r="M249" s="7" t="str" cm="1">
        <f t="array" aca="1" ref="M249" ca="1">IFERROR(IF(OR('Raw Data'!M249="",LEN(TRIM('Raw Data'!M249))=0),"",IF(AND(ISNUMBER('Raw Data'!M249), IFERROR('Raw Data'!M249 = ROUND('Raw Data'!M249, 2),FALSE)),"",_xlfn.REGEXEXTRACT(CELL("address",M249), "\$([A-Z]+)\$[0-9]+"))),_xlfn.REGEXEXTRACT(CELL("address",M249), "\$([A-Z]+)\$[0-9]+"))</f>
        <v/>
      </c>
      <c r="N249" s="7" t="str" cm="1">
        <f t="array" aca="1" ref="N249" ca="1">IFERROR(IF(OR('Raw Data'!N249="",LEN(TRIM('Raw Data'!N249))=0),"",IF(AND(ISNUMBER('Raw Data'!N249), IFERROR('Raw Data'!N249 = ROUND('Raw Data'!N249, 2),FALSE)),"",_xlfn.REGEXEXTRACT(CELL("address",N249), "\$([A-Z]+)\$[0-9]+"))),_xlfn.REGEXEXTRACT(CELL("address",N249), "\$([A-Z]+)\$[0-9]+"))</f>
        <v/>
      </c>
      <c r="O249" s="7" t="str" cm="1">
        <f t="array" aca="1" ref="O249" ca="1">IFERROR(IF(OR('Raw Data'!O249="",LEN(TRIM('Raw Data'!O249))=0),"",IF(AND(ISNUMBER('Raw Data'!O249), IFERROR('Raw Data'!O249 = ROUND('Raw Data'!O249, 2),FALSE)),"",_xlfn.REGEXEXTRACT(CELL("address",O249), "\$([A-Z]+)\$[0-9]+"))),_xlfn.REGEXEXTRACT(CELL("address",O249), "\$([A-Z]+)\$[0-9]+"))</f>
        <v/>
      </c>
      <c r="P249" s="7" t="str" cm="1">
        <f t="array" aca="1" ref="P249" ca="1">IFERROR(IF(OR('Raw Data'!P249="",LEN(TRIM('Raw Data'!P249))=0),"",IF(AND(ISNUMBER('Raw Data'!P249),'Raw Data'!P249&gt;=Configuration!$D$2),"",_xlfn.REGEXEXTRACT(CELL("address",'Raw Data'!P249),"\$([A-Z]+)\$[0-9]+"))),_xlfn.REGEXEXTRACT(CELL("address",P249), "\$([A-Z]+)\$[0-9]+"))</f>
        <v/>
      </c>
      <c r="Q249" s="7" t="str" cm="1">
        <f t="array" aca="1" ref="Q249" ca="1">IFERROR(IF(OR('Raw Data'!Q249="",LEN(TRIM('Raw Data'!Q249))=0),"",IF(AND(ISNUMBER('Raw Data'!Q249),'Raw Data'!Q249&gt;=Configuration!$D$2),"",_xlfn.REGEXEXTRACT(CELL("address",'Raw Data'!Q249),"\$([A-Z]+)\$[0-9]+"))),_xlfn.REGEXEXTRACT(CELL("address",Q249), "\$([A-Z]+)\$[0-9]+"))</f>
        <v/>
      </c>
      <c r="R249" s="7" t="str" cm="1">
        <f t="array" aca="1" ref="R249" ca="1">IFERROR(IF(OR('Raw Data'!R249="",LEN(TRIM('Raw Data'!R249))=0),"",IF(AND(ISNUMBER('Raw Data'!R249), IFERROR('Raw Data'!R249 = ROUND('Raw Data'!R249, 2),FALSE)),"",_xlfn.REGEXEXTRACT(CELL("address",R249), "\$([A-Z]+)\$[0-9]+"))),_xlfn.REGEXEXTRACT(CELL("address",R249), "\$([A-Z]+)\$[0-9]+"))</f>
        <v/>
      </c>
      <c r="S249" s="7" t="str" cm="1">
        <f t="array" aca="1" ref="S249" ca="1">IFERROR(IF(OR('Raw Data'!S249="",LEN(TRIM('Raw Data'!S249))=0),"",IF(AND(ISNUMBER('Raw Data'!S249), IFERROR('Raw Data'!S249 = ROUND('Raw Data'!S249, 2),FALSE)),"",_xlfn.REGEXEXTRACT(CELL("address",S249), "\$([A-Z]+)\$[0-9]+"))),_xlfn.REGEXEXTRACT(CELL("address",S249), "\$([A-Z]+)\$[0-9]+"))</f>
        <v/>
      </c>
      <c r="T249" s="7" t="str" cm="1">
        <f t="array" aca="1" ref="T249" ca="1">IFERROR(IF(OR('Raw Data'!T249="",LEN(TRIM('Raw Data'!T249))=0),"",IF(AND(ISNUMBER('Raw Data'!T249), IFERROR('Raw Data'!T249 = ROUND('Raw Data'!T249, 2),FALSE)),"",_xlfn.REGEXEXTRACT(CELL("address",T249), "\$([A-Z]+)\$[0-9]+"))),_xlfn.REGEXEXTRACT(CELL("address",T249), "\$([A-Z]+)\$[0-9]+"))</f>
        <v/>
      </c>
      <c r="U249" s="7" t="str" cm="1">
        <f t="array" aca="1" ref="U249" ca="1">IFERROR(IF(OR('Raw Data'!U249="",LEN(TRIM('Raw Data'!U249))=0),"",IF(AND(LEN('Raw Data'!U249) &lt;= 5,LEN('Raw Data'!U249)&gt; 0),"",_xlfn.REGEXEXTRACT(CELL("address",'Raw Data'!U249),"\$([A-Z]+)\$[0-9]+"))),_xlfn.REGEXEXTRACT(CELL("address",'Raw Data'!U249),"\$([A-Z]+)\$[0-9]+"))</f>
        <v/>
      </c>
      <c r="V249" s="7" t="str" cm="1">
        <f t="array" aca="1" ref="V249" ca="1">IFERROR(IF(OR('Raw Data'!V249="",LEN(TRIM('Raw Data'!V249))=0),"",IF(AND(ISNUMBER('Raw Data'!V249), IFERROR('Raw Data'!V249 = ROUND('Raw Data'!V249, 2),FALSE)),"",_xlfn.REGEXEXTRACT(CELL("address",V249), "\$([A-Z]+)\$[0-9]+"))),_xlfn.REGEXEXTRACT(CELL("address",V249), "\$([A-Z]+)\$[0-9]+"))</f>
        <v/>
      </c>
      <c r="W249" s="7" t="str" cm="1">
        <f t="array" aca="1" ref="W249" ca="1">IFERROR(IF(OR('Raw Data'!W249="",LEN(TRIM('Raw Data'!W249))=0),"",IF(AND(ISNUMBER('Raw Data'!W249), IFERROR('Raw Data'!W249 = ROUND('Raw Data'!W249, 2),FALSE)),"",_xlfn.REGEXEXTRACT(CELL("address",W249), "\$([A-Z]+)\$[0-9]+"))),_xlfn.REGEXEXTRACT(CELL("address",W249), "\$([A-Z]+)\$[0-9]+"))</f>
        <v/>
      </c>
      <c r="X249" s="7" t="str" cm="1">
        <f t="array" aca="1" ref="X249" ca="1">IFERROR(IF(OR('Raw Data'!X249="",LEN(TRIM('Raw Data'!X249))=0),"",IF(AND(ISNUMBER('Raw Data'!X249), IFERROR('Raw Data'!X249 = ROUND('Raw Data'!X249, 2),FALSE)),"",_xlfn.REGEXEXTRACT(CELL("address",X249), "\$([A-Z]+)\$[0-9]+"))),_xlfn.REGEXEXTRACT(CELL("address",X249), "\$([A-Z]+)\$[0-9]+"))</f>
        <v/>
      </c>
    </row>
    <row r="250" spans="2:24" x14ac:dyDescent="0.25">
      <c r="B250" s="7" t="str" cm="1">
        <f t="array" aca="1" ref="B250" ca="1">IFERROR(IF(OR('Raw Data'!B250="",LEN(TRIM('Raw Data'!B250))=0),"",IF(AND(LEN('Raw Data'!B250) &lt;= 50,LEN('Raw Data'!B250)&gt; 0),"",_xlfn.REGEXEXTRACT(CELL("address",'Raw Data'!B250),"\$([A-Z]+)\$[0-9]+"))),_xlfn.REGEXEXTRACT(CELL("address",'Raw Data'!B250),"\$([A-Z]+)\$[0-9]+"))</f>
        <v/>
      </c>
      <c r="C250" s="7" t="str" cm="1">
        <f t="array" aca="1" ref="C250" ca="1">IFERROR(IF(OR('Raw Data'!C250="",LEN(TRIM('Raw Data'!C250))=0),"",IF(AND(LEN('Raw Data'!C250) &lt;= 50,LEN('Raw Data'!C250)&gt; 0),"",_xlfn.REGEXEXTRACT(CELL("address",'Raw Data'!C250),"\$([A-Z]+)\$[0-9]+"))),_xlfn.REGEXEXTRACT(CELL("address",'Raw Data'!C250),"\$([A-Z]+)\$[0-9]+"))</f>
        <v/>
      </c>
      <c r="D250" s="7" t="str" cm="1">
        <f t="array" aca="1" ref="D250" ca="1">IFERROR(IF(OR('Raw Data'!D250="",LEN(TRIM('Raw Data'!D250))=0),"",IF(AND(LEN('Raw Data'!D250) &lt;= 255,LEN('Raw Data'!D250)&gt; 0),"",_xlfn.REGEXEXTRACT(CELL("address",'Raw Data'!D250),"\$([A-Z]+)\$[0-9]+"))),_xlfn.REGEXEXTRACT(CELL("address",'Raw Data'!D250),"\$([A-Z]+)\$[0-9]+"))</f>
        <v/>
      </c>
      <c r="E250" s="7" t="str" cm="1">
        <f t="array" aca="1" ref="E250" ca="1">IFERROR(IF(OR('Raw Data'!E250="",LEN(TRIM('Raw Data'!E250))=0),"",IF(AND(ISNUMBER('Raw Data'!E250),'Raw Data'!E250&gt;=Configuration!$D$2),"",_xlfn.REGEXEXTRACT(CELL("address",'Raw Data'!E250),"\$([A-Z]+)\$[0-9]+"))),_xlfn.REGEXEXTRACT(CELL("address",E250), "\$([A-Z]+)\$[0-9]+"))</f>
        <v/>
      </c>
      <c r="F250" s="7" t="str" cm="1">
        <f t="array" aca="1" ref="F250" ca="1">IFERROR(IF(OR('Raw Data'!F250="",LEN(TRIM('Raw Data'!F250))=0),"",IF(AND(LEN('Raw Data'!F250) &lt;= 20,LEN('Raw Data'!F250)&gt; 0),"",_xlfn.REGEXEXTRACT(CELL("address",'Raw Data'!F250),"\$([A-Z]+)\$[0-9]+"))),_xlfn.REGEXEXTRACT(CELL("address",'Raw Data'!F250),"\$([A-Z]+)\$[0-9]+"))</f>
        <v/>
      </c>
      <c r="G250" s="7" t="str" cm="1">
        <f t="array" aca="1" ref="G250" ca="1">IFERROR(IF(OR('Raw Data'!G250="",LEN(TRIM('Raw Data'!G250))=0),"",IF(AND(ISNUMBER('Raw Data'!G250), IFERROR('Raw Data'!G250 = ROUND('Raw Data'!G250, 2),FALSE)),"",_xlfn.REGEXEXTRACT(CELL("address",G250), "\$([A-Z]+)\$[0-9]+"))),_xlfn.REGEXEXTRACT(CELL("address",G250), "\$([A-Z]+)\$[0-9]+"))</f>
        <v/>
      </c>
      <c r="H250" s="7" t="str" cm="1">
        <f t="array" aca="1" ref="H250" ca="1">IFERROR(IF(OR('Raw Data'!H250="",LEN(TRIM('Raw Data'!H250))=0),"",IF(AND(ISNUMBER('Raw Data'!H250), IFERROR('Raw Data'!H250 = ROUND('Raw Data'!H250, 2),FALSE)),"",_xlfn.REGEXEXTRACT(CELL("address",H250), "\$([A-Z]+)\$[0-9]+"))),_xlfn.REGEXEXTRACT(CELL("address",H250), "\$([A-Z]+)\$[0-9]+"))</f>
        <v/>
      </c>
      <c r="I250" s="7" t="str" cm="1">
        <f t="array" aca="1" ref="I250" ca="1">IFERROR(IF(OR('Raw Data'!I250="",LEN(TRIM('Raw Data'!I250))=0),"",IF(AND(LEN('Raw Data'!I250) &lt;= 50,LEN('Raw Data'!I250)&gt; 0),"",_xlfn.REGEXEXTRACT(CELL("address",'Raw Data'!I250),"\$([A-Z]+)\$[0-9]+"))),_xlfn.REGEXEXTRACT(CELL("address",'Raw Data'!I250),"\$([A-Z]+)\$[0-9]+"))</f>
        <v/>
      </c>
      <c r="J250" s="7" t="str" cm="1">
        <f t="array" aca="1" ref="J250" ca="1">IFERROR(IF(OR('Raw Data'!J250="",LEN(TRIM('Raw Data'!J250))=0),"",IF(AND(ISNUMBER('Raw Data'!J250),'Raw Data'!J250&gt;=Configuration!$D$2),"",_xlfn.REGEXEXTRACT(CELL("address",'Raw Data'!J250),"\$([A-Z]+)\$[0-9]+"))),_xlfn.REGEXEXTRACT(CELL("address",J250), "\$([A-Z]+)\$[0-9]+"))</f>
        <v/>
      </c>
      <c r="K250" s="7" t="str" cm="1">
        <f t="array" aca="1" ref="K250" ca="1">IFERROR(IF(OR('Raw Data'!K250="",LEN(TRIM('Raw Data'!K250))=0),"",IF(AND(ISNUMBER('Raw Data'!K250), IFERROR('Raw Data'!K250 = ROUND('Raw Data'!K250, 2),FALSE)),"",_xlfn.REGEXEXTRACT(CELL("address",K250), "\$([A-Z]+)\$[0-9]+"))),_xlfn.REGEXEXTRACT(CELL("address",K250), "\$([A-Z]+)\$[0-9]+"))</f>
        <v/>
      </c>
      <c r="L250" s="7" t="str" cm="1">
        <f t="array" aca="1" ref="L250" ca="1">IFERROR(IF(OR('Raw Data'!L250="",LEN(TRIM('Raw Data'!L250))=0),"",IF(AND(ISNUMBER('Raw Data'!L250), IFERROR('Raw Data'!L250 = ROUND('Raw Data'!L250, 2),FALSE)),"",_xlfn.REGEXEXTRACT(CELL("address",L250), "\$([A-Z]+)\$[0-9]+"))),_xlfn.REGEXEXTRACT(CELL("address",L250), "\$([A-Z]+)\$[0-9]+"))</f>
        <v/>
      </c>
      <c r="M250" s="7" t="str" cm="1">
        <f t="array" aca="1" ref="M250" ca="1">IFERROR(IF(OR('Raw Data'!M250="",LEN(TRIM('Raw Data'!M250))=0),"",IF(AND(ISNUMBER('Raw Data'!M250), IFERROR('Raw Data'!M250 = ROUND('Raw Data'!M250, 2),FALSE)),"",_xlfn.REGEXEXTRACT(CELL("address",M250), "\$([A-Z]+)\$[0-9]+"))),_xlfn.REGEXEXTRACT(CELL("address",M250), "\$([A-Z]+)\$[0-9]+"))</f>
        <v/>
      </c>
      <c r="N250" s="7" t="str" cm="1">
        <f t="array" aca="1" ref="N250" ca="1">IFERROR(IF(OR('Raw Data'!N250="",LEN(TRIM('Raw Data'!N250))=0),"",IF(AND(ISNUMBER('Raw Data'!N250), IFERROR('Raw Data'!N250 = ROUND('Raw Data'!N250, 2),FALSE)),"",_xlfn.REGEXEXTRACT(CELL("address",N250), "\$([A-Z]+)\$[0-9]+"))),_xlfn.REGEXEXTRACT(CELL("address",N250), "\$([A-Z]+)\$[0-9]+"))</f>
        <v/>
      </c>
      <c r="O250" s="7" t="str" cm="1">
        <f t="array" aca="1" ref="O250" ca="1">IFERROR(IF(OR('Raw Data'!O250="",LEN(TRIM('Raw Data'!O250))=0),"",IF(AND(ISNUMBER('Raw Data'!O250), IFERROR('Raw Data'!O250 = ROUND('Raw Data'!O250, 2),FALSE)),"",_xlfn.REGEXEXTRACT(CELL("address",O250), "\$([A-Z]+)\$[0-9]+"))),_xlfn.REGEXEXTRACT(CELL("address",O250), "\$([A-Z]+)\$[0-9]+"))</f>
        <v/>
      </c>
      <c r="P250" s="7" t="str" cm="1">
        <f t="array" aca="1" ref="P250" ca="1">IFERROR(IF(OR('Raw Data'!P250="",LEN(TRIM('Raw Data'!P250))=0),"",IF(AND(ISNUMBER('Raw Data'!P250),'Raw Data'!P250&gt;=Configuration!$D$2),"",_xlfn.REGEXEXTRACT(CELL("address",'Raw Data'!P250),"\$([A-Z]+)\$[0-9]+"))),_xlfn.REGEXEXTRACT(CELL("address",P250), "\$([A-Z]+)\$[0-9]+"))</f>
        <v/>
      </c>
      <c r="Q250" s="7" t="str" cm="1">
        <f t="array" aca="1" ref="Q250" ca="1">IFERROR(IF(OR('Raw Data'!Q250="",LEN(TRIM('Raw Data'!Q250))=0),"",IF(AND(ISNUMBER('Raw Data'!Q250),'Raw Data'!Q250&gt;=Configuration!$D$2),"",_xlfn.REGEXEXTRACT(CELL("address",'Raw Data'!Q250),"\$([A-Z]+)\$[0-9]+"))),_xlfn.REGEXEXTRACT(CELL("address",Q250), "\$([A-Z]+)\$[0-9]+"))</f>
        <v/>
      </c>
      <c r="R250" s="7" t="str" cm="1">
        <f t="array" aca="1" ref="R250" ca="1">IFERROR(IF(OR('Raw Data'!R250="",LEN(TRIM('Raw Data'!R250))=0),"",IF(AND(ISNUMBER('Raw Data'!R250), IFERROR('Raw Data'!R250 = ROUND('Raw Data'!R250, 2),FALSE)),"",_xlfn.REGEXEXTRACT(CELL("address",R250), "\$([A-Z]+)\$[0-9]+"))),_xlfn.REGEXEXTRACT(CELL("address",R250), "\$([A-Z]+)\$[0-9]+"))</f>
        <v/>
      </c>
      <c r="S250" s="7" t="str" cm="1">
        <f t="array" aca="1" ref="S250" ca="1">IFERROR(IF(OR('Raw Data'!S250="",LEN(TRIM('Raw Data'!S250))=0),"",IF(AND(ISNUMBER('Raw Data'!S250), IFERROR('Raw Data'!S250 = ROUND('Raw Data'!S250, 2),FALSE)),"",_xlfn.REGEXEXTRACT(CELL("address",S250), "\$([A-Z]+)\$[0-9]+"))),_xlfn.REGEXEXTRACT(CELL("address",S250), "\$([A-Z]+)\$[0-9]+"))</f>
        <v/>
      </c>
      <c r="T250" s="7" t="str" cm="1">
        <f t="array" aca="1" ref="T250" ca="1">IFERROR(IF(OR('Raw Data'!T250="",LEN(TRIM('Raw Data'!T250))=0),"",IF(AND(ISNUMBER('Raw Data'!T250), IFERROR('Raw Data'!T250 = ROUND('Raw Data'!T250, 2),FALSE)),"",_xlfn.REGEXEXTRACT(CELL("address",T250), "\$([A-Z]+)\$[0-9]+"))),_xlfn.REGEXEXTRACT(CELL("address",T250), "\$([A-Z]+)\$[0-9]+"))</f>
        <v/>
      </c>
      <c r="U250" s="7" t="str" cm="1">
        <f t="array" aca="1" ref="U250" ca="1">IFERROR(IF(OR('Raw Data'!U250="",LEN(TRIM('Raw Data'!U250))=0),"",IF(AND(LEN('Raw Data'!U250) &lt;= 5,LEN('Raw Data'!U250)&gt; 0),"",_xlfn.REGEXEXTRACT(CELL("address",'Raw Data'!U250),"\$([A-Z]+)\$[0-9]+"))),_xlfn.REGEXEXTRACT(CELL("address",'Raw Data'!U250),"\$([A-Z]+)\$[0-9]+"))</f>
        <v/>
      </c>
      <c r="V250" s="7" t="str" cm="1">
        <f t="array" aca="1" ref="V250" ca="1">IFERROR(IF(OR('Raw Data'!V250="",LEN(TRIM('Raw Data'!V250))=0),"",IF(AND(ISNUMBER('Raw Data'!V250), IFERROR('Raw Data'!V250 = ROUND('Raw Data'!V250, 2),FALSE)),"",_xlfn.REGEXEXTRACT(CELL("address",V250), "\$([A-Z]+)\$[0-9]+"))),_xlfn.REGEXEXTRACT(CELL("address",V250), "\$([A-Z]+)\$[0-9]+"))</f>
        <v/>
      </c>
      <c r="W250" s="7" t="str" cm="1">
        <f t="array" aca="1" ref="W250" ca="1">IFERROR(IF(OR('Raw Data'!W250="",LEN(TRIM('Raw Data'!W250))=0),"",IF(AND(ISNUMBER('Raw Data'!W250), IFERROR('Raw Data'!W250 = ROUND('Raw Data'!W250, 2),FALSE)),"",_xlfn.REGEXEXTRACT(CELL("address",W250), "\$([A-Z]+)\$[0-9]+"))),_xlfn.REGEXEXTRACT(CELL("address",W250), "\$([A-Z]+)\$[0-9]+"))</f>
        <v/>
      </c>
      <c r="X250" s="7" t="str" cm="1">
        <f t="array" aca="1" ref="X250" ca="1">IFERROR(IF(OR('Raw Data'!X250="",LEN(TRIM('Raw Data'!X250))=0),"",IF(AND(ISNUMBER('Raw Data'!X250), IFERROR('Raw Data'!X250 = ROUND('Raw Data'!X250, 2),FALSE)),"",_xlfn.REGEXEXTRACT(CELL("address",X250), "\$([A-Z]+)\$[0-9]+"))),_xlfn.REGEXEXTRACT(CELL("address",X250), "\$([A-Z]+)\$[0-9]+"))</f>
        <v/>
      </c>
    </row>
    <row r="251" spans="2:24" x14ac:dyDescent="0.25">
      <c r="B251" s="7" t="str" cm="1">
        <f t="array" aca="1" ref="B251" ca="1">IFERROR(IF(OR('Raw Data'!B251="",LEN(TRIM('Raw Data'!B251))=0),"",IF(AND(LEN('Raw Data'!B251) &lt;= 50,LEN('Raw Data'!B251)&gt; 0),"",_xlfn.REGEXEXTRACT(CELL("address",'Raw Data'!B251),"\$([A-Z]+)\$[0-9]+"))),_xlfn.REGEXEXTRACT(CELL("address",'Raw Data'!B251),"\$([A-Z]+)\$[0-9]+"))</f>
        <v/>
      </c>
      <c r="C251" s="7" t="str" cm="1">
        <f t="array" aca="1" ref="C251" ca="1">IFERROR(IF(OR('Raw Data'!C251="",LEN(TRIM('Raw Data'!C251))=0),"",IF(AND(LEN('Raw Data'!C251) &lt;= 50,LEN('Raw Data'!C251)&gt; 0),"",_xlfn.REGEXEXTRACT(CELL("address",'Raw Data'!C251),"\$([A-Z]+)\$[0-9]+"))),_xlfn.REGEXEXTRACT(CELL("address",'Raw Data'!C251),"\$([A-Z]+)\$[0-9]+"))</f>
        <v/>
      </c>
      <c r="D251" s="7" t="str" cm="1">
        <f t="array" aca="1" ref="D251" ca="1">IFERROR(IF(OR('Raw Data'!D251="",LEN(TRIM('Raw Data'!D251))=0),"",IF(AND(LEN('Raw Data'!D251) &lt;= 255,LEN('Raw Data'!D251)&gt; 0),"",_xlfn.REGEXEXTRACT(CELL("address",'Raw Data'!D251),"\$([A-Z]+)\$[0-9]+"))),_xlfn.REGEXEXTRACT(CELL("address",'Raw Data'!D251),"\$([A-Z]+)\$[0-9]+"))</f>
        <v/>
      </c>
      <c r="E251" s="7" t="str" cm="1">
        <f t="array" aca="1" ref="E251" ca="1">IFERROR(IF(OR('Raw Data'!E251="",LEN(TRIM('Raw Data'!E251))=0),"",IF(AND(ISNUMBER('Raw Data'!E251),'Raw Data'!E251&gt;=Configuration!$D$2),"",_xlfn.REGEXEXTRACT(CELL("address",'Raw Data'!E251),"\$([A-Z]+)\$[0-9]+"))),_xlfn.REGEXEXTRACT(CELL("address",E251), "\$([A-Z]+)\$[0-9]+"))</f>
        <v/>
      </c>
      <c r="F251" s="7" t="str" cm="1">
        <f t="array" aca="1" ref="F251" ca="1">IFERROR(IF(OR('Raw Data'!F251="",LEN(TRIM('Raw Data'!F251))=0),"",IF(AND(LEN('Raw Data'!F251) &lt;= 20,LEN('Raw Data'!F251)&gt; 0),"",_xlfn.REGEXEXTRACT(CELL("address",'Raw Data'!F251),"\$([A-Z]+)\$[0-9]+"))),_xlfn.REGEXEXTRACT(CELL("address",'Raw Data'!F251),"\$([A-Z]+)\$[0-9]+"))</f>
        <v/>
      </c>
      <c r="G251" s="7" t="str" cm="1">
        <f t="array" aca="1" ref="G251" ca="1">IFERROR(IF(OR('Raw Data'!G251="",LEN(TRIM('Raw Data'!G251))=0),"",IF(AND(ISNUMBER('Raw Data'!G251), IFERROR('Raw Data'!G251 = ROUND('Raw Data'!G251, 2),FALSE)),"",_xlfn.REGEXEXTRACT(CELL("address",G251), "\$([A-Z]+)\$[0-9]+"))),_xlfn.REGEXEXTRACT(CELL("address",G251), "\$([A-Z]+)\$[0-9]+"))</f>
        <v/>
      </c>
      <c r="H251" s="7" t="str" cm="1">
        <f t="array" aca="1" ref="H251" ca="1">IFERROR(IF(OR('Raw Data'!H251="",LEN(TRIM('Raw Data'!H251))=0),"",IF(AND(ISNUMBER('Raw Data'!H251), IFERROR('Raw Data'!H251 = ROUND('Raw Data'!H251, 2),FALSE)),"",_xlfn.REGEXEXTRACT(CELL("address",H251), "\$([A-Z]+)\$[0-9]+"))),_xlfn.REGEXEXTRACT(CELL("address",H251), "\$([A-Z]+)\$[0-9]+"))</f>
        <v/>
      </c>
      <c r="I251" s="7" t="str" cm="1">
        <f t="array" aca="1" ref="I251" ca="1">IFERROR(IF(OR('Raw Data'!I251="",LEN(TRIM('Raw Data'!I251))=0),"",IF(AND(LEN('Raw Data'!I251) &lt;= 50,LEN('Raw Data'!I251)&gt; 0),"",_xlfn.REGEXEXTRACT(CELL("address",'Raw Data'!I251),"\$([A-Z]+)\$[0-9]+"))),_xlfn.REGEXEXTRACT(CELL("address",'Raw Data'!I251),"\$([A-Z]+)\$[0-9]+"))</f>
        <v/>
      </c>
      <c r="J251" s="7" t="str" cm="1">
        <f t="array" aca="1" ref="J251" ca="1">IFERROR(IF(OR('Raw Data'!J251="",LEN(TRIM('Raw Data'!J251))=0),"",IF(AND(ISNUMBER('Raw Data'!J251),'Raw Data'!J251&gt;=Configuration!$D$2),"",_xlfn.REGEXEXTRACT(CELL("address",'Raw Data'!J251),"\$([A-Z]+)\$[0-9]+"))),_xlfn.REGEXEXTRACT(CELL("address",J251), "\$([A-Z]+)\$[0-9]+"))</f>
        <v/>
      </c>
      <c r="K251" s="7" t="str" cm="1">
        <f t="array" aca="1" ref="K251" ca="1">IFERROR(IF(OR('Raw Data'!K251="",LEN(TRIM('Raw Data'!K251))=0),"",IF(AND(ISNUMBER('Raw Data'!K251), IFERROR('Raw Data'!K251 = ROUND('Raw Data'!K251, 2),FALSE)),"",_xlfn.REGEXEXTRACT(CELL("address",K251), "\$([A-Z]+)\$[0-9]+"))),_xlfn.REGEXEXTRACT(CELL("address",K251), "\$([A-Z]+)\$[0-9]+"))</f>
        <v/>
      </c>
      <c r="L251" s="7" t="str" cm="1">
        <f t="array" aca="1" ref="L251" ca="1">IFERROR(IF(OR('Raw Data'!L251="",LEN(TRIM('Raw Data'!L251))=0),"",IF(AND(ISNUMBER('Raw Data'!L251), IFERROR('Raw Data'!L251 = ROUND('Raw Data'!L251, 2),FALSE)),"",_xlfn.REGEXEXTRACT(CELL("address",L251), "\$([A-Z]+)\$[0-9]+"))),_xlfn.REGEXEXTRACT(CELL("address",L251), "\$([A-Z]+)\$[0-9]+"))</f>
        <v/>
      </c>
      <c r="M251" s="7" t="str" cm="1">
        <f t="array" aca="1" ref="M251" ca="1">IFERROR(IF(OR('Raw Data'!M251="",LEN(TRIM('Raw Data'!M251))=0),"",IF(AND(ISNUMBER('Raw Data'!M251), IFERROR('Raw Data'!M251 = ROUND('Raw Data'!M251, 2),FALSE)),"",_xlfn.REGEXEXTRACT(CELL("address",M251), "\$([A-Z]+)\$[0-9]+"))),_xlfn.REGEXEXTRACT(CELL("address",M251), "\$([A-Z]+)\$[0-9]+"))</f>
        <v/>
      </c>
      <c r="N251" s="7" t="str" cm="1">
        <f t="array" aca="1" ref="N251" ca="1">IFERROR(IF(OR('Raw Data'!N251="",LEN(TRIM('Raw Data'!N251))=0),"",IF(AND(ISNUMBER('Raw Data'!N251), IFERROR('Raw Data'!N251 = ROUND('Raw Data'!N251, 2),FALSE)),"",_xlfn.REGEXEXTRACT(CELL("address",N251), "\$([A-Z]+)\$[0-9]+"))),_xlfn.REGEXEXTRACT(CELL("address",N251), "\$([A-Z]+)\$[0-9]+"))</f>
        <v/>
      </c>
      <c r="O251" s="7" t="str" cm="1">
        <f t="array" aca="1" ref="O251" ca="1">IFERROR(IF(OR('Raw Data'!O251="",LEN(TRIM('Raw Data'!O251))=0),"",IF(AND(ISNUMBER('Raw Data'!O251), IFERROR('Raw Data'!O251 = ROUND('Raw Data'!O251, 2),FALSE)),"",_xlfn.REGEXEXTRACT(CELL("address",O251), "\$([A-Z]+)\$[0-9]+"))),_xlfn.REGEXEXTRACT(CELL("address",O251), "\$([A-Z]+)\$[0-9]+"))</f>
        <v/>
      </c>
      <c r="P251" s="7" t="str" cm="1">
        <f t="array" aca="1" ref="P251" ca="1">IFERROR(IF(OR('Raw Data'!P251="",LEN(TRIM('Raw Data'!P251))=0),"",IF(AND(ISNUMBER('Raw Data'!P251),'Raw Data'!P251&gt;=Configuration!$D$2),"",_xlfn.REGEXEXTRACT(CELL("address",'Raw Data'!P251),"\$([A-Z]+)\$[0-9]+"))),_xlfn.REGEXEXTRACT(CELL("address",P251), "\$([A-Z]+)\$[0-9]+"))</f>
        <v/>
      </c>
      <c r="Q251" s="7" t="str" cm="1">
        <f t="array" aca="1" ref="Q251" ca="1">IFERROR(IF(OR('Raw Data'!Q251="",LEN(TRIM('Raw Data'!Q251))=0),"",IF(AND(ISNUMBER('Raw Data'!Q251),'Raw Data'!Q251&gt;=Configuration!$D$2),"",_xlfn.REGEXEXTRACT(CELL("address",'Raw Data'!Q251),"\$([A-Z]+)\$[0-9]+"))),_xlfn.REGEXEXTRACT(CELL("address",Q251), "\$([A-Z]+)\$[0-9]+"))</f>
        <v/>
      </c>
      <c r="R251" s="7" t="str" cm="1">
        <f t="array" aca="1" ref="R251" ca="1">IFERROR(IF(OR('Raw Data'!R251="",LEN(TRIM('Raw Data'!R251))=0),"",IF(AND(ISNUMBER('Raw Data'!R251), IFERROR('Raw Data'!R251 = ROUND('Raw Data'!R251, 2),FALSE)),"",_xlfn.REGEXEXTRACT(CELL("address",R251), "\$([A-Z]+)\$[0-9]+"))),_xlfn.REGEXEXTRACT(CELL("address",R251), "\$([A-Z]+)\$[0-9]+"))</f>
        <v/>
      </c>
      <c r="S251" s="7" t="str" cm="1">
        <f t="array" aca="1" ref="S251" ca="1">IFERROR(IF(OR('Raw Data'!S251="",LEN(TRIM('Raw Data'!S251))=0),"",IF(AND(ISNUMBER('Raw Data'!S251), IFERROR('Raw Data'!S251 = ROUND('Raw Data'!S251, 2),FALSE)),"",_xlfn.REGEXEXTRACT(CELL("address",S251), "\$([A-Z]+)\$[0-9]+"))),_xlfn.REGEXEXTRACT(CELL("address",S251), "\$([A-Z]+)\$[0-9]+"))</f>
        <v/>
      </c>
      <c r="T251" s="7" t="str" cm="1">
        <f t="array" aca="1" ref="T251" ca="1">IFERROR(IF(OR('Raw Data'!T251="",LEN(TRIM('Raw Data'!T251))=0),"",IF(AND(ISNUMBER('Raw Data'!T251), IFERROR('Raw Data'!T251 = ROUND('Raw Data'!T251, 2),FALSE)),"",_xlfn.REGEXEXTRACT(CELL("address",T251), "\$([A-Z]+)\$[0-9]+"))),_xlfn.REGEXEXTRACT(CELL("address",T251), "\$([A-Z]+)\$[0-9]+"))</f>
        <v/>
      </c>
      <c r="U251" s="7" t="str" cm="1">
        <f t="array" aca="1" ref="U251" ca="1">IFERROR(IF(OR('Raw Data'!U251="",LEN(TRIM('Raw Data'!U251))=0),"",IF(AND(LEN('Raw Data'!U251) &lt;= 5,LEN('Raw Data'!U251)&gt; 0),"",_xlfn.REGEXEXTRACT(CELL("address",'Raw Data'!U251),"\$([A-Z]+)\$[0-9]+"))),_xlfn.REGEXEXTRACT(CELL("address",'Raw Data'!U251),"\$([A-Z]+)\$[0-9]+"))</f>
        <v/>
      </c>
      <c r="V251" s="7" t="str" cm="1">
        <f t="array" aca="1" ref="V251" ca="1">IFERROR(IF(OR('Raw Data'!V251="",LEN(TRIM('Raw Data'!V251))=0),"",IF(AND(ISNUMBER('Raw Data'!V251), IFERROR('Raw Data'!V251 = ROUND('Raw Data'!V251, 2),FALSE)),"",_xlfn.REGEXEXTRACT(CELL("address",V251), "\$([A-Z]+)\$[0-9]+"))),_xlfn.REGEXEXTRACT(CELL("address",V251), "\$([A-Z]+)\$[0-9]+"))</f>
        <v/>
      </c>
      <c r="W251" s="7" t="str" cm="1">
        <f t="array" aca="1" ref="W251" ca="1">IFERROR(IF(OR('Raw Data'!W251="",LEN(TRIM('Raw Data'!W251))=0),"",IF(AND(ISNUMBER('Raw Data'!W251), IFERROR('Raw Data'!W251 = ROUND('Raw Data'!W251, 2),FALSE)),"",_xlfn.REGEXEXTRACT(CELL("address",W251), "\$([A-Z]+)\$[0-9]+"))),_xlfn.REGEXEXTRACT(CELL("address",W251), "\$([A-Z]+)\$[0-9]+"))</f>
        <v/>
      </c>
      <c r="X251" s="7" t="str" cm="1">
        <f t="array" aca="1" ref="X251" ca="1">IFERROR(IF(OR('Raw Data'!X251="",LEN(TRIM('Raw Data'!X251))=0),"",IF(AND(ISNUMBER('Raw Data'!X251), IFERROR('Raw Data'!X251 = ROUND('Raw Data'!X251, 2),FALSE)),"",_xlfn.REGEXEXTRACT(CELL("address",X251), "\$([A-Z]+)\$[0-9]+"))),_xlfn.REGEXEXTRACT(CELL("address",X251), "\$([A-Z]+)\$[0-9]+"))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5878B-F154-48C4-B09E-C72A8A81EA55}">
  <dimension ref="B10:X251"/>
  <sheetViews>
    <sheetView topLeftCell="D7" zoomScale="55" zoomScaleNormal="55" workbookViewId="0">
      <selection activeCell="T12" sqref="T12"/>
    </sheetView>
  </sheetViews>
  <sheetFormatPr defaultRowHeight="15" x14ac:dyDescent="0.25"/>
  <cols>
    <col min="2" max="6" width="15.5703125" style="8" customWidth="1"/>
    <col min="7" max="24" width="15.5703125" customWidth="1"/>
  </cols>
  <sheetData>
    <row r="10" spans="2:24" s="8" customFormat="1" x14ac:dyDescent="0.25">
      <c r="B10" s="14"/>
      <c r="C10" s="15" t="s">
        <v>72</v>
      </c>
      <c r="D10" s="14"/>
      <c r="E10" s="14"/>
      <c r="F10" s="14"/>
      <c r="G10" s="14"/>
      <c r="H10" s="7"/>
      <c r="I10" s="14"/>
      <c r="J10" s="14"/>
      <c r="K10" s="7"/>
      <c r="L10" s="7"/>
      <c r="M10" s="15" t="s">
        <v>72</v>
      </c>
      <c r="N10" s="7"/>
      <c r="O10" s="7"/>
      <c r="P10" s="15" t="s">
        <v>72</v>
      </c>
      <c r="Q10" s="14"/>
      <c r="R10" s="7"/>
      <c r="S10" s="7"/>
      <c r="T10" s="15" t="s">
        <v>72</v>
      </c>
      <c r="U10" s="15" t="s">
        <v>72</v>
      </c>
      <c r="V10" s="15" t="s">
        <v>72</v>
      </c>
      <c r="W10" s="7"/>
      <c r="X10" s="14"/>
    </row>
    <row r="11" spans="2:24" x14ac:dyDescent="0.25">
      <c r="B11" s="1" t="s">
        <v>0</v>
      </c>
      <c r="C11" s="1" t="s">
        <v>1</v>
      </c>
      <c r="D11" s="11" t="s">
        <v>2</v>
      </c>
      <c r="E11" s="1" t="s">
        <v>3</v>
      </c>
      <c r="F11" s="1" t="s">
        <v>4</v>
      </c>
      <c r="G11" s="1" t="s">
        <v>5</v>
      </c>
      <c r="H11" s="11" t="s">
        <v>6</v>
      </c>
      <c r="I11" s="1" t="s">
        <v>7</v>
      </c>
      <c r="J11" s="1" t="s">
        <v>8</v>
      </c>
      <c r="K11" s="1" t="s">
        <v>9</v>
      </c>
      <c r="L11" s="1" t="s">
        <v>10</v>
      </c>
      <c r="M11" s="11" t="s">
        <v>11</v>
      </c>
      <c r="N11" s="1" t="s">
        <v>12</v>
      </c>
      <c r="O11" s="1" t="s">
        <v>13</v>
      </c>
      <c r="P11" s="11" t="s">
        <v>14</v>
      </c>
      <c r="Q11" s="1" t="s">
        <v>15</v>
      </c>
      <c r="R11" s="1" t="s">
        <v>16</v>
      </c>
      <c r="S11" s="11" t="s">
        <v>17</v>
      </c>
      <c r="T11" s="1" t="s">
        <v>18</v>
      </c>
      <c r="U11" s="1" t="s">
        <v>19</v>
      </c>
      <c r="V11" s="11" t="s">
        <v>20</v>
      </c>
      <c r="W11" s="1" t="s">
        <v>21</v>
      </c>
      <c r="X11" s="11" t="s">
        <v>22</v>
      </c>
    </row>
    <row r="12" spans="2:24" x14ac:dyDescent="0.25">
      <c r="B12" s="7"/>
      <c r="C12" s="7" t="str" cm="1">
        <f t="array" aca="1" ref="C12" ca="1">IF(OR('Raw Data'!C12="",LEN(TRIM('Raw Data'!C12))=0,Validate_Empty!C12&lt;&gt;"",Validate_Value!C12&lt;&gt;""),"",IF(OR(NOT(OR(LEN(TRIM('Raw Data'!B12:X12))&gt;0)),OR('Raw Data'!C12="",LEN(TRIM('Raw Data'!C12))=0)),"",IF(OR(AND('Raw Data'!B12="Main Contract", LEFT('Raw Data'!C12, LEN("Payment"))="Payment"),AND('Raw Data'!B12="Change Order", LEFT('Raw Data'!C12, LEN("CO Payment No."))="CO Payment No.")),"",_xlfn.REGEXEXTRACT(CELL("address",'Raw Data'!C12),"\$([A-Z]+)\$[0-9]+"))))</f>
        <v/>
      </c>
      <c r="D12" s="7"/>
      <c r="E12" s="7"/>
      <c r="F12" s="7"/>
      <c r="G12" s="7"/>
      <c r="H12" s="7"/>
      <c r="I12" s="7"/>
      <c r="J12" s="7"/>
      <c r="K12" s="7"/>
      <c r="L12" s="7"/>
      <c r="M12" s="7" t="str" cm="1">
        <f t="array" aca="1" ref="M12" ca="1">IF(OR('Raw Data'!M12="",LEN(TRIM('Raw Data'!M12))=0,Validate_Empty!M12&lt;&gt;"",Validate_Value!M12&lt;&gt;""),"",IF(OR(NOT(OR(LEN(TRIM('Raw Data'!B12:X12))&gt;0)),OR('Raw Data'!M12="",LEN(TRIM('Raw Data'!M12))=0)),"",IF('Raw Data'!M12 = SUM('Raw Data'!K12:L12),"",_xlfn.REGEXEXTRACT(CELL("address",'Raw Data'!M12),"\$([A-Z]+)\$[0-9]+"))))</f>
        <v/>
      </c>
      <c r="N12" s="7"/>
      <c r="O12" s="7"/>
      <c r="P12" s="7" t="str" cm="1">
        <f t="array" aca="1" ref="P12" ca="1">IF(OR('Raw Data'!P12="",LEN(TRIM('Raw Data'!P12))=0,Validate_Empty!P12&lt;&gt;"",Validate_Value!P12&lt;&gt;""),"",IF(OR(NOT(OR(LEN(TRIM('Raw Data'!B12:X12))&gt;0)),OR('Raw Data'!P12="",LEN(TRIM('Raw Data'!P12))=0)),"",IF(AND('Raw Data'!J12 + Configuration!$G$2 + 5 &gt;= 'Raw Data'!P12,'Raw Data'!J12 + Configuration!$G$2 - 5 &lt;= 'Raw Data'!P12),"",_xlfn.REGEXEXTRACT(CELL("address",'Raw Data'!P12),"\$([A-Z]+)\$[0-9]+"))))</f>
        <v/>
      </c>
      <c r="Q12" s="7"/>
      <c r="R12" s="7"/>
      <c r="S12" s="7"/>
      <c r="T12" s="7" t="str" cm="1">
        <f t="array" aca="1" ref="T12" ca="1">IF(OR('Raw Data'!T12="",LEN(TRIM('Raw Data'!T12))=0,Validate_Empty!T12&lt;&gt;"",Validate_Value!T12&lt;&gt;""),"",IF(OR(NOT(OR(LEN(TRIM('Raw Data'!B12:X12))&gt;0)),OR('Raw Data'!T12="",LEN(TRIM('Raw Data'!T12))=0)),"",IF('Raw Data'!T12 = SUM('Raw Data'!R12:S12),"",_xlfn.REGEXEXTRACT(CELL("address",'Raw Data'!T12),"\$([A-Z]+)\$[0-9]+"))))</f>
        <v/>
      </c>
      <c r="U12" s="7" t="str" cm="1">
        <f t="array" aca="1" ref="U12" ca="1">IF(OR('Raw Data'!U12="",LEN(TRIM('Raw Data'!U12))=0,Validate_Empty!U12&lt;&gt;"",Validate_Value!U12&lt;&gt;""),"",IF(OR(NOT(OR(LEN(TRIM('Raw Data'!B12:X12))&gt;0)),OR('Raw Data'!T12="",LEN(TRIM('Raw Data'!T12))=0)),"",IF(ISNUMBER(SEARCH('Raw Data'!U12, Configuration!$H$2)),"",_xlfn.REGEXEXTRACT(CELL("address",'Raw Data'!U12),"\$([A-Z]+)\$[0-9]+"))))</f>
        <v/>
      </c>
      <c r="V12" s="7" t="str" cm="1">
        <f t="array" aca="1" ref="V12" ca="1">IF(OR('Raw Data'!V12="",LEN(TRIM('Raw Data'!V12))=0,Validate_Empty!V12&lt;&gt;"",Validate_Value!V12&lt;&gt;""),"",IF(OR(NOT(OR(LEN(TRIM('Raw Data'!B12:X12))&gt;0)),OR('Raw Data'!V12="",LEN(TRIM('Raw Data'!V12))=0)),"",IF('Raw Data'!V12 = Configuration!$I$2,"",_xlfn.REGEXEXTRACT(CELL("address",'Raw Data'!V12),"\$([A-Z]+)\$[0-9]+"))))</f>
        <v/>
      </c>
      <c r="W12" s="7"/>
      <c r="X12" s="7"/>
    </row>
    <row r="13" spans="2:24" x14ac:dyDescent="0.25">
      <c r="B13" s="7"/>
      <c r="C13" s="7" t="str" cm="1">
        <f t="array" aca="1" ref="C13" ca="1">IF(OR('Raw Data'!C13="",LEN(TRIM('Raw Data'!C13))=0,Validate_Empty!C13&lt;&gt;"",Validate_Value!C13&lt;&gt;""),"",IF(OR(NOT(OR(LEN(TRIM('Raw Data'!B13:X13))&gt;0)),OR('Raw Data'!C13="",LEN(TRIM('Raw Data'!C13))=0)),"",IF(OR(AND('Raw Data'!B13="Main Contract", LEFT('Raw Data'!C13, LEN("Payment"))="Payment"),AND('Raw Data'!B13="Change Order", LEFT('Raw Data'!C13, LEN("CO Payment No."))="CO Payment No.")),"",_xlfn.REGEXEXTRACT(CELL("address",'Raw Data'!C13),"\$([A-Z]+)\$[0-9]+"))))</f>
        <v/>
      </c>
      <c r="D13" s="7"/>
      <c r="E13" s="7"/>
      <c r="F13" s="7"/>
      <c r="G13" s="7"/>
      <c r="H13" s="7"/>
      <c r="I13" s="7"/>
      <c r="J13" s="7"/>
      <c r="K13" s="7"/>
      <c r="L13" s="7"/>
      <c r="M13" s="7" t="str" cm="1">
        <f t="array" aca="1" ref="M13" ca="1">IF(OR('Raw Data'!M13="",LEN(TRIM('Raw Data'!M13))=0,Validate_Empty!M13&lt;&gt;"",Validate_Value!M13&lt;&gt;""),"",IF(OR(NOT(OR(LEN(TRIM('Raw Data'!B13:X13))&gt;0)),OR('Raw Data'!M13="",LEN(TRIM('Raw Data'!M13))=0)),"",IF('Raw Data'!M13 = SUM('Raw Data'!K13:L13),"",_xlfn.REGEXEXTRACT(CELL("address",'Raw Data'!M13),"\$([A-Z]+)\$[0-9]+"))))</f>
        <v/>
      </c>
      <c r="N13" s="7"/>
      <c r="O13" s="7"/>
      <c r="P13" s="7" t="str" cm="1">
        <f t="array" aca="1" ref="P13" ca="1">IF(OR('Raw Data'!P13="",LEN(TRIM('Raw Data'!P13))=0,Validate_Empty!P13&lt;&gt;"",Validate_Value!P13&lt;&gt;""),"",IF(OR(NOT(OR(LEN(TRIM('Raw Data'!B13:X13))&gt;0)),OR('Raw Data'!P13="",LEN(TRIM('Raw Data'!P13))=0)),"",IF(AND('Raw Data'!J13 + Configuration!$G$2 + 5 &gt;= 'Raw Data'!P13,'Raw Data'!J13 + Configuration!$G$2 - 5 &lt;= 'Raw Data'!P13),"",_xlfn.REGEXEXTRACT(CELL("address",'Raw Data'!P13),"\$([A-Z]+)\$[0-9]+"))))</f>
        <v/>
      </c>
      <c r="Q13" s="7"/>
      <c r="R13" s="7"/>
      <c r="S13" s="7"/>
      <c r="T13" s="7" t="str" cm="1">
        <f t="array" aca="1" ref="T13" ca="1">IF(OR('Raw Data'!T13="",LEN(TRIM('Raw Data'!T13))=0,Validate_Empty!T13&lt;&gt;"",Validate_Value!T13&lt;&gt;""),"",IF(OR(NOT(OR(LEN(TRIM('Raw Data'!B13:X13))&gt;0)),OR('Raw Data'!T13="",LEN(TRIM('Raw Data'!T13))=0)),"",IF('Raw Data'!T13 = SUM('Raw Data'!R13:S13),"",_xlfn.REGEXEXTRACT(CELL("address",'Raw Data'!T13),"\$([A-Z]+)\$[0-9]+"))))</f>
        <v/>
      </c>
      <c r="U13" s="7" t="str" cm="1">
        <f t="array" aca="1" ref="U13" ca="1">IF(OR('Raw Data'!U13="",LEN(TRIM('Raw Data'!U13))=0,Validate_Empty!U13&lt;&gt;"",Validate_Value!U13&lt;&gt;""),"",IF(OR(NOT(OR(LEN(TRIM('Raw Data'!B13:X13))&gt;0)),OR('Raw Data'!T13="",LEN(TRIM('Raw Data'!T13))=0)),"",IF(ISNUMBER(SEARCH('Raw Data'!U13, Configuration!$H$2)),"",_xlfn.REGEXEXTRACT(CELL("address",'Raw Data'!U13),"\$([A-Z]+)\$[0-9]+"))))</f>
        <v/>
      </c>
      <c r="V13" s="7" t="str" cm="1">
        <f t="array" aca="1" ref="V13" ca="1">IF(OR('Raw Data'!V13="",LEN(TRIM('Raw Data'!V13))=0,Validate_Empty!V13&lt;&gt;"",Validate_Value!V13&lt;&gt;""),"",IF(OR(NOT(OR(LEN(TRIM('Raw Data'!B13:X13))&gt;0)),OR('Raw Data'!V13="",LEN(TRIM('Raw Data'!V13))=0)),"",IF('Raw Data'!V13 = Configuration!$I$2,"",_xlfn.REGEXEXTRACT(CELL("address",'Raw Data'!V13),"\$([A-Z]+)\$[0-9]+"))))</f>
        <v/>
      </c>
      <c r="W13" s="7"/>
      <c r="X13" s="7"/>
    </row>
    <row r="14" spans="2:24" x14ac:dyDescent="0.25">
      <c r="B14" s="7"/>
      <c r="C14" s="7" t="str" cm="1">
        <f t="array" aca="1" ref="C14" ca="1">IF(OR('Raw Data'!C14="",LEN(TRIM('Raw Data'!C14))=0,Validate_Empty!C14&lt;&gt;"",Validate_Value!C14&lt;&gt;""),"",IF(OR(NOT(OR(LEN(TRIM('Raw Data'!B14:X14))&gt;0)),OR('Raw Data'!C14="",LEN(TRIM('Raw Data'!C14))=0)),"",IF(OR(AND('Raw Data'!B14="Main Contract", LEFT('Raw Data'!C14, LEN("Payment"))="Payment"),AND('Raw Data'!B14="Change Order", LEFT('Raw Data'!C14, LEN("CO Payment No."))="CO Payment No.")),"",_xlfn.REGEXEXTRACT(CELL("address",'Raw Data'!C14),"\$([A-Z]+)\$[0-9]+"))))</f>
        <v/>
      </c>
      <c r="D14" s="7"/>
      <c r="E14" s="7"/>
      <c r="F14" s="7"/>
      <c r="G14" s="7"/>
      <c r="H14" s="7"/>
      <c r="I14" s="7"/>
      <c r="J14" s="7"/>
      <c r="K14" s="7"/>
      <c r="L14" s="7"/>
      <c r="M14" s="7" t="str" cm="1">
        <f t="array" aca="1" ref="M14" ca="1">IF(OR('Raw Data'!M14="",LEN(TRIM('Raw Data'!M14))=0,Validate_Empty!M14&lt;&gt;"",Validate_Value!M14&lt;&gt;""),"",IF(OR(NOT(OR(LEN(TRIM('Raw Data'!B14:X14))&gt;0)),OR('Raw Data'!M14="",LEN(TRIM('Raw Data'!M14))=0)),"",IF('Raw Data'!M14 = SUM('Raw Data'!K14:L14),"",_xlfn.REGEXEXTRACT(CELL("address",'Raw Data'!M14),"\$([A-Z]+)\$[0-9]+"))))</f>
        <v/>
      </c>
      <c r="N14" s="7"/>
      <c r="O14" s="7"/>
      <c r="P14" s="7" t="str" cm="1">
        <f t="array" aca="1" ref="P14" ca="1">IF(OR('Raw Data'!P14="",LEN(TRIM('Raw Data'!P14))=0,Validate_Empty!P14&lt;&gt;"",Validate_Value!P14&lt;&gt;""),"",IF(OR(NOT(OR(LEN(TRIM('Raw Data'!B14:X14))&gt;0)),OR('Raw Data'!P14="",LEN(TRIM('Raw Data'!P14))=0)),"",IF(AND('Raw Data'!J14 + Configuration!$G$2 + 5 &gt;= 'Raw Data'!P14,'Raw Data'!J14 + Configuration!$G$2 - 5 &lt;= 'Raw Data'!P14),"",_xlfn.REGEXEXTRACT(CELL("address",'Raw Data'!P14),"\$([A-Z]+)\$[0-9]+"))))</f>
        <v/>
      </c>
      <c r="Q14" s="7"/>
      <c r="R14" s="7"/>
      <c r="S14" s="7"/>
      <c r="T14" s="7" t="str" cm="1">
        <f t="array" aca="1" ref="T14" ca="1">IF(OR('Raw Data'!T14="",LEN(TRIM('Raw Data'!T14))=0,Validate_Empty!T14&lt;&gt;"",Validate_Value!T14&lt;&gt;""),"",IF(OR(NOT(OR(LEN(TRIM('Raw Data'!B14:X14))&gt;0)),OR('Raw Data'!T14="",LEN(TRIM('Raw Data'!T14))=0)),"",IF('Raw Data'!T14 = SUM('Raw Data'!R14:S14),"",_xlfn.REGEXEXTRACT(CELL("address",'Raw Data'!T14),"\$([A-Z]+)\$[0-9]+"))))</f>
        <v/>
      </c>
      <c r="U14" s="7" t="str" cm="1">
        <f t="array" aca="1" ref="U14" ca="1">IF(OR('Raw Data'!U14="",LEN(TRIM('Raw Data'!U14))=0,Validate_Empty!U14&lt;&gt;"",Validate_Value!U14&lt;&gt;""),"",IF(OR(NOT(OR(LEN(TRIM('Raw Data'!B14:X14))&gt;0)),OR('Raw Data'!T14="",LEN(TRIM('Raw Data'!T14))=0)),"",IF(ISNUMBER(SEARCH('Raw Data'!U14, Configuration!$H$2)),"",_xlfn.REGEXEXTRACT(CELL("address",'Raw Data'!U14),"\$([A-Z]+)\$[0-9]+"))))</f>
        <v/>
      </c>
      <c r="V14" s="7" t="str" cm="1">
        <f t="array" aca="1" ref="V14" ca="1">IF(OR('Raw Data'!V14="",LEN(TRIM('Raw Data'!V14))=0,Validate_Empty!V14&lt;&gt;"",Validate_Value!V14&lt;&gt;""),"",IF(OR(NOT(OR(LEN(TRIM('Raw Data'!B14:X14))&gt;0)),OR('Raw Data'!V14="",LEN(TRIM('Raw Data'!V14))=0)),"",IF('Raw Data'!V14 = Configuration!$I$2,"",_xlfn.REGEXEXTRACT(CELL("address",'Raw Data'!V14),"\$([A-Z]+)\$[0-9]+"))))</f>
        <v/>
      </c>
      <c r="W14" s="7"/>
      <c r="X14" s="7"/>
    </row>
    <row r="15" spans="2:24" x14ac:dyDescent="0.25">
      <c r="B15" s="7"/>
      <c r="C15" s="7" t="str" cm="1">
        <f t="array" aca="1" ref="C15" ca="1">IF(OR('Raw Data'!C15="",LEN(TRIM('Raw Data'!C15))=0,Validate_Empty!C15&lt;&gt;"",Validate_Value!C15&lt;&gt;""),"",IF(OR(NOT(OR(LEN(TRIM('Raw Data'!B15:X15))&gt;0)),OR('Raw Data'!C15="",LEN(TRIM('Raw Data'!C15))=0)),"",IF(OR(AND('Raw Data'!B15="Main Contract", LEFT('Raw Data'!C15, LEN("Payment"))="Payment"),AND('Raw Data'!B15="Change Order", LEFT('Raw Data'!C15, LEN("CO Payment No."))="CO Payment No.")),"",_xlfn.REGEXEXTRACT(CELL("address",'Raw Data'!C15),"\$([A-Z]+)\$[0-9]+"))))</f>
        <v/>
      </c>
      <c r="D15" s="7"/>
      <c r="E15" s="7"/>
      <c r="F15" s="7"/>
      <c r="G15" s="7"/>
      <c r="H15" s="7"/>
      <c r="I15" s="7"/>
      <c r="J15" s="7"/>
      <c r="K15" s="7"/>
      <c r="L15" s="7"/>
      <c r="M15" s="7" t="str" cm="1">
        <f t="array" aca="1" ref="M15" ca="1">IF(OR('Raw Data'!M15="",LEN(TRIM('Raw Data'!M15))=0,Validate_Empty!M15&lt;&gt;"",Validate_Value!M15&lt;&gt;""),"",IF(OR(NOT(OR(LEN(TRIM('Raw Data'!B15:X15))&gt;0)),OR('Raw Data'!M15="",LEN(TRIM('Raw Data'!M15))=0)),"",IF('Raw Data'!M15 = SUM('Raw Data'!K15:L15),"",_xlfn.REGEXEXTRACT(CELL("address",'Raw Data'!M15),"\$([A-Z]+)\$[0-9]+"))))</f>
        <v/>
      </c>
      <c r="N15" s="7"/>
      <c r="O15" s="7"/>
      <c r="P15" s="7" t="str" cm="1">
        <f t="array" aca="1" ref="P15" ca="1">IF(OR('Raw Data'!P15="",LEN(TRIM('Raw Data'!P15))=0,Validate_Empty!P15&lt;&gt;"",Validate_Value!P15&lt;&gt;""),"",IF(OR(NOT(OR(LEN(TRIM('Raw Data'!B15:X15))&gt;0)),OR('Raw Data'!P15="",LEN(TRIM('Raw Data'!P15))=0)),"",IF(AND('Raw Data'!J15 + Configuration!$G$2 + 5 &gt;= 'Raw Data'!P15,'Raw Data'!J15 + Configuration!$G$2 - 5 &lt;= 'Raw Data'!P15),"",_xlfn.REGEXEXTRACT(CELL("address",'Raw Data'!P15),"\$([A-Z]+)\$[0-9]+"))))</f>
        <v/>
      </c>
      <c r="Q15" s="7"/>
      <c r="R15" s="7"/>
      <c r="S15" s="7"/>
      <c r="T15" s="7" t="str" cm="1">
        <f t="array" aca="1" ref="T15" ca="1">IF(OR('Raw Data'!T15="",LEN(TRIM('Raw Data'!T15))=0,Validate_Empty!T15&lt;&gt;"",Validate_Value!T15&lt;&gt;""),"",IF(OR(NOT(OR(LEN(TRIM('Raw Data'!B15:X15))&gt;0)),OR('Raw Data'!T15="",LEN(TRIM('Raw Data'!T15))=0)),"",IF('Raw Data'!T15 = SUM('Raw Data'!R15:S15),"",_xlfn.REGEXEXTRACT(CELL("address",'Raw Data'!T15),"\$([A-Z]+)\$[0-9]+"))))</f>
        <v/>
      </c>
      <c r="U15" s="7" t="str" cm="1">
        <f t="array" aca="1" ref="U15" ca="1">IF(OR('Raw Data'!U15="",LEN(TRIM('Raw Data'!U15))=0,Validate_Empty!U15&lt;&gt;"",Validate_Value!U15&lt;&gt;""),"",IF(OR(NOT(OR(LEN(TRIM('Raw Data'!B15:X15))&gt;0)),OR('Raw Data'!T15="",LEN(TRIM('Raw Data'!T15))=0)),"",IF(ISNUMBER(SEARCH('Raw Data'!U15, Configuration!$H$2)),"",_xlfn.REGEXEXTRACT(CELL("address",'Raw Data'!U15),"\$([A-Z]+)\$[0-9]+"))))</f>
        <v/>
      </c>
      <c r="V15" s="7" t="str" cm="1">
        <f t="array" aca="1" ref="V15" ca="1">IF(OR('Raw Data'!V15="",LEN(TRIM('Raw Data'!V15))=0,Validate_Empty!V15&lt;&gt;"",Validate_Value!V15&lt;&gt;""),"",IF(OR(NOT(OR(LEN(TRIM('Raw Data'!B15:X15))&gt;0)),OR('Raw Data'!V15="",LEN(TRIM('Raw Data'!V15))=0)),"",IF('Raw Data'!V15 = Configuration!$I$2,"",_xlfn.REGEXEXTRACT(CELL("address",'Raw Data'!V15),"\$([A-Z]+)\$[0-9]+"))))</f>
        <v/>
      </c>
      <c r="W15" s="7"/>
      <c r="X15" s="7"/>
    </row>
    <row r="16" spans="2:24" x14ac:dyDescent="0.25">
      <c r="B16" s="7"/>
      <c r="C16" s="7" t="str" cm="1">
        <f t="array" aca="1" ref="C16" ca="1">IF(OR('Raw Data'!C16="",LEN(TRIM('Raw Data'!C16))=0,Validate_Empty!C16&lt;&gt;"",Validate_Value!C16&lt;&gt;""),"",IF(OR(NOT(OR(LEN(TRIM('Raw Data'!B16:X16))&gt;0)),OR('Raw Data'!C16="",LEN(TRIM('Raw Data'!C16))=0)),"",IF(OR(AND('Raw Data'!B16="Main Contract", LEFT('Raw Data'!C16, LEN("Payment"))="Payment"),AND('Raw Data'!B16="Change Order", LEFT('Raw Data'!C16, LEN("CO Payment No."))="CO Payment No.")),"",_xlfn.REGEXEXTRACT(CELL("address",'Raw Data'!C16),"\$([A-Z]+)\$[0-9]+"))))</f>
        <v/>
      </c>
      <c r="D16" s="7"/>
      <c r="E16" s="7"/>
      <c r="F16" s="7"/>
      <c r="G16" s="7"/>
      <c r="H16" s="7"/>
      <c r="I16" s="7"/>
      <c r="J16" s="7"/>
      <c r="K16" s="7"/>
      <c r="L16" s="7"/>
      <c r="M16" s="7" t="str" cm="1">
        <f t="array" aca="1" ref="M16" ca="1">IF(OR('Raw Data'!M16="",LEN(TRIM('Raw Data'!M16))=0,Validate_Empty!M16&lt;&gt;"",Validate_Value!M16&lt;&gt;""),"",IF(OR(NOT(OR(LEN(TRIM('Raw Data'!B16:X16))&gt;0)),OR('Raw Data'!M16="",LEN(TRIM('Raw Data'!M16))=0)),"",IF('Raw Data'!M16 = SUM('Raw Data'!K16:L16),"",_xlfn.REGEXEXTRACT(CELL("address",'Raw Data'!M16),"\$([A-Z]+)\$[0-9]+"))))</f>
        <v/>
      </c>
      <c r="N16" s="7"/>
      <c r="O16" s="7"/>
      <c r="P16" s="7" t="str" cm="1">
        <f t="array" aca="1" ref="P16" ca="1">IF(OR('Raw Data'!P16="",LEN(TRIM('Raw Data'!P16))=0,Validate_Empty!P16&lt;&gt;"",Validate_Value!P16&lt;&gt;""),"",IF(OR(NOT(OR(LEN(TRIM('Raw Data'!B16:X16))&gt;0)),OR('Raw Data'!P16="",LEN(TRIM('Raw Data'!P16))=0)),"",IF(AND('Raw Data'!J16 + Configuration!$G$2 + 5 &gt;= 'Raw Data'!P16,'Raw Data'!J16 + Configuration!$G$2 - 5 &lt;= 'Raw Data'!P16),"",_xlfn.REGEXEXTRACT(CELL("address",'Raw Data'!P16),"\$([A-Z]+)\$[0-9]+"))))</f>
        <v/>
      </c>
      <c r="Q16" s="7"/>
      <c r="R16" s="7"/>
      <c r="S16" s="7"/>
      <c r="T16" s="7" t="str" cm="1">
        <f t="array" aca="1" ref="T16" ca="1">IF(OR('Raw Data'!T16="",LEN(TRIM('Raw Data'!T16))=0,Validate_Empty!T16&lt;&gt;"",Validate_Value!T16&lt;&gt;""),"",IF(OR(NOT(OR(LEN(TRIM('Raw Data'!B16:X16))&gt;0)),OR('Raw Data'!T16="",LEN(TRIM('Raw Data'!T16))=0)),"",IF('Raw Data'!T16 = SUM('Raw Data'!R16:S16),"",_xlfn.REGEXEXTRACT(CELL("address",'Raw Data'!T16),"\$([A-Z]+)\$[0-9]+"))))</f>
        <v/>
      </c>
      <c r="U16" s="7" t="str" cm="1">
        <f t="array" aca="1" ref="U16" ca="1">IF(OR('Raw Data'!U16="",LEN(TRIM('Raw Data'!U16))=0,Validate_Empty!U16&lt;&gt;"",Validate_Value!U16&lt;&gt;""),"",IF(OR(NOT(OR(LEN(TRIM('Raw Data'!B16:X16))&gt;0)),OR('Raw Data'!T16="",LEN(TRIM('Raw Data'!T16))=0)),"",IF(ISNUMBER(SEARCH('Raw Data'!U16, Configuration!$H$2)),"",_xlfn.REGEXEXTRACT(CELL("address",'Raw Data'!U16),"\$([A-Z]+)\$[0-9]+"))))</f>
        <v/>
      </c>
      <c r="V16" s="7" t="str" cm="1">
        <f t="array" aca="1" ref="V16" ca="1">IF(OR('Raw Data'!V16="",LEN(TRIM('Raw Data'!V16))=0,Validate_Empty!V16&lt;&gt;"",Validate_Value!V16&lt;&gt;""),"",IF(OR(NOT(OR(LEN(TRIM('Raw Data'!B16:X16))&gt;0)),OR('Raw Data'!V16="",LEN(TRIM('Raw Data'!V16))=0)),"",IF('Raw Data'!V16 = Configuration!$I$2,"",_xlfn.REGEXEXTRACT(CELL("address",'Raw Data'!V16),"\$([A-Z]+)\$[0-9]+"))))</f>
        <v/>
      </c>
      <c r="W16" s="7"/>
      <c r="X16" s="7"/>
    </row>
    <row r="17" spans="2:24" x14ac:dyDescent="0.25">
      <c r="B17" s="7"/>
      <c r="C17" s="7" t="str" cm="1">
        <f t="array" aca="1" ref="C17" ca="1">IF(OR('Raw Data'!C17="",LEN(TRIM('Raw Data'!C17))=0,Validate_Empty!C17&lt;&gt;"",Validate_Value!C17&lt;&gt;""),"",IF(OR(NOT(OR(LEN(TRIM('Raw Data'!B17:X17))&gt;0)),OR('Raw Data'!C17="",LEN(TRIM('Raw Data'!C17))=0)),"",IF(OR(AND('Raw Data'!B17="Main Contract", LEFT('Raw Data'!C17, LEN("Payment"))="Payment"),AND('Raw Data'!B17="Change Order", LEFT('Raw Data'!C17, LEN("CO Payment No."))="CO Payment No.")),"",_xlfn.REGEXEXTRACT(CELL("address",'Raw Data'!C17),"\$([A-Z]+)\$[0-9]+"))))</f>
        <v/>
      </c>
      <c r="D17" s="7"/>
      <c r="E17" s="7"/>
      <c r="F17" s="7"/>
      <c r="G17" s="7"/>
      <c r="H17" s="7"/>
      <c r="I17" s="7"/>
      <c r="J17" s="7"/>
      <c r="K17" s="7"/>
      <c r="L17" s="7"/>
      <c r="M17" s="7" t="str" cm="1">
        <f t="array" aca="1" ref="M17" ca="1">IF(OR('Raw Data'!M17="",LEN(TRIM('Raw Data'!M17))=0,Validate_Empty!M17&lt;&gt;"",Validate_Value!M17&lt;&gt;""),"",IF(OR(NOT(OR(LEN(TRIM('Raw Data'!B17:X17))&gt;0)),OR('Raw Data'!M17="",LEN(TRIM('Raw Data'!M17))=0)),"",IF('Raw Data'!M17 = SUM('Raw Data'!K17:L17),"",_xlfn.REGEXEXTRACT(CELL("address",'Raw Data'!M17),"\$([A-Z]+)\$[0-9]+"))))</f>
        <v/>
      </c>
      <c r="N17" s="7"/>
      <c r="O17" s="7"/>
      <c r="P17" s="7" t="str" cm="1">
        <f t="array" aca="1" ref="P17" ca="1">IF(OR('Raw Data'!P17="",LEN(TRIM('Raw Data'!P17))=0,Validate_Empty!P17&lt;&gt;"",Validate_Value!P17&lt;&gt;""),"",IF(OR(NOT(OR(LEN(TRIM('Raw Data'!B17:X17))&gt;0)),OR('Raw Data'!P17="",LEN(TRIM('Raw Data'!P17))=0)),"",IF(AND('Raw Data'!J17 + Configuration!$G$2 + 5 &gt;= 'Raw Data'!P17,'Raw Data'!J17 + Configuration!$G$2 - 5 &lt;= 'Raw Data'!P17),"",_xlfn.REGEXEXTRACT(CELL("address",'Raw Data'!P17),"\$([A-Z]+)\$[0-9]+"))))</f>
        <v/>
      </c>
      <c r="Q17" s="7"/>
      <c r="R17" s="7"/>
      <c r="S17" s="7"/>
      <c r="T17" s="7" t="str" cm="1">
        <f t="array" aca="1" ref="T17" ca="1">IF(OR('Raw Data'!T17="",LEN(TRIM('Raw Data'!T17))=0,Validate_Empty!T17&lt;&gt;"",Validate_Value!T17&lt;&gt;""),"",IF(OR(NOT(OR(LEN(TRIM('Raw Data'!B17:X17))&gt;0)),OR('Raw Data'!T17="",LEN(TRIM('Raw Data'!T17))=0)),"",IF('Raw Data'!T17 = SUM('Raw Data'!R17:S17),"",_xlfn.REGEXEXTRACT(CELL("address",'Raw Data'!T17),"\$([A-Z]+)\$[0-9]+"))))</f>
        <v/>
      </c>
      <c r="U17" s="7" t="str" cm="1">
        <f t="array" aca="1" ref="U17" ca="1">IF(OR('Raw Data'!U17="",LEN(TRIM('Raw Data'!U17))=0,Validate_Empty!U17&lt;&gt;"",Validate_Value!U17&lt;&gt;""),"",IF(OR(NOT(OR(LEN(TRIM('Raw Data'!B17:X17))&gt;0)),OR('Raw Data'!T17="",LEN(TRIM('Raw Data'!T17))=0)),"",IF(ISNUMBER(SEARCH('Raw Data'!U17, Configuration!$H$2)),"",_xlfn.REGEXEXTRACT(CELL("address",'Raw Data'!U17),"\$([A-Z]+)\$[0-9]+"))))</f>
        <v/>
      </c>
      <c r="V17" s="7" t="str" cm="1">
        <f t="array" aca="1" ref="V17" ca="1">IF(OR('Raw Data'!V17="",LEN(TRIM('Raw Data'!V17))=0,Validate_Empty!V17&lt;&gt;"",Validate_Value!V17&lt;&gt;""),"",IF(OR(NOT(OR(LEN(TRIM('Raw Data'!B17:X17))&gt;0)),OR('Raw Data'!V17="",LEN(TRIM('Raw Data'!V17))=0)),"",IF('Raw Data'!V17 = Configuration!$I$2,"",_xlfn.REGEXEXTRACT(CELL("address",'Raw Data'!V17),"\$([A-Z]+)\$[0-9]+"))))</f>
        <v/>
      </c>
      <c r="W17" s="7"/>
      <c r="X17" s="7"/>
    </row>
    <row r="18" spans="2:24" x14ac:dyDescent="0.25">
      <c r="B18" s="7"/>
      <c r="C18" s="7" t="str" cm="1">
        <f t="array" aca="1" ref="C18" ca="1">IF(OR('Raw Data'!C18="",LEN(TRIM('Raw Data'!C18))=0,Validate_Empty!C18&lt;&gt;"",Validate_Value!C18&lt;&gt;""),"",IF(OR(NOT(OR(LEN(TRIM('Raw Data'!B18:X18))&gt;0)),OR('Raw Data'!C18="",LEN(TRIM('Raw Data'!C18))=0)),"",IF(OR(AND('Raw Data'!B18="Main Contract", LEFT('Raw Data'!C18, LEN("Payment"))="Payment"),AND('Raw Data'!B18="Change Order", LEFT('Raw Data'!C18, LEN("CO Payment No."))="CO Payment No.")),"",_xlfn.REGEXEXTRACT(CELL("address",'Raw Data'!C18),"\$([A-Z]+)\$[0-9]+"))))</f>
        <v/>
      </c>
      <c r="D18" s="7"/>
      <c r="E18" s="7"/>
      <c r="F18" s="7"/>
      <c r="G18" s="7"/>
      <c r="H18" s="7"/>
      <c r="I18" s="7"/>
      <c r="J18" s="7"/>
      <c r="K18" s="7"/>
      <c r="L18" s="7"/>
      <c r="M18" s="7" t="str" cm="1">
        <f t="array" aca="1" ref="M18" ca="1">IF(OR('Raw Data'!M18="",LEN(TRIM('Raw Data'!M18))=0,Validate_Empty!M18&lt;&gt;"",Validate_Value!M18&lt;&gt;""),"",IF(OR(NOT(OR(LEN(TRIM('Raw Data'!B18:X18))&gt;0)),OR('Raw Data'!M18="",LEN(TRIM('Raw Data'!M18))=0)),"",IF('Raw Data'!M18 = SUM('Raw Data'!K18:L18),"",_xlfn.REGEXEXTRACT(CELL("address",'Raw Data'!M18),"\$([A-Z]+)\$[0-9]+"))))</f>
        <v/>
      </c>
      <c r="N18" s="7"/>
      <c r="O18" s="7"/>
      <c r="P18" s="7" t="str" cm="1">
        <f t="array" aca="1" ref="P18" ca="1">IF(OR('Raw Data'!P18="",LEN(TRIM('Raw Data'!P18))=0,Validate_Empty!P18&lt;&gt;"",Validate_Value!P18&lt;&gt;""),"",IF(OR(NOT(OR(LEN(TRIM('Raw Data'!B18:X18))&gt;0)),OR('Raw Data'!P18="",LEN(TRIM('Raw Data'!P18))=0)),"",IF(AND('Raw Data'!J18 + Configuration!$G$2 + 5 &gt;= 'Raw Data'!P18,'Raw Data'!J18 + Configuration!$G$2 - 5 &lt;= 'Raw Data'!P18),"",_xlfn.REGEXEXTRACT(CELL("address",'Raw Data'!P18),"\$([A-Z]+)\$[0-9]+"))))</f>
        <v/>
      </c>
      <c r="Q18" s="7"/>
      <c r="R18" s="7"/>
      <c r="S18" s="7"/>
      <c r="T18" s="7" t="str" cm="1">
        <f t="array" aca="1" ref="T18" ca="1">IF(OR('Raw Data'!T18="",LEN(TRIM('Raw Data'!T18))=0,Validate_Empty!T18&lt;&gt;"",Validate_Value!T18&lt;&gt;""),"",IF(OR(NOT(OR(LEN(TRIM('Raw Data'!B18:X18))&gt;0)),OR('Raw Data'!T18="",LEN(TRIM('Raw Data'!T18))=0)),"",IF('Raw Data'!T18 = SUM('Raw Data'!R18:S18),"",_xlfn.REGEXEXTRACT(CELL("address",'Raw Data'!T18),"\$([A-Z]+)\$[0-9]+"))))</f>
        <v/>
      </c>
      <c r="U18" s="7" t="str" cm="1">
        <f t="array" aca="1" ref="U18" ca="1">IF(OR('Raw Data'!U18="",LEN(TRIM('Raw Data'!U18))=0,Validate_Empty!U18&lt;&gt;"",Validate_Value!U18&lt;&gt;""),"",IF(OR(NOT(OR(LEN(TRIM('Raw Data'!B18:X18))&gt;0)),OR('Raw Data'!T18="",LEN(TRIM('Raw Data'!T18))=0)),"",IF(ISNUMBER(SEARCH('Raw Data'!U18, Configuration!$H$2)),"",_xlfn.REGEXEXTRACT(CELL("address",'Raw Data'!U18),"\$([A-Z]+)\$[0-9]+"))))</f>
        <v/>
      </c>
      <c r="V18" s="7" t="str" cm="1">
        <f t="array" aca="1" ref="V18" ca="1">IF(OR('Raw Data'!V18="",LEN(TRIM('Raw Data'!V18))=0,Validate_Empty!V18&lt;&gt;"",Validate_Value!V18&lt;&gt;""),"",IF(OR(NOT(OR(LEN(TRIM('Raw Data'!B18:X18))&gt;0)),OR('Raw Data'!V18="",LEN(TRIM('Raw Data'!V18))=0)),"",IF('Raw Data'!V18 = Configuration!$I$2,"",_xlfn.REGEXEXTRACT(CELL("address",'Raw Data'!V18),"\$([A-Z]+)\$[0-9]+"))))</f>
        <v/>
      </c>
      <c r="W18" s="7"/>
      <c r="X18" s="7"/>
    </row>
    <row r="19" spans="2:24" x14ac:dyDescent="0.25">
      <c r="B19" s="7"/>
      <c r="C19" s="7" t="str" cm="1">
        <f t="array" aca="1" ref="C19" ca="1">IF(OR('Raw Data'!C19="",LEN(TRIM('Raw Data'!C19))=0,Validate_Empty!C19&lt;&gt;"",Validate_Value!C19&lt;&gt;""),"",IF(OR(NOT(OR(LEN(TRIM('Raw Data'!B19:X19))&gt;0)),OR('Raw Data'!C19="",LEN(TRIM('Raw Data'!C19))=0)),"",IF(OR(AND('Raw Data'!B19="Main Contract", LEFT('Raw Data'!C19, LEN("Payment"))="Payment"),AND('Raw Data'!B19="Change Order", LEFT('Raw Data'!C19, LEN("CO Payment No."))="CO Payment No.")),"",_xlfn.REGEXEXTRACT(CELL("address",'Raw Data'!C19),"\$([A-Z]+)\$[0-9]+"))))</f>
        <v/>
      </c>
      <c r="D19" s="7"/>
      <c r="E19" s="7"/>
      <c r="F19" s="7"/>
      <c r="G19" s="7"/>
      <c r="H19" s="7"/>
      <c r="I19" s="7"/>
      <c r="J19" s="7"/>
      <c r="K19" s="7"/>
      <c r="L19" s="7"/>
      <c r="M19" s="7" t="str" cm="1">
        <f t="array" aca="1" ref="M19" ca="1">IF(OR('Raw Data'!M19="",LEN(TRIM('Raw Data'!M19))=0,Validate_Empty!M19&lt;&gt;"",Validate_Value!M19&lt;&gt;""),"",IF(OR(NOT(OR(LEN(TRIM('Raw Data'!B19:X19))&gt;0)),OR('Raw Data'!M19="",LEN(TRIM('Raw Data'!M19))=0)),"",IF('Raw Data'!M19 = SUM('Raw Data'!K19:L19),"",_xlfn.REGEXEXTRACT(CELL("address",'Raw Data'!M19),"\$([A-Z]+)\$[0-9]+"))))</f>
        <v/>
      </c>
      <c r="N19" s="7"/>
      <c r="O19" s="7"/>
      <c r="P19" s="7" t="str" cm="1">
        <f t="array" aca="1" ref="P19" ca="1">IF(OR('Raw Data'!P19="",LEN(TRIM('Raw Data'!P19))=0,Validate_Empty!P19&lt;&gt;"",Validate_Value!P19&lt;&gt;""),"",IF(OR(NOT(OR(LEN(TRIM('Raw Data'!B19:X19))&gt;0)),OR('Raw Data'!P19="",LEN(TRIM('Raw Data'!P19))=0)),"",IF(AND('Raw Data'!J19 + Configuration!$G$2 + 5 &gt;= 'Raw Data'!P19,'Raw Data'!J19 + Configuration!$G$2 - 5 &lt;= 'Raw Data'!P19),"",_xlfn.REGEXEXTRACT(CELL("address",'Raw Data'!P19),"\$([A-Z]+)\$[0-9]+"))))</f>
        <v/>
      </c>
      <c r="Q19" s="7"/>
      <c r="R19" s="7"/>
      <c r="S19" s="7"/>
      <c r="T19" s="7" t="str" cm="1">
        <f t="array" aca="1" ref="T19" ca="1">IF(OR('Raw Data'!T19="",LEN(TRIM('Raw Data'!T19))=0,Validate_Empty!T19&lt;&gt;"",Validate_Value!T19&lt;&gt;""),"",IF(OR(NOT(OR(LEN(TRIM('Raw Data'!B19:X19))&gt;0)),OR('Raw Data'!T19="",LEN(TRIM('Raw Data'!T19))=0)),"",IF('Raw Data'!T19 = SUM('Raw Data'!R19:S19),"",_xlfn.REGEXEXTRACT(CELL("address",'Raw Data'!T19),"\$([A-Z]+)\$[0-9]+"))))</f>
        <v/>
      </c>
      <c r="U19" s="7" t="str" cm="1">
        <f t="array" aca="1" ref="U19" ca="1">IF(OR('Raw Data'!U19="",LEN(TRIM('Raw Data'!U19))=0,Validate_Empty!U19&lt;&gt;"",Validate_Value!U19&lt;&gt;""),"",IF(OR(NOT(OR(LEN(TRIM('Raw Data'!B19:X19))&gt;0)),OR('Raw Data'!T19="",LEN(TRIM('Raw Data'!T19))=0)),"",IF(ISNUMBER(SEARCH('Raw Data'!U19, Configuration!$H$2)),"",_xlfn.REGEXEXTRACT(CELL("address",'Raw Data'!U19),"\$([A-Z]+)\$[0-9]+"))))</f>
        <v/>
      </c>
      <c r="V19" s="7" t="str" cm="1">
        <f t="array" aca="1" ref="V19" ca="1">IF(OR('Raw Data'!V19="",LEN(TRIM('Raw Data'!V19))=0,Validate_Empty!V19&lt;&gt;"",Validate_Value!V19&lt;&gt;""),"",IF(OR(NOT(OR(LEN(TRIM('Raw Data'!B19:X19))&gt;0)),OR('Raw Data'!V19="",LEN(TRIM('Raw Data'!V19))=0)),"",IF('Raw Data'!V19 = Configuration!$I$2,"",_xlfn.REGEXEXTRACT(CELL("address",'Raw Data'!V19),"\$([A-Z]+)\$[0-9]+"))))</f>
        <v/>
      </c>
      <c r="W19" s="7"/>
      <c r="X19" s="7"/>
    </row>
    <row r="20" spans="2:24" x14ac:dyDescent="0.25">
      <c r="B20" s="7"/>
      <c r="C20" s="7" t="str" cm="1">
        <f t="array" aca="1" ref="C20" ca="1">IF(OR('Raw Data'!C20="",LEN(TRIM('Raw Data'!C20))=0,Validate_Empty!C20&lt;&gt;"",Validate_Value!C20&lt;&gt;""),"",IF(OR(NOT(OR(LEN(TRIM('Raw Data'!B20:X20))&gt;0)),OR('Raw Data'!C20="",LEN(TRIM('Raw Data'!C20))=0)),"",IF(OR(AND('Raw Data'!B20="Main Contract", LEFT('Raw Data'!C20, LEN("Payment"))="Payment"),AND('Raw Data'!B20="Change Order", LEFT('Raw Data'!C20, LEN("CO Payment No."))="CO Payment No.")),"",_xlfn.REGEXEXTRACT(CELL("address",'Raw Data'!C20),"\$([A-Z]+)\$[0-9]+"))))</f>
        <v/>
      </c>
      <c r="D20" s="7"/>
      <c r="E20" s="7"/>
      <c r="F20" s="7"/>
      <c r="G20" s="7"/>
      <c r="H20" s="7"/>
      <c r="I20" s="7"/>
      <c r="J20" s="7"/>
      <c r="K20" s="7"/>
      <c r="L20" s="7"/>
      <c r="M20" s="7" t="str" cm="1">
        <f t="array" aca="1" ref="M20" ca="1">IF(OR('Raw Data'!M20="",LEN(TRIM('Raw Data'!M20))=0,Validate_Empty!M20&lt;&gt;"",Validate_Value!M20&lt;&gt;""),"",IF(OR(NOT(OR(LEN(TRIM('Raw Data'!B20:X20))&gt;0)),OR('Raw Data'!M20="",LEN(TRIM('Raw Data'!M20))=0)),"",IF('Raw Data'!M20 = SUM('Raw Data'!K20:L20),"",_xlfn.REGEXEXTRACT(CELL("address",'Raw Data'!M20),"\$([A-Z]+)\$[0-9]+"))))</f>
        <v/>
      </c>
      <c r="N20" s="7"/>
      <c r="O20" s="7"/>
      <c r="P20" s="7" t="str" cm="1">
        <f t="array" aca="1" ref="P20" ca="1">IF(OR('Raw Data'!P20="",LEN(TRIM('Raw Data'!P20))=0,Validate_Empty!P20&lt;&gt;"",Validate_Value!P20&lt;&gt;""),"",IF(OR(NOT(OR(LEN(TRIM('Raw Data'!B20:X20))&gt;0)),OR('Raw Data'!P20="",LEN(TRIM('Raw Data'!P20))=0)),"",IF(AND('Raw Data'!J20 + Configuration!$G$2 + 5 &gt;= 'Raw Data'!P20,'Raw Data'!J20 + Configuration!$G$2 - 5 &lt;= 'Raw Data'!P20),"",_xlfn.REGEXEXTRACT(CELL("address",'Raw Data'!P20),"\$([A-Z]+)\$[0-9]+"))))</f>
        <v/>
      </c>
      <c r="Q20" s="7"/>
      <c r="R20" s="7"/>
      <c r="S20" s="7"/>
      <c r="T20" s="7" t="str" cm="1">
        <f t="array" aca="1" ref="T20" ca="1">IF(OR('Raw Data'!T20="",LEN(TRIM('Raw Data'!T20))=0,Validate_Empty!T20&lt;&gt;"",Validate_Value!T20&lt;&gt;""),"",IF(OR(NOT(OR(LEN(TRIM('Raw Data'!B20:X20))&gt;0)),OR('Raw Data'!T20="",LEN(TRIM('Raw Data'!T20))=0)),"",IF('Raw Data'!T20 = SUM('Raw Data'!R20:S20),"",_xlfn.REGEXEXTRACT(CELL("address",'Raw Data'!T20),"\$([A-Z]+)\$[0-9]+"))))</f>
        <v/>
      </c>
      <c r="U20" s="7" t="str" cm="1">
        <f t="array" aca="1" ref="U20" ca="1">IF(OR('Raw Data'!U20="",LEN(TRIM('Raw Data'!U20))=0,Validate_Empty!U20&lt;&gt;"",Validate_Value!U20&lt;&gt;""),"",IF(OR(NOT(OR(LEN(TRIM('Raw Data'!B20:X20))&gt;0)),OR('Raw Data'!T20="",LEN(TRIM('Raw Data'!T20))=0)),"",IF(ISNUMBER(SEARCH('Raw Data'!U20, Configuration!$H$2)),"",_xlfn.REGEXEXTRACT(CELL("address",'Raw Data'!U20),"\$([A-Z]+)\$[0-9]+"))))</f>
        <v/>
      </c>
      <c r="V20" s="7" t="str" cm="1">
        <f t="array" aca="1" ref="V20" ca="1">IF(OR('Raw Data'!V20="",LEN(TRIM('Raw Data'!V20))=0,Validate_Empty!V20&lt;&gt;"",Validate_Value!V20&lt;&gt;""),"",IF(OR(NOT(OR(LEN(TRIM('Raw Data'!B20:X20))&gt;0)),OR('Raw Data'!V20="",LEN(TRIM('Raw Data'!V20))=0)),"",IF('Raw Data'!V20 = Configuration!$I$2,"",_xlfn.REGEXEXTRACT(CELL("address",'Raw Data'!V20),"\$([A-Z]+)\$[0-9]+"))))</f>
        <v/>
      </c>
      <c r="W20" s="7"/>
      <c r="X20" s="7"/>
    </row>
    <row r="21" spans="2:24" x14ac:dyDescent="0.25">
      <c r="B21" s="7"/>
      <c r="C21" s="7" t="str" cm="1">
        <f t="array" aca="1" ref="C21" ca="1">IF(OR('Raw Data'!C21="",LEN(TRIM('Raw Data'!C21))=0,Validate_Empty!C21&lt;&gt;"",Validate_Value!C21&lt;&gt;""),"",IF(OR(NOT(OR(LEN(TRIM('Raw Data'!B21:X21))&gt;0)),OR('Raw Data'!C21="",LEN(TRIM('Raw Data'!C21))=0)),"",IF(OR(AND('Raw Data'!B21="Main Contract", LEFT('Raw Data'!C21, LEN("Payment"))="Payment"),AND('Raw Data'!B21="Change Order", LEFT('Raw Data'!C21, LEN("CO Payment No."))="CO Payment No.")),"",_xlfn.REGEXEXTRACT(CELL("address",'Raw Data'!C21),"\$([A-Z]+)\$[0-9]+"))))</f>
        <v/>
      </c>
      <c r="D21" s="7"/>
      <c r="E21" s="7"/>
      <c r="F21" s="7"/>
      <c r="G21" s="7"/>
      <c r="H21" s="7"/>
      <c r="I21" s="7"/>
      <c r="J21" s="7"/>
      <c r="K21" s="7"/>
      <c r="L21" s="7"/>
      <c r="M21" s="7" t="str" cm="1">
        <f t="array" aca="1" ref="M21" ca="1">IF(OR('Raw Data'!M21="",LEN(TRIM('Raw Data'!M21))=0,Validate_Empty!M21&lt;&gt;"",Validate_Value!M21&lt;&gt;""),"",IF(OR(NOT(OR(LEN(TRIM('Raw Data'!B21:X21))&gt;0)),OR('Raw Data'!M21="",LEN(TRIM('Raw Data'!M21))=0)),"",IF('Raw Data'!M21 = SUM('Raw Data'!K21:L21),"",_xlfn.REGEXEXTRACT(CELL("address",'Raw Data'!M21),"\$([A-Z]+)\$[0-9]+"))))</f>
        <v/>
      </c>
      <c r="N21" s="7"/>
      <c r="O21" s="7"/>
      <c r="P21" s="7" t="str" cm="1">
        <f t="array" aca="1" ref="P21" ca="1">IF(OR('Raw Data'!P21="",LEN(TRIM('Raw Data'!P21))=0,Validate_Empty!P21&lt;&gt;"",Validate_Value!P21&lt;&gt;""),"",IF(OR(NOT(OR(LEN(TRIM('Raw Data'!B21:X21))&gt;0)),OR('Raw Data'!P21="",LEN(TRIM('Raw Data'!P21))=0)),"",IF(AND('Raw Data'!J21 + Configuration!$G$2 + 5 &gt;= 'Raw Data'!P21,'Raw Data'!J21 + Configuration!$G$2 - 5 &lt;= 'Raw Data'!P21),"",_xlfn.REGEXEXTRACT(CELL("address",'Raw Data'!P21),"\$([A-Z]+)\$[0-9]+"))))</f>
        <v/>
      </c>
      <c r="Q21" s="7"/>
      <c r="R21" s="7"/>
      <c r="S21" s="7"/>
      <c r="T21" s="7" t="str" cm="1">
        <f t="array" aca="1" ref="T21" ca="1">IF(OR('Raw Data'!T21="",LEN(TRIM('Raw Data'!T21))=0,Validate_Empty!T21&lt;&gt;"",Validate_Value!T21&lt;&gt;""),"",IF(OR(NOT(OR(LEN(TRIM('Raw Data'!B21:X21))&gt;0)),OR('Raw Data'!T21="",LEN(TRIM('Raw Data'!T21))=0)),"",IF('Raw Data'!T21 = SUM('Raw Data'!R21:S21),"",_xlfn.REGEXEXTRACT(CELL("address",'Raw Data'!T21),"\$([A-Z]+)\$[0-9]+"))))</f>
        <v/>
      </c>
      <c r="U21" s="7" t="str" cm="1">
        <f t="array" aca="1" ref="U21" ca="1">IF(OR('Raw Data'!U21="",LEN(TRIM('Raw Data'!U21))=0,Validate_Empty!U21&lt;&gt;"",Validate_Value!U21&lt;&gt;""),"",IF(OR(NOT(OR(LEN(TRIM('Raw Data'!B21:X21))&gt;0)),OR('Raw Data'!T21="",LEN(TRIM('Raw Data'!T21))=0)),"",IF(ISNUMBER(SEARCH('Raw Data'!U21, Configuration!$H$2)),"",_xlfn.REGEXEXTRACT(CELL("address",'Raw Data'!U21),"\$([A-Z]+)\$[0-9]+"))))</f>
        <v/>
      </c>
      <c r="V21" s="7" t="str" cm="1">
        <f t="array" aca="1" ref="V21" ca="1">IF(OR('Raw Data'!V21="",LEN(TRIM('Raw Data'!V21))=0,Validate_Empty!V21&lt;&gt;"",Validate_Value!V21&lt;&gt;""),"",IF(OR(NOT(OR(LEN(TRIM('Raw Data'!B21:X21))&gt;0)),OR('Raw Data'!V21="",LEN(TRIM('Raw Data'!V21))=0)),"",IF('Raw Data'!V21 = Configuration!$I$2,"",_xlfn.REGEXEXTRACT(CELL("address",'Raw Data'!V21),"\$([A-Z]+)\$[0-9]+"))))</f>
        <v/>
      </c>
      <c r="W21" s="7"/>
      <c r="X21" s="7"/>
    </row>
    <row r="22" spans="2:24" x14ac:dyDescent="0.25">
      <c r="B22" s="7"/>
      <c r="C22" s="7" t="str" cm="1">
        <f t="array" aca="1" ref="C22" ca="1">IF(OR('Raw Data'!C22="",LEN(TRIM('Raw Data'!C22))=0,Validate_Empty!C22&lt;&gt;"",Validate_Value!C22&lt;&gt;""),"",IF(OR(NOT(OR(LEN(TRIM('Raw Data'!B22:X22))&gt;0)),OR('Raw Data'!C22="",LEN(TRIM('Raw Data'!C22))=0)),"",IF(OR(AND('Raw Data'!B22="Main Contract", LEFT('Raw Data'!C22, LEN("Payment"))="Payment"),AND('Raw Data'!B22="Change Order", LEFT('Raw Data'!C22, LEN("CO Payment No."))="CO Payment No.")),"",_xlfn.REGEXEXTRACT(CELL("address",'Raw Data'!C22),"\$([A-Z]+)\$[0-9]+"))))</f>
        <v/>
      </c>
      <c r="D22" s="7"/>
      <c r="E22" s="7"/>
      <c r="F22" s="7"/>
      <c r="G22" s="7"/>
      <c r="H22" s="7"/>
      <c r="I22" s="7"/>
      <c r="J22" s="7"/>
      <c r="K22" s="7"/>
      <c r="L22" s="7"/>
      <c r="M22" s="7" t="str" cm="1">
        <f t="array" aca="1" ref="M22" ca="1">IF(OR('Raw Data'!M22="",LEN(TRIM('Raw Data'!M22))=0,Validate_Empty!M22&lt;&gt;"",Validate_Value!M22&lt;&gt;""),"",IF(OR(NOT(OR(LEN(TRIM('Raw Data'!B22:X22))&gt;0)),OR('Raw Data'!M22="",LEN(TRIM('Raw Data'!M22))=0)),"",IF('Raw Data'!M22 = SUM('Raw Data'!K22:L22),"",_xlfn.REGEXEXTRACT(CELL("address",'Raw Data'!M22),"\$([A-Z]+)\$[0-9]+"))))</f>
        <v/>
      </c>
      <c r="N22" s="7"/>
      <c r="O22" s="7"/>
      <c r="P22" s="7" t="str" cm="1">
        <f t="array" aca="1" ref="P22" ca="1">IF(OR('Raw Data'!P22="",LEN(TRIM('Raw Data'!P22))=0,Validate_Empty!P22&lt;&gt;"",Validate_Value!P22&lt;&gt;""),"",IF(OR(NOT(OR(LEN(TRIM('Raw Data'!B22:X22))&gt;0)),OR('Raw Data'!P22="",LEN(TRIM('Raw Data'!P22))=0)),"",IF(AND('Raw Data'!J22 + Configuration!$G$2 + 5 &gt;= 'Raw Data'!P22,'Raw Data'!J22 + Configuration!$G$2 - 5 &lt;= 'Raw Data'!P22),"",_xlfn.REGEXEXTRACT(CELL("address",'Raw Data'!P22),"\$([A-Z]+)\$[0-9]+"))))</f>
        <v/>
      </c>
      <c r="Q22" s="7"/>
      <c r="R22" s="7"/>
      <c r="S22" s="7"/>
      <c r="T22" s="7" t="str" cm="1">
        <f t="array" aca="1" ref="T22" ca="1">IF(OR('Raw Data'!T22="",LEN(TRIM('Raw Data'!T22))=0,Validate_Empty!T22&lt;&gt;"",Validate_Value!T22&lt;&gt;""),"",IF(OR(NOT(OR(LEN(TRIM('Raw Data'!B22:X22))&gt;0)),OR('Raw Data'!T22="",LEN(TRIM('Raw Data'!T22))=0)),"",IF('Raw Data'!T22 = SUM('Raw Data'!R22:S22),"",_xlfn.REGEXEXTRACT(CELL("address",'Raw Data'!T22),"\$([A-Z]+)\$[0-9]+"))))</f>
        <v/>
      </c>
      <c r="U22" s="7" t="str" cm="1">
        <f t="array" aca="1" ref="U22" ca="1">IF(OR('Raw Data'!U22="",LEN(TRIM('Raw Data'!U22))=0,Validate_Empty!U22&lt;&gt;"",Validate_Value!U22&lt;&gt;""),"",IF(OR(NOT(OR(LEN(TRIM('Raw Data'!B22:X22))&gt;0)),OR('Raw Data'!T22="",LEN(TRIM('Raw Data'!T22))=0)),"",IF(ISNUMBER(SEARCH('Raw Data'!U22, Configuration!$H$2)),"",_xlfn.REGEXEXTRACT(CELL("address",'Raw Data'!U22),"\$([A-Z]+)\$[0-9]+"))))</f>
        <v/>
      </c>
      <c r="V22" s="7" t="str" cm="1">
        <f t="array" aca="1" ref="V22" ca="1">IF(OR('Raw Data'!V22="",LEN(TRIM('Raw Data'!V22))=0,Validate_Empty!V22&lt;&gt;"",Validate_Value!V22&lt;&gt;""),"",IF(OR(NOT(OR(LEN(TRIM('Raw Data'!B22:X22))&gt;0)),OR('Raw Data'!V22="",LEN(TRIM('Raw Data'!V22))=0)),"",IF('Raw Data'!V22 = Configuration!$I$2,"",_xlfn.REGEXEXTRACT(CELL("address",'Raw Data'!V22),"\$([A-Z]+)\$[0-9]+"))))</f>
        <v/>
      </c>
      <c r="W22" s="7"/>
      <c r="X22" s="7"/>
    </row>
    <row r="23" spans="2:24" x14ac:dyDescent="0.25">
      <c r="B23" s="7"/>
      <c r="C23" s="7" t="str" cm="1">
        <f t="array" aca="1" ref="C23" ca="1">IF(OR('Raw Data'!C23="",LEN(TRIM('Raw Data'!C23))=0,Validate_Empty!C23&lt;&gt;"",Validate_Value!C23&lt;&gt;""),"",IF(OR(NOT(OR(LEN(TRIM('Raw Data'!B23:X23))&gt;0)),OR('Raw Data'!C23="",LEN(TRIM('Raw Data'!C23))=0)),"",IF(OR(AND('Raw Data'!B23="Main Contract", LEFT('Raw Data'!C23, LEN("Payment"))="Payment"),AND('Raw Data'!B23="Change Order", LEFT('Raw Data'!C23, LEN("CO Payment No."))="CO Payment No.")),"",_xlfn.REGEXEXTRACT(CELL("address",'Raw Data'!C23),"\$([A-Z]+)\$[0-9]+"))))</f>
        <v/>
      </c>
      <c r="D23" s="7"/>
      <c r="E23" s="7"/>
      <c r="F23" s="7"/>
      <c r="G23" s="7"/>
      <c r="H23" s="7"/>
      <c r="I23" s="7"/>
      <c r="J23" s="7"/>
      <c r="K23" s="7"/>
      <c r="L23" s="7"/>
      <c r="M23" s="7" t="str" cm="1">
        <f t="array" aca="1" ref="M23" ca="1">IF(OR('Raw Data'!M23="",LEN(TRIM('Raw Data'!M23))=0,Validate_Empty!M23&lt;&gt;"",Validate_Value!M23&lt;&gt;""),"",IF(OR(NOT(OR(LEN(TRIM('Raw Data'!B23:X23))&gt;0)),OR('Raw Data'!M23="",LEN(TRIM('Raw Data'!M23))=0)),"",IF('Raw Data'!M23 = SUM('Raw Data'!K23:L23),"",_xlfn.REGEXEXTRACT(CELL("address",'Raw Data'!M23),"\$([A-Z]+)\$[0-9]+"))))</f>
        <v/>
      </c>
      <c r="N23" s="7"/>
      <c r="O23" s="7"/>
      <c r="P23" s="7" t="str" cm="1">
        <f t="array" aca="1" ref="P23" ca="1">IF(OR('Raw Data'!P23="",LEN(TRIM('Raw Data'!P23))=0,Validate_Empty!P23&lt;&gt;"",Validate_Value!P23&lt;&gt;""),"",IF(OR(NOT(OR(LEN(TRIM('Raw Data'!B23:X23))&gt;0)),OR('Raw Data'!P23="",LEN(TRIM('Raw Data'!P23))=0)),"",IF(AND('Raw Data'!J23 + Configuration!$G$2 + 5 &gt;= 'Raw Data'!P23,'Raw Data'!J23 + Configuration!$G$2 - 5 &lt;= 'Raw Data'!P23),"",_xlfn.REGEXEXTRACT(CELL("address",'Raw Data'!P23),"\$([A-Z]+)\$[0-9]+"))))</f>
        <v/>
      </c>
      <c r="Q23" s="7"/>
      <c r="R23" s="7"/>
      <c r="S23" s="7"/>
      <c r="T23" s="7" t="str" cm="1">
        <f t="array" aca="1" ref="T23" ca="1">IF(OR('Raw Data'!T23="",LEN(TRIM('Raw Data'!T23))=0,Validate_Empty!T23&lt;&gt;"",Validate_Value!T23&lt;&gt;""),"",IF(OR(NOT(OR(LEN(TRIM('Raw Data'!B23:X23))&gt;0)),OR('Raw Data'!T23="",LEN(TRIM('Raw Data'!T23))=0)),"",IF('Raw Data'!T23 = SUM('Raw Data'!R23:S23),"",_xlfn.REGEXEXTRACT(CELL("address",'Raw Data'!T23),"\$([A-Z]+)\$[0-9]+"))))</f>
        <v/>
      </c>
      <c r="U23" s="7" t="str" cm="1">
        <f t="array" aca="1" ref="U23" ca="1">IF(OR('Raw Data'!U23="",LEN(TRIM('Raw Data'!U23))=0,Validate_Empty!U23&lt;&gt;"",Validate_Value!U23&lt;&gt;""),"",IF(OR(NOT(OR(LEN(TRIM('Raw Data'!B23:X23))&gt;0)),OR('Raw Data'!T23="",LEN(TRIM('Raw Data'!T23))=0)),"",IF(ISNUMBER(SEARCH('Raw Data'!U23, Configuration!$H$2)),"",_xlfn.REGEXEXTRACT(CELL("address",'Raw Data'!U23),"\$([A-Z]+)\$[0-9]+"))))</f>
        <v/>
      </c>
      <c r="V23" s="7" t="str" cm="1">
        <f t="array" aca="1" ref="V23" ca="1">IF(OR('Raw Data'!V23="",LEN(TRIM('Raw Data'!V23))=0,Validate_Empty!V23&lt;&gt;"",Validate_Value!V23&lt;&gt;""),"",IF(OR(NOT(OR(LEN(TRIM('Raw Data'!B23:X23))&gt;0)),OR('Raw Data'!V23="",LEN(TRIM('Raw Data'!V23))=0)),"",IF('Raw Data'!V23 = Configuration!$I$2,"",_xlfn.REGEXEXTRACT(CELL("address",'Raw Data'!V23),"\$([A-Z]+)\$[0-9]+"))))</f>
        <v/>
      </c>
      <c r="W23" s="7"/>
      <c r="X23" s="7"/>
    </row>
    <row r="24" spans="2:24" x14ac:dyDescent="0.25">
      <c r="B24" s="7"/>
      <c r="C24" s="7" t="str" cm="1">
        <f t="array" aca="1" ref="C24" ca="1">IF(OR('Raw Data'!C24="",LEN(TRIM('Raw Data'!C24))=0,Validate_Empty!C24&lt;&gt;"",Validate_Value!C24&lt;&gt;""),"",IF(OR(NOT(OR(LEN(TRIM('Raw Data'!B24:X24))&gt;0)),OR('Raw Data'!C24="",LEN(TRIM('Raw Data'!C24))=0)),"",IF(OR(AND('Raw Data'!B24="Main Contract", LEFT('Raw Data'!C24, LEN("Payment"))="Payment"),AND('Raw Data'!B24="Change Order", LEFT('Raw Data'!C24, LEN("CO Payment No."))="CO Payment No.")),"",_xlfn.REGEXEXTRACT(CELL("address",'Raw Data'!C24),"\$([A-Z]+)\$[0-9]+"))))</f>
        <v/>
      </c>
      <c r="D24" s="7"/>
      <c r="E24" s="7"/>
      <c r="F24" s="7"/>
      <c r="G24" s="7"/>
      <c r="H24" s="7"/>
      <c r="I24" s="7"/>
      <c r="J24" s="7"/>
      <c r="K24" s="7"/>
      <c r="L24" s="7"/>
      <c r="M24" s="7" t="str" cm="1">
        <f t="array" aca="1" ref="M24" ca="1">IF(OR('Raw Data'!M24="",LEN(TRIM('Raw Data'!M24))=0,Validate_Empty!M24&lt;&gt;"",Validate_Value!M24&lt;&gt;""),"",IF(OR(NOT(OR(LEN(TRIM('Raw Data'!B24:X24))&gt;0)),OR('Raw Data'!M24="",LEN(TRIM('Raw Data'!M24))=0)),"",IF('Raw Data'!M24 = SUM('Raw Data'!K24:L24),"",_xlfn.REGEXEXTRACT(CELL("address",'Raw Data'!M24),"\$([A-Z]+)\$[0-9]+"))))</f>
        <v/>
      </c>
      <c r="N24" s="7"/>
      <c r="O24" s="7"/>
      <c r="P24" s="7" t="str" cm="1">
        <f t="array" aca="1" ref="P24" ca="1">IF(OR('Raw Data'!P24="",LEN(TRIM('Raw Data'!P24))=0,Validate_Empty!P24&lt;&gt;"",Validate_Value!P24&lt;&gt;""),"",IF(OR(NOT(OR(LEN(TRIM('Raw Data'!B24:X24))&gt;0)),OR('Raw Data'!P24="",LEN(TRIM('Raw Data'!P24))=0)),"",IF(AND('Raw Data'!J24 + Configuration!$G$2 + 5 &gt;= 'Raw Data'!P24,'Raw Data'!J24 + Configuration!$G$2 - 5 &lt;= 'Raw Data'!P24),"",_xlfn.REGEXEXTRACT(CELL("address",'Raw Data'!P24),"\$([A-Z]+)\$[0-9]+"))))</f>
        <v/>
      </c>
      <c r="Q24" s="7"/>
      <c r="R24" s="7"/>
      <c r="S24" s="7"/>
      <c r="T24" s="7" t="str" cm="1">
        <f t="array" aca="1" ref="T24" ca="1">IF(OR('Raw Data'!T24="",LEN(TRIM('Raw Data'!T24))=0,Validate_Empty!T24&lt;&gt;"",Validate_Value!T24&lt;&gt;""),"",IF(OR(NOT(OR(LEN(TRIM('Raw Data'!B24:X24))&gt;0)),OR('Raw Data'!T24="",LEN(TRIM('Raw Data'!T24))=0)),"",IF('Raw Data'!T24 = SUM('Raw Data'!R24:S24),"",_xlfn.REGEXEXTRACT(CELL("address",'Raw Data'!T24),"\$([A-Z]+)\$[0-9]+"))))</f>
        <v/>
      </c>
      <c r="U24" s="7" t="str" cm="1">
        <f t="array" aca="1" ref="U24" ca="1">IF(OR('Raw Data'!U24="",LEN(TRIM('Raw Data'!U24))=0,Validate_Empty!U24&lt;&gt;"",Validate_Value!U24&lt;&gt;""),"",IF(OR(NOT(OR(LEN(TRIM('Raw Data'!B24:X24))&gt;0)),OR('Raw Data'!T24="",LEN(TRIM('Raw Data'!T24))=0)),"",IF(ISNUMBER(SEARCH('Raw Data'!U24, Configuration!$H$2)),"",_xlfn.REGEXEXTRACT(CELL("address",'Raw Data'!U24),"\$([A-Z]+)\$[0-9]+"))))</f>
        <v/>
      </c>
      <c r="V24" s="7" t="str" cm="1">
        <f t="array" aca="1" ref="V24" ca="1">IF(OR('Raw Data'!V24="",LEN(TRIM('Raw Data'!V24))=0,Validate_Empty!V24&lt;&gt;"",Validate_Value!V24&lt;&gt;""),"",IF(OR(NOT(OR(LEN(TRIM('Raw Data'!B24:X24))&gt;0)),OR('Raw Data'!V24="",LEN(TRIM('Raw Data'!V24))=0)),"",IF('Raw Data'!V24 = Configuration!$I$2,"",_xlfn.REGEXEXTRACT(CELL("address",'Raw Data'!V24),"\$([A-Z]+)\$[0-9]+"))))</f>
        <v/>
      </c>
      <c r="W24" s="7"/>
      <c r="X24" s="7"/>
    </row>
    <row r="25" spans="2:24" x14ac:dyDescent="0.25">
      <c r="B25" s="7"/>
      <c r="C25" s="7" t="str" cm="1">
        <f t="array" aca="1" ref="C25" ca="1">IF(OR('Raw Data'!C25="",LEN(TRIM('Raw Data'!C25))=0,Validate_Empty!C25&lt;&gt;"",Validate_Value!C25&lt;&gt;""),"",IF(OR(NOT(OR(LEN(TRIM('Raw Data'!B25:X25))&gt;0)),OR('Raw Data'!C25="",LEN(TRIM('Raw Data'!C25))=0)),"",IF(OR(AND('Raw Data'!B25="Main Contract", LEFT('Raw Data'!C25, LEN("Payment"))="Payment"),AND('Raw Data'!B25="Change Order", LEFT('Raw Data'!C25, LEN("CO Payment No."))="CO Payment No.")),"",_xlfn.REGEXEXTRACT(CELL("address",'Raw Data'!C25),"\$([A-Z]+)\$[0-9]+"))))</f>
        <v/>
      </c>
      <c r="D25" s="7"/>
      <c r="E25" s="7"/>
      <c r="F25" s="7"/>
      <c r="G25" s="7"/>
      <c r="H25" s="7"/>
      <c r="I25" s="7"/>
      <c r="J25" s="7"/>
      <c r="K25" s="7"/>
      <c r="L25" s="7"/>
      <c r="M25" s="7" t="str" cm="1">
        <f t="array" aca="1" ref="M25" ca="1">IF(OR('Raw Data'!M25="",LEN(TRIM('Raw Data'!M25))=0,Validate_Empty!M25&lt;&gt;"",Validate_Value!M25&lt;&gt;""),"",IF(OR(NOT(OR(LEN(TRIM('Raw Data'!B25:X25))&gt;0)),OR('Raw Data'!M25="",LEN(TRIM('Raw Data'!M25))=0)),"",IF('Raw Data'!M25 = SUM('Raw Data'!K25:L25),"",_xlfn.REGEXEXTRACT(CELL("address",'Raw Data'!M25),"\$([A-Z]+)\$[0-9]+"))))</f>
        <v/>
      </c>
      <c r="N25" s="7"/>
      <c r="O25" s="7"/>
      <c r="P25" s="7" t="str" cm="1">
        <f t="array" aca="1" ref="P25" ca="1">IF(OR('Raw Data'!P25="",LEN(TRIM('Raw Data'!P25))=0,Validate_Empty!P25&lt;&gt;"",Validate_Value!P25&lt;&gt;""),"",IF(OR(NOT(OR(LEN(TRIM('Raw Data'!B25:X25))&gt;0)),OR('Raw Data'!P25="",LEN(TRIM('Raw Data'!P25))=0)),"",IF(AND('Raw Data'!J25 + Configuration!$G$2 + 5 &gt;= 'Raw Data'!P25,'Raw Data'!J25 + Configuration!$G$2 - 5 &lt;= 'Raw Data'!P25),"",_xlfn.REGEXEXTRACT(CELL("address",'Raw Data'!P25),"\$([A-Z]+)\$[0-9]+"))))</f>
        <v/>
      </c>
      <c r="Q25" s="7"/>
      <c r="R25" s="7"/>
      <c r="S25" s="7"/>
      <c r="T25" s="7" t="str" cm="1">
        <f t="array" aca="1" ref="T25" ca="1">IF(OR('Raw Data'!T25="",LEN(TRIM('Raw Data'!T25))=0,Validate_Empty!T25&lt;&gt;"",Validate_Value!T25&lt;&gt;""),"",IF(OR(NOT(OR(LEN(TRIM('Raw Data'!B25:X25))&gt;0)),OR('Raw Data'!T25="",LEN(TRIM('Raw Data'!T25))=0)),"",IF('Raw Data'!T25 = SUM('Raw Data'!R25:S25),"",_xlfn.REGEXEXTRACT(CELL("address",'Raw Data'!T25),"\$([A-Z]+)\$[0-9]+"))))</f>
        <v/>
      </c>
      <c r="U25" s="7" t="str" cm="1">
        <f t="array" aca="1" ref="U25" ca="1">IF(OR('Raw Data'!U25="",LEN(TRIM('Raw Data'!U25))=0,Validate_Empty!U25&lt;&gt;"",Validate_Value!U25&lt;&gt;""),"",IF(OR(NOT(OR(LEN(TRIM('Raw Data'!B25:X25))&gt;0)),OR('Raw Data'!T25="",LEN(TRIM('Raw Data'!T25))=0)),"",IF(ISNUMBER(SEARCH('Raw Data'!U25, Configuration!$H$2)),"",_xlfn.REGEXEXTRACT(CELL("address",'Raw Data'!U25),"\$([A-Z]+)\$[0-9]+"))))</f>
        <v/>
      </c>
      <c r="V25" s="7" t="str" cm="1">
        <f t="array" aca="1" ref="V25" ca="1">IF(OR('Raw Data'!V25="",LEN(TRIM('Raw Data'!V25))=0,Validate_Empty!V25&lt;&gt;"",Validate_Value!V25&lt;&gt;""),"",IF(OR(NOT(OR(LEN(TRIM('Raw Data'!B25:X25))&gt;0)),OR('Raw Data'!V25="",LEN(TRIM('Raw Data'!V25))=0)),"",IF('Raw Data'!V25 = Configuration!$I$2,"",_xlfn.REGEXEXTRACT(CELL("address",'Raw Data'!V25),"\$([A-Z]+)\$[0-9]+"))))</f>
        <v/>
      </c>
      <c r="W25" s="7"/>
      <c r="X25" s="7"/>
    </row>
    <row r="26" spans="2:24" x14ac:dyDescent="0.25">
      <c r="B26" s="7"/>
      <c r="C26" s="7" t="str" cm="1">
        <f t="array" aca="1" ref="C26" ca="1">IF(OR('Raw Data'!C26="",LEN(TRIM('Raw Data'!C26))=0,Validate_Empty!C26&lt;&gt;"",Validate_Value!C26&lt;&gt;""),"",IF(OR(NOT(OR(LEN(TRIM('Raw Data'!B26:X26))&gt;0)),OR('Raw Data'!C26="",LEN(TRIM('Raw Data'!C26))=0)),"",IF(OR(AND('Raw Data'!B26="Main Contract", LEFT('Raw Data'!C26, LEN("Payment"))="Payment"),AND('Raw Data'!B26="Change Order", LEFT('Raw Data'!C26, LEN("CO Payment No."))="CO Payment No.")),"",_xlfn.REGEXEXTRACT(CELL("address",'Raw Data'!C26),"\$([A-Z]+)\$[0-9]+"))))</f>
        <v/>
      </c>
      <c r="D26" s="7"/>
      <c r="E26" s="7"/>
      <c r="F26" s="7"/>
      <c r="G26" s="7"/>
      <c r="H26" s="7"/>
      <c r="I26" s="7"/>
      <c r="J26" s="7"/>
      <c r="K26" s="7"/>
      <c r="L26" s="7"/>
      <c r="M26" s="7" t="str" cm="1">
        <f t="array" aca="1" ref="M26" ca="1">IF(OR('Raw Data'!M26="",LEN(TRIM('Raw Data'!M26))=0,Validate_Empty!M26&lt;&gt;"",Validate_Value!M26&lt;&gt;""),"",IF(OR(NOT(OR(LEN(TRIM('Raw Data'!B26:X26))&gt;0)),OR('Raw Data'!M26="",LEN(TRIM('Raw Data'!M26))=0)),"",IF('Raw Data'!M26 = SUM('Raw Data'!K26:L26),"",_xlfn.REGEXEXTRACT(CELL("address",'Raw Data'!M26),"\$([A-Z]+)\$[0-9]+"))))</f>
        <v/>
      </c>
      <c r="N26" s="7"/>
      <c r="O26" s="7"/>
      <c r="P26" s="7" t="str" cm="1">
        <f t="array" aca="1" ref="P26" ca="1">IF(OR('Raw Data'!P26="",LEN(TRIM('Raw Data'!P26))=0,Validate_Empty!P26&lt;&gt;"",Validate_Value!P26&lt;&gt;""),"",IF(OR(NOT(OR(LEN(TRIM('Raw Data'!B26:X26))&gt;0)),OR('Raw Data'!P26="",LEN(TRIM('Raw Data'!P26))=0)),"",IF(AND('Raw Data'!J26 + Configuration!$G$2 + 5 &gt;= 'Raw Data'!P26,'Raw Data'!J26 + Configuration!$G$2 - 5 &lt;= 'Raw Data'!P26),"",_xlfn.REGEXEXTRACT(CELL("address",'Raw Data'!P26),"\$([A-Z]+)\$[0-9]+"))))</f>
        <v/>
      </c>
      <c r="Q26" s="7"/>
      <c r="R26" s="7"/>
      <c r="S26" s="7"/>
      <c r="T26" s="7" t="str" cm="1">
        <f t="array" aca="1" ref="T26" ca="1">IF(OR('Raw Data'!T26="",LEN(TRIM('Raw Data'!T26))=0,Validate_Empty!T26&lt;&gt;"",Validate_Value!T26&lt;&gt;""),"",IF(OR(NOT(OR(LEN(TRIM('Raw Data'!B26:X26))&gt;0)),OR('Raw Data'!T26="",LEN(TRIM('Raw Data'!T26))=0)),"",IF('Raw Data'!T26 = SUM('Raw Data'!R26:S26),"",_xlfn.REGEXEXTRACT(CELL("address",'Raw Data'!T26),"\$([A-Z]+)\$[0-9]+"))))</f>
        <v/>
      </c>
      <c r="U26" s="7" t="str" cm="1">
        <f t="array" aca="1" ref="U26" ca="1">IF(OR('Raw Data'!U26="",LEN(TRIM('Raw Data'!U26))=0,Validate_Empty!U26&lt;&gt;"",Validate_Value!U26&lt;&gt;""),"",IF(OR(NOT(OR(LEN(TRIM('Raw Data'!B26:X26))&gt;0)),OR('Raw Data'!T26="",LEN(TRIM('Raw Data'!T26))=0)),"",IF(ISNUMBER(SEARCH('Raw Data'!U26, Configuration!$H$2)),"",_xlfn.REGEXEXTRACT(CELL("address",'Raw Data'!U26),"\$([A-Z]+)\$[0-9]+"))))</f>
        <v/>
      </c>
      <c r="V26" s="7" t="str" cm="1">
        <f t="array" aca="1" ref="V26" ca="1">IF(OR('Raw Data'!V26="",LEN(TRIM('Raw Data'!V26))=0,Validate_Empty!V26&lt;&gt;"",Validate_Value!V26&lt;&gt;""),"",IF(OR(NOT(OR(LEN(TRIM('Raw Data'!B26:X26))&gt;0)),OR('Raw Data'!V26="",LEN(TRIM('Raw Data'!V26))=0)),"",IF('Raw Data'!V26 = Configuration!$I$2,"",_xlfn.REGEXEXTRACT(CELL("address",'Raw Data'!V26),"\$([A-Z]+)\$[0-9]+"))))</f>
        <v/>
      </c>
      <c r="W26" s="7"/>
      <c r="X26" s="7"/>
    </row>
    <row r="27" spans="2:24" x14ac:dyDescent="0.25">
      <c r="B27" s="7"/>
      <c r="C27" s="7" t="str" cm="1">
        <f t="array" aca="1" ref="C27" ca="1">IF(OR('Raw Data'!C27="",LEN(TRIM('Raw Data'!C27))=0,Validate_Empty!C27&lt;&gt;"",Validate_Value!C27&lt;&gt;""),"",IF(OR(NOT(OR(LEN(TRIM('Raw Data'!B27:X27))&gt;0)),OR('Raw Data'!C27="",LEN(TRIM('Raw Data'!C27))=0)),"",IF(OR(AND('Raw Data'!B27="Main Contract", LEFT('Raw Data'!C27, LEN("Payment"))="Payment"),AND('Raw Data'!B27="Change Order", LEFT('Raw Data'!C27, LEN("CO Payment No."))="CO Payment No.")),"",_xlfn.REGEXEXTRACT(CELL("address",'Raw Data'!C27),"\$([A-Z]+)\$[0-9]+"))))</f>
        <v/>
      </c>
      <c r="D27" s="7"/>
      <c r="E27" s="7"/>
      <c r="F27" s="7"/>
      <c r="G27" s="7"/>
      <c r="H27" s="7"/>
      <c r="I27" s="7"/>
      <c r="J27" s="7"/>
      <c r="K27" s="7"/>
      <c r="L27" s="7"/>
      <c r="M27" s="7" t="str" cm="1">
        <f t="array" aca="1" ref="M27" ca="1">IF(OR('Raw Data'!M27="",LEN(TRIM('Raw Data'!M27))=0,Validate_Empty!M27&lt;&gt;"",Validate_Value!M27&lt;&gt;""),"",IF(OR(NOT(OR(LEN(TRIM('Raw Data'!B27:X27))&gt;0)),OR('Raw Data'!M27="",LEN(TRIM('Raw Data'!M27))=0)),"",IF('Raw Data'!M27 = SUM('Raw Data'!K27:L27),"",_xlfn.REGEXEXTRACT(CELL("address",'Raw Data'!M27),"\$([A-Z]+)\$[0-9]+"))))</f>
        <v/>
      </c>
      <c r="N27" s="7"/>
      <c r="O27" s="7"/>
      <c r="P27" s="7" t="str" cm="1">
        <f t="array" aca="1" ref="P27" ca="1">IF(OR('Raw Data'!P27="",LEN(TRIM('Raw Data'!P27))=0,Validate_Empty!P27&lt;&gt;"",Validate_Value!P27&lt;&gt;""),"",IF(OR(NOT(OR(LEN(TRIM('Raw Data'!B27:X27))&gt;0)),OR('Raw Data'!P27="",LEN(TRIM('Raw Data'!P27))=0)),"",IF(AND('Raw Data'!J27 + Configuration!$G$2 + 5 &gt;= 'Raw Data'!P27,'Raw Data'!J27 + Configuration!$G$2 - 5 &lt;= 'Raw Data'!P27),"",_xlfn.REGEXEXTRACT(CELL("address",'Raw Data'!P27),"\$([A-Z]+)\$[0-9]+"))))</f>
        <v/>
      </c>
      <c r="Q27" s="7"/>
      <c r="R27" s="7"/>
      <c r="S27" s="7"/>
      <c r="T27" s="7" t="str" cm="1">
        <f t="array" aca="1" ref="T27" ca="1">IF(OR('Raw Data'!T27="",LEN(TRIM('Raw Data'!T27))=0,Validate_Empty!T27&lt;&gt;"",Validate_Value!T27&lt;&gt;""),"",IF(OR(NOT(OR(LEN(TRIM('Raw Data'!B27:X27))&gt;0)),OR('Raw Data'!T27="",LEN(TRIM('Raw Data'!T27))=0)),"",IF('Raw Data'!T27 = SUM('Raw Data'!R27:S27),"",_xlfn.REGEXEXTRACT(CELL("address",'Raw Data'!T27),"\$([A-Z]+)\$[0-9]+"))))</f>
        <v/>
      </c>
      <c r="U27" s="7" t="str" cm="1">
        <f t="array" aca="1" ref="U27" ca="1">IF(OR('Raw Data'!U27="",LEN(TRIM('Raw Data'!U27))=0,Validate_Empty!U27&lt;&gt;"",Validate_Value!U27&lt;&gt;""),"",IF(OR(NOT(OR(LEN(TRIM('Raw Data'!B27:X27))&gt;0)),OR('Raw Data'!T27="",LEN(TRIM('Raw Data'!T27))=0)),"",IF(ISNUMBER(SEARCH('Raw Data'!U27, Configuration!$H$2)),"",_xlfn.REGEXEXTRACT(CELL("address",'Raw Data'!U27),"\$([A-Z]+)\$[0-9]+"))))</f>
        <v/>
      </c>
      <c r="V27" s="7" t="str" cm="1">
        <f t="array" aca="1" ref="V27" ca="1">IF(OR('Raw Data'!V27="",LEN(TRIM('Raw Data'!V27))=0,Validate_Empty!V27&lt;&gt;"",Validate_Value!V27&lt;&gt;""),"",IF(OR(NOT(OR(LEN(TRIM('Raw Data'!B27:X27))&gt;0)),OR('Raw Data'!V27="",LEN(TRIM('Raw Data'!V27))=0)),"",IF('Raw Data'!V27 = Configuration!$I$2,"",_xlfn.REGEXEXTRACT(CELL("address",'Raw Data'!V27),"\$([A-Z]+)\$[0-9]+"))))</f>
        <v/>
      </c>
      <c r="W27" s="7"/>
      <c r="X27" s="7"/>
    </row>
    <row r="28" spans="2:24" x14ac:dyDescent="0.25">
      <c r="B28" s="7"/>
      <c r="C28" s="7" t="str" cm="1">
        <f t="array" aca="1" ref="C28" ca="1">IF(OR('Raw Data'!C28="",LEN(TRIM('Raw Data'!C28))=0,Validate_Empty!C28&lt;&gt;"",Validate_Value!C28&lt;&gt;""),"",IF(OR(NOT(OR(LEN(TRIM('Raw Data'!B28:X28))&gt;0)),OR('Raw Data'!C28="",LEN(TRIM('Raw Data'!C28))=0)),"",IF(OR(AND('Raw Data'!B28="Main Contract", LEFT('Raw Data'!C28, LEN("Payment"))="Payment"),AND('Raw Data'!B28="Change Order", LEFT('Raw Data'!C28, LEN("CO Payment No."))="CO Payment No.")),"",_xlfn.REGEXEXTRACT(CELL("address",'Raw Data'!C28),"\$([A-Z]+)\$[0-9]+"))))</f>
        <v/>
      </c>
      <c r="D28" s="7"/>
      <c r="E28" s="7"/>
      <c r="F28" s="7"/>
      <c r="G28" s="7"/>
      <c r="H28" s="7"/>
      <c r="I28" s="7"/>
      <c r="J28" s="7"/>
      <c r="K28" s="7"/>
      <c r="L28" s="7"/>
      <c r="M28" s="7" t="str" cm="1">
        <f t="array" aca="1" ref="M28" ca="1">IF(OR('Raw Data'!M28="",LEN(TRIM('Raw Data'!M28))=0,Validate_Empty!M28&lt;&gt;"",Validate_Value!M28&lt;&gt;""),"",IF(OR(NOT(OR(LEN(TRIM('Raw Data'!B28:X28))&gt;0)),OR('Raw Data'!M28="",LEN(TRIM('Raw Data'!M28))=0)),"",IF('Raw Data'!M28 = SUM('Raw Data'!K28:L28),"",_xlfn.REGEXEXTRACT(CELL("address",'Raw Data'!M28),"\$([A-Z]+)\$[0-9]+"))))</f>
        <v/>
      </c>
      <c r="N28" s="7"/>
      <c r="O28" s="7"/>
      <c r="P28" s="7" t="str" cm="1">
        <f t="array" aca="1" ref="P28" ca="1">IF(OR('Raw Data'!P28="",LEN(TRIM('Raw Data'!P28))=0,Validate_Empty!P28&lt;&gt;"",Validate_Value!P28&lt;&gt;""),"",IF(OR(NOT(OR(LEN(TRIM('Raw Data'!B28:X28))&gt;0)),OR('Raw Data'!P28="",LEN(TRIM('Raw Data'!P28))=0)),"",IF(AND('Raw Data'!J28 + Configuration!$G$2 + 5 &gt;= 'Raw Data'!P28,'Raw Data'!J28 + Configuration!$G$2 - 5 &lt;= 'Raw Data'!P28),"",_xlfn.REGEXEXTRACT(CELL("address",'Raw Data'!P28),"\$([A-Z]+)\$[0-9]+"))))</f>
        <v/>
      </c>
      <c r="Q28" s="7"/>
      <c r="R28" s="7"/>
      <c r="S28" s="7"/>
      <c r="T28" s="7" t="str" cm="1">
        <f t="array" aca="1" ref="T28" ca="1">IF(OR('Raw Data'!T28="",LEN(TRIM('Raw Data'!T28))=0,Validate_Empty!T28&lt;&gt;"",Validate_Value!T28&lt;&gt;""),"",IF(OR(NOT(OR(LEN(TRIM('Raw Data'!B28:X28))&gt;0)),OR('Raw Data'!T28="",LEN(TRIM('Raw Data'!T28))=0)),"",IF('Raw Data'!T28 = SUM('Raw Data'!R28:S28),"",_xlfn.REGEXEXTRACT(CELL("address",'Raw Data'!T28),"\$([A-Z]+)\$[0-9]+"))))</f>
        <v/>
      </c>
      <c r="U28" s="7" t="str" cm="1">
        <f t="array" aca="1" ref="U28" ca="1">IF(OR('Raw Data'!U28="",LEN(TRIM('Raw Data'!U28))=0,Validate_Empty!U28&lt;&gt;"",Validate_Value!U28&lt;&gt;""),"",IF(OR(NOT(OR(LEN(TRIM('Raw Data'!B28:X28))&gt;0)),OR('Raw Data'!T28="",LEN(TRIM('Raw Data'!T28))=0)),"",IF(ISNUMBER(SEARCH('Raw Data'!U28, Configuration!$H$2)),"",_xlfn.REGEXEXTRACT(CELL("address",'Raw Data'!U28),"\$([A-Z]+)\$[0-9]+"))))</f>
        <v/>
      </c>
      <c r="V28" s="7" t="str" cm="1">
        <f t="array" aca="1" ref="V28" ca="1">IF(OR('Raw Data'!V28="",LEN(TRIM('Raw Data'!V28))=0,Validate_Empty!V28&lt;&gt;"",Validate_Value!V28&lt;&gt;""),"",IF(OR(NOT(OR(LEN(TRIM('Raw Data'!B28:X28))&gt;0)),OR('Raw Data'!V28="",LEN(TRIM('Raw Data'!V28))=0)),"",IF('Raw Data'!V28 = Configuration!$I$2,"",_xlfn.REGEXEXTRACT(CELL("address",'Raw Data'!V28),"\$([A-Z]+)\$[0-9]+"))))</f>
        <v/>
      </c>
      <c r="W28" s="7"/>
      <c r="X28" s="7"/>
    </row>
    <row r="29" spans="2:24" x14ac:dyDescent="0.25">
      <c r="B29" s="7"/>
      <c r="C29" s="7" t="str" cm="1">
        <f t="array" aca="1" ref="C29" ca="1">IF(OR('Raw Data'!C29="",LEN(TRIM('Raw Data'!C29))=0,Validate_Empty!C29&lt;&gt;"",Validate_Value!C29&lt;&gt;""),"",IF(OR(NOT(OR(LEN(TRIM('Raw Data'!B29:X29))&gt;0)),OR('Raw Data'!C29="",LEN(TRIM('Raw Data'!C29))=0)),"",IF(OR(AND('Raw Data'!B29="Main Contract", LEFT('Raw Data'!C29, LEN("Payment"))="Payment"),AND('Raw Data'!B29="Change Order", LEFT('Raw Data'!C29, LEN("CO Payment No."))="CO Payment No.")),"",_xlfn.REGEXEXTRACT(CELL("address",'Raw Data'!C29),"\$([A-Z]+)\$[0-9]+"))))</f>
        <v/>
      </c>
      <c r="D29" s="7"/>
      <c r="E29" s="7"/>
      <c r="F29" s="7"/>
      <c r="G29" s="7"/>
      <c r="H29" s="7"/>
      <c r="I29" s="7"/>
      <c r="J29" s="7"/>
      <c r="K29" s="7"/>
      <c r="L29" s="7"/>
      <c r="M29" s="7" t="str" cm="1">
        <f t="array" aca="1" ref="M29" ca="1">IF(OR('Raw Data'!M29="",LEN(TRIM('Raw Data'!M29))=0,Validate_Empty!M29&lt;&gt;"",Validate_Value!M29&lt;&gt;""),"",IF(OR(NOT(OR(LEN(TRIM('Raw Data'!B29:X29))&gt;0)),OR('Raw Data'!M29="",LEN(TRIM('Raw Data'!M29))=0)),"",IF('Raw Data'!M29 = SUM('Raw Data'!K29:L29),"",_xlfn.REGEXEXTRACT(CELL("address",'Raw Data'!M29),"\$([A-Z]+)\$[0-9]+"))))</f>
        <v/>
      </c>
      <c r="N29" s="7"/>
      <c r="O29" s="7"/>
      <c r="P29" s="7" t="str" cm="1">
        <f t="array" aca="1" ref="P29" ca="1">IF(OR('Raw Data'!P29="",LEN(TRIM('Raw Data'!P29))=0,Validate_Empty!P29&lt;&gt;"",Validate_Value!P29&lt;&gt;""),"",IF(OR(NOT(OR(LEN(TRIM('Raw Data'!B29:X29))&gt;0)),OR('Raw Data'!P29="",LEN(TRIM('Raw Data'!P29))=0)),"",IF(AND('Raw Data'!J29 + Configuration!$G$2 + 5 &gt;= 'Raw Data'!P29,'Raw Data'!J29 + Configuration!$G$2 - 5 &lt;= 'Raw Data'!P29),"",_xlfn.REGEXEXTRACT(CELL("address",'Raw Data'!P29),"\$([A-Z]+)\$[0-9]+"))))</f>
        <v/>
      </c>
      <c r="Q29" s="7"/>
      <c r="R29" s="7"/>
      <c r="S29" s="7"/>
      <c r="T29" s="7" t="str" cm="1">
        <f t="array" aca="1" ref="T29" ca="1">IF(OR('Raw Data'!T29="",LEN(TRIM('Raw Data'!T29))=0,Validate_Empty!T29&lt;&gt;"",Validate_Value!T29&lt;&gt;""),"",IF(OR(NOT(OR(LEN(TRIM('Raw Data'!B29:X29))&gt;0)),OR('Raw Data'!T29="",LEN(TRIM('Raw Data'!T29))=0)),"",IF('Raw Data'!T29 = SUM('Raw Data'!R29:S29),"",_xlfn.REGEXEXTRACT(CELL("address",'Raw Data'!T29),"\$([A-Z]+)\$[0-9]+"))))</f>
        <v/>
      </c>
      <c r="U29" s="7" t="str" cm="1">
        <f t="array" aca="1" ref="U29" ca="1">IF(OR('Raw Data'!U29="",LEN(TRIM('Raw Data'!U29))=0,Validate_Empty!U29&lt;&gt;"",Validate_Value!U29&lt;&gt;""),"",IF(OR(NOT(OR(LEN(TRIM('Raw Data'!B29:X29))&gt;0)),OR('Raw Data'!T29="",LEN(TRIM('Raw Data'!T29))=0)),"",IF(ISNUMBER(SEARCH('Raw Data'!U29, Configuration!$H$2)),"",_xlfn.REGEXEXTRACT(CELL("address",'Raw Data'!U29),"\$([A-Z]+)\$[0-9]+"))))</f>
        <v/>
      </c>
      <c r="V29" s="7" t="str" cm="1">
        <f t="array" aca="1" ref="V29" ca="1">IF(OR('Raw Data'!V29="",LEN(TRIM('Raw Data'!V29))=0,Validate_Empty!V29&lt;&gt;"",Validate_Value!V29&lt;&gt;""),"",IF(OR(NOT(OR(LEN(TRIM('Raw Data'!B29:X29))&gt;0)),OR('Raw Data'!V29="",LEN(TRIM('Raw Data'!V29))=0)),"",IF('Raw Data'!V29 = Configuration!$I$2,"",_xlfn.REGEXEXTRACT(CELL("address",'Raw Data'!V29),"\$([A-Z]+)\$[0-9]+"))))</f>
        <v/>
      </c>
      <c r="W29" s="7"/>
      <c r="X29" s="7"/>
    </row>
    <row r="30" spans="2:24" x14ac:dyDescent="0.25">
      <c r="B30" s="7"/>
      <c r="C30" s="7" t="str" cm="1">
        <f t="array" aca="1" ref="C30" ca="1">IF(OR('Raw Data'!C30="",LEN(TRIM('Raw Data'!C30))=0,Validate_Empty!C30&lt;&gt;"",Validate_Value!C30&lt;&gt;""),"",IF(OR(NOT(OR(LEN(TRIM('Raw Data'!B30:X30))&gt;0)),OR('Raw Data'!C30="",LEN(TRIM('Raw Data'!C30))=0)),"",IF(OR(AND('Raw Data'!B30="Main Contract", LEFT('Raw Data'!C30, LEN("Payment"))="Payment"),AND('Raw Data'!B30="Change Order", LEFT('Raw Data'!C30, LEN("CO Payment No."))="CO Payment No.")),"",_xlfn.REGEXEXTRACT(CELL("address",'Raw Data'!C30),"\$([A-Z]+)\$[0-9]+"))))</f>
        <v/>
      </c>
      <c r="D30" s="7"/>
      <c r="E30" s="7"/>
      <c r="F30" s="7"/>
      <c r="G30" s="7"/>
      <c r="H30" s="7"/>
      <c r="I30" s="7"/>
      <c r="J30" s="7"/>
      <c r="K30" s="7"/>
      <c r="L30" s="7"/>
      <c r="M30" s="7" t="str" cm="1">
        <f t="array" aca="1" ref="M30" ca="1">IF(OR('Raw Data'!M30="",LEN(TRIM('Raw Data'!M30))=0,Validate_Empty!M30&lt;&gt;"",Validate_Value!M30&lt;&gt;""),"",IF(OR(NOT(OR(LEN(TRIM('Raw Data'!B30:X30))&gt;0)),OR('Raw Data'!M30="",LEN(TRIM('Raw Data'!M30))=0)),"",IF('Raw Data'!M30 = SUM('Raw Data'!K30:L30),"",_xlfn.REGEXEXTRACT(CELL("address",'Raw Data'!M30),"\$([A-Z]+)\$[0-9]+"))))</f>
        <v/>
      </c>
      <c r="N30" s="7"/>
      <c r="O30" s="7"/>
      <c r="P30" s="7" t="str" cm="1">
        <f t="array" aca="1" ref="P30" ca="1">IF(OR('Raw Data'!P30="",LEN(TRIM('Raw Data'!P30))=0,Validate_Empty!P30&lt;&gt;"",Validate_Value!P30&lt;&gt;""),"",IF(OR(NOT(OR(LEN(TRIM('Raw Data'!B30:X30))&gt;0)),OR('Raw Data'!P30="",LEN(TRIM('Raw Data'!P30))=0)),"",IF(AND('Raw Data'!J30 + Configuration!$G$2 + 5 &gt;= 'Raw Data'!P30,'Raw Data'!J30 + Configuration!$G$2 - 5 &lt;= 'Raw Data'!P30),"",_xlfn.REGEXEXTRACT(CELL("address",'Raw Data'!P30),"\$([A-Z]+)\$[0-9]+"))))</f>
        <v/>
      </c>
      <c r="Q30" s="7"/>
      <c r="R30" s="7"/>
      <c r="S30" s="7"/>
      <c r="T30" s="7" t="str" cm="1">
        <f t="array" aca="1" ref="T30" ca="1">IF(OR('Raw Data'!T30="",LEN(TRIM('Raw Data'!T30))=0,Validate_Empty!T30&lt;&gt;"",Validate_Value!T30&lt;&gt;""),"",IF(OR(NOT(OR(LEN(TRIM('Raw Data'!B30:X30))&gt;0)),OR('Raw Data'!T30="",LEN(TRIM('Raw Data'!T30))=0)),"",IF('Raw Data'!T30 = SUM('Raw Data'!R30:S30),"",_xlfn.REGEXEXTRACT(CELL("address",'Raw Data'!T30),"\$([A-Z]+)\$[0-9]+"))))</f>
        <v/>
      </c>
      <c r="U30" s="7" t="str" cm="1">
        <f t="array" aca="1" ref="U30" ca="1">IF(OR('Raw Data'!U30="",LEN(TRIM('Raw Data'!U30))=0,Validate_Empty!U30&lt;&gt;"",Validate_Value!U30&lt;&gt;""),"",IF(OR(NOT(OR(LEN(TRIM('Raw Data'!B30:X30))&gt;0)),OR('Raw Data'!T30="",LEN(TRIM('Raw Data'!T30))=0)),"",IF(ISNUMBER(SEARCH('Raw Data'!U30, Configuration!$H$2)),"",_xlfn.REGEXEXTRACT(CELL("address",'Raw Data'!U30),"\$([A-Z]+)\$[0-9]+"))))</f>
        <v/>
      </c>
      <c r="V30" s="7" t="str" cm="1">
        <f t="array" aca="1" ref="V30" ca="1">IF(OR('Raw Data'!V30="",LEN(TRIM('Raw Data'!V30))=0,Validate_Empty!V30&lt;&gt;"",Validate_Value!V30&lt;&gt;""),"",IF(OR(NOT(OR(LEN(TRIM('Raw Data'!B30:X30))&gt;0)),OR('Raw Data'!V30="",LEN(TRIM('Raw Data'!V30))=0)),"",IF('Raw Data'!V30 = Configuration!$I$2,"",_xlfn.REGEXEXTRACT(CELL("address",'Raw Data'!V30),"\$([A-Z]+)\$[0-9]+"))))</f>
        <v/>
      </c>
      <c r="W30" s="7"/>
      <c r="X30" s="7"/>
    </row>
    <row r="31" spans="2:24" x14ac:dyDescent="0.25">
      <c r="B31" s="7"/>
      <c r="C31" s="7" t="str" cm="1">
        <f t="array" aca="1" ref="C31" ca="1">IF(OR('Raw Data'!C31="",LEN(TRIM('Raw Data'!C31))=0,Validate_Empty!C31&lt;&gt;"",Validate_Value!C31&lt;&gt;""),"",IF(OR(NOT(OR(LEN(TRIM('Raw Data'!B31:X31))&gt;0)),OR('Raw Data'!C31="",LEN(TRIM('Raw Data'!C31))=0)),"",IF(OR(AND('Raw Data'!B31="Main Contract", LEFT('Raw Data'!C31, LEN("Payment"))="Payment"),AND('Raw Data'!B31="Change Order", LEFT('Raw Data'!C31, LEN("CO Payment No."))="CO Payment No.")),"",_xlfn.REGEXEXTRACT(CELL("address",'Raw Data'!C31),"\$([A-Z]+)\$[0-9]+"))))</f>
        <v/>
      </c>
      <c r="D31" s="7"/>
      <c r="E31" s="7"/>
      <c r="F31" s="7"/>
      <c r="G31" s="7"/>
      <c r="H31" s="7"/>
      <c r="I31" s="7"/>
      <c r="J31" s="7"/>
      <c r="K31" s="7"/>
      <c r="L31" s="7"/>
      <c r="M31" s="7" t="str" cm="1">
        <f t="array" aca="1" ref="M31" ca="1">IF(OR('Raw Data'!M31="",LEN(TRIM('Raw Data'!M31))=0,Validate_Empty!M31&lt;&gt;"",Validate_Value!M31&lt;&gt;""),"",IF(OR(NOT(OR(LEN(TRIM('Raw Data'!B31:X31))&gt;0)),OR('Raw Data'!M31="",LEN(TRIM('Raw Data'!M31))=0)),"",IF('Raw Data'!M31 = SUM('Raw Data'!K31:L31),"",_xlfn.REGEXEXTRACT(CELL("address",'Raw Data'!M31),"\$([A-Z]+)\$[0-9]+"))))</f>
        <v/>
      </c>
      <c r="N31" s="7"/>
      <c r="O31" s="7"/>
      <c r="P31" s="7" t="str" cm="1">
        <f t="array" aca="1" ref="P31" ca="1">IF(OR('Raw Data'!P31="",LEN(TRIM('Raw Data'!P31))=0,Validate_Empty!P31&lt;&gt;"",Validate_Value!P31&lt;&gt;""),"",IF(OR(NOT(OR(LEN(TRIM('Raw Data'!B31:X31))&gt;0)),OR('Raw Data'!P31="",LEN(TRIM('Raw Data'!P31))=0)),"",IF(AND('Raw Data'!J31 + Configuration!$G$2 + 5 &gt;= 'Raw Data'!P31,'Raw Data'!J31 + Configuration!$G$2 - 5 &lt;= 'Raw Data'!P31),"",_xlfn.REGEXEXTRACT(CELL("address",'Raw Data'!P31),"\$([A-Z]+)\$[0-9]+"))))</f>
        <v/>
      </c>
      <c r="Q31" s="7"/>
      <c r="R31" s="7"/>
      <c r="S31" s="7"/>
      <c r="T31" s="7" t="str" cm="1">
        <f t="array" aca="1" ref="T31" ca="1">IF(OR('Raw Data'!T31="",LEN(TRIM('Raw Data'!T31))=0,Validate_Empty!T31&lt;&gt;"",Validate_Value!T31&lt;&gt;""),"",IF(OR(NOT(OR(LEN(TRIM('Raw Data'!B31:X31))&gt;0)),OR('Raw Data'!T31="",LEN(TRIM('Raw Data'!T31))=0)),"",IF('Raw Data'!T31 = SUM('Raw Data'!R31:S31),"",_xlfn.REGEXEXTRACT(CELL("address",'Raw Data'!T31),"\$([A-Z]+)\$[0-9]+"))))</f>
        <v/>
      </c>
      <c r="U31" s="7" t="str" cm="1">
        <f t="array" aca="1" ref="U31" ca="1">IF(OR('Raw Data'!U31="",LEN(TRIM('Raw Data'!U31))=0,Validate_Empty!U31&lt;&gt;"",Validate_Value!U31&lt;&gt;""),"",IF(OR(NOT(OR(LEN(TRIM('Raw Data'!B31:X31))&gt;0)),OR('Raw Data'!T31="",LEN(TRIM('Raw Data'!T31))=0)),"",IF(ISNUMBER(SEARCH('Raw Data'!U31, Configuration!$H$2)),"",_xlfn.REGEXEXTRACT(CELL("address",'Raw Data'!U31),"\$([A-Z]+)\$[0-9]+"))))</f>
        <v/>
      </c>
      <c r="V31" s="7" t="str" cm="1">
        <f t="array" aca="1" ref="V31" ca="1">IF(OR('Raw Data'!V31="",LEN(TRIM('Raw Data'!V31))=0,Validate_Empty!V31&lt;&gt;"",Validate_Value!V31&lt;&gt;""),"",IF(OR(NOT(OR(LEN(TRIM('Raw Data'!B31:X31))&gt;0)),OR('Raw Data'!V31="",LEN(TRIM('Raw Data'!V31))=0)),"",IF('Raw Data'!V31 = Configuration!$I$2,"",_xlfn.REGEXEXTRACT(CELL("address",'Raw Data'!V31),"\$([A-Z]+)\$[0-9]+"))))</f>
        <v/>
      </c>
      <c r="W31" s="7"/>
      <c r="X31" s="7"/>
    </row>
    <row r="32" spans="2:24" x14ac:dyDescent="0.25">
      <c r="B32" s="7"/>
      <c r="C32" s="7" t="str" cm="1">
        <f t="array" aca="1" ref="C32" ca="1">IF(OR('Raw Data'!C32="",LEN(TRIM('Raw Data'!C32))=0,Validate_Empty!C32&lt;&gt;"",Validate_Value!C32&lt;&gt;""),"",IF(OR(NOT(OR(LEN(TRIM('Raw Data'!B32:X32))&gt;0)),OR('Raw Data'!C32="",LEN(TRIM('Raw Data'!C32))=0)),"",IF(OR(AND('Raw Data'!B32="Main Contract", LEFT('Raw Data'!C32, LEN("Payment"))="Payment"),AND('Raw Data'!B32="Change Order", LEFT('Raw Data'!C32, LEN("CO Payment No."))="CO Payment No.")),"",_xlfn.REGEXEXTRACT(CELL("address",'Raw Data'!C32),"\$([A-Z]+)\$[0-9]+"))))</f>
        <v/>
      </c>
      <c r="D32" s="7"/>
      <c r="E32" s="7"/>
      <c r="F32" s="7"/>
      <c r="G32" s="7"/>
      <c r="H32" s="7"/>
      <c r="I32" s="7"/>
      <c r="J32" s="7"/>
      <c r="K32" s="7"/>
      <c r="L32" s="7"/>
      <c r="M32" s="7" t="str" cm="1">
        <f t="array" aca="1" ref="M32" ca="1">IF(OR('Raw Data'!M32="",LEN(TRIM('Raw Data'!M32))=0,Validate_Empty!M32&lt;&gt;"",Validate_Value!M32&lt;&gt;""),"",IF(OR(NOT(OR(LEN(TRIM('Raw Data'!B32:X32))&gt;0)),OR('Raw Data'!M32="",LEN(TRIM('Raw Data'!M32))=0)),"",IF('Raw Data'!M32 = SUM('Raw Data'!K32:L32),"",_xlfn.REGEXEXTRACT(CELL("address",'Raw Data'!M32),"\$([A-Z]+)\$[0-9]+"))))</f>
        <v/>
      </c>
      <c r="N32" s="7"/>
      <c r="O32" s="7"/>
      <c r="P32" s="7" t="str" cm="1">
        <f t="array" aca="1" ref="P32" ca="1">IF(OR('Raw Data'!P32="",LEN(TRIM('Raw Data'!P32))=0,Validate_Empty!P32&lt;&gt;"",Validate_Value!P32&lt;&gt;""),"",IF(OR(NOT(OR(LEN(TRIM('Raw Data'!B32:X32))&gt;0)),OR('Raw Data'!P32="",LEN(TRIM('Raw Data'!P32))=0)),"",IF(AND('Raw Data'!J32 + Configuration!$G$2 + 5 &gt;= 'Raw Data'!P32,'Raw Data'!J32 + Configuration!$G$2 - 5 &lt;= 'Raw Data'!P32),"",_xlfn.REGEXEXTRACT(CELL("address",'Raw Data'!P32),"\$([A-Z]+)\$[0-9]+"))))</f>
        <v/>
      </c>
      <c r="Q32" s="7"/>
      <c r="R32" s="7"/>
      <c r="S32" s="7"/>
      <c r="T32" s="7" t="str" cm="1">
        <f t="array" aca="1" ref="T32" ca="1">IF(OR('Raw Data'!T32="",LEN(TRIM('Raw Data'!T32))=0,Validate_Empty!T32&lt;&gt;"",Validate_Value!T32&lt;&gt;""),"",IF(OR(NOT(OR(LEN(TRIM('Raw Data'!B32:X32))&gt;0)),OR('Raw Data'!T32="",LEN(TRIM('Raw Data'!T32))=0)),"",IF('Raw Data'!T32 = SUM('Raw Data'!R32:S32),"",_xlfn.REGEXEXTRACT(CELL("address",'Raw Data'!T32),"\$([A-Z]+)\$[0-9]+"))))</f>
        <v/>
      </c>
      <c r="U32" s="7" t="str" cm="1">
        <f t="array" aca="1" ref="U32" ca="1">IF(OR('Raw Data'!U32="",LEN(TRIM('Raw Data'!U32))=0,Validate_Empty!U32&lt;&gt;"",Validate_Value!U32&lt;&gt;""),"",IF(OR(NOT(OR(LEN(TRIM('Raw Data'!B32:X32))&gt;0)),OR('Raw Data'!T32="",LEN(TRIM('Raw Data'!T32))=0)),"",IF(ISNUMBER(SEARCH('Raw Data'!U32, Configuration!$H$2)),"",_xlfn.REGEXEXTRACT(CELL("address",'Raw Data'!U32),"\$([A-Z]+)\$[0-9]+"))))</f>
        <v/>
      </c>
      <c r="V32" s="7" t="str" cm="1">
        <f t="array" aca="1" ref="V32" ca="1">IF(OR('Raw Data'!V32="",LEN(TRIM('Raw Data'!V32))=0,Validate_Empty!V32&lt;&gt;"",Validate_Value!V32&lt;&gt;""),"",IF(OR(NOT(OR(LEN(TRIM('Raw Data'!B32:X32))&gt;0)),OR('Raw Data'!V32="",LEN(TRIM('Raw Data'!V32))=0)),"",IF('Raw Data'!V32 = Configuration!$I$2,"",_xlfn.REGEXEXTRACT(CELL("address",'Raw Data'!V32),"\$([A-Z]+)\$[0-9]+"))))</f>
        <v/>
      </c>
      <c r="W32" s="7"/>
      <c r="X32" s="7"/>
    </row>
    <row r="33" spans="2:24" x14ac:dyDescent="0.25">
      <c r="B33" s="7"/>
      <c r="C33" s="7" t="str" cm="1">
        <f t="array" aca="1" ref="C33" ca="1">IF(OR('Raw Data'!C33="",LEN(TRIM('Raw Data'!C33))=0,Validate_Empty!C33&lt;&gt;"",Validate_Value!C33&lt;&gt;""),"",IF(OR(NOT(OR(LEN(TRIM('Raw Data'!B33:X33))&gt;0)),OR('Raw Data'!C33="",LEN(TRIM('Raw Data'!C33))=0)),"",IF(OR(AND('Raw Data'!B33="Main Contract", LEFT('Raw Data'!C33, LEN("Payment"))="Payment"),AND('Raw Data'!B33="Change Order", LEFT('Raw Data'!C33, LEN("CO Payment No."))="CO Payment No.")),"",_xlfn.REGEXEXTRACT(CELL("address",'Raw Data'!C33),"\$([A-Z]+)\$[0-9]+"))))</f>
        <v/>
      </c>
      <c r="D33" s="7"/>
      <c r="E33" s="7"/>
      <c r="F33" s="7"/>
      <c r="G33" s="7"/>
      <c r="H33" s="7"/>
      <c r="I33" s="7"/>
      <c r="J33" s="7"/>
      <c r="K33" s="7"/>
      <c r="L33" s="7"/>
      <c r="M33" s="7" t="str" cm="1">
        <f t="array" aca="1" ref="M33" ca="1">IF(OR('Raw Data'!M33="",LEN(TRIM('Raw Data'!M33))=0,Validate_Empty!M33&lt;&gt;"",Validate_Value!M33&lt;&gt;""),"",IF(OR(NOT(OR(LEN(TRIM('Raw Data'!B33:X33))&gt;0)),OR('Raw Data'!M33="",LEN(TRIM('Raw Data'!M33))=0)),"",IF('Raw Data'!M33 = SUM('Raw Data'!K33:L33),"",_xlfn.REGEXEXTRACT(CELL("address",'Raw Data'!M33),"\$([A-Z]+)\$[0-9]+"))))</f>
        <v/>
      </c>
      <c r="N33" s="7"/>
      <c r="O33" s="7"/>
      <c r="P33" s="7" t="str" cm="1">
        <f t="array" aca="1" ref="P33" ca="1">IF(OR('Raw Data'!P33="",LEN(TRIM('Raw Data'!P33))=0,Validate_Empty!P33&lt;&gt;"",Validate_Value!P33&lt;&gt;""),"",IF(OR(NOT(OR(LEN(TRIM('Raw Data'!B33:X33))&gt;0)),OR('Raw Data'!P33="",LEN(TRIM('Raw Data'!P33))=0)),"",IF(AND('Raw Data'!J33 + Configuration!$G$2 + 5 &gt;= 'Raw Data'!P33,'Raw Data'!J33 + Configuration!$G$2 - 5 &lt;= 'Raw Data'!P33),"",_xlfn.REGEXEXTRACT(CELL("address",'Raw Data'!P33),"\$([A-Z]+)\$[0-9]+"))))</f>
        <v/>
      </c>
      <c r="Q33" s="7"/>
      <c r="R33" s="7"/>
      <c r="S33" s="7"/>
      <c r="T33" s="7" t="str" cm="1">
        <f t="array" aca="1" ref="T33" ca="1">IF(OR('Raw Data'!T33="",LEN(TRIM('Raw Data'!T33))=0,Validate_Empty!T33&lt;&gt;"",Validate_Value!T33&lt;&gt;""),"",IF(OR(NOT(OR(LEN(TRIM('Raw Data'!B33:X33))&gt;0)),OR('Raw Data'!T33="",LEN(TRIM('Raw Data'!T33))=0)),"",IF('Raw Data'!T33 = SUM('Raw Data'!R33:S33),"",_xlfn.REGEXEXTRACT(CELL("address",'Raw Data'!T33),"\$([A-Z]+)\$[0-9]+"))))</f>
        <v/>
      </c>
      <c r="U33" s="7" t="str" cm="1">
        <f t="array" aca="1" ref="U33" ca="1">IF(OR('Raw Data'!U33="",LEN(TRIM('Raw Data'!U33))=0,Validate_Empty!U33&lt;&gt;"",Validate_Value!U33&lt;&gt;""),"",IF(OR(NOT(OR(LEN(TRIM('Raw Data'!B33:X33))&gt;0)),OR('Raw Data'!T33="",LEN(TRIM('Raw Data'!T33))=0)),"",IF(ISNUMBER(SEARCH('Raw Data'!U33, Configuration!$H$2)),"",_xlfn.REGEXEXTRACT(CELL("address",'Raw Data'!U33),"\$([A-Z]+)\$[0-9]+"))))</f>
        <v/>
      </c>
      <c r="V33" s="7" t="str" cm="1">
        <f t="array" aca="1" ref="V33" ca="1">IF(OR('Raw Data'!V33="",LEN(TRIM('Raw Data'!V33))=0,Validate_Empty!V33&lt;&gt;"",Validate_Value!V33&lt;&gt;""),"",IF(OR(NOT(OR(LEN(TRIM('Raw Data'!B33:X33))&gt;0)),OR('Raw Data'!V33="",LEN(TRIM('Raw Data'!V33))=0)),"",IF('Raw Data'!V33 = Configuration!$I$2,"",_xlfn.REGEXEXTRACT(CELL("address",'Raw Data'!V33),"\$([A-Z]+)\$[0-9]+"))))</f>
        <v/>
      </c>
      <c r="W33" s="7"/>
      <c r="X33" s="7"/>
    </row>
    <row r="34" spans="2:24" x14ac:dyDescent="0.25">
      <c r="B34" s="7"/>
      <c r="C34" s="7" t="str" cm="1">
        <f t="array" aca="1" ref="C34" ca="1">IF(OR('Raw Data'!C34="",LEN(TRIM('Raw Data'!C34))=0,Validate_Empty!C34&lt;&gt;"",Validate_Value!C34&lt;&gt;""),"",IF(OR(NOT(OR(LEN(TRIM('Raw Data'!B34:X34))&gt;0)),OR('Raw Data'!C34="",LEN(TRIM('Raw Data'!C34))=0)),"",IF(OR(AND('Raw Data'!B34="Main Contract", LEFT('Raw Data'!C34, LEN("Payment"))="Payment"),AND('Raw Data'!B34="Change Order", LEFT('Raw Data'!C34, LEN("CO Payment No."))="CO Payment No.")),"",_xlfn.REGEXEXTRACT(CELL("address",'Raw Data'!C34),"\$([A-Z]+)\$[0-9]+"))))</f>
        <v/>
      </c>
      <c r="D34" s="7"/>
      <c r="E34" s="7"/>
      <c r="F34" s="7"/>
      <c r="G34" s="7"/>
      <c r="H34" s="7"/>
      <c r="I34" s="7"/>
      <c r="J34" s="7"/>
      <c r="K34" s="7"/>
      <c r="L34" s="7"/>
      <c r="M34" s="7" t="str" cm="1">
        <f t="array" aca="1" ref="M34" ca="1">IF(OR('Raw Data'!M34="",LEN(TRIM('Raw Data'!M34))=0,Validate_Empty!M34&lt;&gt;"",Validate_Value!M34&lt;&gt;""),"",IF(OR(NOT(OR(LEN(TRIM('Raw Data'!B34:X34))&gt;0)),OR('Raw Data'!M34="",LEN(TRIM('Raw Data'!M34))=0)),"",IF('Raw Data'!M34 = SUM('Raw Data'!K34:L34),"",_xlfn.REGEXEXTRACT(CELL("address",'Raw Data'!M34),"\$([A-Z]+)\$[0-9]+"))))</f>
        <v/>
      </c>
      <c r="N34" s="7"/>
      <c r="O34" s="7"/>
      <c r="P34" s="7" t="str" cm="1">
        <f t="array" aca="1" ref="P34" ca="1">IF(OR('Raw Data'!P34="",LEN(TRIM('Raw Data'!P34))=0,Validate_Empty!P34&lt;&gt;"",Validate_Value!P34&lt;&gt;""),"",IF(OR(NOT(OR(LEN(TRIM('Raw Data'!B34:X34))&gt;0)),OR('Raw Data'!P34="",LEN(TRIM('Raw Data'!P34))=0)),"",IF(AND('Raw Data'!J34 + Configuration!$G$2 + 5 &gt;= 'Raw Data'!P34,'Raw Data'!J34 + Configuration!$G$2 - 5 &lt;= 'Raw Data'!P34),"",_xlfn.REGEXEXTRACT(CELL("address",'Raw Data'!P34),"\$([A-Z]+)\$[0-9]+"))))</f>
        <v/>
      </c>
      <c r="Q34" s="7"/>
      <c r="R34" s="7"/>
      <c r="S34" s="7"/>
      <c r="T34" s="7" t="str" cm="1">
        <f t="array" aca="1" ref="T34" ca="1">IF(OR('Raw Data'!T34="",LEN(TRIM('Raw Data'!T34))=0,Validate_Empty!T34&lt;&gt;"",Validate_Value!T34&lt;&gt;""),"",IF(OR(NOT(OR(LEN(TRIM('Raw Data'!B34:X34))&gt;0)),OR('Raw Data'!T34="",LEN(TRIM('Raw Data'!T34))=0)),"",IF('Raw Data'!T34 = SUM('Raw Data'!R34:S34),"",_xlfn.REGEXEXTRACT(CELL("address",'Raw Data'!T34),"\$([A-Z]+)\$[0-9]+"))))</f>
        <v/>
      </c>
      <c r="U34" s="7" t="str" cm="1">
        <f t="array" aca="1" ref="U34" ca="1">IF(OR('Raw Data'!U34="",LEN(TRIM('Raw Data'!U34))=0,Validate_Empty!U34&lt;&gt;"",Validate_Value!U34&lt;&gt;""),"",IF(OR(NOT(OR(LEN(TRIM('Raw Data'!B34:X34))&gt;0)),OR('Raw Data'!T34="",LEN(TRIM('Raw Data'!T34))=0)),"",IF(ISNUMBER(SEARCH('Raw Data'!U34, Configuration!$H$2)),"",_xlfn.REGEXEXTRACT(CELL("address",'Raw Data'!U34),"\$([A-Z]+)\$[0-9]+"))))</f>
        <v/>
      </c>
      <c r="V34" s="7" t="str" cm="1">
        <f t="array" aca="1" ref="V34" ca="1">IF(OR('Raw Data'!V34="",LEN(TRIM('Raw Data'!V34))=0,Validate_Empty!V34&lt;&gt;"",Validate_Value!V34&lt;&gt;""),"",IF(OR(NOT(OR(LEN(TRIM('Raw Data'!B34:X34))&gt;0)),OR('Raw Data'!V34="",LEN(TRIM('Raw Data'!V34))=0)),"",IF('Raw Data'!V34 = Configuration!$I$2,"",_xlfn.REGEXEXTRACT(CELL("address",'Raw Data'!V34),"\$([A-Z]+)\$[0-9]+"))))</f>
        <v/>
      </c>
      <c r="W34" s="7"/>
      <c r="X34" s="7"/>
    </row>
    <row r="35" spans="2:24" x14ac:dyDescent="0.25">
      <c r="B35" s="7"/>
      <c r="C35" s="7" t="str" cm="1">
        <f t="array" aca="1" ref="C35" ca="1">IF(OR('Raw Data'!C35="",LEN(TRIM('Raw Data'!C35))=0,Validate_Empty!C35&lt;&gt;"",Validate_Value!C35&lt;&gt;""),"",IF(OR(NOT(OR(LEN(TRIM('Raw Data'!B35:X35))&gt;0)),OR('Raw Data'!C35="",LEN(TRIM('Raw Data'!C35))=0)),"",IF(OR(AND('Raw Data'!B35="Main Contract", LEFT('Raw Data'!C35, LEN("Payment"))="Payment"),AND('Raw Data'!B35="Change Order", LEFT('Raw Data'!C35, LEN("CO Payment No."))="CO Payment No.")),"",_xlfn.REGEXEXTRACT(CELL("address",'Raw Data'!C35),"\$([A-Z]+)\$[0-9]+"))))</f>
        <v/>
      </c>
      <c r="D35" s="7"/>
      <c r="E35" s="7"/>
      <c r="F35" s="7"/>
      <c r="G35" s="7"/>
      <c r="H35" s="7"/>
      <c r="I35" s="7"/>
      <c r="J35" s="7"/>
      <c r="K35" s="7"/>
      <c r="L35" s="7"/>
      <c r="M35" s="7" t="str" cm="1">
        <f t="array" aca="1" ref="M35" ca="1">IF(OR('Raw Data'!M35="",LEN(TRIM('Raw Data'!M35))=0,Validate_Empty!M35&lt;&gt;"",Validate_Value!M35&lt;&gt;""),"",IF(OR(NOT(OR(LEN(TRIM('Raw Data'!B35:X35))&gt;0)),OR('Raw Data'!M35="",LEN(TRIM('Raw Data'!M35))=0)),"",IF('Raw Data'!M35 = SUM('Raw Data'!K35:L35),"",_xlfn.REGEXEXTRACT(CELL("address",'Raw Data'!M35),"\$([A-Z]+)\$[0-9]+"))))</f>
        <v/>
      </c>
      <c r="N35" s="7"/>
      <c r="O35" s="7"/>
      <c r="P35" s="7" t="str" cm="1">
        <f t="array" aca="1" ref="P35" ca="1">IF(OR('Raw Data'!P35="",LEN(TRIM('Raw Data'!P35))=0,Validate_Empty!P35&lt;&gt;"",Validate_Value!P35&lt;&gt;""),"",IF(OR(NOT(OR(LEN(TRIM('Raw Data'!B35:X35))&gt;0)),OR('Raw Data'!P35="",LEN(TRIM('Raw Data'!P35))=0)),"",IF(AND('Raw Data'!J35 + Configuration!$G$2 + 5 &gt;= 'Raw Data'!P35,'Raw Data'!J35 + Configuration!$G$2 - 5 &lt;= 'Raw Data'!P35),"",_xlfn.REGEXEXTRACT(CELL("address",'Raw Data'!P35),"\$([A-Z]+)\$[0-9]+"))))</f>
        <v/>
      </c>
      <c r="Q35" s="7"/>
      <c r="R35" s="7"/>
      <c r="S35" s="7"/>
      <c r="T35" s="7" t="str" cm="1">
        <f t="array" aca="1" ref="T35" ca="1">IF(OR('Raw Data'!T35="",LEN(TRIM('Raw Data'!T35))=0,Validate_Empty!T35&lt;&gt;"",Validate_Value!T35&lt;&gt;""),"",IF(OR(NOT(OR(LEN(TRIM('Raw Data'!B35:X35))&gt;0)),OR('Raw Data'!T35="",LEN(TRIM('Raw Data'!T35))=0)),"",IF('Raw Data'!T35 = SUM('Raw Data'!R35:S35),"",_xlfn.REGEXEXTRACT(CELL("address",'Raw Data'!T35),"\$([A-Z]+)\$[0-9]+"))))</f>
        <v/>
      </c>
      <c r="U35" s="7" t="str" cm="1">
        <f t="array" aca="1" ref="U35" ca="1">IF(OR('Raw Data'!U35="",LEN(TRIM('Raw Data'!U35))=0,Validate_Empty!U35&lt;&gt;"",Validate_Value!U35&lt;&gt;""),"",IF(OR(NOT(OR(LEN(TRIM('Raw Data'!B35:X35))&gt;0)),OR('Raw Data'!T35="",LEN(TRIM('Raw Data'!T35))=0)),"",IF(ISNUMBER(SEARCH('Raw Data'!U35, Configuration!$H$2)),"",_xlfn.REGEXEXTRACT(CELL("address",'Raw Data'!U35),"\$([A-Z]+)\$[0-9]+"))))</f>
        <v/>
      </c>
      <c r="V35" s="7" t="str" cm="1">
        <f t="array" aca="1" ref="V35" ca="1">IF(OR('Raw Data'!V35="",LEN(TRIM('Raw Data'!V35))=0,Validate_Empty!V35&lt;&gt;"",Validate_Value!V35&lt;&gt;""),"",IF(OR(NOT(OR(LEN(TRIM('Raw Data'!B35:X35))&gt;0)),OR('Raw Data'!V35="",LEN(TRIM('Raw Data'!V35))=0)),"",IF('Raw Data'!V35 = Configuration!$I$2,"",_xlfn.REGEXEXTRACT(CELL("address",'Raw Data'!V35),"\$([A-Z]+)\$[0-9]+"))))</f>
        <v/>
      </c>
      <c r="W35" s="7"/>
      <c r="X35" s="7"/>
    </row>
    <row r="36" spans="2:24" x14ac:dyDescent="0.25">
      <c r="B36" s="7"/>
      <c r="C36" s="7" t="str" cm="1">
        <f t="array" aca="1" ref="C36" ca="1">IF(OR('Raw Data'!C36="",LEN(TRIM('Raw Data'!C36))=0,Validate_Empty!C36&lt;&gt;"",Validate_Value!C36&lt;&gt;""),"",IF(OR(NOT(OR(LEN(TRIM('Raw Data'!B36:X36))&gt;0)),OR('Raw Data'!C36="",LEN(TRIM('Raw Data'!C36))=0)),"",IF(OR(AND('Raw Data'!B36="Main Contract", LEFT('Raw Data'!C36, LEN("Payment"))="Payment"),AND('Raw Data'!B36="Change Order", LEFT('Raw Data'!C36, LEN("CO Payment No."))="CO Payment No.")),"",_xlfn.REGEXEXTRACT(CELL("address",'Raw Data'!C36),"\$([A-Z]+)\$[0-9]+"))))</f>
        <v/>
      </c>
      <c r="D36" s="7"/>
      <c r="E36" s="7"/>
      <c r="F36" s="7"/>
      <c r="G36" s="7"/>
      <c r="H36" s="7"/>
      <c r="I36" s="7"/>
      <c r="J36" s="7"/>
      <c r="K36" s="7"/>
      <c r="L36" s="7"/>
      <c r="M36" s="7" t="str" cm="1">
        <f t="array" aca="1" ref="M36" ca="1">IF(OR('Raw Data'!M36="",LEN(TRIM('Raw Data'!M36))=0,Validate_Empty!M36&lt;&gt;"",Validate_Value!M36&lt;&gt;""),"",IF(OR(NOT(OR(LEN(TRIM('Raw Data'!B36:X36))&gt;0)),OR('Raw Data'!M36="",LEN(TRIM('Raw Data'!M36))=0)),"",IF('Raw Data'!M36 = SUM('Raw Data'!K36:L36),"",_xlfn.REGEXEXTRACT(CELL("address",'Raw Data'!M36),"\$([A-Z]+)\$[0-9]+"))))</f>
        <v/>
      </c>
      <c r="N36" s="7"/>
      <c r="O36" s="7"/>
      <c r="P36" s="7" t="str" cm="1">
        <f t="array" aca="1" ref="P36" ca="1">IF(OR('Raw Data'!P36="",LEN(TRIM('Raw Data'!P36))=0,Validate_Empty!P36&lt;&gt;"",Validate_Value!P36&lt;&gt;""),"",IF(OR(NOT(OR(LEN(TRIM('Raw Data'!B36:X36))&gt;0)),OR('Raw Data'!P36="",LEN(TRIM('Raw Data'!P36))=0)),"",IF(AND('Raw Data'!J36 + Configuration!$G$2 + 5 &gt;= 'Raw Data'!P36,'Raw Data'!J36 + Configuration!$G$2 - 5 &lt;= 'Raw Data'!P36),"",_xlfn.REGEXEXTRACT(CELL("address",'Raw Data'!P36),"\$([A-Z]+)\$[0-9]+"))))</f>
        <v/>
      </c>
      <c r="Q36" s="7"/>
      <c r="R36" s="7"/>
      <c r="S36" s="7"/>
      <c r="T36" s="7" t="str" cm="1">
        <f t="array" aca="1" ref="T36" ca="1">IF(OR('Raw Data'!T36="",LEN(TRIM('Raw Data'!T36))=0,Validate_Empty!T36&lt;&gt;"",Validate_Value!T36&lt;&gt;""),"",IF(OR(NOT(OR(LEN(TRIM('Raw Data'!B36:X36))&gt;0)),OR('Raw Data'!T36="",LEN(TRIM('Raw Data'!T36))=0)),"",IF('Raw Data'!T36 = SUM('Raw Data'!R36:S36),"",_xlfn.REGEXEXTRACT(CELL("address",'Raw Data'!T36),"\$([A-Z]+)\$[0-9]+"))))</f>
        <v/>
      </c>
      <c r="U36" s="7" t="str" cm="1">
        <f t="array" aca="1" ref="U36" ca="1">IF(OR('Raw Data'!U36="",LEN(TRIM('Raw Data'!U36))=0,Validate_Empty!U36&lt;&gt;"",Validate_Value!U36&lt;&gt;""),"",IF(OR(NOT(OR(LEN(TRIM('Raw Data'!B36:X36))&gt;0)),OR('Raw Data'!T36="",LEN(TRIM('Raw Data'!T36))=0)),"",IF(ISNUMBER(SEARCH('Raw Data'!U36, Configuration!$H$2)),"",_xlfn.REGEXEXTRACT(CELL("address",'Raw Data'!U36),"\$([A-Z]+)\$[0-9]+"))))</f>
        <v/>
      </c>
      <c r="V36" s="7" t="str" cm="1">
        <f t="array" aca="1" ref="V36" ca="1">IF(OR('Raw Data'!V36="",LEN(TRIM('Raw Data'!V36))=0,Validate_Empty!V36&lt;&gt;"",Validate_Value!V36&lt;&gt;""),"",IF(OR(NOT(OR(LEN(TRIM('Raw Data'!B36:X36))&gt;0)),OR('Raw Data'!V36="",LEN(TRIM('Raw Data'!V36))=0)),"",IF('Raw Data'!V36 = Configuration!$I$2,"",_xlfn.REGEXEXTRACT(CELL("address",'Raw Data'!V36),"\$([A-Z]+)\$[0-9]+"))))</f>
        <v/>
      </c>
      <c r="W36" s="7"/>
      <c r="X36" s="7"/>
    </row>
    <row r="37" spans="2:24" x14ac:dyDescent="0.25">
      <c r="B37" s="7"/>
      <c r="C37" s="7" t="str" cm="1">
        <f t="array" aca="1" ref="C37" ca="1">IF(OR('Raw Data'!C37="",LEN(TRIM('Raw Data'!C37))=0,Validate_Empty!C37&lt;&gt;"",Validate_Value!C37&lt;&gt;""),"",IF(OR(NOT(OR(LEN(TRIM('Raw Data'!B37:X37))&gt;0)),OR('Raw Data'!C37="",LEN(TRIM('Raw Data'!C37))=0)),"",IF(OR(AND('Raw Data'!B37="Main Contract", LEFT('Raw Data'!C37, LEN("Payment"))="Payment"),AND('Raw Data'!B37="Change Order", LEFT('Raw Data'!C37, LEN("CO Payment No."))="CO Payment No.")),"",_xlfn.REGEXEXTRACT(CELL("address",'Raw Data'!C37),"\$([A-Z]+)\$[0-9]+"))))</f>
        <v/>
      </c>
      <c r="D37" s="7"/>
      <c r="E37" s="7"/>
      <c r="F37" s="7"/>
      <c r="G37" s="7"/>
      <c r="H37" s="7"/>
      <c r="I37" s="7"/>
      <c r="J37" s="7"/>
      <c r="K37" s="7"/>
      <c r="L37" s="7"/>
      <c r="M37" s="7" t="str" cm="1">
        <f t="array" aca="1" ref="M37" ca="1">IF(OR('Raw Data'!M37="",LEN(TRIM('Raw Data'!M37))=0,Validate_Empty!M37&lt;&gt;"",Validate_Value!M37&lt;&gt;""),"",IF(OR(NOT(OR(LEN(TRIM('Raw Data'!B37:X37))&gt;0)),OR('Raw Data'!M37="",LEN(TRIM('Raw Data'!M37))=0)),"",IF('Raw Data'!M37 = SUM('Raw Data'!K37:L37),"",_xlfn.REGEXEXTRACT(CELL("address",'Raw Data'!M37),"\$([A-Z]+)\$[0-9]+"))))</f>
        <v/>
      </c>
      <c r="N37" s="7"/>
      <c r="O37" s="7"/>
      <c r="P37" s="7" t="str" cm="1">
        <f t="array" aca="1" ref="P37" ca="1">IF(OR('Raw Data'!P37="",LEN(TRIM('Raw Data'!P37))=0,Validate_Empty!P37&lt;&gt;"",Validate_Value!P37&lt;&gt;""),"",IF(OR(NOT(OR(LEN(TRIM('Raw Data'!B37:X37))&gt;0)),OR('Raw Data'!P37="",LEN(TRIM('Raw Data'!P37))=0)),"",IF(AND('Raw Data'!J37 + Configuration!$G$2 + 5 &gt;= 'Raw Data'!P37,'Raw Data'!J37 + Configuration!$G$2 - 5 &lt;= 'Raw Data'!P37),"",_xlfn.REGEXEXTRACT(CELL("address",'Raw Data'!P37),"\$([A-Z]+)\$[0-9]+"))))</f>
        <v/>
      </c>
      <c r="Q37" s="7"/>
      <c r="R37" s="7"/>
      <c r="S37" s="7"/>
      <c r="T37" s="7" t="str" cm="1">
        <f t="array" aca="1" ref="T37" ca="1">IF(OR('Raw Data'!T37="",LEN(TRIM('Raw Data'!T37))=0,Validate_Empty!T37&lt;&gt;"",Validate_Value!T37&lt;&gt;""),"",IF(OR(NOT(OR(LEN(TRIM('Raw Data'!B37:X37))&gt;0)),OR('Raw Data'!T37="",LEN(TRIM('Raw Data'!T37))=0)),"",IF('Raw Data'!T37 = SUM('Raw Data'!R37:S37),"",_xlfn.REGEXEXTRACT(CELL("address",'Raw Data'!T37),"\$([A-Z]+)\$[0-9]+"))))</f>
        <v/>
      </c>
      <c r="U37" s="7" t="str" cm="1">
        <f t="array" aca="1" ref="U37" ca="1">IF(OR('Raw Data'!U37="",LEN(TRIM('Raw Data'!U37))=0,Validate_Empty!U37&lt;&gt;"",Validate_Value!U37&lt;&gt;""),"",IF(OR(NOT(OR(LEN(TRIM('Raw Data'!B37:X37))&gt;0)),OR('Raw Data'!T37="",LEN(TRIM('Raw Data'!T37))=0)),"",IF(ISNUMBER(SEARCH('Raw Data'!U37, Configuration!$H$2)),"",_xlfn.REGEXEXTRACT(CELL("address",'Raw Data'!U37),"\$([A-Z]+)\$[0-9]+"))))</f>
        <v/>
      </c>
      <c r="V37" s="7" t="str" cm="1">
        <f t="array" aca="1" ref="V37" ca="1">IF(OR('Raw Data'!V37="",LEN(TRIM('Raw Data'!V37))=0,Validate_Empty!V37&lt;&gt;"",Validate_Value!V37&lt;&gt;""),"",IF(OR(NOT(OR(LEN(TRIM('Raw Data'!B37:X37))&gt;0)),OR('Raw Data'!V37="",LEN(TRIM('Raw Data'!V37))=0)),"",IF('Raw Data'!V37 = Configuration!$I$2,"",_xlfn.REGEXEXTRACT(CELL("address",'Raw Data'!V37),"\$([A-Z]+)\$[0-9]+"))))</f>
        <v/>
      </c>
      <c r="W37" s="7"/>
      <c r="X37" s="7"/>
    </row>
    <row r="38" spans="2:24" x14ac:dyDescent="0.25">
      <c r="B38" s="7"/>
      <c r="C38" s="7" t="str" cm="1">
        <f t="array" aca="1" ref="C38" ca="1">IF(OR('Raw Data'!C38="",LEN(TRIM('Raw Data'!C38))=0,Validate_Empty!C38&lt;&gt;"",Validate_Value!C38&lt;&gt;""),"",IF(OR(NOT(OR(LEN(TRIM('Raw Data'!B38:X38))&gt;0)),OR('Raw Data'!C38="",LEN(TRIM('Raw Data'!C38))=0)),"",IF(OR(AND('Raw Data'!B38="Main Contract", LEFT('Raw Data'!C38, LEN("Payment"))="Payment"),AND('Raw Data'!B38="Change Order", LEFT('Raw Data'!C38, LEN("CO Payment No."))="CO Payment No.")),"",_xlfn.REGEXEXTRACT(CELL("address",'Raw Data'!C38),"\$([A-Z]+)\$[0-9]+"))))</f>
        <v/>
      </c>
      <c r="D38" s="7"/>
      <c r="E38" s="7"/>
      <c r="F38" s="7"/>
      <c r="G38" s="7"/>
      <c r="H38" s="7"/>
      <c r="I38" s="7"/>
      <c r="J38" s="7"/>
      <c r="K38" s="7"/>
      <c r="L38" s="7"/>
      <c r="M38" s="7" t="str" cm="1">
        <f t="array" aca="1" ref="M38" ca="1">IF(OR('Raw Data'!M38="",LEN(TRIM('Raw Data'!M38))=0,Validate_Empty!M38&lt;&gt;"",Validate_Value!M38&lt;&gt;""),"",IF(OR(NOT(OR(LEN(TRIM('Raw Data'!B38:X38))&gt;0)),OR('Raw Data'!M38="",LEN(TRIM('Raw Data'!M38))=0)),"",IF('Raw Data'!M38 = SUM('Raw Data'!K38:L38),"",_xlfn.REGEXEXTRACT(CELL("address",'Raw Data'!M38),"\$([A-Z]+)\$[0-9]+"))))</f>
        <v/>
      </c>
      <c r="N38" s="7"/>
      <c r="O38" s="7"/>
      <c r="P38" s="7" t="str" cm="1">
        <f t="array" aca="1" ref="P38" ca="1">IF(OR('Raw Data'!P38="",LEN(TRIM('Raw Data'!P38))=0,Validate_Empty!P38&lt;&gt;"",Validate_Value!P38&lt;&gt;""),"",IF(OR(NOT(OR(LEN(TRIM('Raw Data'!B38:X38))&gt;0)),OR('Raw Data'!P38="",LEN(TRIM('Raw Data'!P38))=0)),"",IF(AND('Raw Data'!J38 + Configuration!$G$2 + 5 &gt;= 'Raw Data'!P38,'Raw Data'!J38 + Configuration!$G$2 - 5 &lt;= 'Raw Data'!P38),"",_xlfn.REGEXEXTRACT(CELL("address",'Raw Data'!P38),"\$([A-Z]+)\$[0-9]+"))))</f>
        <v/>
      </c>
      <c r="Q38" s="7"/>
      <c r="R38" s="7"/>
      <c r="S38" s="7"/>
      <c r="T38" s="7" t="str" cm="1">
        <f t="array" aca="1" ref="T38" ca="1">IF(OR('Raw Data'!T38="",LEN(TRIM('Raw Data'!T38))=0,Validate_Empty!T38&lt;&gt;"",Validate_Value!T38&lt;&gt;""),"",IF(OR(NOT(OR(LEN(TRIM('Raw Data'!B38:X38))&gt;0)),OR('Raw Data'!T38="",LEN(TRIM('Raw Data'!T38))=0)),"",IF('Raw Data'!T38 = SUM('Raw Data'!R38:S38),"",_xlfn.REGEXEXTRACT(CELL("address",'Raw Data'!T38),"\$([A-Z]+)\$[0-9]+"))))</f>
        <v/>
      </c>
      <c r="U38" s="7" t="str" cm="1">
        <f t="array" aca="1" ref="U38" ca="1">IF(OR('Raw Data'!U38="",LEN(TRIM('Raw Data'!U38))=0,Validate_Empty!U38&lt;&gt;"",Validate_Value!U38&lt;&gt;""),"",IF(OR(NOT(OR(LEN(TRIM('Raw Data'!B38:X38))&gt;0)),OR('Raw Data'!T38="",LEN(TRIM('Raw Data'!T38))=0)),"",IF(ISNUMBER(SEARCH('Raw Data'!U38, Configuration!$H$2)),"",_xlfn.REGEXEXTRACT(CELL("address",'Raw Data'!U38),"\$([A-Z]+)\$[0-9]+"))))</f>
        <v/>
      </c>
      <c r="V38" s="7" t="str" cm="1">
        <f t="array" aca="1" ref="V38" ca="1">IF(OR('Raw Data'!V38="",LEN(TRIM('Raw Data'!V38))=0,Validate_Empty!V38&lt;&gt;"",Validate_Value!V38&lt;&gt;""),"",IF(OR(NOT(OR(LEN(TRIM('Raw Data'!B38:X38))&gt;0)),OR('Raw Data'!V38="",LEN(TRIM('Raw Data'!V38))=0)),"",IF('Raw Data'!V38 = Configuration!$I$2,"",_xlfn.REGEXEXTRACT(CELL("address",'Raw Data'!V38),"\$([A-Z]+)\$[0-9]+"))))</f>
        <v/>
      </c>
      <c r="W38" s="7"/>
      <c r="X38" s="7"/>
    </row>
    <row r="39" spans="2:24" x14ac:dyDescent="0.25">
      <c r="B39" s="7"/>
      <c r="C39" s="7" t="str" cm="1">
        <f t="array" aca="1" ref="C39" ca="1">IF(OR('Raw Data'!C39="",LEN(TRIM('Raw Data'!C39))=0,Validate_Empty!C39&lt;&gt;"",Validate_Value!C39&lt;&gt;""),"",IF(OR(NOT(OR(LEN(TRIM('Raw Data'!B39:X39))&gt;0)),OR('Raw Data'!C39="",LEN(TRIM('Raw Data'!C39))=0)),"",IF(OR(AND('Raw Data'!B39="Main Contract", LEFT('Raw Data'!C39, LEN("Payment"))="Payment"),AND('Raw Data'!B39="Change Order", LEFT('Raw Data'!C39, LEN("CO Payment No."))="CO Payment No.")),"",_xlfn.REGEXEXTRACT(CELL("address",'Raw Data'!C39),"\$([A-Z]+)\$[0-9]+"))))</f>
        <v/>
      </c>
      <c r="D39" s="7"/>
      <c r="E39" s="7"/>
      <c r="F39" s="7"/>
      <c r="G39" s="7"/>
      <c r="H39" s="7"/>
      <c r="I39" s="7"/>
      <c r="J39" s="7"/>
      <c r="K39" s="7"/>
      <c r="L39" s="7"/>
      <c r="M39" s="7" t="str" cm="1">
        <f t="array" aca="1" ref="M39" ca="1">IF(OR('Raw Data'!M39="",LEN(TRIM('Raw Data'!M39))=0,Validate_Empty!M39&lt;&gt;"",Validate_Value!M39&lt;&gt;""),"",IF(OR(NOT(OR(LEN(TRIM('Raw Data'!B39:X39))&gt;0)),OR('Raw Data'!M39="",LEN(TRIM('Raw Data'!M39))=0)),"",IF('Raw Data'!M39 = SUM('Raw Data'!K39:L39),"",_xlfn.REGEXEXTRACT(CELL("address",'Raw Data'!M39),"\$([A-Z]+)\$[0-9]+"))))</f>
        <v/>
      </c>
      <c r="N39" s="7"/>
      <c r="O39" s="7"/>
      <c r="P39" s="7" t="str" cm="1">
        <f t="array" aca="1" ref="P39" ca="1">IF(OR('Raw Data'!P39="",LEN(TRIM('Raw Data'!P39))=0,Validate_Empty!P39&lt;&gt;"",Validate_Value!P39&lt;&gt;""),"",IF(OR(NOT(OR(LEN(TRIM('Raw Data'!B39:X39))&gt;0)),OR('Raw Data'!P39="",LEN(TRIM('Raw Data'!P39))=0)),"",IF(AND('Raw Data'!J39 + Configuration!$G$2 + 5 &gt;= 'Raw Data'!P39,'Raw Data'!J39 + Configuration!$G$2 - 5 &lt;= 'Raw Data'!P39),"",_xlfn.REGEXEXTRACT(CELL("address",'Raw Data'!P39),"\$([A-Z]+)\$[0-9]+"))))</f>
        <v/>
      </c>
      <c r="Q39" s="7"/>
      <c r="R39" s="7"/>
      <c r="S39" s="7"/>
      <c r="T39" s="7" t="str" cm="1">
        <f t="array" aca="1" ref="T39" ca="1">IF(OR('Raw Data'!T39="",LEN(TRIM('Raw Data'!T39))=0,Validate_Empty!T39&lt;&gt;"",Validate_Value!T39&lt;&gt;""),"",IF(OR(NOT(OR(LEN(TRIM('Raw Data'!B39:X39))&gt;0)),OR('Raw Data'!T39="",LEN(TRIM('Raw Data'!T39))=0)),"",IF('Raw Data'!T39 = SUM('Raw Data'!R39:S39),"",_xlfn.REGEXEXTRACT(CELL("address",'Raw Data'!T39),"\$([A-Z]+)\$[0-9]+"))))</f>
        <v/>
      </c>
      <c r="U39" s="7" t="str" cm="1">
        <f t="array" aca="1" ref="U39" ca="1">IF(OR('Raw Data'!U39="",LEN(TRIM('Raw Data'!U39))=0,Validate_Empty!U39&lt;&gt;"",Validate_Value!U39&lt;&gt;""),"",IF(OR(NOT(OR(LEN(TRIM('Raw Data'!B39:X39))&gt;0)),OR('Raw Data'!T39="",LEN(TRIM('Raw Data'!T39))=0)),"",IF(ISNUMBER(SEARCH('Raw Data'!U39, Configuration!$H$2)),"",_xlfn.REGEXEXTRACT(CELL("address",'Raw Data'!U39),"\$([A-Z]+)\$[0-9]+"))))</f>
        <v/>
      </c>
      <c r="V39" s="7" t="str" cm="1">
        <f t="array" aca="1" ref="V39" ca="1">IF(OR('Raw Data'!V39="",LEN(TRIM('Raw Data'!V39))=0,Validate_Empty!V39&lt;&gt;"",Validate_Value!V39&lt;&gt;""),"",IF(OR(NOT(OR(LEN(TRIM('Raw Data'!B39:X39))&gt;0)),OR('Raw Data'!V39="",LEN(TRIM('Raw Data'!V39))=0)),"",IF('Raw Data'!V39 = Configuration!$I$2,"",_xlfn.REGEXEXTRACT(CELL("address",'Raw Data'!V39),"\$([A-Z]+)\$[0-9]+"))))</f>
        <v/>
      </c>
      <c r="W39" s="7"/>
      <c r="X39" s="7"/>
    </row>
    <row r="40" spans="2:24" x14ac:dyDescent="0.25">
      <c r="B40" s="7"/>
      <c r="C40" s="7" t="str" cm="1">
        <f t="array" aca="1" ref="C40" ca="1">IF(OR('Raw Data'!C40="",LEN(TRIM('Raw Data'!C40))=0,Validate_Empty!C40&lt;&gt;"",Validate_Value!C40&lt;&gt;""),"",IF(OR(NOT(OR(LEN(TRIM('Raw Data'!B40:X40))&gt;0)),OR('Raw Data'!C40="",LEN(TRIM('Raw Data'!C40))=0)),"",IF(OR(AND('Raw Data'!B40="Main Contract", LEFT('Raw Data'!C40, LEN("Payment"))="Payment"),AND('Raw Data'!B40="Change Order", LEFT('Raw Data'!C40, LEN("CO Payment No."))="CO Payment No.")),"",_xlfn.REGEXEXTRACT(CELL("address",'Raw Data'!C40),"\$([A-Z]+)\$[0-9]+"))))</f>
        <v/>
      </c>
      <c r="D40" s="7"/>
      <c r="E40" s="7"/>
      <c r="F40" s="7"/>
      <c r="G40" s="7"/>
      <c r="H40" s="7"/>
      <c r="I40" s="7"/>
      <c r="J40" s="7"/>
      <c r="K40" s="7"/>
      <c r="L40" s="7"/>
      <c r="M40" s="7" t="str" cm="1">
        <f t="array" aca="1" ref="M40" ca="1">IF(OR('Raw Data'!M40="",LEN(TRIM('Raw Data'!M40))=0,Validate_Empty!M40&lt;&gt;"",Validate_Value!M40&lt;&gt;""),"",IF(OR(NOT(OR(LEN(TRIM('Raw Data'!B40:X40))&gt;0)),OR('Raw Data'!M40="",LEN(TRIM('Raw Data'!M40))=0)),"",IF('Raw Data'!M40 = SUM('Raw Data'!K40:L40),"",_xlfn.REGEXEXTRACT(CELL("address",'Raw Data'!M40),"\$([A-Z]+)\$[0-9]+"))))</f>
        <v/>
      </c>
      <c r="N40" s="7"/>
      <c r="O40" s="7"/>
      <c r="P40" s="7" t="str" cm="1">
        <f t="array" aca="1" ref="P40" ca="1">IF(OR('Raw Data'!P40="",LEN(TRIM('Raw Data'!P40))=0,Validate_Empty!P40&lt;&gt;"",Validate_Value!P40&lt;&gt;""),"",IF(OR(NOT(OR(LEN(TRIM('Raw Data'!B40:X40))&gt;0)),OR('Raw Data'!P40="",LEN(TRIM('Raw Data'!P40))=0)),"",IF(AND('Raw Data'!J40 + Configuration!$G$2 + 5 &gt;= 'Raw Data'!P40,'Raw Data'!J40 + Configuration!$G$2 - 5 &lt;= 'Raw Data'!P40),"",_xlfn.REGEXEXTRACT(CELL("address",'Raw Data'!P40),"\$([A-Z]+)\$[0-9]+"))))</f>
        <v/>
      </c>
      <c r="Q40" s="7"/>
      <c r="R40" s="7"/>
      <c r="S40" s="7"/>
      <c r="T40" s="7" t="str" cm="1">
        <f t="array" aca="1" ref="T40" ca="1">IF(OR('Raw Data'!T40="",LEN(TRIM('Raw Data'!T40))=0,Validate_Empty!T40&lt;&gt;"",Validate_Value!T40&lt;&gt;""),"",IF(OR(NOT(OR(LEN(TRIM('Raw Data'!B40:X40))&gt;0)),OR('Raw Data'!T40="",LEN(TRIM('Raw Data'!T40))=0)),"",IF('Raw Data'!T40 = SUM('Raw Data'!R40:S40),"",_xlfn.REGEXEXTRACT(CELL("address",'Raw Data'!T40),"\$([A-Z]+)\$[0-9]+"))))</f>
        <v/>
      </c>
      <c r="U40" s="7" t="str" cm="1">
        <f t="array" aca="1" ref="U40" ca="1">IF(OR('Raw Data'!U40="",LEN(TRIM('Raw Data'!U40))=0,Validate_Empty!U40&lt;&gt;"",Validate_Value!U40&lt;&gt;""),"",IF(OR(NOT(OR(LEN(TRIM('Raw Data'!B40:X40))&gt;0)),OR('Raw Data'!T40="",LEN(TRIM('Raw Data'!T40))=0)),"",IF(ISNUMBER(SEARCH('Raw Data'!U40, Configuration!$H$2)),"",_xlfn.REGEXEXTRACT(CELL("address",'Raw Data'!U40),"\$([A-Z]+)\$[0-9]+"))))</f>
        <v/>
      </c>
      <c r="V40" s="7" t="str" cm="1">
        <f t="array" aca="1" ref="V40" ca="1">IF(OR('Raw Data'!V40="",LEN(TRIM('Raw Data'!V40))=0,Validate_Empty!V40&lt;&gt;"",Validate_Value!V40&lt;&gt;""),"",IF(OR(NOT(OR(LEN(TRIM('Raw Data'!B40:X40))&gt;0)),OR('Raw Data'!V40="",LEN(TRIM('Raw Data'!V40))=0)),"",IF('Raw Data'!V40 = Configuration!$I$2,"",_xlfn.REGEXEXTRACT(CELL("address",'Raw Data'!V40),"\$([A-Z]+)\$[0-9]+"))))</f>
        <v/>
      </c>
      <c r="W40" s="7"/>
      <c r="X40" s="7"/>
    </row>
    <row r="41" spans="2:24" x14ac:dyDescent="0.25">
      <c r="B41" s="7"/>
      <c r="C41" s="7" t="str" cm="1">
        <f t="array" aca="1" ref="C41" ca="1">IF(OR('Raw Data'!C41="",LEN(TRIM('Raw Data'!C41))=0,Validate_Empty!C41&lt;&gt;"",Validate_Value!C41&lt;&gt;""),"",IF(OR(NOT(OR(LEN(TRIM('Raw Data'!B41:X41))&gt;0)),OR('Raw Data'!C41="",LEN(TRIM('Raw Data'!C41))=0)),"",IF(OR(AND('Raw Data'!B41="Main Contract", LEFT('Raw Data'!C41, LEN("Payment"))="Payment"),AND('Raw Data'!B41="Change Order", LEFT('Raw Data'!C41, LEN("CO Payment No."))="CO Payment No.")),"",_xlfn.REGEXEXTRACT(CELL("address",'Raw Data'!C41),"\$([A-Z]+)\$[0-9]+"))))</f>
        <v/>
      </c>
      <c r="D41" s="7"/>
      <c r="E41" s="7"/>
      <c r="F41" s="7"/>
      <c r="G41" s="7"/>
      <c r="H41" s="7"/>
      <c r="I41" s="7"/>
      <c r="J41" s="7"/>
      <c r="K41" s="7"/>
      <c r="L41" s="7"/>
      <c r="M41" s="7" t="str" cm="1">
        <f t="array" aca="1" ref="M41" ca="1">IF(OR('Raw Data'!M41="",LEN(TRIM('Raw Data'!M41))=0,Validate_Empty!M41&lt;&gt;"",Validate_Value!M41&lt;&gt;""),"",IF(OR(NOT(OR(LEN(TRIM('Raw Data'!B41:X41))&gt;0)),OR('Raw Data'!M41="",LEN(TRIM('Raw Data'!M41))=0)),"",IF('Raw Data'!M41 = SUM('Raw Data'!K41:L41),"",_xlfn.REGEXEXTRACT(CELL("address",'Raw Data'!M41),"\$([A-Z]+)\$[0-9]+"))))</f>
        <v/>
      </c>
      <c r="N41" s="7"/>
      <c r="O41" s="7"/>
      <c r="P41" s="7" t="str" cm="1">
        <f t="array" aca="1" ref="P41" ca="1">IF(OR('Raw Data'!P41="",LEN(TRIM('Raw Data'!P41))=0,Validate_Empty!P41&lt;&gt;"",Validate_Value!P41&lt;&gt;""),"",IF(OR(NOT(OR(LEN(TRIM('Raw Data'!B41:X41))&gt;0)),OR('Raw Data'!P41="",LEN(TRIM('Raw Data'!P41))=0)),"",IF(AND('Raw Data'!J41 + Configuration!$G$2 + 5 &gt;= 'Raw Data'!P41,'Raw Data'!J41 + Configuration!$G$2 - 5 &lt;= 'Raw Data'!P41),"",_xlfn.REGEXEXTRACT(CELL("address",'Raw Data'!P41),"\$([A-Z]+)\$[0-9]+"))))</f>
        <v/>
      </c>
      <c r="Q41" s="7"/>
      <c r="R41" s="7"/>
      <c r="S41" s="7"/>
      <c r="T41" s="7" t="str" cm="1">
        <f t="array" aca="1" ref="T41" ca="1">IF(OR('Raw Data'!T41="",LEN(TRIM('Raw Data'!T41))=0,Validate_Empty!T41&lt;&gt;"",Validate_Value!T41&lt;&gt;""),"",IF(OR(NOT(OR(LEN(TRIM('Raw Data'!B41:X41))&gt;0)),OR('Raw Data'!T41="",LEN(TRIM('Raw Data'!T41))=0)),"",IF('Raw Data'!T41 = SUM('Raw Data'!R41:S41),"",_xlfn.REGEXEXTRACT(CELL("address",'Raw Data'!T41),"\$([A-Z]+)\$[0-9]+"))))</f>
        <v/>
      </c>
      <c r="U41" s="7" t="str" cm="1">
        <f t="array" aca="1" ref="U41" ca="1">IF(OR('Raw Data'!U41="",LEN(TRIM('Raw Data'!U41))=0,Validate_Empty!U41&lt;&gt;"",Validate_Value!U41&lt;&gt;""),"",IF(OR(NOT(OR(LEN(TRIM('Raw Data'!B41:X41))&gt;0)),OR('Raw Data'!T41="",LEN(TRIM('Raw Data'!T41))=0)),"",IF(ISNUMBER(SEARCH('Raw Data'!U41, Configuration!$H$2)),"",_xlfn.REGEXEXTRACT(CELL("address",'Raw Data'!U41),"\$([A-Z]+)\$[0-9]+"))))</f>
        <v/>
      </c>
      <c r="V41" s="7" t="str" cm="1">
        <f t="array" aca="1" ref="V41" ca="1">IF(OR('Raw Data'!V41="",LEN(TRIM('Raw Data'!V41))=0,Validate_Empty!V41&lt;&gt;"",Validate_Value!V41&lt;&gt;""),"",IF(OR(NOT(OR(LEN(TRIM('Raw Data'!B41:X41))&gt;0)),OR('Raw Data'!V41="",LEN(TRIM('Raw Data'!V41))=0)),"",IF('Raw Data'!V41 = Configuration!$I$2,"",_xlfn.REGEXEXTRACT(CELL("address",'Raw Data'!V41),"\$([A-Z]+)\$[0-9]+"))))</f>
        <v/>
      </c>
      <c r="W41" s="7"/>
      <c r="X41" s="7"/>
    </row>
    <row r="42" spans="2:24" x14ac:dyDescent="0.25">
      <c r="B42" s="7"/>
      <c r="C42" s="7" t="str" cm="1">
        <f t="array" aca="1" ref="C42" ca="1">IF(OR('Raw Data'!C42="",LEN(TRIM('Raw Data'!C42))=0,Validate_Empty!C42&lt;&gt;"",Validate_Value!C42&lt;&gt;""),"",IF(OR(NOT(OR(LEN(TRIM('Raw Data'!B42:X42))&gt;0)),OR('Raw Data'!C42="",LEN(TRIM('Raw Data'!C42))=0)),"",IF(OR(AND('Raw Data'!B42="Main Contract", LEFT('Raw Data'!C42, LEN("Payment"))="Payment"),AND('Raw Data'!B42="Change Order", LEFT('Raw Data'!C42, LEN("CO Payment No."))="CO Payment No.")),"",_xlfn.REGEXEXTRACT(CELL("address",'Raw Data'!C42),"\$([A-Z]+)\$[0-9]+"))))</f>
        <v/>
      </c>
      <c r="D42" s="7"/>
      <c r="E42" s="7"/>
      <c r="F42" s="7"/>
      <c r="G42" s="7"/>
      <c r="H42" s="7"/>
      <c r="I42" s="7"/>
      <c r="J42" s="7"/>
      <c r="K42" s="7"/>
      <c r="L42" s="7"/>
      <c r="M42" s="7" t="str" cm="1">
        <f t="array" aca="1" ref="M42" ca="1">IF(OR('Raw Data'!M42="",LEN(TRIM('Raw Data'!M42))=0,Validate_Empty!M42&lt;&gt;"",Validate_Value!M42&lt;&gt;""),"",IF(OR(NOT(OR(LEN(TRIM('Raw Data'!B42:X42))&gt;0)),OR('Raw Data'!M42="",LEN(TRIM('Raw Data'!M42))=0)),"",IF('Raw Data'!M42 = SUM('Raw Data'!K42:L42),"",_xlfn.REGEXEXTRACT(CELL("address",'Raw Data'!M42),"\$([A-Z]+)\$[0-9]+"))))</f>
        <v/>
      </c>
      <c r="N42" s="7"/>
      <c r="O42" s="7"/>
      <c r="P42" s="7" t="str" cm="1">
        <f t="array" aca="1" ref="P42" ca="1">IF(OR('Raw Data'!P42="",LEN(TRIM('Raw Data'!P42))=0,Validate_Empty!P42&lt;&gt;"",Validate_Value!P42&lt;&gt;""),"",IF(OR(NOT(OR(LEN(TRIM('Raw Data'!B42:X42))&gt;0)),OR('Raw Data'!P42="",LEN(TRIM('Raw Data'!P42))=0)),"",IF(AND('Raw Data'!J42 + Configuration!$G$2 + 5 &gt;= 'Raw Data'!P42,'Raw Data'!J42 + Configuration!$G$2 - 5 &lt;= 'Raw Data'!P42),"",_xlfn.REGEXEXTRACT(CELL("address",'Raw Data'!P42),"\$([A-Z]+)\$[0-9]+"))))</f>
        <v/>
      </c>
      <c r="Q42" s="7"/>
      <c r="R42" s="7"/>
      <c r="S42" s="7"/>
      <c r="T42" s="7" t="str" cm="1">
        <f t="array" aca="1" ref="T42" ca="1">IF(OR('Raw Data'!T42="",LEN(TRIM('Raw Data'!T42))=0,Validate_Empty!T42&lt;&gt;"",Validate_Value!T42&lt;&gt;""),"",IF(OR(NOT(OR(LEN(TRIM('Raw Data'!B42:X42))&gt;0)),OR('Raw Data'!T42="",LEN(TRIM('Raw Data'!T42))=0)),"",IF('Raw Data'!T42 = SUM('Raw Data'!R42:S42),"",_xlfn.REGEXEXTRACT(CELL("address",'Raw Data'!T42),"\$([A-Z]+)\$[0-9]+"))))</f>
        <v/>
      </c>
      <c r="U42" s="7" t="str" cm="1">
        <f t="array" aca="1" ref="U42" ca="1">IF(OR('Raw Data'!U42="",LEN(TRIM('Raw Data'!U42))=0,Validate_Empty!U42&lt;&gt;"",Validate_Value!U42&lt;&gt;""),"",IF(OR(NOT(OR(LEN(TRIM('Raw Data'!B42:X42))&gt;0)),OR('Raw Data'!T42="",LEN(TRIM('Raw Data'!T42))=0)),"",IF(ISNUMBER(SEARCH('Raw Data'!U42, Configuration!$H$2)),"",_xlfn.REGEXEXTRACT(CELL("address",'Raw Data'!U42),"\$([A-Z]+)\$[0-9]+"))))</f>
        <v/>
      </c>
      <c r="V42" s="7" t="str" cm="1">
        <f t="array" aca="1" ref="V42" ca="1">IF(OR('Raw Data'!V42="",LEN(TRIM('Raw Data'!V42))=0,Validate_Empty!V42&lt;&gt;"",Validate_Value!V42&lt;&gt;""),"",IF(OR(NOT(OR(LEN(TRIM('Raw Data'!B42:X42))&gt;0)),OR('Raw Data'!V42="",LEN(TRIM('Raw Data'!V42))=0)),"",IF('Raw Data'!V42 = Configuration!$I$2,"",_xlfn.REGEXEXTRACT(CELL("address",'Raw Data'!V42),"\$([A-Z]+)\$[0-9]+"))))</f>
        <v/>
      </c>
      <c r="W42" s="7"/>
      <c r="X42" s="7"/>
    </row>
    <row r="43" spans="2:24" x14ac:dyDescent="0.25">
      <c r="B43" s="7"/>
      <c r="C43" s="7" t="str" cm="1">
        <f t="array" aca="1" ref="C43" ca="1">IF(OR('Raw Data'!C43="",LEN(TRIM('Raw Data'!C43))=0,Validate_Empty!C43&lt;&gt;"",Validate_Value!C43&lt;&gt;""),"",IF(OR(NOT(OR(LEN(TRIM('Raw Data'!B43:X43))&gt;0)),OR('Raw Data'!C43="",LEN(TRIM('Raw Data'!C43))=0)),"",IF(OR(AND('Raw Data'!B43="Main Contract", LEFT('Raw Data'!C43, LEN("Payment"))="Payment"),AND('Raw Data'!B43="Change Order", LEFT('Raw Data'!C43, LEN("CO Payment No."))="CO Payment No.")),"",_xlfn.REGEXEXTRACT(CELL("address",'Raw Data'!C43),"\$([A-Z]+)\$[0-9]+"))))</f>
        <v/>
      </c>
      <c r="D43" s="7"/>
      <c r="E43" s="7"/>
      <c r="F43" s="7"/>
      <c r="G43" s="7"/>
      <c r="H43" s="7"/>
      <c r="I43" s="7"/>
      <c r="J43" s="7"/>
      <c r="K43" s="7"/>
      <c r="L43" s="7"/>
      <c r="M43" s="7" t="str" cm="1">
        <f t="array" aca="1" ref="M43" ca="1">IF(OR('Raw Data'!M43="",LEN(TRIM('Raw Data'!M43))=0,Validate_Empty!M43&lt;&gt;"",Validate_Value!M43&lt;&gt;""),"",IF(OR(NOT(OR(LEN(TRIM('Raw Data'!B43:X43))&gt;0)),OR('Raw Data'!M43="",LEN(TRIM('Raw Data'!M43))=0)),"",IF('Raw Data'!M43 = SUM('Raw Data'!K43:L43),"",_xlfn.REGEXEXTRACT(CELL("address",'Raw Data'!M43),"\$([A-Z]+)\$[0-9]+"))))</f>
        <v/>
      </c>
      <c r="N43" s="7"/>
      <c r="O43" s="7"/>
      <c r="P43" s="7" t="str" cm="1">
        <f t="array" aca="1" ref="P43" ca="1">IF(OR('Raw Data'!P43="",LEN(TRIM('Raw Data'!P43))=0,Validate_Empty!P43&lt;&gt;"",Validate_Value!P43&lt;&gt;""),"",IF(OR(NOT(OR(LEN(TRIM('Raw Data'!B43:X43))&gt;0)),OR('Raw Data'!P43="",LEN(TRIM('Raw Data'!P43))=0)),"",IF(AND('Raw Data'!J43 + Configuration!$G$2 + 5 &gt;= 'Raw Data'!P43,'Raw Data'!J43 + Configuration!$G$2 - 5 &lt;= 'Raw Data'!P43),"",_xlfn.REGEXEXTRACT(CELL("address",'Raw Data'!P43),"\$([A-Z]+)\$[0-9]+"))))</f>
        <v/>
      </c>
      <c r="Q43" s="7"/>
      <c r="R43" s="7"/>
      <c r="S43" s="7"/>
      <c r="T43" s="7" t="str" cm="1">
        <f t="array" aca="1" ref="T43" ca="1">IF(OR('Raw Data'!T43="",LEN(TRIM('Raw Data'!T43))=0,Validate_Empty!T43&lt;&gt;"",Validate_Value!T43&lt;&gt;""),"",IF(OR(NOT(OR(LEN(TRIM('Raw Data'!B43:X43))&gt;0)),OR('Raw Data'!T43="",LEN(TRIM('Raw Data'!T43))=0)),"",IF('Raw Data'!T43 = SUM('Raw Data'!R43:S43),"",_xlfn.REGEXEXTRACT(CELL("address",'Raw Data'!T43),"\$([A-Z]+)\$[0-9]+"))))</f>
        <v/>
      </c>
      <c r="U43" s="7" t="str" cm="1">
        <f t="array" aca="1" ref="U43" ca="1">IF(OR('Raw Data'!U43="",LEN(TRIM('Raw Data'!U43))=0,Validate_Empty!U43&lt;&gt;"",Validate_Value!U43&lt;&gt;""),"",IF(OR(NOT(OR(LEN(TRIM('Raw Data'!B43:X43))&gt;0)),OR('Raw Data'!T43="",LEN(TRIM('Raw Data'!T43))=0)),"",IF(ISNUMBER(SEARCH('Raw Data'!U43, Configuration!$H$2)),"",_xlfn.REGEXEXTRACT(CELL("address",'Raw Data'!U43),"\$([A-Z]+)\$[0-9]+"))))</f>
        <v/>
      </c>
      <c r="V43" s="7" t="str" cm="1">
        <f t="array" aca="1" ref="V43" ca="1">IF(OR('Raw Data'!V43="",LEN(TRIM('Raw Data'!V43))=0,Validate_Empty!V43&lt;&gt;"",Validate_Value!V43&lt;&gt;""),"",IF(OR(NOT(OR(LEN(TRIM('Raw Data'!B43:X43))&gt;0)),OR('Raw Data'!V43="",LEN(TRIM('Raw Data'!V43))=0)),"",IF('Raw Data'!V43 = Configuration!$I$2,"",_xlfn.REGEXEXTRACT(CELL("address",'Raw Data'!V43),"\$([A-Z]+)\$[0-9]+"))))</f>
        <v/>
      </c>
      <c r="W43" s="7"/>
      <c r="X43" s="7"/>
    </row>
    <row r="44" spans="2:24" x14ac:dyDescent="0.25">
      <c r="B44" s="7"/>
      <c r="C44" s="7" t="str" cm="1">
        <f t="array" aca="1" ref="C44" ca="1">IF(OR('Raw Data'!C44="",LEN(TRIM('Raw Data'!C44))=0,Validate_Empty!C44&lt;&gt;"",Validate_Value!C44&lt;&gt;""),"",IF(OR(NOT(OR(LEN(TRIM('Raw Data'!B44:X44))&gt;0)),OR('Raw Data'!C44="",LEN(TRIM('Raw Data'!C44))=0)),"",IF(OR(AND('Raw Data'!B44="Main Contract", LEFT('Raw Data'!C44, LEN("Payment"))="Payment"),AND('Raw Data'!B44="Change Order", LEFT('Raw Data'!C44, LEN("CO Payment No."))="CO Payment No.")),"",_xlfn.REGEXEXTRACT(CELL("address",'Raw Data'!C44),"\$([A-Z]+)\$[0-9]+"))))</f>
        <v/>
      </c>
      <c r="D44" s="7"/>
      <c r="E44" s="7"/>
      <c r="F44" s="7"/>
      <c r="G44" s="7"/>
      <c r="H44" s="7"/>
      <c r="I44" s="7"/>
      <c r="J44" s="7"/>
      <c r="K44" s="7"/>
      <c r="L44" s="7"/>
      <c r="M44" s="7" t="str" cm="1">
        <f t="array" aca="1" ref="M44" ca="1">IF(OR('Raw Data'!M44="",LEN(TRIM('Raw Data'!M44))=0,Validate_Empty!M44&lt;&gt;"",Validate_Value!M44&lt;&gt;""),"",IF(OR(NOT(OR(LEN(TRIM('Raw Data'!B44:X44))&gt;0)),OR('Raw Data'!M44="",LEN(TRIM('Raw Data'!M44))=0)),"",IF('Raw Data'!M44 = SUM('Raw Data'!K44:L44),"",_xlfn.REGEXEXTRACT(CELL("address",'Raw Data'!M44),"\$([A-Z]+)\$[0-9]+"))))</f>
        <v/>
      </c>
      <c r="N44" s="7"/>
      <c r="O44" s="7"/>
      <c r="P44" s="7" t="str" cm="1">
        <f t="array" aca="1" ref="P44" ca="1">IF(OR('Raw Data'!P44="",LEN(TRIM('Raw Data'!P44))=0,Validate_Empty!P44&lt;&gt;"",Validate_Value!P44&lt;&gt;""),"",IF(OR(NOT(OR(LEN(TRIM('Raw Data'!B44:X44))&gt;0)),OR('Raw Data'!P44="",LEN(TRIM('Raw Data'!P44))=0)),"",IF(AND('Raw Data'!J44 + Configuration!$G$2 + 5 &gt;= 'Raw Data'!P44,'Raw Data'!J44 + Configuration!$G$2 - 5 &lt;= 'Raw Data'!P44),"",_xlfn.REGEXEXTRACT(CELL("address",'Raw Data'!P44),"\$([A-Z]+)\$[0-9]+"))))</f>
        <v/>
      </c>
      <c r="Q44" s="7"/>
      <c r="R44" s="7"/>
      <c r="S44" s="7"/>
      <c r="T44" s="7" t="str" cm="1">
        <f t="array" aca="1" ref="T44" ca="1">IF(OR('Raw Data'!T44="",LEN(TRIM('Raw Data'!T44))=0,Validate_Empty!T44&lt;&gt;"",Validate_Value!T44&lt;&gt;""),"",IF(OR(NOT(OR(LEN(TRIM('Raw Data'!B44:X44))&gt;0)),OR('Raw Data'!T44="",LEN(TRIM('Raw Data'!T44))=0)),"",IF('Raw Data'!T44 = SUM('Raw Data'!R44:S44),"",_xlfn.REGEXEXTRACT(CELL("address",'Raw Data'!T44),"\$([A-Z]+)\$[0-9]+"))))</f>
        <v/>
      </c>
      <c r="U44" s="7" t="str" cm="1">
        <f t="array" aca="1" ref="U44" ca="1">IF(OR('Raw Data'!U44="",LEN(TRIM('Raw Data'!U44))=0,Validate_Empty!U44&lt;&gt;"",Validate_Value!U44&lt;&gt;""),"",IF(OR(NOT(OR(LEN(TRIM('Raw Data'!B44:X44))&gt;0)),OR('Raw Data'!T44="",LEN(TRIM('Raw Data'!T44))=0)),"",IF(ISNUMBER(SEARCH('Raw Data'!U44, Configuration!$H$2)),"",_xlfn.REGEXEXTRACT(CELL("address",'Raw Data'!U44),"\$([A-Z]+)\$[0-9]+"))))</f>
        <v/>
      </c>
      <c r="V44" s="7" t="str" cm="1">
        <f t="array" aca="1" ref="V44" ca="1">IF(OR('Raw Data'!V44="",LEN(TRIM('Raw Data'!V44))=0,Validate_Empty!V44&lt;&gt;"",Validate_Value!V44&lt;&gt;""),"",IF(OR(NOT(OR(LEN(TRIM('Raw Data'!B44:X44))&gt;0)),OR('Raw Data'!V44="",LEN(TRIM('Raw Data'!V44))=0)),"",IF('Raw Data'!V44 = Configuration!$I$2,"",_xlfn.REGEXEXTRACT(CELL("address",'Raw Data'!V44),"\$([A-Z]+)\$[0-9]+"))))</f>
        <v/>
      </c>
      <c r="W44" s="7"/>
      <c r="X44" s="7"/>
    </row>
    <row r="45" spans="2:24" x14ac:dyDescent="0.25">
      <c r="B45" s="7"/>
      <c r="C45" s="7" t="str" cm="1">
        <f t="array" aca="1" ref="C45" ca="1">IF(OR('Raw Data'!C45="",LEN(TRIM('Raw Data'!C45))=0,Validate_Empty!C45&lt;&gt;"",Validate_Value!C45&lt;&gt;""),"",IF(OR(NOT(OR(LEN(TRIM('Raw Data'!B45:X45))&gt;0)),OR('Raw Data'!C45="",LEN(TRIM('Raw Data'!C45))=0)),"",IF(OR(AND('Raw Data'!B45="Main Contract", LEFT('Raw Data'!C45, LEN("Payment"))="Payment"),AND('Raw Data'!B45="Change Order", LEFT('Raw Data'!C45, LEN("CO Payment No."))="CO Payment No.")),"",_xlfn.REGEXEXTRACT(CELL("address",'Raw Data'!C45),"\$([A-Z]+)\$[0-9]+"))))</f>
        <v/>
      </c>
      <c r="D45" s="7"/>
      <c r="E45" s="7"/>
      <c r="F45" s="7"/>
      <c r="G45" s="7"/>
      <c r="H45" s="7"/>
      <c r="I45" s="7"/>
      <c r="J45" s="7"/>
      <c r="K45" s="7"/>
      <c r="L45" s="7"/>
      <c r="M45" s="7" t="str" cm="1">
        <f t="array" aca="1" ref="M45" ca="1">IF(OR('Raw Data'!M45="",LEN(TRIM('Raw Data'!M45))=0,Validate_Empty!M45&lt;&gt;"",Validate_Value!M45&lt;&gt;""),"",IF(OR(NOT(OR(LEN(TRIM('Raw Data'!B45:X45))&gt;0)),OR('Raw Data'!M45="",LEN(TRIM('Raw Data'!M45))=0)),"",IF('Raw Data'!M45 = SUM('Raw Data'!K45:L45),"",_xlfn.REGEXEXTRACT(CELL("address",'Raw Data'!M45),"\$([A-Z]+)\$[0-9]+"))))</f>
        <v/>
      </c>
      <c r="N45" s="7"/>
      <c r="O45" s="7"/>
      <c r="P45" s="7" t="str" cm="1">
        <f t="array" aca="1" ref="P45" ca="1">IF(OR('Raw Data'!P45="",LEN(TRIM('Raw Data'!P45))=0,Validate_Empty!P45&lt;&gt;"",Validate_Value!P45&lt;&gt;""),"",IF(OR(NOT(OR(LEN(TRIM('Raw Data'!B45:X45))&gt;0)),OR('Raw Data'!P45="",LEN(TRIM('Raw Data'!P45))=0)),"",IF(AND('Raw Data'!J45 + Configuration!$G$2 + 5 &gt;= 'Raw Data'!P45,'Raw Data'!J45 + Configuration!$G$2 - 5 &lt;= 'Raw Data'!P45),"",_xlfn.REGEXEXTRACT(CELL("address",'Raw Data'!P45),"\$([A-Z]+)\$[0-9]+"))))</f>
        <v/>
      </c>
      <c r="Q45" s="7"/>
      <c r="R45" s="7"/>
      <c r="S45" s="7"/>
      <c r="T45" s="7" t="str" cm="1">
        <f t="array" aca="1" ref="T45" ca="1">IF(OR('Raw Data'!T45="",LEN(TRIM('Raw Data'!T45))=0,Validate_Empty!T45&lt;&gt;"",Validate_Value!T45&lt;&gt;""),"",IF(OR(NOT(OR(LEN(TRIM('Raw Data'!B45:X45))&gt;0)),OR('Raw Data'!T45="",LEN(TRIM('Raw Data'!T45))=0)),"",IF('Raw Data'!T45 = SUM('Raw Data'!R45:S45),"",_xlfn.REGEXEXTRACT(CELL("address",'Raw Data'!T45),"\$([A-Z]+)\$[0-9]+"))))</f>
        <v/>
      </c>
      <c r="U45" s="7" t="str" cm="1">
        <f t="array" aca="1" ref="U45" ca="1">IF(OR('Raw Data'!U45="",LEN(TRIM('Raw Data'!U45))=0,Validate_Empty!U45&lt;&gt;"",Validate_Value!U45&lt;&gt;""),"",IF(OR(NOT(OR(LEN(TRIM('Raw Data'!B45:X45))&gt;0)),OR('Raw Data'!T45="",LEN(TRIM('Raw Data'!T45))=0)),"",IF(ISNUMBER(SEARCH('Raw Data'!U45, Configuration!$H$2)),"",_xlfn.REGEXEXTRACT(CELL("address",'Raw Data'!U45),"\$([A-Z]+)\$[0-9]+"))))</f>
        <v/>
      </c>
      <c r="V45" s="7" t="str" cm="1">
        <f t="array" aca="1" ref="V45" ca="1">IF(OR('Raw Data'!V45="",LEN(TRIM('Raw Data'!V45))=0,Validate_Empty!V45&lt;&gt;"",Validate_Value!V45&lt;&gt;""),"",IF(OR(NOT(OR(LEN(TRIM('Raw Data'!B45:X45))&gt;0)),OR('Raw Data'!V45="",LEN(TRIM('Raw Data'!V45))=0)),"",IF('Raw Data'!V45 = Configuration!$I$2,"",_xlfn.REGEXEXTRACT(CELL("address",'Raw Data'!V45),"\$([A-Z]+)\$[0-9]+"))))</f>
        <v/>
      </c>
      <c r="W45" s="7"/>
      <c r="X45" s="7"/>
    </row>
    <row r="46" spans="2:24" x14ac:dyDescent="0.25">
      <c r="B46" s="7"/>
      <c r="C46" s="7" t="str" cm="1">
        <f t="array" aca="1" ref="C46" ca="1">IF(OR('Raw Data'!C46="",LEN(TRIM('Raw Data'!C46))=0,Validate_Empty!C46&lt;&gt;"",Validate_Value!C46&lt;&gt;""),"",IF(OR(NOT(OR(LEN(TRIM('Raw Data'!B46:X46))&gt;0)),OR('Raw Data'!C46="",LEN(TRIM('Raw Data'!C46))=0)),"",IF(OR(AND('Raw Data'!B46="Main Contract", LEFT('Raw Data'!C46, LEN("Payment"))="Payment"),AND('Raw Data'!B46="Change Order", LEFT('Raw Data'!C46, LEN("CO Payment No."))="CO Payment No.")),"",_xlfn.REGEXEXTRACT(CELL("address",'Raw Data'!C46),"\$([A-Z]+)\$[0-9]+"))))</f>
        <v/>
      </c>
      <c r="D46" s="7"/>
      <c r="E46" s="7"/>
      <c r="F46" s="7"/>
      <c r="G46" s="7"/>
      <c r="H46" s="7"/>
      <c r="I46" s="7"/>
      <c r="J46" s="7"/>
      <c r="K46" s="7"/>
      <c r="L46" s="7"/>
      <c r="M46" s="7" t="str" cm="1">
        <f t="array" aca="1" ref="M46" ca="1">IF(OR('Raw Data'!M46="",LEN(TRIM('Raw Data'!M46))=0,Validate_Empty!M46&lt;&gt;"",Validate_Value!M46&lt;&gt;""),"",IF(OR(NOT(OR(LEN(TRIM('Raw Data'!B46:X46))&gt;0)),OR('Raw Data'!M46="",LEN(TRIM('Raw Data'!M46))=0)),"",IF('Raw Data'!M46 = SUM('Raw Data'!K46:L46),"",_xlfn.REGEXEXTRACT(CELL("address",'Raw Data'!M46),"\$([A-Z]+)\$[0-9]+"))))</f>
        <v/>
      </c>
      <c r="N46" s="7"/>
      <c r="O46" s="7"/>
      <c r="P46" s="7" t="str" cm="1">
        <f t="array" aca="1" ref="P46" ca="1">IF(OR('Raw Data'!P46="",LEN(TRIM('Raw Data'!P46))=0,Validate_Empty!P46&lt;&gt;"",Validate_Value!P46&lt;&gt;""),"",IF(OR(NOT(OR(LEN(TRIM('Raw Data'!B46:X46))&gt;0)),OR('Raw Data'!P46="",LEN(TRIM('Raw Data'!P46))=0)),"",IF(AND('Raw Data'!J46 + Configuration!$G$2 + 5 &gt;= 'Raw Data'!P46,'Raw Data'!J46 + Configuration!$G$2 - 5 &lt;= 'Raw Data'!P46),"",_xlfn.REGEXEXTRACT(CELL("address",'Raw Data'!P46),"\$([A-Z]+)\$[0-9]+"))))</f>
        <v/>
      </c>
      <c r="Q46" s="7"/>
      <c r="R46" s="7"/>
      <c r="S46" s="7"/>
      <c r="T46" s="7" t="str" cm="1">
        <f t="array" aca="1" ref="T46" ca="1">IF(OR('Raw Data'!T46="",LEN(TRIM('Raw Data'!T46))=0,Validate_Empty!T46&lt;&gt;"",Validate_Value!T46&lt;&gt;""),"",IF(OR(NOT(OR(LEN(TRIM('Raw Data'!B46:X46))&gt;0)),OR('Raw Data'!T46="",LEN(TRIM('Raw Data'!T46))=0)),"",IF('Raw Data'!T46 = SUM('Raw Data'!R46:S46),"",_xlfn.REGEXEXTRACT(CELL("address",'Raw Data'!T46),"\$([A-Z]+)\$[0-9]+"))))</f>
        <v/>
      </c>
      <c r="U46" s="7" t="str" cm="1">
        <f t="array" aca="1" ref="U46" ca="1">IF(OR('Raw Data'!U46="",LEN(TRIM('Raw Data'!U46))=0,Validate_Empty!U46&lt;&gt;"",Validate_Value!U46&lt;&gt;""),"",IF(OR(NOT(OR(LEN(TRIM('Raw Data'!B46:X46))&gt;0)),OR('Raw Data'!T46="",LEN(TRIM('Raw Data'!T46))=0)),"",IF(ISNUMBER(SEARCH('Raw Data'!U46, Configuration!$H$2)),"",_xlfn.REGEXEXTRACT(CELL("address",'Raw Data'!U46),"\$([A-Z]+)\$[0-9]+"))))</f>
        <v/>
      </c>
      <c r="V46" s="7" t="str" cm="1">
        <f t="array" aca="1" ref="V46" ca="1">IF(OR('Raw Data'!V46="",LEN(TRIM('Raw Data'!V46))=0,Validate_Empty!V46&lt;&gt;"",Validate_Value!V46&lt;&gt;""),"",IF(OR(NOT(OR(LEN(TRIM('Raw Data'!B46:X46))&gt;0)),OR('Raw Data'!V46="",LEN(TRIM('Raw Data'!V46))=0)),"",IF('Raw Data'!V46 = Configuration!$I$2,"",_xlfn.REGEXEXTRACT(CELL("address",'Raw Data'!V46),"\$([A-Z]+)\$[0-9]+"))))</f>
        <v/>
      </c>
      <c r="W46" s="7"/>
      <c r="X46" s="7"/>
    </row>
    <row r="47" spans="2:24" x14ac:dyDescent="0.25">
      <c r="B47" s="7"/>
      <c r="C47" s="7" t="str" cm="1">
        <f t="array" aca="1" ref="C47" ca="1">IF(OR('Raw Data'!C47="",LEN(TRIM('Raw Data'!C47))=0,Validate_Empty!C47&lt;&gt;"",Validate_Value!C47&lt;&gt;""),"",IF(OR(NOT(OR(LEN(TRIM('Raw Data'!B47:X47))&gt;0)),OR('Raw Data'!C47="",LEN(TRIM('Raw Data'!C47))=0)),"",IF(OR(AND('Raw Data'!B47="Main Contract", LEFT('Raw Data'!C47, LEN("Payment"))="Payment"),AND('Raw Data'!B47="Change Order", LEFT('Raw Data'!C47, LEN("CO Payment No."))="CO Payment No.")),"",_xlfn.REGEXEXTRACT(CELL("address",'Raw Data'!C47),"\$([A-Z]+)\$[0-9]+"))))</f>
        <v/>
      </c>
      <c r="D47" s="7"/>
      <c r="E47" s="7"/>
      <c r="F47" s="7"/>
      <c r="G47" s="7"/>
      <c r="H47" s="7"/>
      <c r="I47" s="7"/>
      <c r="J47" s="7"/>
      <c r="K47" s="7"/>
      <c r="L47" s="7"/>
      <c r="M47" s="7" t="str" cm="1">
        <f t="array" aca="1" ref="M47" ca="1">IF(OR('Raw Data'!M47="",LEN(TRIM('Raw Data'!M47))=0,Validate_Empty!M47&lt;&gt;"",Validate_Value!M47&lt;&gt;""),"",IF(OR(NOT(OR(LEN(TRIM('Raw Data'!B47:X47))&gt;0)),OR('Raw Data'!M47="",LEN(TRIM('Raw Data'!M47))=0)),"",IF('Raw Data'!M47 = SUM('Raw Data'!K47:L47),"",_xlfn.REGEXEXTRACT(CELL("address",'Raw Data'!M47),"\$([A-Z]+)\$[0-9]+"))))</f>
        <v/>
      </c>
      <c r="N47" s="7"/>
      <c r="O47" s="7"/>
      <c r="P47" s="7" t="str" cm="1">
        <f t="array" aca="1" ref="P47" ca="1">IF(OR('Raw Data'!P47="",LEN(TRIM('Raw Data'!P47))=0,Validate_Empty!P47&lt;&gt;"",Validate_Value!P47&lt;&gt;""),"",IF(OR(NOT(OR(LEN(TRIM('Raw Data'!B47:X47))&gt;0)),OR('Raw Data'!P47="",LEN(TRIM('Raw Data'!P47))=0)),"",IF(AND('Raw Data'!J47 + Configuration!$G$2 + 5 &gt;= 'Raw Data'!P47,'Raw Data'!J47 + Configuration!$G$2 - 5 &lt;= 'Raw Data'!P47),"",_xlfn.REGEXEXTRACT(CELL("address",'Raw Data'!P47),"\$([A-Z]+)\$[0-9]+"))))</f>
        <v/>
      </c>
      <c r="Q47" s="7"/>
      <c r="R47" s="7"/>
      <c r="S47" s="7"/>
      <c r="T47" s="7" t="str" cm="1">
        <f t="array" aca="1" ref="T47" ca="1">IF(OR('Raw Data'!T47="",LEN(TRIM('Raw Data'!T47))=0,Validate_Empty!T47&lt;&gt;"",Validate_Value!T47&lt;&gt;""),"",IF(OR(NOT(OR(LEN(TRIM('Raw Data'!B47:X47))&gt;0)),OR('Raw Data'!T47="",LEN(TRIM('Raw Data'!T47))=0)),"",IF('Raw Data'!T47 = SUM('Raw Data'!R47:S47),"",_xlfn.REGEXEXTRACT(CELL("address",'Raw Data'!T47),"\$([A-Z]+)\$[0-9]+"))))</f>
        <v/>
      </c>
      <c r="U47" s="7" t="str" cm="1">
        <f t="array" aca="1" ref="U47" ca="1">IF(OR('Raw Data'!U47="",LEN(TRIM('Raw Data'!U47))=0,Validate_Empty!U47&lt;&gt;"",Validate_Value!U47&lt;&gt;""),"",IF(OR(NOT(OR(LEN(TRIM('Raw Data'!B47:X47))&gt;0)),OR('Raw Data'!T47="",LEN(TRIM('Raw Data'!T47))=0)),"",IF(ISNUMBER(SEARCH('Raw Data'!U47, Configuration!$H$2)),"",_xlfn.REGEXEXTRACT(CELL("address",'Raw Data'!U47),"\$([A-Z]+)\$[0-9]+"))))</f>
        <v/>
      </c>
      <c r="V47" s="7" t="str" cm="1">
        <f t="array" aca="1" ref="V47" ca="1">IF(OR('Raw Data'!V47="",LEN(TRIM('Raw Data'!V47))=0,Validate_Empty!V47&lt;&gt;"",Validate_Value!V47&lt;&gt;""),"",IF(OR(NOT(OR(LEN(TRIM('Raw Data'!B47:X47))&gt;0)),OR('Raw Data'!V47="",LEN(TRIM('Raw Data'!V47))=0)),"",IF('Raw Data'!V47 = Configuration!$I$2,"",_xlfn.REGEXEXTRACT(CELL("address",'Raw Data'!V47),"\$([A-Z]+)\$[0-9]+"))))</f>
        <v/>
      </c>
      <c r="W47" s="7"/>
      <c r="X47" s="7"/>
    </row>
    <row r="48" spans="2:24" x14ac:dyDescent="0.25">
      <c r="B48" s="7"/>
      <c r="C48" s="7" t="str" cm="1">
        <f t="array" aca="1" ref="C48" ca="1">IF(OR('Raw Data'!C48="",LEN(TRIM('Raw Data'!C48))=0,Validate_Empty!C48&lt;&gt;"",Validate_Value!C48&lt;&gt;""),"",IF(OR(NOT(OR(LEN(TRIM('Raw Data'!B48:X48))&gt;0)),OR('Raw Data'!C48="",LEN(TRIM('Raw Data'!C48))=0)),"",IF(OR(AND('Raw Data'!B48="Main Contract", LEFT('Raw Data'!C48, LEN("Payment"))="Payment"),AND('Raw Data'!B48="Change Order", LEFT('Raw Data'!C48, LEN("CO Payment No."))="CO Payment No.")),"",_xlfn.REGEXEXTRACT(CELL("address",'Raw Data'!C48),"\$([A-Z]+)\$[0-9]+"))))</f>
        <v/>
      </c>
      <c r="D48" s="7"/>
      <c r="E48" s="7"/>
      <c r="F48" s="7"/>
      <c r="G48" s="7"/>
      <c r="H48" s="7"/>
      <c r="I48" s="7"/>
      <c r="J48" s="7"/>
      <c r="K48" s="7"/>
      <c r="L48" s="7"/>
      <c r="M48" s="7" t="str" cm="1">
        <f t="array" aca="1" ref="M48" ca="1">IF(OR('Raw Data'!M48="",LEN(TRIM('Raw Data'!M48))=0,Validate_Empty!M48&lt;&gt;"",Validate_Value!M48&lt;&gt;""),"",IF(OR(NOT(OR(LEN(TRIM('Raw Data'!B48:X48))&gt;0)),OR('Raw Data'!M48="",LEN(TRIM('Raw Data'!M48))=0)),"",IF('Raw Data'!M48 = SUM('Raw Data'!K48:L48),"",_xlfn.REGEXEXTRACT(CELL("address",'Raw Data'!M48),"\$([A-Z]+)\$[0-9]+"))))</f>
        <v/>
      </c>
      <c r="N48" s="7"/>
      <c r="O48" s="7"/>
      <c r="P48" s="7" t="str" cm="1">
        <f t="array" aca="1" ref="P48" ca="1">IF(OR('Raw Data'!P48="",LEN(TRIM('Raw Data'!P48))=0,Validate_Empty!P48&lt;&gt;"",Validate_Value!P48&lt;&gt;""),"",IF(OR(NOT(OR(LEN(TRIM('Raw Data'!B48:X48))&gt;0)),OR('Raw Data'!P48="",LEN(TRIM('Raw Data'!P48))=0)),"",IF(AND('Raw Data'!J48 + Configuration!$G$2 + 5 &gt;= 'Raw Data'!P48,'Raw Data'!J48 + Configuration!$G$2 - 5 &lt;= 'Raw Data'!P48),"",_xlfn.REGEXEXTRACT(CELL("address",'Raw Data'!P48),"\$([A-Z]+)\$[0-9]+"))))</f>
        <v/>
      </c>
      <c r="Q48" s="7"/>
      <c r="R48" s="7"/>
      <c r="S48" s="7"/>
      <c r="T48" s="7" t="str" cm="1">
        <f t="array" aca="1" ref="T48" ca="1">IF(OR('Raw Data'!T48="",LEN(TRIM('Raw Data'!T48))=0,Validate_Empty!T48&lt;&gt;"",Validate_Value!T48&lt;&gt;""),"",IF(OR(NOT(OR(LEN(TRIM('Raw Data'!B48:X48))&gt;0)),OR('Raw Data'!T48="",LEN(TRIM('Raw Data'!T48))=0)),"",IF('Raw Data'!T48 = SUM('Raw Data'!R48:S48),"",_xlfn.REGEXEXTRACT(CELL("address",'Raw Data'!T48),"\$([A-Z]+)\$[0-9]+"))))</f>
        <v/>
      </c>
      <c r="U48" s="7" t="str" cm="1">
        <f t="array" aca="1" ref="U48" ca="1">IF(OR('Raw Data'!U48="",LEN(TRIM('Raw Data'!U48))=0,Validate_Empty!U48&lt;&gt;"",Validate_Value!U48&lt;&gt;""),"",IF(OR(NOT(OR(LEN(TRIM('Raw Data'!B48:X48))&gt;0)),OR('Raw Data'!T48="",LEN(TRIM('Raw Data'!T48))=0)),"",IF(ISNUMBER(SEARCH('Raw Data'!U48, Configuration!$H$2)),"",_xlfn.REGEXEXTRACT(CELL("address",'Raw Data'!U48),"\$([A-Z]+)\$[0-9]+"))))</f>
        <v/>
      </c>
      <c r="V48" s="7" t="str" cm="1">
        <f t="array" aca="1" ref="V48" ca="1">IF(OR('Raw Data'!V48="",LEN(TRIM('Raw Data'!V48))=0,Validate_Empty!V48&lt;&gt;"",Validate_Value!V48&lt;&gt;""),"",IF(OR(NOT(OR(LEN(TRIM('Raw Data'!B48:X48))&gt;0)),OR('Raw Data'!V48="",LEN(TRIM('Raw Data'!V48))=0)),"",IF('Raw Data'!V48 = Configuration!$I$2,"",_xlfn.REGEXEXTRACT(CELL("address",'Raw Data'!V48),"\$([A-Z]+)\$[0-9]+"))))</f>
        <v/>
      </c>
      <c r="W48" s="7"/>
      <c r="X48" s="7"/>
    </row>
    <row r="49" spans="2:24" x14ac:dyDescent="0.25">
      <c r="B49" s="7"/>
      <c r="C49" s="7" t="str" cm="1">
        <f t="array" aca="1" ref="C49" ca="1">IF(OR('Raw Data'!C49="",LEN(TRIM('Raw Data'!C49))=0,Validate_Empty!C49&lt;&gt;"",Validate_Value!C49&lt;&gt;""),"",IF(OR(NOT(OR(LEN(TRIM('Raw Data'!B49:X49))&gt;0)),OR('Raw Data'!C49="",LEN(TRIM('Raw Data'!C49))=0)),"",IF(OR(AND('Raw Data'!B49="Main Contract", LEFT('Raw Data'!C49, LEN("Payment"))="Payment"),AND('Raw Data'!B49="Change Order", LEFT('Raw Data'!C49, LEN("CO Payment No."))="CO Payment No.")),"",_xlfn.REGEXEXTRACT(CELL("address",'Raw Data'!C49),"\$([A-Z]+)\$[0-9]+"))))</f>
        <v/>
      </c>
      <c r="D49" s="7"/>
      <c r="E49" s="7"/>
      <c r="F49" s="7"/>
      <c r="G49" s="7"/>
      <c r="H49" s="7"/>
      <c r="I49" s="7"/>
      <c r="J49" s="7"/>
      <c r="K49" s="7"/>
      <c r="L49" s="7"/>
      <c r="M49" s="7" t="str" cm="1">
        <f t="array" aca="1" ref="M49" ca="1">IF(OR('Raw Data'!M49="",LEN(TRIM('Raw Data'!M49))=0,Validate_Empty!M49&lt;&gt;"",Validate_Value!M49&lt;&gt;""),"",IF(OR(NOT(OR(LEN(TRIM('Raw Data'!B49:X49))&gt;0)),OR('Raw Data'!M49="",LEN(TRIM('Raw Data'!M49))=0)),"",IF('Raw Data'!M49 = SUM('Raw Data'!K49:L49),"",_xlfn.REGEXEXTRACT(CELL("address",'Raw Data'!M49),"\$([A-Z]+)\$[0-9]+"))))</f>
        <v/>
      </c>
      <c r="N49" s="7"/>
      <c r="O49" s="7"/>
      <c r="P49" s="7" t="str" cm="1">
        <f t="array" aca="1" ref="P49" ca="1">IF(OR('Raw Data'!P49="",LEN(TRIM('Raw Data'!P49))=0,Validate_Empty!P49&lt;&gt;"",Validate_Value!P49&lt;&gt;""),"",IF(OR(NOT(OR(LEN(TRIM('Raw Data'!B49:X49))&gt;0)),OR('Raw Data'!P49="",LEN(TRIM('Raw Data'!P49))=0)),"",IF(AND('Raw Data'!J49 + Configuration!$G$2 + 5 &gt;= 'Raw Data'!P49,'Raw Data'!J49 + Configuration!$G$2 - 5 &lt;= 'Raw Data'!P49),"",_xlfn.REGEXEXTRACT(CELL("address",'Raw Data'!P49),"\$([A-Z]+)\$[0-9]+"))))</f>
        <v/>
      </c>
      <c r="Q49" s="7"/>
      <c r="R49" s="7"/>
      <c r="S49" s="7"/>
      <c r="T49" s="7" t="str" cm="1">
        <f t="array" aca="1" ref="T49" ca="1">IF(OR('Raw Data'!T49="",LEN(TRIM('Raw Data'!T49))=0,Validate_Empty!T49&lt;&gt;"",Validate_Value!T49&lt;&gt;""),"",IF(OR(NOT(OR(LEN(TRIM('Raw Data'!B49:X49))&gt;0)),OR('Raw Data'!T49="",LEN(TRIM('Raw Data'!T49))=0)),"",IF('Raw Data'!T49 = SUM('Raw Data'!R49:S49),"",_xlfn.REGEXEXTRACT(CELL("address",'Raw Data'!T49),"\$([A-Z]+)\$[0-9]+"))))</f>
        <v/>
      </c>
      <c r="U49" s="7" t="str" cm="1">
        <f t="array" aca="1" ref="U49" ca="1">IF(OR('Raw Data'!U49="",LEN(TRIM('Raw Data'!U49))=0,Validate_Empty!U49&lt;&gt;"",Validate_Value!U49&lt;&gt;""),"",IF(OR(NOT(OR(LEN(TRIM('Raw Data'!B49:X49))&gt;0)),OR('Raw Data'!T49="",LEN(TRIM('Raw Data'!T49))=0)),"",IF(ISNUMBER(SEARCH('Raw Data'!U49, Configuration!$H$2)),"",_xlfn.REGEXEXTRACT(CELL("address",'Raw Data'!U49),"\$([A-Z]+)\$[0-9]+"))))</f>
        <v/>
      </c>
      <c r="V49" s="7" t="str" cm="1">
        <f t="array" aca="1" ref="V49" ca="1">IF(OR('Raw Data'!V49="",LEN(TRIM('Raw Data'!V49))=0,Validate_Empty!V49&lt;&gt;"",Validate_Value!V49&lt;&gt;""),"",IF(OR(NOT(OR(LEN(TRIM('Raw Data'!B49:X49))&gt;0)),OR('Raw Data'!V49="",LEN(TRIM('Raw Data'!V49))=0)),"",IF('Raw Data'!V49 = Configuration!$I$2,"",_xlfn.REGEXEXTRACT(CELL("address",'Raw Data'!V49),"\$([A-Z]+)\$[0-9]+"))))</f>
        <v/>
      </c>
      <c r="W49" s="7"/>
      <c r="X49" s="7"/>
    </row>
    <row r="50" spans="2:24" x14ac:dyDescent="0.25">
      <c r="B50" s="7"/>
      <c r="C50" s="7" t="str" cm="1">
        <f t="array" aca="1" ref="C50" ca="1">IF(OR('Raw Data'!C50="",LEN(TRIM('Raw Data'!C50))=0,Validate_Empty!C50&lt;&gt;"",Validate_Value!C50&lt;&gt;""),"",IF(OR(NOT(OR(LEN(TRIM('Raw Data'!B50:X50))&gt;0)),OR('Raw Data'!C50="",LEN(TRIM('Raw Data'!C50))=0)),"",IF(OR(AND('Raw Data'!B50="Main Contract", LEFT('Raw Data'!C50, LEN("Payment"))="Payment"),AND('Raw Data'!B50="Change Order", LEFT('Raw Data'!C50, LEN("CO Payment No."))="CO Payment No.")),"",_xlfn.REGEXEXTRACT(CELL("address",'Raw Data'!C50),"\$([A-Z]+)\$[0-9]+"))))</f>
        <v/>
      </c>
      <c r="D50" s="7"/>
      <c r="E50" s="7"/>
      <c r="F50" s="7"/>
      <c r="G50" s="7"/>
      <c r="H50" s="7"/>
      <c r="I50" s="7"/>
      <c r="J50" s="7"/>
      <c r="K50" s="7"/>
      <c r="L50" s="7"/>
      <c r="M50" s="7" t="str" cm="1">
        <f t="array" aca="1" ref="M50" ca="1">IF(OR('Raw Data'!M50="",LEN(TRIM('Raw Data'!M50))=0,Validate_Empty!M50&lt;&gt;"",Validate_Value!M50&lt;&gt;""),"",IF(OR(NOT(OR(LEN(TRIM('Raw Data'!B50:X50))&gt;0)),OR('Raw Data'!M50="",LEN(TRIM('Raw Data'!M50))=0)),"",IF('Raw Data'!M50 = SUM('Raw Data'!K50:L50),"",_xlfn.REGEXEXTRACT(CELL("address",'Raw Data'!M50),"\$([A-Z]+)\$[0-9]+"))))</f>
        <v/>
      </c>
      <c r="N50" s="7"/>
      <c r="O50" s="7"/>
      <c r="P50" s="7" t="str" cm="1">
        <f t="array" aca="1" ref="P50" ca="1">IF(OR('Raw Data'!P50="",LEN(TRIM('Raw Data'!P50))=0,Validate_Empty!P50&lt;&gt;"",Validate_Value!P50&lt;&gt;""),"",IF(OR(NOT(OR(LEN(TRIM('Raw Data'!B50:X50))&gt;0)),OR('Raw Data'!P50="",LEN(TRIM('Raw Data'!P50))=0)),"",IF(AND('Raw Data'!J50 + Configuration!$G$2 + 5 &gt;= 'Raw Data'!P50,'Raw Data'!J50 + Configuration!$G$2 - 5 &lt;= 'Raw Data'!P50),"",_xlfn.REGEXEXTRACT(CELL("address",'Raw Data'!P50),"\$([A-Z]+)\$[0-9]+"))))</f>
        <v/>
      </c>
      <c r="Q50" s="7"/>
      <c r="R50" s="7"/>
      <c r="S50" s="7"/>
      <c r="T50" s="7" t="str" cm="1">
        <f t="array" aca="1" ref="T50" ca="1">IF(OR('Raw Data'!T50="",LEN(TRIM('Raw Data'!T50))=0,Validate_Empty!T50&lt;&gt;"",Validate_Value!T50&lt;&gt;""),"",IF(OR(NOT(OR(LEN(TRIM('Raw Data'!B50:X50))&gt;0)),OR('Raw Data'!T50="",LEN(TRIM('Raw Data'!T50))=0)),"",IF('Raw Data'!T50 = SUM('Raw Data'!R50:S50),"",_xlfn.REGEXEXTRACT(CELL("address",'Raw Data'!T50),"\$([A-Z]+)\$[0-9]+"))))</f>
        <v/>
      </c>
      <c r="U50" s="7" t="str" cm="1">
        <f t="array" aca="1" ref="U50" ca="1">IF(OR('Raw Data'!U50="",LEN(TRIM('Raw Data'!U50))=0,Validate_Empty!U50&lt;&gt;"",Validate_Value!U50&lt;&gt;""),"",IF(OR(NOT(OR(LEN(TRIM('Raw Data'!B50:X50))&gt;0)),OR('Raw Data'!T50="",LEN(TRIM('Raw Data'!T50))=0)),"",IF(ISNUMBER(SEARCH('Raw Data'!U50, Configuration!$H$2)),"",_xlfn.REGEXEXTRACT(CELL("address",'Raw Data'!U50),"\$([A-Z]+)\$[0-9]+"))))</f>
        <v/>
      </c>
      <c r="V50" s="7" t="str" cm="1">
        <f t="array" aca="1" ref="V50" ca="1">IF(OR('Raw Data'!V50="",LEN(TRIM('Raw Data'!V50))=0,Validate_Empty!V50&lt;&gt;"",Validate_Value!V50&lt;&gt;""),"",IF(OR(NOT(OR(LEN(TRIM('Raw Data'!B50:X50))&gt;0)),OR('Raw Data'!V50="",LEN(TRIM('Raw Data'!V50))=0)),"",IF('Raw Data'!V50 = Configuration!$I$2,"",_xlfn.REGEXEXTRACT(CELL("address",'Raw Data'!V50),"\$([A-Z]+)\$[0-9]+"))))</f>
        <v/>
      </c>
      <c r="W50" s="7"/>
      <c r="X50" s="7"/>
    </row>
    <row r="51" spans="2:24" x14ac:dyDescent="0.25">
      <c r="B51" s="7"/>
      <c r="C51" s="7" t="str" cm="1">
        <f t="array" aca="1" ref="C51" ca="1">IF(OR('Raw Data'!C51="",LEN(TRIM('Raw Data'!C51))=0,Validate_Empty!C51&lt;&gt;"",Validate_Value!C51&lt;&gt;""),"",IF(OR(NOT(OR(LEN(TRIM('Raw Data'!B51:X51))&gt;0)),OR('Raw Data'!C51="",LEN(TRIM('Raw Data'!C51))=0)),"",IF(OR(AND('Raw Data'!B51="Main Contract", LEFT('Raw Data'!C51, LEN("Payment"))="Payment"),AND('Raw Data'!B51="Change Order", LEFT('Raw Data'!C51, LEN("CO Payment No."))="CO Payment No.")),"",_xlfn.REGEXEXTRACT(CELL("address",'Raw Data'!C51),"\$([A-Z]+)\$[0-9]+"))))</f>
        <v/>
      </c>
      <c r="D51" s="7"/>
      <c r="E51" s="7"/>
      <c r="F51" s="7"/>
      <c r="G51" s="7"/>
      <c r="H51" s="7"/>
      <c r="I51" s="7"/>
      <c r="J51" s="7"/>
      <c r="K51" s="7"/>
      <c r="L51" s="7"/>
      <c r="M51" s="7" t="str" cm="1">
        <f t="array" aca="1" ref="M51" ca="1">IF(OR('Raw Data'!M51="",LEN(TRIM('Raw Data'!M51))=0,Validate_Empty!M51&lt;&gt;"",Validate_Value!M51&lt;&gt;""),"",IF(OR(NOT(OR(LEN(TRIM('Raw Data'!B51:X51))&gt;0)),OR('Raw Data'!M51="",LEN(TRIM('Raw Data'!M51))=0)),"",IF('Raw Data'!M51 = SUM('Raw Data'!K51:L51),"",_xlfn.REGEXEXTRACT(CELL("address",'Raw Data'!M51),"\$([A-Z]+)\$[0-9]+"))))</f>
        <v/>
      </c>
      <c r="N51" s="7"/>
      <c r="O51" s="7"/>
      <c r="P51" s="7" t="str" cm="1">
        <f t="array" aca="1" ref="P51" ca="1">IF(OR('Raw Data'!P51="",LEN(TRIM('Raw Data'!P51))=0,Validate_Empty!P51&lt;&gt;"",Validate_Value!P51&lt;&gt;""),"",IF(OR(NOT(OR(LEN(TRIM('Raw Data'!B51:X51))&gt;0)),OR('Raw Data'!P51="",LEN(TRIM('Raw Data'!P51))=0)),"",IF(AND('Raw Data'!J51 + Configuration!$G$2 + 5 &gt;= 'Raw Data'!P51,'Raw Data'!J51 + Configuration!$G$2 - 5 &lt;= 'Raw Data'!P51),"",_xlfn.REGEXEXTRACT(CELL("address",'Raw Data'!P51),"\$([A-Z]+)\$[0-9]+"))))</f>
        <v/>
      </c>
      <c r="Q51" s="7"/>
      <c r="R51" s="7"/>
      <c r="S51" s="7"/>
      <c r="T51" s="7" t="str" cm="1">
        <f t="array" aca="1" ref="T51" ca="1">IF(OR('Raw Data'!T51="",LEN(TRIM('Raw Data'!T51))=0,Validate_Empty!T51&lt;&gt;"",Validate_Value!T51&lt;&gt;""),"",IF(OR(NOT(OR(LEN(TRIM('Raw Data'!B51:X51))&gt;0)),OR('Raw Data'!T51="",LEN(TRIM('Raw Data'!T51))=0)),"",IF('Raw Data'!T51 = SUM('Raw Data'!R51:S51),"",_xlfn.REGEXEXTRACT(CELL("address",'Raw Data'!T51),"\$([A-Z]+)\$[0-9]+"))))</f>
        <v/>
      </c>
      <c r="U51" s="7" t="str" cm="1">
        <f t="array" aca="1" ref="U51" ca="1">IF(OR('Raw Data'!U51="",LEN(TRIM('Raw Data'!U51))=0,Validate_Empty!U51&lt;&gt;"",Validate_Value!U51&lt;&gt;""),"",IF(OR(NOT(OR(LEN(TRIM('Raw Data'!B51:X51))&gt;0)),OR('Raw Data'!T51="",LEN(TRIM('Raw Data'!T51))=0)),"",IF(ISNUMBER(SEARCH('Raw Data'!U51, Configuration!$H$2)),"",_xlfn.REGEXEXTRACT(CELL("address",'Raw Data'!U51),"\$([A-Z]+)\$[0-9]+"))))</f>
        <v/>
      </c>
      <c r="V51" s="7" t="str" cm="1">
        <f t="array" aca="1" ref="V51" ca="1">IF(OR('Raw Data'!V51="",LEN(TRIM('Raw Data'!V51))=0,Validate_Empty!V51&lt;&gt;"",Validate_Value!V51&lt;&gt;""),"",IF(OR(NOT(OR(LEN(TRIM('Raw Data'!B51:X51))&gt;0)),OR('Raw Data'!V51="",LEN(TRIM('Raw Data'!V51))=0)),"",IF('Raw Data'!V51 = Configuration!$I$2,"",_xlfn.REGEXEXTRACT(CELL("address",'Raw Data'!V51),"\$([A-Z]+)\$[0-9]+"))))</f>
        <v/>
      </c>
      <c r="W51" s="7"/>
      <c r="X51" s="7"/>
    </row>
    <row r="52" spans="2:24" x14ac:dyDescent="0.25">
      <c r="B52" s="7"/>
      <c r="C52" s="7" t="str" cm="1">
        <f t="array" aca="1" ref="C52" ca="1">IF(OR('Raw Data'!C52="",LEN(TRIM('Raw Data'!C52))=0,Validate_Empty!C52&lt;&gt;"",Validate_Value!C52&lt;&gt;""),"",IF(OR(NOT(OR(LEN(TRIM('Raw Data'!B52:X52))&gt;0)),OR('Raw Data'!C52="",LEN(TRIM('Raw Data'!C52))=0)),"",IF(OR(AND('Raw Data'!B52="Main Contract", LEFT('Raw Data'!C52, LEN("Payment"))="Payment"),AND('Raw Data'!B52="Change Order", LEFT('Raw Data'!C52, LEN("CO Payment No."))="CO Payment No.")),"",_xlfn.REGEXEXTRACT(CELL("address",'Raw Data'!C52),"\$([A-Z]+)\$[0-9]+"))))</f>
        <v/>
      </c>
      <c r="D52" s="7"/>
      <c r="E52" s="7"/>
      <c r="F52" s="7"/>
      <c r="G52" s="7"/>
      <c r="H52" s="7"/>
      <c r="I52" s="7"/>
      <c r="J52" s="7"/>
      <c r="K52" s="7"/>
      <c r="L52" s="7"/>
      <c r="M52" s="7" t="str" cm="1">
        <f t="array" aca="1" ref="M52" ca="1">IF(OR('Raw Data'!M52="",LEN(TRIM('Raw Data'!M52))=0,Validate_Empty!M52&lt;&gt;"",Validate_Value!M52&lt;&gt;""),"",IF(OR(NOT(OR(LEN(TRIM('Raw Data'!B52:X52))&gt;0)),OR('Raw Data'!M52="",LEN(TRIM('Raw Data'!M52))=0)),"",IF('Raw Data'!M52 = SUM('Raw Data'!K52:L52),"",_xlfn.REGEXEXTRACT(CELL("address",'Raw Data'!M52),"\$([A-Z]+)\$[0-9]+"))))</f>
        <v/>
      </c>
      <c r="N52" s="7"/>
      <c r="O52" s="7"/>
      <c r="P52" s="7" t="str" cm="1">
        <f t="array" aca="1" ref="P52" ca="1">IF(OR('Raw Data'!P52="",LEN(TRIM('Raw Data'!P52))=0,Validate_Empty!P52&lt;&gt;"",Validate_Value!P52&lt;&gt;""),"",IF(OR(NOT(OR(LEN(TRIM('Raw Data'!B52:X52))&gt;0)),OR('Raw Data'!P52="",LEN(TRIM('Raw Data'!P52))=0)),"",IF(AND('Raw Data'!J52 + Configuration!$G$2 + 5 &gt;= 'Raw Data'!P52,'Raw Data'!J52 + Configuration!$G$2 - 5 &lt;= 'Raw Data'!P52),"",_xlfn.REGEXEXTRACT(CELL("address",'Raw Data'!P52),"\$([A-Z]+)\$[0-9]+"))))</f>
        <v/>
      </c>
      <c r="Q52" s="7"/>
      <c r="R52" s="7"/>
      <c r="S52" s="7"/>
      <c r="T52" s="7" t="str" cm="1">
        <f t="array" aca="1" ref="T52" ca="1">IF(OR('Raw Data'!T52="",LEN(TRIM('Raw Data'!T52))=0,Validate_Empty!T52&lt;&gt;"",Validate_Value!T52&lt;&gt;""),"",IF(OR(NOT(OR(LEN(TRIM('Raw Data'!B52:X52))&gt;0)),OR('Raw Data'!T52="",LEN(TRIM('Raw Data'!T52))=0)),"",IF('Raw Data'!T52 = SUM('Raw Data'!R52:S52),"",_xlfn.REGEXEXTRACT(CELL("address",'Raw Data'!T52),"\$([A-Z]+)\$[0-9]+"))))</f>
        <v/>
      </c>
      <c r="U52" s="7" t="str" cm="1">
        <f t="array" aca="1" ref="U52" ca="1">IF(OR('Raw Data'!U52="",LEN(TRIM('Raw Data'!U52))=0,Validate_Empty!U52&lt;&gt;"",Validate_Value!U52&lt;&gt;""),"",IF(OR(NOT(OR(LEN(TRIM('Raw Data'!B52:X52))&gt;0)),OR('Raw Data'!T52="",LEN(TRIM('Raw Data'!T52))=0)),"",IF(ISNUMBER(SEARCH('Raw Data'!U52, Configuration!$H$2)),"",_xlfn.REGEXEXTRACT(CELL("address",'Raw Data'!U52),"\$([A-Z]+)\$[0-9]+"))))</f>
        <v/>
      </c>
      <c r="V52" s="7" t="str" cm="1">
        <f t="array" aca="1" ref="V52" ca="1">IF(OR('Raw Data'!V52="",LEN(TRIM('Raw Data'!V52))=0,Validate_Empty!V52&lt;&gt;"",Validate_Value!V52&lt;&gt;""),"",IF(OR(NOT(OR(LEN(TRIM('Raw Data'!B52:X52))&gt;0)),OR('Raw Data'!V52="",LEN(TRIM('Raw Data'!V52))=0)),"",IF('Raw Data'!V52 = Configuration!$I$2,"",_xlfn.REGEXEXTRACT(CELL("address",'Raw Data'!V52),"\$([A-Z]+)\$[0-9]+"))))</f>
        <v/>
      </c>
      <c r="W52" s="7"/>
      <c r="X52" s="7"/>
    </row>
    <row r="53" spans="2:24" x14ac:dyDescent="0.25">
      <c r="B53" s="7"/>
      <c r="C53" s="7" t="str" cm="1">
        <f t="array" aca="1" ref="C53" ca="1">IF(OR('Raw Data'!C53="",LEN(TRIM('Raw Data'!C53))=0,Validate_Empty!C53&lt;&gt;"",Validate_Value!C53&lt;&gt;""),"",IF(OR(NOT(OR(LEN(TRIM('Raw Data'!B53:X53))&gt;0)),OR('Raw Data'!C53="",LEN(TRIM('Raw Data'!C53))=0)),"",IF(OR(AND('Raw Data'!B53="Main Contract", LEFT('Raw Data'!C53, LEN("Payment"))="Payment"),AND('Raw Data'!B53="Change Order", LEFT('Raw Data'!C53, LEN("CO Payment No."))="CO Payment No.")),"",_xlfn.REGEXEXTRACT(CELL("address",'Raw Data'!C53),"\$([A-Z]+)\$[0-9]+"))))</f>
        <v/>
      </c>
      <c r="D53" s="7"/>
      <c r="E53" s="7"/>
      <c r="F53" s="7"/>
      <c r="G53" s="7"/>
      <c r="H53" s="7"/>
      <c r="I53" s="7"/>
      <c r="J53" s="7"/>
      <c r="K53" s="7"/>
      <c r="L53" s="7"/>
      <c r="M53" s="7" t="str" cm="1">
        <f t="array" aca="1" ref="M53" ca="1">IF(OR('Raw Data'!M53="",LEN(TRIM('Raw Data'!M53))=0,Validate_Empty!M53&lt;&gt;"",Validate_Value!M53&lt;&gt;""),"",IF(OR(NOT(OR(LEN(TRIM('Raw Data'!B53:X53))&gt;0)),OR('Raw Data'!M53="",LEN(TRIM('Raw Data'!M53))=0)),"",IF('Raw Data'!M53 = SUM('Raw Data'!K53:L53),"",_xlfn.REGEXEXTRACT(CELL("address",'Raw Data'!M53),"\$([A-Z]+)\$[0-9]+"))))</f>
        <v/>
      </c>
      <c r="N53" s="7"/>
      <c r="O53" s="7"/>
      <c r="P53" s="7" t="str" cm="1">
        <f t="array" aca="1" ref="P53" ca="1">IF(OR('Raw Data'!P53="",LEN(TRIM('Raw Data'!P53))=0,Validate_Empty!P53&lt;&gt;"",Validate_Value!P53&lt;&gt;""),"",IF(OR(NOT(OR(LEN(TRIM('Raw Data'!B53:X53))&gt;0)),OR('Raw Data'!P53="",LEN(TRIM('Raw Data'!P53))=0)),"",IF(AND('Raw Data'!J53 + Configuration!$G$2 + 5 &gt;= 'Raw Data'!P53,'Raw Data'!J53 + Configuration!$G$2 - 5 &lt;= 'Raw Data'!P53),"",_xlfn.REGEXEXTRACT(CELL("address",'Raw Data'!P53),"\$([A-Z]+)\$[0-9]+"))))</f>
        <v/>
      </c>
      <c r="Q53" s="7"/>
      <c r="R53" s="7"/>
      <c r="S53" s="7"/>
      <c r="T53" s="7" t="str" cm="1">
        <f t="array" aca="1" ref="T53" ca="1">IF(OR('Raw Data'!T53="",LEN(TRIM('Raw Data'!T53))=0,Validate_Empty!T53&lt;&gt;"",Validate_Value!T53&lt;&gt;""),"",IF(OR(NOT(OR(LEN(TRIM('Raw Data'!B53:X53))&gt;0)),OR('Raw Data'!T53="",LEN(TRIM('Raw Data'!T53))=0)),"",IF('Raw Data'!T53 = SUM('Raw Data'!R53:S53),"",_xlfn.REGEXEXTRACT(CELL("address",'Raw Data'!T53),"\$([A-Z]+)\$[0-9]+"))))</f>
        <v/>
      </c>
      <c r="U53" s="7" t="str" cm="1">
        <f t="array" aca="1" ref="U53" ca="1">IF(OR('Raw Data'!U53="",LEN(TRIM('Raw Data'!U53))=0,Validate_Empty!U53&lt;&gt;"",Validate_Value!U53&lt;&gt;""),"",IF(OR(NOT(OR(LEN(TRIM('Raw Data'!B53:X53))&gt;0)),OR('Raw Data'!T53="",LEN(TRIM('Raw Data'!T53))=0)),"",IF(ISNUMBER(SEARCH('Raw Data'!U53, Configuration!$H$2)),"",_xlfn.REGEXEXTRACT(CELL("address",'Raw Data'!U53),"\$([A-Z]+)\$[0-9]+"))))</f>
        <v/>
      </c>
      <c r="V53" s="7" t="str" cm="1">
        <f t="array" aca="1" ref="V53" ca="1">IF(OR('Raw Data'!V53="",LEN(TRIM('Raw Data'!V53))=0,Validate_Empty!V53&lt;&gt;"",Validate_Value!V53&lt;&gt;""),"",IF(OR(NOT(OR(LEN(TRIM('Raw Data'!B53:X53))&gt;0)),OR('Raw Data'!V53="",LEN(TRIM('Raw Data'!V53))=0)),"",IF('Raw Data'!V53 = Configuration!$I$2,"",_xlfn.REGEXEXTRACT(CELL("address",'Raw Data'!V53),"\$([A-Z]+)\$[0-9]+"))))</f>
        <v/>
      </c>
      <c r="W53" s="7"/>
      <c r="X53" s="7"/>
    </row>
    <row r="54" spans="2:24" x14ac:dyDescent="0.25">
      <c r="B54" s="7"/>
      <c r="C54" s="7" t="str" cm="1">
        <f t="array" aca="1" ref="C54" ca="1">IF(OR('Raw Data'!C54="",LEN(TRIM('Raw Data'!C54))=0,Validate_Empty!C54&lt;&gt;"",Validate_Value!C54&lt;&gt;""),"",IF(OR(NOT(OR(LEN(TRIM('Raw Data'!B54:X54))&gt;0)),OR('Raw Data'!C54="",LEN(TRIM('Raw Data'!C54))=0)),"",IF(OR(AND('Raw Data'!B54="Main Contract", LEFT('Raw Data'!C54, LEN("Payment"))="Payment"),AND('Raw Data'!B54="Change Order", LEFT('Raw Data'!C54, LEN("CO Payment No."))="CO Payment No.")),"",_xlfn.REGEXEXTRACT(CELL("address",'Raw Data'!C54),"\$([A-Z]+)\$[0-9]+"))))</f>
        <v/>
      </c>
      <c r="D54" s="7"/>
      <c r="E54" s="7"/>
      <c r="F54" s="7"/>
      <c r="G54" s="7"/>
      <c r="H54" s="7"/>
      <c r="I54" s="7"/>
      <c r="J54" s="7"/>
      <c r="K54" s="7"/>
      <c r="L54" s="7"/>
      <c r="M54" s="7" t="str" cm="1">
        <f t="array" aca="1" ref="M54" ca="1">IF(OR('Raw Data'!M54="",LEN(TRIM('Raw Data'!M54))=0,Validate_Empty!M54&lt;&gt;"",Validate_Value!M54&lt;&gt;""),"",IF(OR(NOT(OR(LEN(TRIM('Raw Data'!B54:X54))&gt;0)),OR('Raw Data'!M54="",LEN(TRIM('Raw Data'!M54))=0)),"",IF('Raw Data'!M54 = SUM('Raw Data'!K54:L54),"",_xlfn.REGEXEXTRACT(CELL("address",'Raw Data'!M54),"\$([A-Z]+)\$[0-9]+"))))</f>
        <v/>
      </c>
      <c r="N54" s="7"/>
      <c r="O54" s="7"/>
      <c r="P54" s="7" t="str" cm="1">
        <f t="array" aca="1" ref="P54" ca="1">IF(OR('Raw Data'!P54="",LEN(TRIM('Raw Data'!P54))=0,Validate_Empty!P54&lt;&gt;"",Validate_Value!P54&lt;&gt;""),"",IF(OR(NOT(OR(LEN(TRIM('Raw Data'!B54:X54))&gt;0)),OR('Raw Data'!P54="",LEN(TRIM('Raw Data'!P54))=0)),"",IF(AND('Raw Data'!J54 + Configuration!$G$2 + 5 &gt;= 'Raw Data'!P54,'Raw Data'!J54 + Configuration!$G$2 - 5 &lt;= 'Raw Data'!P54),"",_xlfn.REGEXEXTRACT(CELL("address",'Raw Data'!P54),"\$([A-Z]+)\$[0-9]+"))))</f>
        <v/>
      </c>
      <c r="Q54" s="7"/>
      <c r="R54" s="7"/>
      <c r="S54" s="7"/>
      <c r="T54" s="7" t="str" cm="1">
        <f t="array" aca="1" ref="T54" ca="1">IF(OR('Raw Data'!T54="",LEN(TRIM('Raw Data'!T54))=0,Validate_Empty!T54&lt;&gt;"",Validate_Value!T54&lt;&gt;""),"",IF(OR(NOT(OR(LEN(TRIM('Raw Data'!B54:X54))&gt;0)),OR('Raw Data'!T54="",LEN(TRIM('Raw Data'!T54))=0)),"",IF('Raw Data'!T54 = SUM('Raw Data'!R54:S54),"",_xlfn.REGEXEXTRACT(CELL("address",'Raw Data'!T54),"\$([A-Z]+)\$[0-9]+"))))</f>
        <v/>
      </c>
      <c r="U54" s="7" t="str" cm="1">
        <f t="array" aca="1" ref="U54" ca="1">IF(OR('Raw Data'!U54="",LEN(TRIM('Raw Data'!U54))=0,Validate_Empty!U54&lt;&gt;"",Validate_Value!U54&lt;&gt;""),"",IF(OR(NOT(OR(LEN(TRIM('Raw Data'!B54:X54))&gt;0)),OR('Raw Data'!T54="",LEN(TRIM('Raw Data'!T54))=0)),"",IF(ISNUMBER(SEARCH('Raw Data'!U54, Configuration!$H$2)),"",_xlfn.REGEXEXTRACT(CELL("address",'Raw Data'!U54),"\$([A-Z]+)\$[0-9]+"))))</f>
        <v/>
      </c>
      <c r="V54" s="7" t="str" cm="1">
        <f t="array" aca="1" ref="V54" ca="1">IF(OR('Raw Data'!V54="",LEN(TRIM('Raw Data'!V54))=0,Validate_Empty!V54&lt;&gt;"",Validate_Value!V54&lt;&gt;""),"",IF(OR(NOT(OR(LEN(TRIM('Raw Data'!B54:X54))&gt;0)),OR('Raw Data'!V54="",LEN(TRIM('Raw Data'!V54))=0)),"",IF('Raw Data'!V54 = Configuration!$I$2,"",_xlfn.REGEXEXTRACT(CELL("address",'Raw Data'!V54),"\$([A-Z]+)\$[0-9]+"))))</f>
        <v/>
      </c>
      <c r="W54" s="7"/>
      <c r="X54" s="7"/>
    </row>
    <row r="55" spans="2:24" x14ac:dyDescent="0.25">
      <c r="B55" s="7"/>
      <c r="C55" s="7" t="str" cm="1">
        <f t="array" aca="1" ref="C55" ca="1">IF(OR('Raw Data'!C55="",LEN(TRIM('Raw Data'!C55))=0,Validate_Empty!C55&lt;&gt;"",Validate_Value!C55&lt;&gt;""),"",IF(OR(NOT(OR(LEN(TRIM('Raw Data'!B55:X55))&gt;0)),OR('Raw Data'!C55="",LEN(TRIM('Raw Data'!C55))=0)),"",IF(OR(AND('Raw Data'!B55="Main Contract", LEFT('Raw Data'!C55, LEN("Payment"))="Payment"),AND('Raw Data'!B55="Change Order", LEFT('Raw Data'!C55, LEN("CO Payment No."))="CO Payment No.")),"",_xlfn.REGEXEXTRACT(CELL("address",'Raw Data'!C55),"\$([A-Z]+)\$[0-9]+"))))</f>
        <v/>
      </c>
      <c r="D55" s="7"/>
      <c r="E55" s="7"/>
      <c r="F55" s="7"/>
      <c r="G55" s="7"/>
      <c r="H55" s="7"/>
      <c r="I55" s="7"/>
      <c r="J55" s="7"/>
      <c r="K55" s="7"/>
      <c r="L55" s="7"/>
      <c r="M55" s="7" t="str" cm="1">
        <f t="array" aca="1" ref="M55" ca="1">IF(OR('Raw Data'!M55="",LEN(TRIM('Raw Data'!M55))=0,Validate_Empty!M55&lt;&gt;"",Validate_Value!M55&lt;&gt;""),"",IF(OR(NOT(OR(LEN(TRIM('Raw Data'!B55:X55))&gt;0)),OR('Raw Data'!M55="",LEN(TRIM('Raw Data'!M55))=0)),"",IF('Raw Data'!M55 = SUM('Raw Data'!K55:L55),"",_xlfn.REGEXEXTRACT(CELL("address",'Raw Data'!M55),"\$([A-Z]+)\$[0-9]+"))))</f>
        <v/>
      </c>
      <c r="N55" s="7"/>
      <c r="O55" s="7"/>
      <c r="P55" s="7" t="str" cm="1">
        <f t="array" aca="1" ref="P55" ca="1">IF(OR('Raw Data'!P55="",LEN(TRIM('Raw Data'!P55))=0,Validate_Empty!P55&lt;&gt;"",Validate_Value!P55&lt;&gt;""),"",IF(OR(NOT(OR(LEN(TRIM('Raw Data'!B55:X55))&gt;0)),OR('Raw Data'!P55="",LEN(TRIM('Raw Data'!P55))=0)),"",IF(AND('Raw Data'!J55 + Configuration!$G$2 + 5 &gt;= 'Raw Data'!P55,'Raw Data'!J55 + Configuration!$G$2 - 5 &lt;= 'Raw Data'!P55),"",_xlfn.REGEXEXTRACT(CELL("address",'Raw Data'!P55),"\$([A-Z]+)\$[0-9]+"))))</f>
        <v/>
      </c>
      <c r="Q55" s="7"/>
      <c r="R55" s="7"/>
      <c r="S55" s="7"/>
      <c r="T55" s="7" t="str" cm="1">
        <f t="array" aca="1" ref="T55" ca="1">IF(OR('Raw Data'!T55="",LEN(TRIM('Raw Data'!T55))=0,Validate_Empty!T55&lt;&gt;"",Validate_Value!T55&lt;&gt;""),"",IF(OR(NOT(OR(LEN(TRIM('Raw Data'!B55:X55))&gt;0)),OR('Raw Data'!T55="",LEN(TRIM('Raw Data'!T55))=0)),"",IF('Raw Data'!T55 = SUM('Raw Data'!R55:S55),"",_xlfn.REGEXEXTRACT(CELL("address",'Raw Data'!T55),"\$([A-Z]+)\$[0-9]+"))))</f>
        <v/>
      </c>
      <c r="U55" s="7" t="str" cm="1">
        <f t="array" aca="1" ref="U55" ca="1">IF(OR('Raw Data'!U55="",LEN(TRIM('Raw Data'!U55))=0,Validate_Empty!U55&lt;&gt;"",Validate_Value!U55&lt;&gt;""),"",IF(OR(NOT(OR(LEN(TRIM('Raw Data'!B55:X55))&gt;0)),OR('Raw Data'!T55="",LEN(TRIM('Raw Data'!T55))=0)),"",IF(ISNUMBER(SEARCH('Raw Data'!U55, Configuration!$H$2)),"",_xlfn.REGEXEXTRACT(CELL("address",'Raw Data'!U55),"\$([A-Z]+)\$[0-9]+"))))</f>
        <v/>
      </c>
      <c r="V55" s="7" t="str" cm="1">
        <f t="array" aca="1" ref="V55" ca="1">IF(OR('Raw Data'!V55="",LEN(TRIM('Raw Data'!V55))=0,Validate_Empty!V55&lt;&gt;"",Validate_Value!V55&lt;&gt;""),"",IF(OR(NOT(OR(LEN(TRIM('Raw Data'!B55:X55))&gt;0)),OR('Raw Data'!V55="",LEN(TRIM('Raw Data'!V55))=0)),"",IF('Raw Data'!V55 = Configuration!$I$2,"",_xlfn.REGEXEXTRACT(CELL("address",'Raw Data'!V55),"\$([A-Z]+)\$[0-9]+"))))</f>
        <v/>
      </c>
      <c r="W55" s="7"/>
      <c r="X55" s="7"/>
    </row>
    <row r="56" spans="2:24" x14ac:dyDescent="0.25">
      <c r="B56" s="7"/>
      <c r="C56" s="7" t="str" cm="1">
        <f t="array" aca="1" ref="C56" ca="1">IF(OR('Raw Data'!C56="",LEN(TRIM('Raw Data'!C56))=0,Validate_Empty!C56&lt;&gt;"",Validate_Value!C56&lt;&gt;""),"",IF(OR(NOT(OR(LEN(TRIM('Raw Data'!B56:X56))&gt;0)),OR('Raw Data'!C56="",LEN(TRIM('Raw Data'!C56))=0)),"",IF(OR(AND('Raw Data'!B56="Main Contract", LEFT('Raw Data'!C56, LEN("Payment"))="Payment"),AND('Raw Data'!B56="Change Order", LEFT('Raw Data'!C56, LEN("CO Payment No."))="CO Payment No.")),"",_xlfn.REGEXEXTRACT(CELL("address",'Raw Data'!C56),"\$([A-Z]+)\$[0-9]+"))))</f>
        <v/>
      </c>
      <c r="D56" s="7"/>
      <c r="E56" s="7"/>
      <c r="F56" s="7"/>
      <c r="G56" s="7"/>
      <c r="H56" s="7"/>
      <c r="I56" s="7"/>
      <c r="J56" s="7"/>
      <c r="K56" s="7"/>
      <c r="L56" s="7"/>
      <c r="M56" s="7" t="str" cm="1">
        <f t="array" aca="1" ref="M56" ca="1">IF(OR('Raw Data'!M56="",LEN(TRIM('Raw Data'!M56))=0,Validate_Empty!M56&lt;&gt;"",Validate_Value!M56&lt;&gt;""),"",IF(OR(NOT(OR(LEN(TRIM('Raw Data'!B56:X56))&gt;0)),OR('Raw Data'!M56="",LEN(TRIM('Raw Data'!M56))=0)),"",IF('Raw Data'!M56 = SUM('Raw Data'!K56:L56),"",_xlfn.REGEXEXTRACT(CELL("address",'Raw Data'!M56),"\$([A-Z]+)\$[0-9]+"))))</f>
        <v/>
      </c>
      <c r="N56" s="7"/>
      <c r="O56" s="7"/>
      <c r="P56" s="7" t="str" cm="1">
        <f t="array" aca="1" ref="P56" ca="1">IF(OR('Raw Data'!P56="",LEN(TRIM('Raw Data'!P56))=0,Validate_Empty!P56&lt;&gt;"",Validate_Value!P56&lt;&gt;""),"",IF(OR(NOT(OR(LEN(TRIM('Raw Data'!B56:X56))&gt;0)),OR('Raw Data'!P56="",LEN(TRIM('Raw Data'!P56))=0)),"",IF(AND('Raw Data'!J56 + Configuration!$G$2 + 5 &gt;= 'Raw Data'!P56,'Raw Data'!J56 + Configuration!$G$2 - 5 &lt;= 'Raw Data'!P56),"",_xlfn.REGEXEXTRACT(CELL("address",'Raw Data'!P56),"\$([A-Z]+)\$[0-9]+"))))</f>
        <v/>
      </c>
      <c r="Q56" s="7"/>
      <c r="R56" s="7"/>
      <c r="S56" s="7"/>
      <c r="T56" s="7" t="str" cm="1">
        <f t="array" aca="1" ref="T56" ca="1">IF(OR('Raw Data'!T56="",LEN(TRIM('Raw Data'!T56))=0,Validate_Empty!T56&lt;&gt;"",Validate_Value!T56&lt;&gt;""),"",IF(OR(NOT(OR(LEN(TRIM('Raw Data'!B56:X56))&gt;0)),OR('Raw Data'!T56="",LEN(TRIM('Raw Data'!T56))=0)),"",IF('Raw Data'!T56 = SUM('Raw Data'!R56:S56),"",_xlfn.REGEXEXTRACT(CELL("address",'Raw Data'!T56),"\$([A-Z]+)\$[0-9]+"))))</f>
        <v/>
      </c>
      <c r="U56" s="7" t="str" cm="1">
        <f t="array" aca="1" ref="U56" ca="1">IF(OR('Raw Data'!U56="",LEN(TRIM('Raw Data'!U56))=0,Validate_Empty!U56&lt;&gt;"",Validate_Value!U56&lt;&gt;""),"",IF(OR(NOT(OR(LEN(TRIM('Raw Data'!B56:X56))&gt;0)),OR('Raw Data'!T56="",LEN(TRIM('Raw Data'!T56))=0)),"",IF(ISNUMBER(SEARCH('Raw Data'!U56, Configuration!$H$2)),"",_xlfn.REGEXEXTRACT(CELL("address",'Raw Data'!U56),"\$([A-Z]+)\$[0-9]+"))))</f>
        <v/>
      </c>
      <c r="V56" s="7" t="str" cm="1">
        <f t="array" aca="1" ref="V56" ca="1">IF(OR('Raw Data'!V56="",LEN(TRIM('Raw Data'!V56))=0,Validate_Empty!V56&lt;&gt;"",Validate_Value!V56&lt;&gt;""),"",IF(OR(NOT(OR(LEN(TRIM('Raw Data'!B56:X56))&gt;0)),OR('Raw Data'!V56="",LEN(TRIM('Raw Data'!V56))=0)),"",IF('Raw Data'!V56 = Configuration!$I$2,"",_xlfn.REGEXEXTRACT(CELL("address",'Raw Data'!V56),"\$([A-Z]+)\$[0-9]+"))))</f>
        <v/>
      </c>
      <c r="W56" s="7"/>
      <c r="X56" s="7"/>
    </row>
    <row r="57" spans="2:24" x14ac:dyDescent="0.25">
      <c r="B57" s="7"/>
      <c r="C57" s="7" t="str" cm="1">
        <f t="array" aca="1" ref="C57" ca="1">IF(OR('Raw Data'!C57="",LEN(TRIM('Raw Data'!C57))=0,Validate_Empty!C57&lt;&gt;"",Validate_Value!C57&lt;&gt;""),"",IF(OR(NOT(OR(LEN(TRIM('Raw Data'!B57:X57))&gt;0)),OR('Raw Data'!C57="",LEN(TRIM('Raw Data'!C57))=0)),"",IF(OR(AND('Raw Data'!B57="Main Contract", LEFT('Raw Data'!C57, LEN("Payment"))="Payment"),AND('Raw Data'!B57="Change Order", LEFT('Raw Data'!C57, LEN("CO Payment No."))="CO Payment No.")),"",_xlfn.REGEXEXTRACT(CELL("address",'Raw Data'!C57),"\$([A-Z]+)\$[0-9]+"))))</f>
        <v/>
      </c>
      <c r="D57" s="7"/>
      <c r="E57" s="7"/>
      <c r="F57" s="7"/>
      <c r="G57" s="7"/>
      <c r="H57" s="7"/>
      <c r="I57" s="7"/>
      <c r="J57" s="7"/>
      <c r="K57" s="7"/>
      <c r="L57" s="7"/>
      <c r="M57" s="7" t="str" cm="1">
        <f t="array" aca="1" ref="M57" ca="1">IF(OR('Raw Data'!M57="",LEN(TRIM('Raw Data'!M57))=0,Validate_Empty!M57&lt;&gt;"",Validate_Value!M57&lt;&gt;""),"",IF(OR(NOT(OR(LEN(TRIM('Raw Data'!B57:X57))&gt;0)),OR('Raw Data'!M57="",LEN(TRIM('Raw Data'!M57))=0)),"",IF('Raw Data'!M57 = SUM('Raw Data'!K57:L57),"",_xlfn.REGEXEXTRACT(CELL("address",'Raw Data'!M57),"\$([A-Z]+)\$[0-9]+"))))</f>
        <v/>
      </c>
      <c r="N57" s="7"/>
      <c r="O57" s="7"/>
      <c r="P57" s="7" t="str" cm="1">
        <f t="array" aca="1" ref="P57" ca="1">IF(OR('Raw Data'!P57="",LEN(TRIM('Raw Data'!P57))=0,Validate_Empty!P57&lt;&gt;"",Validate_Value!P57&lt;&gt;""),"",IF(OR(NOT(OR(LEN(TRIM('Raw Data'!B57:X57))&gt;0)),OR('Raw Data'!P57="",LEN(TRIM('Raw Data'!P57))=0)),"",IF(AND('Raw Data'!J57 + Configuration!$G$2 + 5 &gt;= 'Raw Data'!P57,'Raw Data'!J57 + Configuration!$G$2 - 5 &lt;= 'Raw Data'!P57),"",_xlfn.REGEXEXTRACT(CELL("address",'Raw Data'!P57),"\$([A-Z]+)\$[0-9]+"))))</f>
        <v/>
      </c>
      <c r="Q57" s="7"/>
      <c r="R57" s="7"/>
      <c r="S57" s="7"/>
      <c r="T57" s="7" t="str" cm="1">
        <f t="array" aca="1" ref="T57" ca="1">IF(OR('Raw Data'!T57="",LEN(TRIM('Raw Data'!T57))=0,Validate_Empty!T57&lt;&gt;"",Validate_Value!T57&lt;&gt;""),"",IF(OR(NOT(OR(LEN(TRIM('Raw Data'!B57:X57))&gt;0)),OR('Raw Data'!T57="",LEN(TRIM('Raw Data'!T57))=0)),"",IF('Raw Data'!T57 = SUM('Raw Data'!R57:S57),"",_xlfn.REGEXEXTRACT(CELL("address",'Raw Data'!T57),"\$([A-Z]+)\$[0-9]+"))))</f>
        <v/>
      </c>
      <c r="U57" s="7" t="str" cm="1">
        <f t="array" aca="1" ref="U57" ca="1">IF(OR('Raw Data'!U57="",LEN(TRIM('Raw Data'!U57))=0,Validate_Empty!U57&lt;&gt;"",Validate_Value!U57&lt;&gt;""),"",IF(OR(NOT(OR(LEN(TRIM('Raw Data'!B57:X57))&gt;0)),OR('Raw Data'!T57="",LEN(TRIM('Raw Data'!T57))=0)),"",IF(ISNUMBER(SEARCH('Raw Data'!U57, Configuration!$H$2)),"",_xlfn.REGEXEXTRACT(CELL("address",'Raw Data'!U57),"\$([A-Z]+)\$[0-9]+"))))</f>
        <v/>
      </c>
      <c r="V57" s="7" t="str" cm="1">
        <f t="array" aca="1" ref="V57" ca="1">IF(OR('Raw Data'!V57="",LEN(TRIM('Raw Data'!V57))=0,Validate_Empty!V57&lt;&gt;"",Validate_Value!V57&lt;&gt;""),"",IF(OR(NOT(OR(LEN(TRIM('Raw Data'!B57:X57))&gt;0)),OR('Raw Data'!V57="",LEN(TRIM('Raw Data'!V57))=0)),"",IF('Raw Data'!V57 = Configuration!$I$2,"",_xlfn.REGEXEXTRACT(CELL("address",'Raw Data'!V57),"\$([A-Z]+)\$[0-9]+"))))</f>
        <v/>
      </c>
      <c r="W57" s="7"/>
      <c r="X57" s="7"/>
    </row>
    <row r="58" spans="2:24" x14ac:dyDescent="0.25">
      <c r="B58" s="7"/>
      <c r="C58" s="7" t="str" cm="1">
        <f t="array" aca="1" ref="C58" ca="1">IF(OR('Raw Data'!C58="",LEN(TRIM('Raw Data'!C58))=0,Validate_Empty!C58&lt;&gt;"",Validate_Value!C58&lt;&gt;""),"",IF(OR(NOT(OR(LEN(TRIM('Raw Data'!B58:X58))&gt;0)),OR('Raw Data'!C58="",LEN(TRIM('Raw Data'!C58))=0)),"",IF(OR(AND('Raw Data'!B58="Main Contract", LEFT('Raw Data'!C58, LEN("Payment"))="Payment"),AND('Raw Data'!B58="Change Order", LEFT('Raw Data'!C58, LEN("CO Payment No."))="CO Payment No.")),"",_xlfn.REGEXEXTRACT(CELL("address",'Raw Data'!C58),"\$([A-Z]+)\$[0-9]+"))))</f>
        <v/>
      </c>
      <c r="D58" s="7"/>
      <c r="E58" s="7"/>
      <c r="F58" s="7"/>
      <c r="G58" s="7"/>
      <c r="H58" s="7"/>
      <c r="I58" s="7"/>
      <c r="J58" s="7"/>
      <c r="K58" s="7"/>
      <c r="L58" s="7"/>
      <c r="M58" s="7" t="str" cm="1">
        <f t="array" aca="1" ref="M58" ca="1">IF(OR('Raw Data'!M58="",LEN(TRIM('Raw Data'!M58))=0,Validate_Empty!M58&lt;&gt;"",Validate_Value!M58&lt;&gt;""),"",IF(OR(NOT(OR(LEN(TRIM('Raw Data'!B58:X58))&gt;0)),OR('Raw Data'!M58="",LEN(TRIM('Raw Data'!M58))=0)),"",IF('Raw Data'!M58 = SUM('Raw Data'!K58:L58),"",_xlfn.REGEXEXTRACT(CELL("address",'Raw Data'!M58),"\$([A-Z]+)\$[0-9]+"))))</f>
        <v/>
      </c>
      <c r="N58" s="7"/>
      <c r="O58" s="7"/>
      <c r="P58" s="7" t="str" cm="1">
        <f t="array" aca="1" ref="P58" ca="1">IF(OR('Raw Data'!P58="",LEN(TRIM('Raw Data'!P58))=0,Validate_Empty!P58&lt;&gt;"",Validate_Value!P58&lt;&gt;""),"",IF(OR(NOT(OR(LEN(TRIM('Raw Data'!B58:X58))&gt;0)),OR('Raw Data'!P58="",LEN(TRIM('Raw Data'!P58))=0)),"",IF(AND('Raw Data'!J58 + Configuration!$G$2 + 5 &gt;= 'Raw Data'!P58,'Raw Data'!J58 + Configuration!$G$2 - 5 &lt;= 'Raw Data'!P58),"",_xlfn.REGEXEXTRACT(CELL("address",'Raw Data'!P58),"\$([A-Z]+)\$[0-9]+"))))</f>
        <v/>
      </c>
      <c r="Q58" s="7"/>
      <c r="R58" s="7"/>
      <c r="S58" s="7"/>
      <c r="T58" s="7" t="str" cm="1">
        <f t="array" aca="1" ref="T58" ca="1">IF(OR('Raw Data'!T58="",LEN(TRIM('Raw Data'!T58))=0,Validate_Empty!T58&lt;&gt;"",Validate_Value!T58&lt;&gt;""),"",IF(OR(NOT(OR(LEN(TRIM('Raw Data'!B58:X58))&gt;0)),OR('Raw Data'!T58="",LEN(TRIM('Raw Data'!T58))=0)),"",IF('Raw Data'!T58 = SUM('Raw Data'!R58:S58),"",_xlfn.REGEXEXTRACT(CELL("address",'Raw Data'!T58),"\$([A-Z]+)\$[0-9]+"))))</f>
        <v/>
      </c>
      <c r="U58" s="7" t="str" cm="1">
        <f t="array" aca="1" ref="U58" ca="1">IF(OR('Raw Data'!U58="",LEN(TRIM('Raw Data'!U58))=0,Validate_Empty!U58&lt;&gt;"",Validate_Value!U58&lt;&gt;""),"",IF(OR(NOT(OR(LEN(TRIM('Raw Data'!B58:X58))&gt;0)),OR('Raw Data'!T58="",LEN(TRIM('Raw Data'!T58))=0)),"",IF(ISNUMBER(SEARCH('Raw Data'!U58, Configuration!$H$2)),"",_xlfn.REGEXEXTRACT(CELL("address",'Raw Data'!U58),"\$([A-Z]+)\$[0-9]+"))))</f>
        <v/>
      </c>
      <c r="V58" s="7" t="str" cm="1">
        <f t="array" aca="1" ref="V58" ca="1">IF(OR('Raw Data'!V58="",LEN(TRIM('Raw Data'!V58))=0,Validate_Empty!V58&lt;&gt;"",Validate_Value!V58&lt;&gt;""),"",IF(OR(NOT(OR(LEN(TRIM('Raw Data'!B58:X58))&gt;0)),OR('Raw Data'!V58="",LEN(TRIM('Raw Data'!V58))=0)),"",IF('Raw Data'!V58 = Configuration!$I$2,"",_xlfn.REGEXEXTRACT(CELL("address",'Raw Data'!V58),"\$([A-Z]+)\$[0-9]+"))))</f>
        <v/>
      </c>
      <c r="W58" s="7"/>
      <c r="X58" s="7"/>
    </row>
    <row r="59" spans="2:24" x14ac:dyDescent="0.25">
      <c r="B59" s="7"/>
      <c r="C59" s="7" t="str" cm="1">
        <f t="array" aca="1" ref="C59" ca="1">IF(OR('Raw Data'!C59="",LEN(TRIM('Raw Data'!C59))=0,Validate_Empty!C59&lt;&gt;"",Validate_Value!C59&lt;&gt;""),"",IF(OR(NOT(OR(LEN(TRIM('Raw Data'!B59:X59))&gt;0)),OR('Raw Data'!C59="",LEN(TRIM('Raw Data'!C59))=0)),"",IF(OR(AND('Raw Data'!B59="Main Contract", LEFT('Raw Data'!C59, LEN("Payment"))="Payment"),AND('Raw Data'!B59="Change Order", LEFT('Raw Data'!C59, LEN("CO Payment No."))="CO Payment No.")),"",_xlfn.REGEXEXTRACT(CELL("address",'Raw Data'!C59),"\$([A-Z]+)\$[0-9]+"))))</f>
        <v/>
      </c>
      <c r="D59" s="7"/>
      <c r="E59" s="7"/>
      <c r="F59" s="7"/>
      <c r="G59" s="7"/>
      <c r="H59" s="7"/>
      <c r="I59" s="7"/>
      <c r="J59" s="7"/>
      <c r="K59" s="7"/>
      <c r="L59" s="7"/>
      <c r="M59" s="7" t="str" cm="1">
        <f t="array" aca="1" ref="M59" ca="1">IF(OR('Raw Data'!M59="",LEN(TRIM('Raw Data'!M59))=0,Validate_Empty!M59&lt;&gt;"",Validate_Value!M59&lt;&gt;""),"",IF(OR(NOT(OR(LEN(TRIM('Raw Data'!B59:X59))&gt;0)),OR('Raw Data'!M59="",LEN(TRIM('Raw Data'!M59))=0)),"",IF('Raw Data'!M59 = SUM('Raw Data'!K59:L59),"",_xlfn.REGEXEXTRACT(CELL("address",'Raw Data'!M59),"\$([A-Z]+)\$[0-9]+"))))</f>
        <v/>
      </c>
      <c r="N59" s="7"/>
      <c r="O59" s="7"/>
      <c r="P59" s="7" t="str" cm="1">
        <f t="array" aca="1" ref="P59" ca="1">IF(OR('Raw Data'!P59="",LEN(TRIM('Raw Data'!P59))=0,Validate_Empty!P59&lt;&gt;"",Validate_Value!P59&lt;&gt;""),"",IF(OR(NOT(OR(LEN(TRIM('Raw Data'!B59:X59))&gt;0)),OR('Raw Data'!P59="",LEN(TRIM('Raw Data'!P59))=0)),"",IF(AND('Raw Data'!J59 + Configuration!$G$2 + 5 &gt;= 'Raw Data'!P59,'Raw Data'!J59 + Configuration!$G$2 - 5 &lt;= 'Raw Data'!P59),"",_xlfn.REGEXEXTRACT(CELL("address",'Raw Data'!P59),"\$([A-Z]+)\$[0-9]+"))))</f>
        <v/>
      </c>
      <c r="Q59" s="7"/>
      <c r="R59" s="7"/>
      <c r="S59" s="7"/>
      <c r="T59" s="7" t="str" cm="1">
        <f t="array" aca="1" ref="T59" ca="1">IF(OR('Raw Data'!T59="",LEN(TRIM('Raw Data'!T59))=0,Validate_Empty!T59&lt;&gt;"",Validate_Value!T59&lt;&gt;""),"",IF(OR(NOT(OR(LEN(TRIM('Raw Data'!B59:X59))&gt;0)),OR('Raw Data'!T59="",LEN(TRIM('Raw Data'!T59))=0)),"",IF('Raw Data'!T59 = SUM('Raw Data'!R59:S59),"",_xlfn.REGEXEXTRACT(CELL("address",'Raw Data'!T59),"\$([A-Z]+)\$[0-9]+"))))</f>
        <v/>
      </c>
      <c r="U59" s="7" t="str" cm="1">
        <f t="array" aca="1" ref="U59" ca="1">IF(OR('Raw Data'!U59="",LEN(TRIM('Raw Data'!U59))=0,Validate_Empty!U59&lt;&gt;"",Validate_Value!U59&lt;&gt;""),"",IF(OR(NOT(OR(LEN(TRIM('Raw Data'!B59:X59))&gt;0)),OR('Raw Data'!T59="",LEN(TRIM('Raw Data'!T59))=0)),"",IF(ISNUMBER(SEARCH('Raw Data'!U59, Configuration!$H$2)),"",_xlfn.REGEXEXTRACT(CELL("address",'Raw Data'!U59),"\$([A-Z]+)\$[0-9]+"))))</f>
        <v/>
      </c>
      <c r="V59" s="7" t="str" cm="1">
        <f t="array" aca="1" ref="V59" ca="1">IF(OR('Raw Data'!V59="",LEN(TRIM('Raw Data'!V59))=0,Validate_Empty!V59&lt;&gt;"",Validate_Value!V59&lt;&gt;""),"",IF(OR(NOT(OR(LEN(TRIM('Raw Data'!B59:X59))&gt;0)),OR('Raw Data'!V59="",LEN(TRIM('Raw Data'!V59))=0)),"",IF('Raw Data'!V59 = Configuration!$I$2,"",_xlfn.REGEXEXTRACT(CELL("address",'Raw Data'!V59),"\$([A-Z]+)\$[0-9]+"))))</f>
        <v/>
      </c>
      <c r="W59" s="7"/>
      <c r="X59" s="7"/>
    </row>
    <row r="60" spans="2:24" x14ac:dyDescent="0.25">
      <c r="B60" s="7"/>
      <c r="C60" s="7" t="str" cm="1">
        <f t="array" aca="1" ref="C60" ca="1">IF(OR('Raw Data'!C60="",LEN(TRIM('Raw Data'!C60))=0,Validate_Empty!C60&lt;&gt;"",Validate_Value!C60&lt;&gt;""),"",IF(OR(NOT(OR(LEN(TRIM('Raw Data'!B60:X60))&gt;0)),OR('Raw Data'!C60="",LEN(TRIM('Raw Data'!C60))=0)),"",IF(OR(AND('Raw Data'!B60="Main Contract", LEFT('Raw Data'!C60, LEN("Payment"))="Payment"),AND('Raw Data'!B60="Change Order", LEFT('Raw Data'!C60, LEN("CO Payment No."))="CO Payment No.")),"",_xlfn.REGEXEXTRACT(CELL("address",'Raw Data'!C60),"\$([A-Z]+)\$[0-9]+"))))</f>
        <v/>
      </c>
      <c r="D60" s="7"/>
      <c r="E60" s="7"/>
      <c r="F60" s="7"/>
      <c r="G60" s="7"/>
      <c r="H60" s="7"/>
      <c r="I60" s="7"/>
      <c r="J60" s="7"/>
      <c r="K60" s="7"/>
      <c r="L60" s="7"/>
      <c r="M60" s="7" t="str" cm="1">
        <f t="array" aca="1" ref="M60" ca="1">IF(OR('Raw Data'!M60="",LEN(TRIM('Raw Data'!M60))=0,Validate_Empty!M60&lt;&gt;"",Validate_Value!M60&lt;&gt;""),"",IF(OR(NOT(OR(LEN(TRIM('Raw Data'!B60:X60))&gt;0)),OR('Raw Data'!M60="",LEN(TRIM('Raw Data'!M60))=0)),"",IF('Raw Data'!M60 = SUM('Raw Data'!K60:L60),"",_xlfn.REGEXEXTRACT(CELL("address",'Raw Data'!M60),"\$([A-Z]+)\$[0-9]+"))))</f>
        <v/>
      </c>
      <c r="N60" s="7"/>
      <c r="O60" s="7"/>
      <c r="P60" s="7" t="str" cm="1">
        <f t="array" aca="1" ref="P60" ca="1">IF(OR('Raw Data'!P60="",LEN(TRIM('Raw Data'!P60))=0,Validate_Empty!P60&lt;&gt;"",Validate_Value!P60&lt;&gt;""),"",IF(OR(NOT(OR(LEN(TRIM('Raw Data'!B60:X60))&gt;0)),OR('Raw Data'!P60="",LEN(TRIM('Raw Data'!P60))=0)),"",IF(AND('Raw Data'!J60 + Configuration!$G$2 + 5 &gt;= 'Raw Data'!P60,'Raw Data'!J60 + Configuration!$G$2 - 5 &lt;= 'Raw Data'!P60),"",_xlfn.REGEXEXTRACT(CELL("address",'Raw Data'!P60),"\$([A-Z]+)\$[0-9]+"))))</f>
        <v/>
      </c>
      <c r="Q60" s="7"/>
      <c r="R60" s="7"/>
      <c r="S60" s="7"/>
      <c r="T60" s="7" t="str" cm="1">
        <f t="array" aca="1" ref="T60" ca="1">IF(OR('Raw Data'!T60="",LEN(TRIM('Raw Data'!T60))=0,Validate_Empty!T60&lt;&gt;"",Validate_Value!T60&lt;&gt;""),"",IF(OR(NOT(OR(LEN(TRIM('Raw Data'!B60:X60))&gt;0)),OR('Raw Data'!T60="",LEN(TRIM('Raw Data'!T60))=0)),"",IF('Raw Data'!T60 = SUM('Raw Data'!R60:S60),"",_xlfn.REGEXEXTRACT(CELL("address",'Raw Data'!T60),"\$([A-Z]+)\$[0-9]+"))))</f>
        <v/>
      </c>
      <c r="U60" s="7" t="str" cm="1">
        <f t="array" aca="1" ref="U60" ca="1">IF(OR('Raw Data'!U60="",LEN(TRIM('Raw Data'!U60))=0,Validate_Empty!U60&lt;&gt;"",Validate_Value!U60&lt;&gt;""),"",IF(OR(NOT(OR(LEN(TRIM('Raw Data'!B60:X60))&gt;0)),OR('Raw Data'!T60="",LEN(TRIM('Raw Data'!T60))=0)),"",IF(ISNUMBER(SEARCH('Raw Data'!U60, Configuration!$H$2)),"",_xlfn.REGEXEXTRACT(CELL("address",'Raw Data'!U60),"\$([A-Z]+)\$[0-9]+"))))</f>
        <v/>
      </c>
      <c r="V60" s="7" t="str" cm="1">
        <f t="array" aca="1" ref="V60" ca="1">IF(OR('Raw Data'!V60="",LEN(TRIM('Raw Data'!V60))=0,Validate_Empty!V60&lt;&gt;"",Validate_Value!V60&lt;&gt;""),"",IF(OR(NOT(OR(LEN(TRIM('Raw Data'!B60:X60))&gt;0)),OR('Raw Data'!V60="",LEN(TRIM('Raw Data'!V60))=0)),"",IF('Raw Data'!V60 = Configuration!$I$2,"",_xlfn.REGEXEXTRACT(CELL("address",'Raw Data'!V60),"\$([A-Z]+)\$[0-9]+"))))</f>
        <v/>
      </c>
      <c r="W60" s="7"/>
      <c r="X60" s="7"/>
    </row>
    <row r="61" spans="2:24" x14ac:dyDescent="0.25">
      <c r="B61" s="7"/>
      <c r="C61" s="7" t="str" cm="1">
        <f t="array" aca="1" ref="C61" ca="1">IF(OR('Raw Data'!C61="",LEN(TRIM('Raw Data'!C61))=0,Validate_Empty!C61&lt;&gt;"",Validate_Value!C61&lt;&gt;""),"",IF(OR(NOT(OR(LEN(TRIM('Raw Data'!B61:X61))&gt;0)),OR('Raw Data'!C61="",LEN(TRIM('Raw Data'!C61))=0)),"",IF(OR(AND('Raw Data'!B61="Main Contract", LEFT('Raw Data'!C61, LEN("Payment"))="Payment"),AND('Raw Data'!B61="Change Order", LEFT('Raw Data'!C61, LEN("CO Payment No."))="CO Payment No.")),"",_xlfn.REGEXEXTRACT(CELL("address",'Raw Data'!C61),"\$([A-Z]+)\$[0-9]+"))))</f>
        <v/>
      </c>
      <c r="D61" s="7"/>
      <c r="E61" s="7"/>
      <c r="F61" s="7"/>
      <c r="G61" s="7"/>
      <c r="H61" s="7"/>
      <c r="I61" s="7"/>
      <c r="J61" s="7"/>
      <c r="K61" s="7"/>
      <c r="L61" s="7"/>
      <c r="M61" s="7" t="str" cm="1">
        <f t="array" aca="1" ref="M61" ca="1">IF(OR('Raw Data'!M61="",LEN(TRIM('Raw Data'!M61))=0,Validate_Empty!M61&lt;&gt;"",Validate_Value!M61&lt;&gt;""),"",IF(OR(NOT(OR(LEN(TRIM('Raw Data'!B61:X61))&gt;0)),OR('Raw Data'!M61="",LEN(TRIM('Raw Data'!M61))=0)),"",IF('Raw Data'!M61 = SUM('Raw Data'!K61:L61),"",_xlfn.REGEXEXTRACT(CELL("address",'Raw Data'!M61),"\$([A-Z]+)\$[0-9]+"))))</f>
        <v/>
      </c>
      <c r="N61" s="7"/>
      <c r="O61" s="7"/>
      <c r="P61" s="7" t="str" cm="1">
        <f t="array" aca="1" ref="P61" ca="1">IF(OR('Raw Data'!P61="",LEN(TRIM('Raw Data'!P61))=0,Validate_Empty!P61&lt;&gt;"",Validate_Value!P61&lt;&gt;""),"",IF(OR(NOT(OR(LEN(TRIM('Raw Data'!B61:X61))&gt;0)),OR('Raw Data'!P61="",LEN(TRIM('Raw Data'!P61))=0)),"",IF(AND('Raw Data'!J61 + Configuration!$G$2 + 5 &gt;= 'Raw Data'!P61,'Raw Data'!J61 + Configuration!$G$2 - 5 &lt;= 'Raw Data'!P61),"",_xlfn.REGEXEXTRACT(CELL("address",'Raw Data'!P61),"\$([A-Z]+)\$[0-9]+"))))</f>
        <v/>
      </c>
      <c r="Q61" s="7"/>
      <c r="R61" s="7"/>
      <c r="S61" s="7"/>
      <c r="T61" s="7" t="str" cm="1">
        <f t="array" aca="1" ref="T61" ca="1">IF(OR('Raw Data'!T61="",LEN(TRIM('Raw Data'!T61))=0,Validate_Empty!T61&lt;&gt;"",Validate_Value!T61&lt;&gt;""),"",IF(OR(NOT(OR(LEN(TRIM('Raw Data'!B61:X61))&gt;0)),OR('Raw Data'!T61="",LEN(TRIM('Raw Data'!T61))=0)),"",IF('Raw Data'!T61 = SUM('Raw Data'!R61:S61),"",_xlfn.REGEXEXTRACT(CELL("address",'Raw Data'!T61),"\$([A-Z]+)\$[0-9]+"))))</f>
        <v/>
      </c>
      <c r="U61" s="7" t="str" cm="1">
        <f t="array" aca="1" ref="U61" ca="1">IF(OR('Raw Data'!U61="",LEN(TRIM('Raw Data'!U61))=0,Validate_Empty!U61&lt;&gt;"",Validate_Value!U61&lt;&gt;""),"",IF(OR(NOT(OR(LEN(TRIM('Raw Data'!B61:X61))&gt;0)),OR('Raw Data'!T61="",LEN(TRIM('Raw Data'!T61))=0)),"",IF(ISNUMBER(SEARCH('Raw Data'!U61, Configuration!$H$2)),"",_xlfn.REGEXEXTRACT(CELL("address",'Raw Data'!U61),"\$([A-Z]+)\$[0-9]+"))))</f>
        <v/>
      </c>
      <c r="V61" s="7" t="str" cm="1">
        <f t="array" aca="1" ref="V61" ca="1">IF(OR('Raw Data'!V61="",LEN(TRIM('Raw Data'!V61))=0,Validate_Empty!V61&lt;&gt;"",Validate_Value!V61&lt;&gt;""),"",IF(OR(NOT(OR(LEN(TRIM('Raw Data'!B61:X61))&gt;0)),OR('Raw Data'!V61="",LEN(TRIM('Raw Data'!V61))=0)),"",IF('Raw Data'!V61 = Configuration!$I$2,"",_xlfn.REGEXEXTRACT(CELL("address",'Raw Data'!V61),"\$([A-Z]+)\$[0-9]+"))))</f>
        <v/>
      </c>
      <c r="W61" s="7"/>
      <c r="X61" s="7"/>
    </row>
    <row r="62" spans="2:24" x14ac:dyDescent="0.25">
      <c r="B62" s="7"/>
      <c r="C62" s="7" t="str" cm="1">
        <f t="array" aca="1" ref="C62" ca="1">IF(OR('Raw Data'!C62="",LEN(TRIM('Raw Data'!C62))=0,Validate_Empty!C62&lt;&gt;"",Validate_Value!C62&lt;&gt;""),"",IF(OR(NOT(OR(LEN(TRIM('Raw Data'!B62:X62))&gt;0)),OR('Raw Data'!C62="",LEN(TRIM('Raw Data'!C62))=0)),"",IF(OR(AND('Raw Data'!B62="Main Contract", LEFT('Raw Data'!C62, LEN("Payment"))="Payment"),AND('Raw Data'!B62="Change Order", LEFT('Raw Data'!C62, LEN("CO Payment No."))="CO Payment No.")),"",_xlfn.REGEXEXTRACT(CELL("address",'Raw Data'!C62),"\$([A-Z]+)\$[0-9]+"))))</f>
        <v/>
      </c>
      <c r="D62" s="7"/>
      <c r="E62" s="7"/>
      <c r="F62" s="7"/>
      <c r="G62" s="7"/>
      <c r="H62" s="7"/>
      <c r="I62" s="7"/>
      <c r="J62" s="7"/>
      <c r="K62" s="7"/>
      <c r="L62" s="7"/>
      <c r="M62" s="7" t="str" cm="1">
        <f t="array" aca="1" ref="M62" ca="1">IF(OR('Raw Data'!M62="",LEN(TRIM('Raw Data'!M62))=0,Validate_Empty!M62&lt;&gt;"",Validate_Value!M62&lt;&gt;""),"",IF(OR(NOT(OR(LEN(TRIM('Raw Data'!B62:X62))&gt;0)),OR('Raw Data'!M62="",LEN(TRIM('Raw Data'!M62))=0)),"",IF('Raw Data'!M62 = SUM('Raw Data'!K62:L62),"",_xlfn.REGEXEXTRACT(CELL("address",'Raw Data'!M62),"\$([A-Z]+)\$[0-9]+"))))</f>
        <v/>
      </c>
      <c r="N62" s="7"/>
      <c r="O62" s="7"/>
      <c r="P62" s="7" t="str" cm="1">
        <f t="array" aca="1" ref="P62" ca="1">IF(OR('Raw Data'!P62="",LEN(TRIM('Raw Data'!P62))=0,Validate_Empty!P62&lt;&gt;"",Validate_Value!P62&lt;&gt;""),"",IF(OR(NOT(OR(LEN(TRIM('Raw Data'!B62:X62))&gt;0)),OR('Raw Data'!P62="",LEN(TRIM('Raw Data'!P62))=0)),"",IF(AND('Raw Data'!J62 + Configuration!$G$2 + 5 &gt;= 'Raw Data'!P62,'Raw Data'!J62 + Configuration!$G$2 - 5 &lt;= 'Raw Data'!P62),"",_xlfn.REGEXEXTRACT(CELL("address",'Raw Data'!P62),"\$([A-Z]+)\$[0-9]+"))))</f>
        <v/>
      </c>
      <c r="Q62" s="7"/>
      <c r="R62" s="7"/>
      <c r="S62" s="7"/>
      <c r="T62" s="7" t="str" cm="1">
        <f t="array" aca="1" ref="T62" ca="1">IF(OR('Raw Data'!T62="",LEN(TRIM('Raw Data'!T62))=0,Validate_Empty!T62&lt;&gt;"",Validate_Value!T62&lt;&gt;""),"",IF(OR(NOT(OR(LEN(TRIM('Raw Data'!B62:X62))&gt;0)),OR('Raw Data'!T62="",LEN(TRIM('Raw Data'!T62))=0)),"",IF('Raw Data'!T62 = SUM('Raw Data'!R62:S62),"",_xlfn.REGEXEXTRACT(CELL("address",'Raw Data'!T62),"\$([A-Z]+)\$[0-9]+"))))</f>
        <v/>
      </c>
      <c r="U62" s="7" t="str" cm="1">
        <f t="array" aca="1" ref="U62" ca="1">IF(OR('Raw Data'!U62="",LEN(TRIM('Raw Data'!U62))=0,Validate_Empty!U62&lt;&gt;"",Validate_Value!U62&lt;&gt;""),"",IF(OR(NOT(OR(LEN(TRIM('Raw Data'!B62:X62))&gt;0)),OR('Raw Data'!T62="",LEN(TRIM('Raw Data'!T62))=0)),"",IF(ISNUMBER(SEARCH('Raw Data'!U62, Configuration!$H$2)),"",_xlfn.REGEXEXTRACT(CELL("address",'Raw Data'!U62),"\$([A-Z]+)\$[0-9]+"))))</f>
        <v/>
      </c>
      <c r="V62" s="7" t="str" cm="1">
        <f t="array" aca="1" ref="V62" ca="1">IF(OR('Raw Data'!V62="",LEN(TRIM('Raw Data'!V62))=0,Validate_Empty!V62&lt;&gt;"",Validate_Value!V62&lt;&gt;""),"",IF(OR(NOT(OR(LEN(TRIM('Raw Data'!B62:X62))&gt;0)),OR('Raw Data'!V62="",LEN(TRIM('Raw Data'!V62))=0)),"",IF('Raw Data'!V62 = Configuration!$I$2,"",_xlfn.REGEXEXTRACT(CELL("address",'Raw Data'!V62),"\$([A-Z]+)\$[0-9]+"))))</f>
        <v/>
      </c>
      <c r="W62" s="7"/>
      <c r="X62" s="7"/>
    </row>
    <row r="63" spans="2:24" x14ac:dyDescent="0.25">
      <c r="B63" s="7"/>
      <c r="C63" s="7" t="str" cm="1">
        <f t="array" aca="1" ref="C63" ca="1">IF(OR('Raw Data'!C63="",LEN(TRIM('Raw Data'!C63))=0,Validate_Empty!C63&lt;&gt;"",Validate_Value!C63&lt;&gt;""),"",IF(OR(NOT(OR(LEN(TRIM('Raw Data'!B63:X63))&gt;0)),OR('Raw Data'!C63="",LEN(TRIM('Raw Data'!C63))=0)),"",IF(OR(AND('Raw Data'!B63="Main Contract", LEFT('Raw Data'!C63, LEN("Payment"))="Payment"),AND('Raw Data'!B63="Change Order", LEFT('Raw Data'!C63, LEN("CO Payment No."))="CO Payment No.")),"",_xlfn.REGEXEXTRACT(CELL("address",'Raw Data'!C63),"\$([A-Z]+)\$[0-9]+"))))</f>
        <v/>
      </c>
      <c r="D63" s="7"/>
      <c r="E63" s="7"/>
      <c r="F63" s="7"/>
      <c r="G63" s="7"/>
      <c r="H63" s="7"/>
      <c r="I63" s="7"/>
      <c r="J63" s="7"/>
      <c r="K63" s="7"/>
      <c r="L63" s="7"/>
      <c r="M63" s="7" t="str" cm="1">
        <f t="array" aca="1" ref="M63" ca="1">IF(OR('Raw Data'!M63="",LEN(TRIM('Raw Data'!M63))=0,Validate_Empty!M63&lt;&gt;"",Validate_Value!M63&lt;&gt;""),"",IF(OR(NOT(OR(LEN(TRIM('Raw Data'!B63:X63))&gt;0)),OR('Raw Data'!M63="",LEN(TRIM('Raw Data'!M63))=0)),"",IF('Raw Data'!M63 = SUM('Raw Data'!K63:L63),"",_xlfn.REGEXEXTRACT(CELL("address",'Raw Data'!M63),"\$([A-Z]+)\$[0-9]+"))))</f>
        <v/>
      </c>
      <c r="N63" s="7"/>
      <c r="O63" s="7"/>
      <c r="P63" s="7" t="str" cm="1">
        <f t="array" aca="1" ref="P63" ca="1">IF(OR('Raw Data'!P63="",LEN(TRIM('Raw Data'!P63))=0,Validate_Empty!P63&lt;&gt;"",Validate_Value!P63&lt;&gt;""),"",IF(OR(NOT(OR(LEN(TRIM('Raw Data'!B63:X63))&gt;0)),OR('Raw Data'!P63="",LEN(TRIM('Raw Data'!P63))=0)),"",IF(AND('Raw Data'!J63 + Configuration!$G$2 + 5 &gt;= 'Raw Data'!P63,'Raw Data'!J63 + Configuration!$G$2 - 5 &lt;= 'Raw Data'!P63),"",_xlfn.REGEXEXTRACT(CELL("address",'Raw Data'!P63),"\$([A-Z]+)\$[0-9]+"))))</f>
        <v/>
      </c>
      <c r="Q63" s="7"/>
      <c r="R63" s="7"/>
      <c r="S63" s="7"/>
      <c r="T63" s="7" t="str" cm="1">
        <f t="array" aca="1" ref="T63" ca="1">IF(OR('Raw Data'!T63="",LEN(TRIM('Raw Data'!T63))=0,Validate_Empty!T63&lt;&gt;"",Validate_Value!T63&lt;&gt;""),"",IF(OR(NOT(OR(LEN(TRIM('Raw Data'!B63:X63))&gt;0)),OR('Raw Data'!T63="",LEN(TRIM('Raw Data'!T63))=0)),"",IF('Raw Data'!T63 = SUM('Raw Data'!R63:S63),"",_xlfn.REGEXEXTRACT(CELL("address",'Raw Data'!T63),"\$([A-Z]+)\$[0-9]+"))))</f>
        <v/>
      </c>
      <c r="U63" s="7" t="str" cm="1">
        <f t="array" aca="1" ref="U63" ca="1">IF(OR('Raw Data'!U63="",LEN(TRIM('Raw Data'!U63))=0,Validate_Empty!U63&lt;&gt;"",Validate_Value!U63&lt;&gt;""),"",IF(OR(NOT(OR(LEN(TRIM('Raw Data'!B63:X63))&gt;0)),OR('Raw Data'!T63="",LEN(TRIM('Raw Data'!T63))=0)),"",IF(ISNUMBER(SEARCH('Raw Data'!U63, Configuration!$H$2)),"",_xlfn.REGEXEXTRACT(CELL("address",'Raw Data'!U63),"\$([A-Z]+)\$[0-9]+"))))</f>
        <v/>
      </c>
      <c r="V63" s="7" t="str" cm="1">
        <f t="array" aca="1" ref="V63" ca="1">IF(OR('Raw Data'!V63="",LEN(TRIM('Raw Data'!V63))=0,Validate_Empty!V63&lt;&gt;"",Validate_Value!V63&lt;&gt;""),"",IF(OR(NOT(OR(LEN(TRIM('Raw Data'!B63:X63))&gt;0)),OR('Raw Data'!V63="",LEN(TRIM('Raw Data'!V63))=0)),"",IF('Raw Data'!V63 = Configuration!$I$2,"",_xlfn.REGEXEXTRACT(CELL("address",'Raw Data'!V63),"\$([A-Z]+)\$[0-9]+"))))</f>
        <v/>
      </c>
      <c r="W63" s="7"/>
      <c r="X63" s="7"/>
    </row>
    <row r="64" spans="2:24" x14ac:dyDescent="0.25">
      <c r="B64" s="7"/>
      <c r="C64" s="7" t="str" cm="1">
        <f t="array" aca="1" ref="C64" ca="1">IF(OR('Raw Data'!C64="",LEN(TRIM('Raw Data'!C64))=0,Validate_Empty!C64&lt;&gt;"",Validate_Value!C64&lt;&gt;""),"",IF(OR(NOT(OR(LEN(TRIM('Raw Data'!B64:X64))&gt;0)),OR('Raw Data'!C64="",LEN(TRIM('Raw Data'!C64))=0)),"",IF(OR(AND('Raw Data'!B64="Main Contract", LEFT('Raw Data'!C64, LEN("Payment"))="Payment"),AND('Raw Data'!B64="Change Order", LEFT('Raw Data'!C64, LEN("CO Payment No."))="CO Payment No.")),"",_xlfn.REGEXEXTRACT(CELL("address",'Raw Data'!C64),"\$([A-Z]+)\$[0-9]+"))))</f>
        <v/>
      </c>
      <c r="D64" s="7"/>
      <c r="E64" s="7"/>
      <c r="F64" s="7"/>
      <c r="G64" s="7"/>
      <c r="H64" s="7"/>
      <c r="I64" s="7"/>
      <c r="J64" s="7"/>
      <c r="K64" s="7"/>
      <c r="L64" s="7"/>
      <c r="M64" s="7" t="str" cm="1">
        <f t="array" aca="1" ref="M64" ca="1">IF(OR('Raw Data'!M64="",LEN(TRIM('Raw Data'!M64))=0,Validate_Empty!M64&lt;&gt;"",Validate_Value!M64&lt;&gt;""),"",IF(OR(NOT(OR(LEN(TRIM('Raw Data'!B64:X64))&gt;0)),OR('Raw Data'!M64="",LEN(TRIM('Raw Data'!M64))=0)),"",IF('Raw Data'!M64 = SUM('Raw Data'!K64:L64),"",_xlfn.REGEXEXTRACT(CELL("address",'Raw Data'!M64),"\$([A-Z]+)\$[0-9]+"))))</f>
        <v/>
      </c>
      <c r="N64" s="7"/>
      <c r="O64" s="7"/>
      <c r="P64" s="7" t="str" cm="1">
        <f t="array" aca="1" ref="P64" ca="1">IF(OR('Raw Data'!P64="",LEN(TRIM('Raw Data'!P64))=0,Validate_Empty!P64&lt;&gt;"",Validate_Value!P64&lt;&gt;""),"",IF(OR(NOT(OR(LEN(TRIM('Raw Data'!B64:X64))&gt;0)),OR('Raw Data'!P64="",LEN(TRIM('Raw Data'!P64))=0)),"",IF(AND('Raw Data'!J64 + Configuration!$G$2 + 5 &gt;= 'Raw Data'!P64,'Raw Data'!J64 + Configuration!$G$2 - 5 &lt;= 'Raw Data'!P64),"",_xlfn.REGEXEXTRACT(CELL("address",'Raw Data'!P64),"\$([A-Z]+)\$[0-9]+"))))</f>
        <v/>
      </c>
      <c r="Q64" s="7"/>
      <c r="R64" s="7"/>
      <c r="S64" s="7"/>
      <c r="T64" s="7" t="str" cm="1">
        <f t="array" aca="1" ref="T64" ca="1">IF(OR('Raw Data'!T64="",LEN(TRIM('Raw Data'!T64))=0,Validate_Empty!T64&lt;&gt;"",Validate_Value!T64&lt;&gt;""),"",IF(OR(NOT(OR(LEN(TRIM('Raw Data'!B64:X64))&gt;0)),OR('Raw Data'!T64="",LEN(TRIM('Raw Data'!T64))=0)),"",IF('Raw Data'!T64 = SUM('Raw Data'!R64:S64),"",_xlfn.REGEXEXTRACT(CELL("address",'Raw Data'!T64),"\$([A-Z]+)\$[0-9]+"))))</f>
        <v/>
      </c>
      <c r="U64" s="7" t="str" cm="1">
        <f t="array" aca="1" ref="U64" ca="1">IF(OR('Raw Data'!U64="",LEN(TRIM('Raw Data'!U64))=0,Validate_Empty!U64&lt;&gt;"",Validate_Value!U64&lt;&gt;""),"",IF(OR(NOT(OR(LEN(TRIM('Raw Data'!B64:X64))&gt;0)),OR('Raw Data'!T64="",LEN(TRIM('Raw Data'!T64))=0)),"",IF(ISNUMBER(SEARCH('Raw Data'!U64, Configuration!$H$2)),"",_xlfn.REGEXEXTRACT(CELL("address",'Raw Data'!U64),"\$([A-Z]+)\$[0-9]+"))))</f>
        <v/>
      </c>
      <c r="V64" s="7" t="str" cm="1">
        <f t="array" aca="1" ref="V64" ca="1">IF(OR('Raw Data'!V64="",LEN(TRIM('Raw Data'!V64))=0,Validate_Empty!V64&lt;&gt;"",Validate_Value!V64&lt;&gt;""),"",IF(OR(NOT(OR(LEN(TRIM('Raw Data'!B64:X64))&gt;0)),OR('Raw Data'!V64="",LEN(TRIM('Raw Data'!V64))=0)),"",IF('Raw Data'!V64 = Configuration!$I$2,"",_xlfn.REGEXEXTRACT(CELL("address",'Raw Data'!V64),"\$([A-Z]+)\$[0-9]+"))))</f>
        <v/>
      </c>
      <c r="W64" s="7"/>
      <c r="X64" s="7"/>
    </row>
    <row r="65" spans="2:24" x14ac:dyDescent="0.25">
      <c r="B65" s="7"/>
      <c r="C65" s="7" t="str" cm="1">
        <f t="array" aca="1" ref="C65" ca="1">IF(OR('Raw Data'!C65="",LEN(TRIM('Raw Data'!C65))=0,Validate_Empty!C65&lt;&gt;"",Validate_Value!C65&lt;&gt;""),"",IF(OR(NOT(OR(LEN(TRIM('Raw Data'!B65:X65))&gt;0)),OR('Raw Data'!C65="",LEN(TRIM('Raw Data'!C65))=0)),"",IF(OR(AND('Raw Data'!B65="Main Contract", LEFT('Raw Data'!C65, LEN("Payment"))="Payment"),AND('Raw Data'!B65="Change Order", LEFT('Raw Data'!C65, LEN("CO Payment No."))="CO Payment No.")),"",_xlfn.REGEXEXTRACT(CELL("address",'Raw Data'!C65),"\$([A-Z]+)\$[0-9]+"))))</f>
        <v/>
      </c>
      <c r="D65" s="7"/>
      <c r="E65" s="7"/>
      <c r="F65" s="7"/>
      <c r="G65" s="7"/>
      <c r="H65" s="7"/>
      <c r="I65" s="7"/>
      <c r="J65" s="7"/>
      <c r="K65" s="7"/>
      <c r="L65" s="7"/>
      <c r="M65" s="7" t="str" cm="1">
        <f t="array" aca="1" ref="M65" ca="1">IF(OR('Raw Data'!M65="",LEN(TRIM('Raw Data'!M65))=0,Validate_Empty!M65&lt;&gt;"",Validate_Value!M65&lt;&gt;""),"",IF(OR(NOT(OR(LEN(TRIM('Raw Data'!B65:X65))&gt;0)),OR('Raw Data'!M65="",LEN(TRIM('Raw Data'!M65))=0)),"",IF('Raw Data'!M65 = SUM('Raw Data'!K65:L65),"",_xlfn.REGEXEXTRACT(CELL("address",'Raw Data'!M65),"\$([A-Z]+)\$[0-9]+"))))</f>
        <v/>
      </c>
      <c r="N65" s="7"/>
      <c r="O65" s="7"/>
      <c r="P65" s="7" t="str" cm="1">
        <f t="array" aca="1" ref="P65" ca="1">IF(OR('Raw Data'!P65="",LEN(TRIM('Raw Data'!P65))=0,Validate_Empty!P65&lt;&gt;"",Validate_Value!P65&lt;&gt;""),"",IF(OR(NOT(OR(LEN(TRIM('Raw Data'!B65:X65))&gt;0)),OR('Raw Data'!P65="",LEN(TRIM('Raw Data'!P65))=0)),"",IF(AND('Raw Data'!J65 + Configuration!$G$2 + 5 &gt;= 'Raw Data'!P65,'Raw Data'!J65 + Configuration!$G$2 - 5 &lt;= 'Raw Data'!P65),"",_xlfn.REGEXEXTRACT(CELL("address",'Raw Data'!P65),"\$([A-Z]+)\$[0-9]+"))))</f>
        <v/>
      </c>
      <c r="Q65" s="7"/>
      <c r="R65" s="7"/>
      <c r="S65" s="7"/>
      <c r="T65" s="7" t="str" cm="1">
        <f t="array" aca="1" ref="T65" ca="1">IF(OR('Raw Data'!T65="",LEN(TRIM('Raw Data'!T65))=0,Validate_Empty!T65&lt;&gt;"",Validate_Value!T65&lt;&gt;""),"",IF(OR(NOT(OR(LEN(TRIM('Raw Data'!B65:X65))&gt;0)),OR('Raw Data'!T65="",LEN(TRIM('Raw Data'!T65))=0)),"",IF('Raw Data'!T65 = SUM('Raw Data'!R65:S65),"",_xlfn.REGEXEXTRACT(CELL("address",'Raw Data'!T65),"\$([A-Z]+)\$[0-9]+"))))</f>
        <v/>
      </c>
      <c r="U65" s="7" t="str" cm="1">
        <f t="array" aca="1" ref="U65" ca="1">IF(OR('Raw Data'!U65="",LEN(TRIM('Raw Data'!U65))=0,Validate_Empty!U65&lt;&gt;"",Validate_Value!U65&lt;&gt;""),"",IF(OR(NOT(OR(LEN(TRIM('Raw Data'!B65:X65))&gt;0)),OR('Raw Data'!T65="",LEN(TRIM('Raw Data'!T65))=0)),"",IF(ISNUMBER(SEARCH('Raw Data'!U65, Configuration!$H$2)),"",_xlfn.REGEXEXTRACT(CELL("address",'Raw Data'!U65),"\$([A-Z]+)\$[0-9]+"))))</f>
        <v/>
      </c>
      <c r="V65" s="7" t="str" cm="1">
        <f t="array" aca="1" ref="V65" ca="1">IF(OR('Raw Data'!V65="",LEN(TRIM('Raw Data'!V65))=0,Validate_Empty!V65&lt;&gt;"",Validate_Value!V65&lt;&gt;""),"",IF(OR(NOT(OR(LEN(TRIM('Raw Data'!B65:X65))&gt;0)),OR('Raw Data'!V65="",LEN(TRIM('Raw Data'!V65))=0)),"",IF('Raw Data'!V65 = Configuration!$I$2,"",_xlfn.REGEXEXTRACT(CELL("address",'Raw Data'!V65),"\$([A-Z]+)\$[0-9]+"))))</f>
        <v/>
      </c>
      <c r="W65" s="7"/>
      <c r="X65" s="7"/>
    </row>
    <row r="66" spans="2:24" x14ac:dyDescent="0.25">
      <c r="B66" s="7"/>
      <c r="C66" s="7" t="str" cm="1">
        <f t="array" aca="1" ref="C66" ca="1">IF(OR('Raw Data'!C66="",LEN(TRIM('Raw Data'!C66))=0,Validate_Empty!C66&lt;&gt;"",Validate_Value!C66&lt;&gt;""),"",IF(OR(NOT(OR(LEN(TRIM('Raw Data'!B66:X66))&gt;0)),OR('Raw Data'!C66="",LEN(TRIM('Raw Data'!C66))=0)),"",IF(OR(AND('Raw Data'!B66="Main Contract", LEFT('Raw Data'!C66, LEN("Payment"))="Payment"),AND('Raw Data'!B66="Change Order", LEFT('Raw Data'!C66, LEN("CO Payment No."))="CO Payment No.")),"",_xlfn.REGEXEXTRACT(CELL("address",'Raw Data'!C66),"\$([A-Z]+)\$[0-9]+"))))</f>
        <v/>
      </c>
      <c r="D66" s="7"/>
      <c r="E66" s="7"/>
      <c r="F66" s="7"/>
      <c r="G66" s="7"/>
      <c r="H66" s="7"/>
      <c r="I66" s="7"/>
      <c r="J66" s="7"/>
      <c r="K66" s="7"/>
      <c r="L66" s="7"/>
      <c r="M66" s="7" t="str" cm="1">
        <f t="array" aca="1" ref="M66" ca="1">IF(OR('Raw Data'!M66="",LEN(TRIM('Raw Data'!M66))=0,Validate_Empty!M66&lt;&gt;"",Validate_Value!M66&lt;&gt;""),"",IF(OR(NOT(OR(LEN(TRIM('Raw Data'!B66:X66))&gt;0)),OR('Raw Data'!M66="",LEN(TRIM('Raw Data'!M66))=0)),"",IF('Raw Data'!M66 = SUM('Raw Data'!K66:L66),"",_xlfn.REGEXEXTRACT(CELL("address",'Raw Data'!M66),"\$([A-Z]+)\$[0-9]+"))))</f>
        <v/>
      </c>
      <c r="N66" s="7"/>
      <c r="O66" s="7"/>
      <c r="P66" s="7" t="str" cm="1">
        <f t="array" aca="1" ref="P66" ca="1">IF(OR('Raw Data'!P66="",LEN(TRIM('Raw Data'!P66))=0,Validate_Empty!P66&lt;&gt;"",Validate_Value!P66&lt;&gt;""),"",IF(OR(NOT(OR(LEN(TRIM('Raw Data'!B66:X66))&gt;0)),OR('Raw Data'!P66="",LEN(TRIM('Raw Data'!P66))=0)),"",IF(AND('Raw Data'!J66 + Configuration!$G$2 + 5 &gt;= 'Raw Data'!P66,'Raw Data'!J66 + Configuration!$G$2 - 5 &lt;= 'Raw Data'!P66),"",_xlfn.REGEXEXTRACT(CELL("address",'Raw Data'!P66),"\$([A-Z]+)\$[0-9]+"))))</f>
        <v/>
      </c>
      <c r="Q66" s="7"/>
      <c r="R66" s="7"/>
      <c r="S66" s="7"/>
      <c r="T66" s="7" t="str" cm="1">
        <f t="array" aca="1" ref="T66" ca="1">IF(OR('Raw Data'!T66="",LEN(TRIM('Raw Data'!T66))=0,Validate_Empty!T66&lt;&gt;"",Validate_Value!T66&lt;&gt;""),"",IF(OR(NOT(OR(LEN(TRIM('Raw Data'!B66:X66))&gt;0)),OR('Raw Data'!T66="",LEN(TRIM('Raw Data'!T66))=0)),"",IF('Raw Data'!T66 = SUM('Raw Data'!R66:S66),"",_xlfn.REGEXEXTRACT(CELL("address",'Raw Data'!T66),"\$([A-Z]+)\$[0-9]+"))))</f>
        <v/>
      </c>
      <c r="U66" s="7" t="str" cm="1">
        <f t="array" aca="1" ref="U66" ca="1">IF(OR('Raw Data'!U66="",LEN(TRIM('Raw Data'!U66))=0,Validate_Empty!U66&lt;&gt;"",Validate_Value!U66&lt;&gt;""),"",IF(OR(NOT(OR(LEN(TRIM('Raw Data'!B66:X66))&gt;0)),OR('Raw Data'!T66="",LEN(TRIM('Raw Data'!T66))=0)),"",IF(ISNUMBER(SEARCH('Raw Data'!U66, Configuration!$H$2)),"",_xlfn.REGEXEXTRACT(CELL("address",'Raw Data'!U66),"\$([A-Z]+)\$[0-9]+"))))</f>
        <v/>
      </c>
      <c r="V66" s="7" t="str" cm="1">
        <f t="array" aca="1" ref="V66" ca="1">IF(OR('Raw Data'!V66="",LEN(TRIM('Raw Data'!V66))=0,Validate_Empty!V66&lt;&gt;"",Validate_Value!V66&lt;&gt;""),"",IF(OR(NOT(OR(LEN(TRIM('Raw Data'!B66:X66))&gt;0)),OR('Raw Data'!V66="",LEN(TRIM('Raw Data'!V66))=0)),"",IF('Raw Data'!V66 = Configuration!$I$2,"",_xlfn.REGEXEXTRACT(CELL("address",'Raw Data'!V66),"\$([A-Z]+)\$[0-9]+"))))</f>
        <v/>
      </c>
      <c r="W66" s="7"/>
      <c r="X66" s="7"/>
    </row>
    <row r="67" spans="2:24" x14ac:dyDescent="0.25">
      <c r="B67" s="7"/>
      <c r="C67" s="7" t="str" cm="1">
        <f t="array" aca="1" ref="C67" ca="1">IF(OR('Raw Data'!C67="",LEN(TRIM('Raw Data'!C67))=0,Validate_Empty!C67&lt;&gt;"",Validate_Value!C67&lt;&gt;""),"",IF(OR(NOT(OR(LEN(TRIM('Raw Data'!B67:X67))&gt;0)),OR('Raw Data'!C67="",LEN(TRIM('Raw Data'!C67))=0)),"",IF(OR(AND('Raw Data'!B67="Main Contract", LEFT('Raw Data'!C67, LEN("Payment"))="Payment"),AND('Raw Data'!B67="Change Order", LEFT('Raw Data'!C67, LEN("CO Payment No."))="CO Payment No.")),"",_xlfn.REGEXEXTRACT(CELL("address",'Raw Data'!C67),"\$([A-Z]+)\$[0-9]+"))))</f>
        <v/>
      </c>
      <c r="D67" s="7"/>
      <c r="E67" s="7"/>
      <c r="F67" s="7"/>
      <c r="G67" s="7"/>
      <c r="H67" s="7"/>
      <c r="I67" s="7"/>
      <c r="J67" s="7"/>
      <c r="K67" s="7"/>
      <c r="L67" s="7"/>
      <c r="M67" s="7" t="str" cm="1">
        <f t="array" aca="1" ref="M67" ca="1">IF(OR('Raw Data'!M67="",LEN(TRIM('Raw Data'!M67))=0,Validate_Empty!M67&lt;&gt;"",Validate_Value!M67&lt;&gt;""),"",IF(OR(NOT(OR(LEN(TRIM('Raw Data'!B67:X67))&gt;0)),OR('Raw Data'!M67="",LEN(TRIM('Raw Data'!M67))=0)),"",IF('Raw Data'!M67 = SUM('Raw Data'!K67:L67),"",_xlfn.REGEXEXTRACT(CELL("address",'Raw Data'!M67),"\$([A-Z]+)\$[0-9]+"))))</f>
        <v/>
      </c>
      <c r="N67" s="7"/>
      <c r="O67" s="7"/>
      <c r="P67" s="7" t="str" cm="1">
        <f t="array" aca="1" ref="P67" ca="1">IF(OR('Raw Data'!P67="",LEN(TRIM('Raw Data'!P67))=0,Validate_Empty!P67&lt;&gt;"",Validate_Value!P67&lt;&gt;""),"",IF(OR(NOT(OR(LEN(TRIM('Raw Data'!B67:X67))&gt;0)),OR('Raw Data'!P67="",LEN(TRIM('Raw Data'!P67))=0)),"",IF(AND('Raw Data'!J67 + Configuration!$G$2 + 5 &gt;= 'Raw Data'!P67,'Raw Data'!J67 + Configuration!$G$2 - 5 &lt;= 'Raw Data'!P67),"",_xlfn.REGEXEXTRACT(CELL("address",'Raw Data'!P67),"\$([A-Z]+)\$[0-9]+"))))</f>
        <v/>
      </c>
      <c r="Q67" s="7"/>
      <c r="R67" s="7"/>
      <c r="S67" s="7"/>
      <c r="T67" s="7" t="str" cm="1">
        <f t="array" aca="1" ref="T67" ca="1">IF(OR('Raw Data'!T67="",LEN(TRIM('Raw Data'!T67))=0,Validate_Empty!T67&lt;&gt;"",Validate_Value!T67&lt;&gt;""),"",IF(OR(NOT(OR(LEN(TRIM('Raw Data'!B67:X67))&gt;0)),OR('Raw Data'!T67="",LEN(TRIM('Raw Data'!T67))=0)),"",IF('Raw Data'!T67 = SUM('Raw Data'!R67:S67),"",_xlfn.REGEXEXTRACT(CELL("address",'Raw Data'!T67),"\$([A-Z]+)\$[0-9]+"))))</f>
        <v/>
      </c>
      <c r="U67" s="7" t="str" cm="1">
        <f t="array" aca="1" ref="U67" ca="1">IF(OR('Raw Data'!U67="",LEN(TRIM('Raw Data'!U67))=0,Validate_Empty!U67&lt;&gt;"",Validate_Value!U67&lt;&gt;""),"",IF(OR(NOT(OR(LEN(TRIM('Raw Data'!B67:X67))&gt;0)),OR('Raw Data'!T67="",LEN(TRIM('Raw Data'!T67))=0)),"",IF(ISNUMBER(SEARCH('Raw Data'!U67, Configuration!$H$2)),"",_xlfn.REGEXEXTRACT(CELL("address",'Raw Data'!U67),"\$([A-Z]+)\$[0-9]+"))))</f>
        <v/>
      </c>
      <c r="V67" s="7" t="str" cm="1">
        <f t="array" aca="1" ref="V67" ca="1">IF(OR('Raw Data'!V67="",LEN(TRIM('Raw Data'!V67))=0,Validate_Empty!V67&lt;&gt;"",Validate_Value!V67&lt;&gt;""),"",IF(OR(NOT(OR(LEN(TRIM('Raw Data'!B67:X67))&gt;0)),OR('Raw Data'!V67="",LEN(TRIM('Raw Data'!V67))=0)),"",IF('Raw Data'!V67 = Configuration!$I$2,"",_xlfn.REGEXEXTRACT(CELL("address",'Raw Data'!V67),"\$([A-Z]+)\$[0-9]+"))))</f>
        <v/>
      </c>
      <c r="W67" s="7"/>
      <c r="X67" s="7"/>
    </row>
    <row r="68" spans="2:24" x14ac:dyDescent="0.25">
      <c r="B68" s="7"/>
      <c r="C68" s="7" t="str" cm="1">
        <f t="array" aca="1" ref="C68" ca="1">IF(OR('Raw Data'!C68="",LEN(TRIM('Raw Data'!C68))=0,Validate_Empty!C68&lt;&gt;"",Validate_Value!C68&lt;&gt;""),"",IF(OR(NOT(OR(LEN(TRIM('Raw Data'!B68:X68))&gt;0)),OR('Raw Data'!C68="",LEN(TRIM('Raw Data'!C68))=0)),"",IF(OR(AND('Raw Data'!B68="Main Contract", LEFT('Raw Data'!C68, LEN("Payment"))="Payment"),AND('Raw Data'!B68="Change Order", LEFT('Raw Data'!C68, LEN("CO Payment No."))="CO Payment No.")),"",_xlfn.REGEXEXTRACT(CELL("address",'Raw Data'!C68),"\$([A-Z]+)\$[0-9]+"))))</f>
        <v/>
      </c>
      <c r="D68" s="7"/>
      <c r="E68" s="7"/>
      <c r="F68" s="7"/>
      <c r="G68" s="7"/>
      <c r="H68" s="7"/>
      <c r="I68" s="7"/>
      <c r="J68" s="7"/>
      <c r="K68" s="7"/>
      <c r="L68" s="7"/>
      <c r="M68" s="7" t="str" cm="1">
        <f t="array" aca="1" ref="M68" ca="1">IF(OR('Raw Data'!M68="",LEN(TRIM('Raw Data'!M68))=0,Validate_Empty!M68&lt;&gt;"",Validate_Value!M68&lt;&gt;""),"",IF(OR(NOT(OR(LEN(TRIM('Raw Data'!B68:X68))&gt;0)),OR('Raw Data'!M68="",LEN(TRIM('Raw Data'!M68))=0)),"",IF('Raw Data'!M68 = SUM('Raw Data'!K68:L68),"",_xlfn.REGEXEXTRACT(CELL("address",'Raw Data'!M68),"\$([A-Z]+)\$[0-9]+"))))</f>
        <v/>
      </c>
      <c r="N68" s="7"/>
      <c r="O68" s="7"/>
      <c r="P68" s="7" t="str" cm="1">
        <f t="array" aca="1" ref="P68" ca="1">IF(OR('Raw Data'!P68="",LEN(TRIM('Raw Data'!P68))=0,Validate_Empty!P68&lt;&gt;"",Validate_Value!P68&lt;&gt;""),"",IF(OR(NOT(OR(LEN(TRIM('Raw Data'!B68:X68))&gt;0)),OR('Raw Data'!P68="",LEN(TRIM('Raw Data'!P68))=0)),"",IF(AND('Raw Data'!J68 + Configuration!$G$2 + 5 &gt;= 'Raw Data'!P68,'Raw Data'!J68 + Configuration!$G$2 - 5 &lt;= 'Raw Data'!P68),"",_xlfn.REGEXEXTRACT(CELL("address",'Raw Data'!P68),"\$([A-Z]+)\$[0-9]+"))))</f>
        <v/>
      </c>
      <c r="Q68" s="7"/>
      <c r="R68" s="7"/>
      <c r="S68" s="7"/>
      <c r="T68" s="7" t="str" cm="1">
        <f t="array" aca="1" ref="T68" ca="1">IF(OR('Raw Data'!T68="",LEN(TRIM('Raw Data'!T68))=0,Validate_Empty!T68&lt;&gt;"",Validate_Value!T68&lt;&gt;""),"",IF(OR(NOT(OR(LEN(TRIM('Raw Data'!B68:X68))&gt;0)),OR('Raw Data'!T68="",LEN(TRIM('Raw Data'!T68))=0)),"",IF('Raw Data'!T68 = SUM('Raw Data'!R68:S68),"",_xlfn.REGEXEXTRACT(CELL("address",'Raw Data'!T68),"\$([A-Z]+)\$[0-9]+"))))</f>
        <v/>
      </c>
      <c r="U68" s="7" t="str" cm="1">
        <f t="array" aca="1" ref="U68" ca="1">IF(OR('Raw Data'!U68="",LEN(TRIM('Raw Data'!U68))=0,Validate_Empty!U68&lt;&gt;"",Validate_Value!U68&lt;&gt;""),"",IF(OR(NOT(OR(LEN(TRIM('Raw Data'!B68:X68))&gt;0)),OR('Raw Data'!T68="",LEN(TRIM('Raw Data'!T68))=0)),"",IF(ISNUMBER(SEARCH('Raw Data'!U68, Configuration!$H$2)),"",_xlfn.REGEXEXTRACT(CELL("address",'Raw Data'!U68),"\$([A-Z]+)\$[0-9]+"))))</f>
        <v/>
      </c>
      <c r="V68" s="7" t="str" cm="1">
        <f t="array" aca="1" ref="V68" ca="1">IF(OR('Raw Data'!V68="",LEN(TRIM('Raw Data'!V68))=0,Validate_Empty!V68&lt;&gt;"",Validate_Value!V68&lt;&gt;""),"",IF(OR(NOT(OR(LEN(TRIM('Raw Data'!B68:X68))&gt;0)),OR('Raw Data'!V68="",LEN(TRIM('Raw Data'!V68))=0)),"",IF('Raw Data'!V68 = Configuration!$I$2,"",_xlfn.REGEXEXTRACT(CELL("address",'Raw Data'!V68),"\$([A-Z]+)\$[0-9]+"))))</f>
        <v/>
      </c>
      <c r="W68" s="7"/>
      <c r="X68" s="7"/>
    </row>
    <row r="69" spans="2:24" x14ac:dyDescent="0.25">
      <c r="B69" s="7"/>
      <c r="C69" s="7" t="str" cm="1">
        <f t="array" aca="1" ref="C69" ca="1">IF(OR('Raw Data'!C69="",LEN(TRIM('Raw Data'!C69))=0,Validate_Empty!C69&lt;&gt;"",Validate_Value!C69&lt;&gt;""),"",IF(OR(NOT(OR(LEN(TRIM('Raw Data'!B69:X69))&gt;0)),OR('Raw Data'!C69="",LEN(TRIM('Raw Data'!C69))=0)),"",IF(OR(AND('Raw Data'!B69="Main Contract", LEFT('Raw Data'!C69, LEN("Payment"))="Payment"),AND('Raw Data'!B69="Change Order", LEFT('Raw Data'!C69, LEN("CO Payment No."))="CO Payment No.")),"",_xlfn.REGEXEXTRACT(CELL("address",'Raw Data'!C69),"\$([A-Z]+)\$[0-9]+"))))</f>
        <v/>
      </c>
      <c r="D69" s="7"/>
      <c r="E69" s="7"/>
      <c r="F69" s="7"/>
      <c r="G69" s="7"/>
      <c r="H69" s="7"/>
      <c r="I69" s="7"/>
      <c r="J69" s="7"/>
      <c r="K69" s="7"/>
      <c r="L69" s="7"/>
      <c r="M69" s="7" t="str" cm="1">
        <f t="array" aca="1" ref="M69" ca="1">IF(OR('Raw Data'!M69="",LEN(TRIM('Raw Data'!M69))=0,Validate_Empty!M69&lt;&gt;"",Validate_Value!M69&lt;&gt;""),"",IF(OR(NOT(OR(LEN(TRIM('Raw Data'!B69:X69))&gt;0)),OR('Raw Data'!M69="",LEN(TRIM('Raw Data'!M69))=0)),"",IF('Raw Data'!M69 = SUM('Raw Data'!K69:L69),"",_xlfn.REGEXEXTRACT(CELL("address",'Raw Data'!M69),"\$([A-Z]+)\$[0-9]+"))))</f>
        <v/>
      </c>
      <c r="N69" s="7"/>
      <c r="O69" s="7"/>
      <c r="P69" s="7" t="str" cm="1">
        <f t="array" aca="1" ref="P69" ca="1">IF(OR('Raw Data'!P69="",LEN(TRIM('Raw Data'!P69))=0,Validate_Empty!P69&lt;&gt;"",Validate_Value!P69&lt;&gt;""),"",IF(OR(NOT(OR(LEN(TRIM('Raw Data'!B69:X69))&gt;0)),OR('Raw Data'!P69="",LEN(TRIM('Raw Data'!P69))=0)),"",IF(AND('Raw Data'!J69 + Configuration!$G$2 + 5 &gt;= 'Raw Data'!P69,'Raw Data'!J69 + Configuration!$G$2 - 5 &lt;= 'Raw Data'!P69),"",_xlfn.REGEXEXTRACT(CELL("address",'Raw Data'!P69),"\$([A-Z]+)\$[0-9]+"))))</f>
        <v/>
      </c>
      <c r="Q69" s="7"/>
      <c r="R69" s="7"/>
      <c r="S69" s="7"/>
      <c r="T69" s="7" t="str" cm="1">
        <f t="array" aca="1" ref="T69" ca="1">IF(OR('Raw Data'!T69="",LEN(TRIM('Raw Data'!T69))=0,Validate_Empty!T69&lt;&gt;"",Validate_Value!T69&lt;&gt;""),"",IF(OR(NOT(OR(LEN(TRIM('Raw Data'!B69:X69))&gt;0)),OR('Raw Data'!T69="",LEN(TRIM('Raw Data'!T69))=0)),"",IF('Raw Data'!T69 = SUM('Raw Data'!R69:S69),"",_xlfn.REGEXEXTRACT(CELL("address",'Raw Data'!T69),"\$([A-Z]+)\$[0-9]+"))))</f>
        <v/>
      </c>
      <c r="U69" s="7" t="str" cm="1">
        <f t="array" aca="1" ref="U69" ca="1">IF(OR('Raw Data'!U69="",LEN(TRIM('Raw Data'!U69))=0,Validate_Empty!U69&lt;&gt;"",Validate_Value!U69&lt;&gt;""),"",IF(OR(NOT(OR(LEN(TRIM('Raw Data'!B69:X69))&gt;0)),OR('Raw Data'!T69="",LEN(TRIM('Raw Data'!T69))=0)),"",IF(ISNUMBER(SEARCH('Raw Data'!U69, Configuration!$H$2)),"",_xlfn.REGEXEXTRACT(CELL("address",'Raw Data'!U69),"\$([A-Z]+)\$[0-9]+"))))</f>
        <v/>
      </c>
      <c r="V69" s="7" t="str" cm="1">
        <f t="array" aca="1" ref="V69" ca="1">IF(OR('Raw Data'!V69="",LEN(TRIM('Raw Data'!V69))=0,Validate_Empty!V69&lt;&gt;"",Validate_Value!V69&lt;&gt;""),"",IF(OR(NOT(OR(LEN(TRIM('Raw Data'!B69:X69))&gt;0)),OR('Raw Data'!V69="",LEN(TRIM('Raw Data'!V69))=0)),"",IF('Raw Data'!V69 = Configuration!$I$2,"",_xlfn.REGEXEXTRACT(CELL("address",'Raw Data'!V69),"\$([A-Z]+)\$[0-9]+"))))</f>
        <v/>
      </c>
      <c r="W69" s="7"/>
      <c r="X69" s="7"/>
    </row>
    <row r="70" spans="2:24" x14ac:dyDescent="0.25">
      <c r="B70" s="7"/>
      <c r="C70" s="7" t="str" cm="1">
        <f t="array" aca="1" ref="C70" ca="1">IF(OR('Raw Data'!C70="",LEN(TRIM('Raw Data'!C70))=0,Validate_Empty!C70&lt;&gt;"",Validate_Value!C70&lt;&gt;""),"",IF(OR(NOT(OR(LEN(TRIM('Raw Data'!B70:X70))&gt;0)),OR('Raw Data'!C70="",LEN(TRIM('Raw Data'!C70))=0)),"",IF(OR(AND('Raw Data'!B70="Main Contract", LEFT('Raw Data'!C70, LEN("Payment"))="Payment"),AND('Raw Data'!B70="Change Order", LEFT('Raw Data'!C70, LEN("CO Payment No."))="CO Payment No.")),"",_xlfn.REGEXEXTRACT(CELL("address",'Raw Data'!C70),"\$([A-Z]+)\$[0-9]+"))))</f>
        <v/>
      </c>
      <c r="D70" s="7"/>
      <c r="E70" s="7"/>
      <c r="F70" s="7"/>
      <c r="G70" s="7"/>
      <c r="H70" s="7"/>
      <c r="I70" s="7"/>
      <c r="J70" s="7"/>
      <c r="K70" s="7"/>
      <c r="L70" s="7"/>
      <c r="M70" s="7" t="str" cm="1">
        <f t="array" aca="1" ref="M70" ca="1">IF(OR('Raw Data'!M70="",LEN(TRIM('Raw Data'!M70))=0,Validate_Empty!M70&lt;&gt;"",Validate_Value!M70&lt;&gt;""),"",IF(OR(NOT(OR(LEN(TRIM('Raw Data'!B70:X70))&gt;0)),OR('Raw Data'!M70="",LEN(TRIM('Raw Data'!M70))=0)),"",IF('Raw Data'!M70 = SUM('Raw Data'!K70:L70),"",_xlfn.REGEXEXTRACT(CELL("address",'Raw Data'!M70),"\$([A-Z]+)\$[0-9]+"))))</f>
        <v/>
      </c>
      <c r="N70" s="7"/>
      <c r="O70" s="7"/>
      <c r="P70" s="7" t="str" cm="1">
        <f t="array" aca="1" ref="P70" ca="1">IF(OR('Raw Data'!P70="",LEN(TRIM('Raw Data'!P70))=0,Validate_Empty!P70&lt;&gt;"",Validate_Value!P70&lt;&gt;""),"",IF(OR(NOT(OR(LEN(TRIM('Raw Data'!B70:X70))&gt;0)),OR('Raw Data'!P70="",LEN(TRIM('Raw Data'!P70))=0)),"",IF(AND('Raw Data'!J70 + Configuration!$G$2 + 5 &gt;= 'Raw Data'!P70,'Raw Data'!J70 + Configuration!$G$2 - 5 &lt;= 'Raw Data'!P70),"",_xlfn.REGEXEXTRACT(CELL("address",'Raw Data'!P70),"\$([A-Z]+)\$[0-9]+"))))</f>
        <v/>
      </c>
      <c r="Q70" s="7"/>
      <c r="R70" s="7"/>
      <c r="S70" s="7"/>
      <c r="T70" s="7" t="str" cm="1">
        <f t="array" aca="1" ref="T70" ca="1">IF(OR('Raw Data'!T70="",LEN(TRIM('Raw Data'!T70))=0,Validate_Empty!T70&lt;&gt;"",Validate_Value!T70&lt;&gt;""),"",IF(OR(NOT(OR(LEN(TRIM('Raw Data'!B70:X70))&gt;0)),OR('Raw Data'!T70="",LEN(TRIM('Raw Data'!T70))=0)),"",IF('Raw Data'!T70 = SUM('Raw Data'!R70:S70),"",_xlfn.REGEXEXTRACT(CELL("address",'Raw Data'!T70),"\$([A-Z]+)\$[0-9]+"))))</f>
        <v/>
      </c>
      <c r="U70" s="7" t="str" cm="1">
        <f t="array" aca="1" ref="U70" ca="1">IF(OR('Raw Data'!U70="",LEN(TRIM('Raw Data'!U70))=0,Validate_Empty!U70&lt;&gt;"",Validate_Value!U70&lt;&gt;""),"",IF(OR(NOT(OR(LEN(TRIM('Raw Data'!B70:X70))&gt;0)),OR('Raw Data'!T70="",LEN(TRIM('Raw Data'!T70))=0)),"",IF(ISNUMBER(SEARCH('Raw Data'!U70, Configuration!$H$2)),"",_xlfn.REGEXEXTRACT(CELL("address",'Raw Data'!U70),"\$([A-Z]+)\$[0-9]+"))))</f>
        <v/>
      </c>
      <c r="V70" s="7" t="str" cm="1">
        <f t="array" aca="1" ref="V70" ca="1">IF(OR('Raw Data'!V70="",LEN(TRIM('Raw Data'!V70))=0,Validate_Empty!V70&lt;&gt;"",Validate_Value!V70&lt;&gt;""),"",IF(OR(NOT(OR(LEN(TRIM('Raw Data'!B70:X70))&gt;0)),OR('Raw Data'!V70="",LEN(TRIM('Raw Data'!V70))=0)),"",IF('Raw Data'!V70 = Configuration!$I$2,"",_xlfn.REGEXEXTRACT(CELL("address",'Raw Data'!V70),"\$([A-Z]+)\$[0-9]+"))))</f>
        <v/>
      </c>
      <c r="W70" s="7"/>
      <c r="X70" s="7"/>
    </row>
    <row r="71" spans="2:24" x14ac:dyDescent="0.25">
      <c r="B71" s="7"/>
      <c r="C71" s="7" t="str" cm="1">
        <f t="array" aca="1" ref="C71" ca="1">IF(OR('Raw Data'!C71="",LEN(TRIM('Raw Data'!C71))=0,Validate_Empty!C71&lt;&gt;"",Validate_Value!C71&lt;&gt;""),"",IF(OR(NOT(OR(LEN(TRIM('Raw Data'!B71:X71))&gt;0)),OR('Raw Data'!C71="",LEN(TRIM('Raw Data'!C71))=0)),"",IF(OR(AND('Raw Data'!B71="Main Contract", LEFT('Raw Data'!C71, LEN("Payment"))="Payment"),AND('Raw Data'!B71="Change Order", LEFT('Raw Data'!C71, LEN("CO Payment No."))="CO Payment No.")),"",_xlfn.REGEXEXTRACT(CELL("address",'Raw Data'!C71),"\$([A-Z]+)\$[0-9]+"))))</f>
        <v/>
      </c>
      <c r="D71" s="7"/>
      <c r="E71" s="7"/>
      <c r="F71" s="7"/>
      <c r="G71" s="7"/>
      <c r="H71" s="7"/>
      <c r="I71" s="7"/>
      <c r="J71" s="7"/>
      <c r="K71" s="7"/>
      <c r="L71" s="7"/>
      <c r="M71" s="7" t="str" cm="1">
        <f t="array" aca="1" ref="M71" ca="1">IF(OR('Raw Data'!M71="",LEN(TRIM('Raw Data'!M71))=0,Validate_Empty!M71&lt;&gt;"",Validate_Value!M71&lt;&gt;""),"",IF(OR(NOT(OR(LEN(TRIM('Raw Data'!B71:X71))&gt;0)),OR('Raw Data'!M71="",LEN(TRIM('Raw Data'!M71))=0)),"",IF('Raw Data'!M71 = SUM('Raw Data'!K71:L71),"",_xlfn.REGEXEXTRACT(CELL("address",'Raw Data'!M71),"\$([A-Z]+)\$[0-9]+"))))</f>
        <v/>
      </c>
      <c r="N71" s="7"/>
      <c r="O71" s="7"/>
      <c r="P71" s="7" t="str" cm="1">
        <f t="array" aca="1" ref="P71" ca="1">IF(OR('Raw Data'!P71="",LEN(TRIM('Raw Data'!P71))=0,Validate_Empty!P71&lt;&gt;"",Validate_Value!P71&lt;&gt;""),"",IF(OR(NOT(OR(LEN(TRIM('Raw Data'!B71:X71))&gt;0)),OR('Raw Data'!P71="",LEN(TRIM('Raw Data'!P71))=0)),"",IF(AND('Raw Data'!J71 + Configuration!$G$2 + 5 &gt;= 'Raw Data'!P71,'Raw Data'!J71 + Configuration!$G$2 - 5 &lt;= 'Raw Data'!P71),"",_xlfn.REGEXEXTRACT(CELL("address",'Raw Data'!P71),"\$([A-Z]+)\$[0-9]+"))))</f>
        <v/>
      </c>
      <c r="Q71" s="7"/>
      <c r="R71" s="7"/>
      <c r="S71" s="7"/>
      <c r="T71" s="7" t="str" cm="1">
        <f t="array" aca="1" ref="T71" ca="1">IF(OR('Raw Data'!T71="",LEN(TRIM('Raw Data'!T71))=0,Validate_Empty!T71&lt;&gt;"",Validate_Value!T71&lt;&gt;""),"",IF(OR(NOT(OR(LEN(TRIM('Raw Data'!B71:X71))&gt;0)),OR('Raw Data'!T71="",LEN(TRIM('Raw Data'!T71))=0)),"",IF('Raw Data'!T71 = SUM('Raw Data'!R71:S71),"",_xlfn.REGEXEXTRACT(CELL("address",'Raw Data'!T71),"\$([A-Z]+)\$[0-9]+"))))</f>
        <v/>
      </c>
      <c r="U71" s="7" t="str" cm="1">
        <f t="array" aca="1" ref="U71" ca="1">IF(OR('Raw Data'!U71="",LEN(TRIM('Raw Data'!U71))=0,Validate_Empty!U71&lt;&gt;"",Validate_Value!U71&lt;&gt;""),"",IF(OR(NOT(OR(LEN(TRIM('Raw Data'!B71:X71))&gt;0)),OR('Raw Data'!T71="",LEN(TRIM('Raw Data'!T71))=0)),"",IF(ISNUMBER(SEARCH('Raw Data'!U71, Configuration!$H$2)),"",_xlfn.REGEXEXTRACT(CELL("address",'Raw Data'!U71),"\$([A-Z]+)\$[0-9]+"))))</f>
        <v/>
      </c>
      <c r="V71" s="7" t="str" cm="1">
        <f t="array" aca="1" ref="V71" ca="1">IF(OR('Raw Data'!V71="",LEN(TRIM('Raw Data'!V71))=0,Validate_Empty!V71&lt;&gt;"",Validate_Value!V71&lt;&gt;""),"",IF(OR(NOT(OR(LEN(TRIM('Raw Data'!B71:X71))&gt;0)),OR('Raw Data'!V71="",LEN(TRIM('Raw Data'!V71))=0)),"",IF('Raw Data'!V71 = Configuration!$I$2,"",_xlfn.REGEXEXTRACT(CELL("address",'Raw Data'!V71),"\$([A-Z]+)\$[0-9]+"))))</f>
        <v/>
      </c>
      <c r="W71" s="7"/>
      <c r="X71" s="7"/>
    </row>
    <row r="72" spans="2:24" x14ac:dyDescent="0.25">
      <c r="B72" s="7"/>
      <c r="C72" s="7" t="str" cm="1">
        <f t="array" aca="1" ref="C72" ca="1">IF(OR('Raw Data'!C72="",LEN(TRIM('Raw Data'!C72))=0,Validate_Empty!C72&lt;&gt;"",Validate_Value!C72&lt;&gt;""),"",IF(OR(NOT(OR(LEN(TRIM('Raw Data'!B72:X72))&gt;0)),OR('Raw Data'!C72="",LEN(TRIM('Raw Data'!C72))=0)),"",IF(OR(AND('Raw Data'!B72="Main Contract", LEFT('Raw Data'!C72, LEN("Payment"))="Payment"),AND('Raw Data'!B72="Change Order", LEFT('Raw Data'!C72, LEN("CO Payment No."))="CO Payment No.")),"",_xlfn.REGEXEXTRACT(CELL("address",'Raw Data'!C72),"\$([A-Z]+)\$[0-9]+"))))</f>
        <v/>
      </c>
      <c r="D72" s="7"/>
      <c r="E72" s="7"/>
      <c r="F72" s="7"/>
      <c r="G72" s="7"/>
      <c r="H72" s="7"/>
      <c r="I72" s="7"/>
      <c r="J72" s="7"/>
      <c r="K72" s="7"/>
      <c r="L72" s="7"/>
      <c r="M72" s="7" t="str" cm="1">
        <f t="array" aca="1" ref="M72" ca="1">IF(OR('Raw Data'!M72="",LEN(TRIM('Raw Data'!M72))=0,Validate_Empty!M72&lt;&gt;"",Validate_Value!M72&lt;&gt;""),"",IF(OR(NOT(OR(LEN(TRIM('Raw Data'!B72:X72))&gt;0)),OR('Raw Data'!M72="",LEN(TRIM('Raw Data'!M72))=0)),"",IF('Raw Data'!M72 = SUM('Raw Data'!K72:L72),"",_xlfn.REGEXEXTRACT(CELL("address",'Raw Data'!M72),"\$([A-Z]+)\$[0-9]+"))))</f>
        <v/>
      </c>
      <c r="N72" s="7"/>
      <c r="O72" s="7"/>
      <c r="P72" s="7" t="str" cm="1">
        <f t="array" aca="1" ref="P72" ca="1">IF(OR('Raw Data'!P72="",LEN(TRIM('Raw Data'!P72))=0,Validate_Empty!P72&lt;&gt;"",Validate_Value!P72&lt;&gt;""),"",IF(OR(NOT(OR(LEN(TRIM('Raw Data'!B72:X72))&gt;0)),OR('Raw Data'!P72="",LEN(TRIM('Raw Data'!P72))=0)),"",IF(AND('Raw Data'!J72 + Configuration!$G$2 + 5 &gt;= 'Raw Data'!P72,'Raw Data'!J72 + Configuration!$G$2 - 5 &lt;= 'Raw Data'!P72),"",_xlfn.REGEXEXTRACT(CELL("address",'Raw Data'!P72),"\$([A-Z]+)\$[0-9]+"))))</f>
        <v/>
      </c>
      <c r="Q72" s="7"/>
      <c r="R72" s="7"/>
      <c r="S72" s="7"/>
      <c r="T72" s="7" t="str" cm="1">
        <f t="array" aca="1" ref="T72" ca="1">IF(OR('Raw Data'!T72="",LEN(TRIM('Raw Data'!T72))=0,Validate_Empty!T72&lt;&gt;"",Validate_Value!T72&lt;&gt;""),"",IF(OR(NOT(OR(LEN(TRIM('Raw Data'!B72:X72))&gt;0)),OR('Raw Data'!T72="",LEN(TRIM('Raw Data'!T72))=0)),"",IF('Raw Data'!T72 = SUM('Raw Data'!R72:S72),"",_xlfn.REGEXEXTRACT(CELL("address",'Raw Data'!T72),"\$([A-Z]+)\$[0-9]+"))))</f>
        <v/>
      </c>
      <c r="U72" s="7" t="str" cm="1">
        <f t="array" aca="1" ref="U72" ca="1">IF(OR('Raw Data'!U72="",LEN(TRIM('Raw Data'!U72))=0,Validate_Empty!U72&lt;&gt;"",Validate_Value!U72&lt;&gt;""),"",IF(OR(NOT(OR(LEN(TRIM('Raw Data'!B72:X72))&gt;0)),OR('Raw Data'!T72="",LEN(TRIM('Raw Data'!T72))=0)),"",IF(ISNUMBER(SEARCH('Raw Data'!U72, Configuration!$H$2)),"",_xlfn.REGEXEXTRACT(CELL("address",'Raw Data'!U72),"\$([A-Z]+)\$[0-9]+"))))</f>
        <v/>
      </c>
      <c r="V72" s="7" t="str" cm="1">
        <f t="array" aca="1" ref="V72" ca="1">IF(OR('Raw Data'!V72="",LEN(TRIM('Raw Data'!V72))=0,Validate_Empty!V72&lt;&gt;"",Validate_Value!V72&lt;&gt;""),"",IF(OR(NOT(OR(LEN(TRIM('Raw Data'!B72:X72))&gt;0)),OR('Raw Data'!V72="",LEN(TRIM('Raw Data'!V72))=0)),"",IF('Raw Data'!V72 = Configuration!$I$2,"",_xlfn.REGEXEXTRACT(CELL("address",'Raw Data'!V72),"\$([A-Z]+)\$[0-9]+"))))</f>
        <v/>
      </c>
      <c r="W72" s="7"/>
      <c r="X72" s="7"/>
    </row>
    <row r="73" spans="2:24" x14ac:dyDescent="0.25">
      <c r="B73" s="7"/>
      <c r="C73" s="7" t="str" cm="1">
        <f t="array" aca="1" ref="C73" ca="1">IF(OR('Raw Data'!C73="",LEN(TRIM('Raw Data'!C73))=0,Validate_Empty!C73&lt;&gt;"",Validate_Value!C73&lt;&gt;""),"",IF(OR(NOT(OR(LEN(TRIM('Raw Data'!B73:X73))&gt;0)),OR('Raw Data'!C73="",LEN(TRIM('Raw Data'!C73))=0)),"",IF(OR(AND('Raw Data'!B73="Main Contract", LEFT('Raw Data'!C73, LEN("Payment"))="Payment"),AND('Raw Data'!B73="Change Order", LEFT('Raw Data'!C73, LEN("CO Payment No."))="CO Payment No.")),"",_xlfn.REGEXEXTRACT(CELL("address",'Raw Data'!C73),"\$([A-Z]+)\$[0-9]+"))))</f>
        <v/>
      </c>
      <c r="D73" s="7"/>
      <c r="E73" s="7"/>
      <c r="F73" s="7"/>
      <c r="G73" s="7"/>
      <c r="H73" s="7"/>
      <c r="I73" s="7"/>
      <c r="J73" s="7"/>
      <c r="K73" s="7"/>
      <c r="L73" s="7"/>
      <c r="M73" s="7" t="str" cm="1">
        <f t="array" aca="1" ref="M73" ca="1">IF(OR('Raw Data'!M73="",LEN(TRIM('Raw Data'!M73))=0,Validate_Empty!M73&lt;&gt;"",Validate_Value!M73&lt;&gt;""),"",IF(OR(NOT(OR(LEN(TRIM('Raw Data'!B73:X73))&gt;0)),OR('Raw Data'!M73="",LEN(TRIM('Raw Data'!M73))=0)),"",IF('Raw Data'!M73 = SUM('Raw Data'!K73:L73),"",_xlfn.REGEXEXTRACT(CELL("address",'Raw Data'!M73),"\$([A-Z]+)\$[0-9]+"))))</f>
        <v/>
      </c>
      <c r="N73" s="7"/>
      <c r="O73" s="7"/>
      <c r="P73" s="7" t="str" cm="1">
        <f t="array" aca="1" ref="P73" ca="1">IF(OR('Raw Data'!P73="",LEN(TRIM('Raw Data'!P73))=0,Validate_Empty!P73&lt;&gt;"",Validate_Value!P73&lt;&gt;""),"",IF(OR(NOT(OR(LEN(TRIM('Raw Data'!B73:X73))&gt;0)),OR('Raw Data'!P73="",LEN(TRIM('Raw Data'!P73))=0)),"",IF(AND('Raw Data'!J73 + Configuration!$G$2 + 5 &gt;= 'Raw Data'!P73,'Raw Data'!J73 + Configuration!$G$2 - 5 &lt;= 'Raw Data'!P73),"",_xlfn.REGEXEXTRACT(CELL("address",'Raw Data'!P73),"\$([A-Z]+)\$[0-9]+"))))</f>
        <v/>
      </c>
      <c r="Q73" s="7"/>
      <c r="R73" s="7"/>
      <c r="S73" s="7"/>
      <c r="T73" s="7" t="str" cm="1">
        <f t="array" aca="1" ref="T73" ca="1">IF(OR('Raw Data'!T73="",LEN(TRIM('Raw Data'!T73))=0,Validate_Empty!T73&lt;&gt;"",Validate_Value!T73&lt;&gt;""),"",IF(OR(NOT(OR(LEN(TRIM('Raw Data'!B73:X73))&gt;0)),OR('Raw Data'!T73="",LEN(TRIM('Raw Data'!T73))=0)),"",IF('Raw Data'!T73 = SUM('Raw Data'!R73:S73),"",_xlfn.REGEXEXTRACT(CELL("address",'Raw Data'!T73),"\$([A-Z]+)\$[0-9]+"))))</f>
        <v/>
      </c>
      <c r="U73" s="7" t="str" cm="1">
        <f t="array" aca="1" ref="U73" ca="1">IF(OR('Raw Data'!U73="",LEN(TRIM('Raw Data'!U73))=0,Validate_Empty!U73&lt;&gt;"",Validate_Value!U73&lt;&gt;""),"",IF(OR(NOT(OR(LEN(TRIM('Raw Data'!B73:X73))&gt;0)),OR('Raw Data'!T73="",LEN(TRIM('Raw Data'!T73))=0)),"",IF(ISNUMBER(SEARCH('Raw Data'!U73, Configuration!$H$2)),"",_xlfn.REGEXEXTRACT(CELL("address",'Raw Data'!U73),"\$([A-Z]+)\$[0-9]+"))))</f>
        <v/>
      </c>
      <c r="V73" s="7" t="str" cm="1">
        <f t="array" aca="1" ref="V73" ca="1">IF(OR('Raw Data'!V73="",LEN(TRIM('Raw Data'!V73))=0,Validate_Empty!V73&lt;&gt;"",Validate_Value!V73&lt;&gt;""),"",IF(OR(NOT(OR(LEN(TRIM('Raw Data'!B73:X73))&gt;0)),OR('Raw Data'!V73="",LEN(TRIM('Raw Data'!V73))=0)),"",IF('Raw Data'!V73 = Configuration!$I$2,"",_xlfn.REGEXEXTRACT(CELL("address",'Raw Data'!V73),"\$([A-Z]+)\$[0-9]+"))))</f>
        <v/>
      </c>
      <c r="W73" s="7"/>
      <c r="X73" s="7"/>
    </row>
    <row r="74" spans="2:24" x14ac:dyDescent="0.25">
      <c r="B74" s="7"/>
      <c r="C74" s="7" t="str" cm="1">
        <f t="array" aca="1" ref="C74" ca="1">IF(OR('Raw Data'!C74="",LEN(TRIM('Raw Data'!C74))=0,Validate_Empty!C74&lt;&gt;"",Validate_Value!C74&lt;&gt;""),"",IF(OR(NOT(OR(LEN(TRIM('Raw Data'!B74:X74))&gt;0)),OR('Raw Data'!C74="",LEN(TRIM('Raw Data'!C74))=0)),"",IF(OR(AND('Raw Data'!B74="Main Contract", LEFT('Raw Data'!C74, LEN("Payment"))="Payment"),AND('Raw Data'!B74="Change Order", LEFT('Raw Data'!C74, LEN("CO Payment No."))="CO Payment No.")),"",_xlfn.REGEXEXTRACT(CELL("address",'Raw Data'!C74),"\$([A-Z]+)\$[0-9]+"))))</f>
        <v/>
      </c>
      <c r="D74" s="7"/>
      <c r="E74" s="7"/>
      <c r="F74" s="7"/>
      <c r="G74" s="7"/>
      <c r="H74" s="7"/>
      <c r="I74" s="7"/>
      <c r="J74" s="7"/>
      <c r="K74" s="7"/>
      <c r="L74" s="7"/>
      <c r="M74" s="7" t="str" cm="1">
        <f t="array" aca="1" ref="M74" ca="1">IF(OR('Raw Data'!M74="",LEN(TRIM('Raw Data'!M74))=0,Validate_Empty!M74&lt;&gt;"",Validate_Value!M74&lt;&gt;""),"",IF(OR(NOT(OR(LEN(TRIM('Raw Data'!B74:X74))&gt;0)),OR('Raw Data'!M74="",LEN(TRIM('Raw Data'!M74))=0)),"",IF('Raw Data'!M74 = SUM('Raw Data'!K74:L74),"",_xlfn.REGEXEXTRACT(CELL("address",'Raw Data'!M74),"\$([A-Z]+)\$[0-9]+"))))</f>
        <v/>
      </c>
      <c r="N74" s="7"/>
      <c r="O74" s="7"/>
      <c r="P74" s="7" t="str" cm="1">
        <f t="array" aca="1" ref="P74" ca="1">IF(OR('Raw Data'!P74="",LEN(TRIM('Raw Data'!P74))=0,Validate_Empty!P74&lt;&gt;"",Validate_Value!P74&lt;&gt;""),"",IF(OR(NOT(OR(LEN(TRIM('Raw Data'!B74:X74))&gt;0)),OR('Raw Data'!P74="",LEN(TRIM('Raw Data'!P74))=0)),"",IF(AND('Raw Data'!J74 + Configuration!$G$2 + 5 &gt;= 'Raw Data'!P74,'Raw Data'!J74 + Configuration!$G$2 - 5 &lt;= 'Raw Data'!P74),"",_xlfn.REGEXEXTRACT(CELL("address",'Raw Data'!P74),"\$([A-Z]+)\$[0-9]+"))))</f>
        <v/>
      </c>
      <c r="Q74" s="7"/>
      <c r="R74" s="7"/>
      <c r="S74" s="7"/>
      <c r="T74" s="7" t="str" cm="1">
        <f t="array" aca="1" ref="T74" ca="1">IF(OR('Raw Data'!T74="",LEN(TRIM('Raw Data'!T74))=0,Validate_Empty!T74&lt;&gt;"",Validate_Value!T74&lt;&gt;""),"",IF(OR(NOT(OR(LEN(TRIM('Raw Data'!B74:X74))&gt;0)),OR('Raw Data'!T74="",LEN(TRIM('Raw Data'!T74))=0)),"",IF('Raw Data'!T74 = SUM('Raw Data'!R74:S74),"",_xlfn.REGEXEXTRACT(CELL("address",'Raw Data'!T74),"\$([A-Z]+)\$[0-9]+"))))</f>
        <v/>
      </c>
      <c r="U74" s="7" t="str" cm="1">
        <f t="array" aca="1" ref="U74" ca="1">IF(OR('Raw Data'!U74="",LEN(TRIM('Raw Data'!U74))=0,Validate_Empty!U74&lt;&gt;"",Validate_Value!U74&lt;&gt;""),"",IF(OR(NOT(OR(LEN(TRIM('Raw Data'!B74:X74))&gt;0)),OR('Raw Data'!T74="",LEN(TRIM('Raw Data'!T74))=0)),"",IF(ISNUMBER(SEARCH('Raw Data'!U74, Configuration!$H$2)),"",_xlfn.REGEXEXTRACT(CELL("address",'Raw Data'!U74),"\$([A-Z]+)\$[0-9]+"))))</f>
        <v/>
      </c>
      <c r="V74" s="7" t="str" cm="1">
        <f t="array" aca="1" ref="V74" ca="1">IF(OR('Raw Data'!V74="",LEN(TRIM('Raw Data'!V74))=0,Validate_Empty!V74&lt;&gt;"",Validate_Value!V74&lt;&gt;""),"",IF(OR(NOT(OR(LEN(TRIM('Raw Data'!B74:X74))&gt;0)),OR('Raw Data'!V74="",LEN(TRIM('Raw Data'!V74))=0)),"",IF('Raw Data'!V74 = Configuration!$I$2,"",_xlfn.REGEXEXTRACT(CELL("address",'Raw Data'!V74),"\$([A-Z]+)\$[0-9]+"))))</f>
        <v/>
      </c>
      <c r="W74" s="7"/>
      <c r="X74" s="7"/>
    </row>
    <row r="75" spans="2:24" x14ac:dyDescent="0.25">
      <c r="B75" s="7"/>
      <c r="C75" s="7" t="str" cm="1">
        <f t="array" aca="1" ref="C75" ca="1">IF(OR('Raw Data'!C75="",LEN(TRIM('Raw Data'!C75))=0,Validate_Empty!C75&lt;&gt;"",Validate_Value!C75&lt;&gt;""),"",IF(OR(NOT(OR(LEN(TRIM('Raw Data'!B75:X75))&gt;0)),OR('Raw Data'!C75="",LEN(TRIM('Raw Data'!C75))=0)),"",IF(OR(AND('Raw Data'!B75="Main Contract", LEFT('Raw Data'!C75, LEN("Payment"))="Payment"),AND('Raw Data'!B75="Change Order", LEFT('Raw Data'!C75, LEN("CO Payment No."))="CO Payment No.")),"",_xlfn.REGEXEXTRACT(CELL("address",'Raw Data'!C75),"\$([A-Z]+)\$[0-9]+"))))</f>
        <v/>
      </c>
      <c r="D75" s="7"/>
      <c r="E75" s="7"/>
      <c r="F75" s="7"/>
      <c r="G75" s="7"/>
      <c r="H75" s="7"/>
      <c r="I75" s="7"/>
      <c r="J75" s="7"/>
      <c r="K75" s="7"/>
      <c r="L75" s="7"/>
      <c r="M75" s="7" t="str" cm="1">
        <f t="array" aca="1" ref="M75" ca="1">IF(OR('Raw Data'!M75="",LEN(TRIM('Raw Data'!M75))=0,Validate_Empty!M75&lt;&gt;"",Validate_Value!M75&lt;&gt;""),"",IF(OR(NOT(OR(LEN(TRIM('Raw Data'!B75:X75))&gt;0)),OR('Raw Data'!M75="",LEN(TRIM('Raw Data'!M75))=0)),"",IF('Raw Data'!M75 = SUM('Raw Data'!K75:L75),"",_xlfn.REGEXEXTRACT(CELL("address",'Raw Data'!M75),"\$([A-Z]+)\$[0-9]+"))))</f>
        <v/>
      </c>
      <c r="N75" s="7"/>
      <c r="O75" s="7"/>
      <c r="P75" s="7" t="str" cm="1">
        <f t="array" aca="1" ref="P75" ca="1">IF(OR('Raw Data'!P75="",LEN(TRIM('Raw Data'!P75))=0,Validate_Empty!P75&lt;&gt;"",Validate_Value!P75&lt;&gt;""),"",IF(OR(NOT(OR(LEN(TRIM('Raw Data'!B75:X75))&gt;0)),OR('Raw Data'!P75="",LEN(TRIM('Raw Data'!P75))=0)),"",IF(AND('Raw Data'!J75 + Configuration!$G$2 + 5 &gt;= 'Raw Data'!P75,'Raw Data'!J75 + Configuration!$G$2 - 5 &lt;= 'Raw Data'!P75),"",_xlfn.REGEXEXTRACT(CELL("address",'Raw Data'!P75),"\$([A-Z]+)\$[0-9]+"))))</f>
        <v/>
      </c>
      <c r="Q75" s="7"/>
      <c r="R75" s="7"/>
      <c r="S75" s="7"/>
      <c r="T75" s="7" t="str" cm="1">
        <f t="array" aca="1" ref="T75" ca="1">IF(OR('Raw Data'!T75="",LEN(TRIM('Raw Data'!T75))=0,Validate_Empty!T75&lt;&gt;"",Validate_Value!T75&lt;&gt;""),"",IF(OR(NOT(OR(LEN(TRIM('Raw Data'!B75:X75))&gt;0)),OR('Raw Data'!T75="",LEN(TRIM('Raw Data'!T75))=0)),"",IF('Raw Data'!T75 = SUM('Raw Data'!R75:S75),"",_xlfn.REGEXEXTRACT(CELL("address",'Raw Data'!T75),"\$([A-Z]+)\$[0-9]+"))))</f>
        <v/>
      </c>
      <c r="U75" s="7" t="str" cm="1">
        <f t="array" aca="1" ref="U75" ca="1">IF(OR('Raw Data'!U75="",LEN(TRIM('Raw Data'!U75))=0,Validate_Empty!U75&lt;&gt;"",Validate_Value!U75&lt;&gt;""),"",IF(OR(NOT(OR(LEN(TRIM('Raw Data'!B75:X75))&gt;0)),OR('Raw Data'!T75="",LEN(TRIM('Raw Data'!T75))=0)),"",IF(ISNUMBER(SEARCH('Raw Data'!U75, Configuration!$H$2)),"",_xlfn.REGEXEXTRACT(CELL("address",'Raw Data'!U75),"\$([A-Z]+)\$[0-9]+"))))</f>
        <v/>
      </c>
      <c r="V75" s="7" t="str" cm="1">
        <f t="array" aca="1" ref="V75" ca="1">IF(OR('Raw Data'!V75="",LEN(TRIM('Raw Data'!V75))=0,Validate_Empty!V75&lt;&gt;"",Validate_Value!V75&lt;&gt;""),"",IF(OR(NOT(OR(LEN(TRIM('Raw Data'!B75:X75))&gt;0)),OR('Raw Data'!V75="",LEN(TRIM('Raw Data'!V75))=0)),"",IF('Raw Data'!V75 = Configuration!$I$2,"",_xlfn.REGEXEXTRACT(CELL("address",'Raw Data'!V75),"\$([A-Z]+)\$[0-9]+"))))</f>
        <v/>
      </c>
      <c r="W75" s="7"/>
      <c r="X75" s="7"/>
    </row>
    <row r="76" spans="2:24" x14ac:dyDescent="0.25">
      <c r="B76" s="7"/>
      <c r="C76" s="7" t="str" cm="1">
        <f t="array" aca="1" ref="C76" ca="1">IF(OR('Raw Data'!C76="",LEN(TRIM('Raw Data'!C76))=0,Validate_Empty!C76&lt;&gt;"",Validate_Value!C76&lt;&gt;""),"",IF(OR(NOT(OR(LEN(TRIM('Raw Data'!B76:X76))&gt;0)),OR('Raw Data'!C76="",LEN(TRIM('Raw Data'!C76))=0)),"",IF(OR(AND('Raw Data'!B76="Main Contract", LEFT('Raw Data'!C76, LEN("Payment"))="Payment"),AND('Raw Data'!B76="Change Order", LEFT('Raw Data'!C76, LEN("CO Payment No."))="CO Payment No.")),"",_xlfn.REGEXEXTRACT(CELL("address",'Raw Data'!C76),"\$([A-Z]+)\$[0-9]+"))))</f>
        <v/>
      </c>
      <c r="D76" s="7"/>
      <c r="E76" s="7"/>
      <c r="F76" s="7"/>
      <c r="G76" s="7"/>
      <c r="H76" s="7"/>
      <c r="I76" s="7"/>
      <c r="J76" s="7"/>
      <c r="K76" s="7"/>
      <c r="L76" s="7"/>
      <c r="M76" s="7" t="str" cm="1">
        <f t="array" aca="1" ref="M76" ca="1">IF(OR('Raw Data'!M76="",LEN(TRIM('Raw Data'!M76))=0,Validate_Empty!M76&lt;&gt;"",Validate_Value!M76&lt;&gt;""),"",IF(OR(NOT(OR(LEN(TRIM('Raw Data'!B76:X76))&gt;0)),OR('Raw Data'!M76="",LEN(TRIM('Raw Data'!M76))=0)),"",IF('Raw Data'!M76 = SUM('Raw Data'!K76:L76),"",_xlfn.REGEXEXTRACT(CELL("address",'Raw Data'!M76),"\$([A-Z]+)\$[0-9]+"))))</f>
        <v/>
      </c>
      <c r="N76" s="7"/>
      <c r="O76" s="7"/>
      <c r="P76" s="7" t="str" cm="1">
        <f t="array" aca="1" ref="P76" ca="1">IF(OR('Raw Data'!P76="",LEN(TRIM('Raw Data'!P76))=0,Validate_Empty!P76&lt;&gt;"",Validate_Value!P76&lt;&gt;""),"",IF(OR(NOT(OR(LEN(TRIM('Raw Data'!B76:X76))&gt;0)),OR('Raw Data'!P76="",LEN(TRIM('Raw Data'!P76))=0)),"",IF(AND('Raw Data'!J76 + Configuration!$G$2 + 5 &gt;= 'Raw Data'!P76,'Raw Data'!J76 + Configuration!$G$2 - 5 &lt;= 'Raw Data'!P76),"",_xlfn.REGEXEXTRACT(CELL("address",'Raw Data'!P76),"\$([A-Z]+)\$[0-9]+"))))</f>
        <v/>
      </c>
      <c r="Q76" s="7"/>
      <c r="R76" s="7"/>
      <c r="S76" s="7"/>
      <c r="T76" s="7" t="str" cm="1">
        <f t="array" aca="1" ref="T76" ca="1">IF(OR('Raw Data'!T76="",LEN(TRIM('Raw Data'!T76))=0,Validate_Empty!T76&lt;&gt;"",Validate_Value!T76&lt;&gt;""),"",IF(OR(NOT(OR(LEN(TRIM('Raw Data'!B76:X76))&gt;0)),OR('Raw Data'!T76="",LEN(TRIM('Raw Data'!T76))=0)),"",IF('Raw Data'!T76 = SUM('Raw Data'!R76:S76),"",_xlfn.REGEXEXTRACT(CELL("address",'Raw Data'!T76),"\$([A-Z]+)\$[0-9]+"))))</f>
        <v/>
      </c>
      <c r="U76" s="7" t="str" cm="1">
        <f t="array" aca="1" ref="U76" ca="1">IF(OR('Raw Data'!U76="",LEN(TRIM('Raw Data'!U76))=0,Validate_Empty!U76&lt;&gt;"",Validate_Value!U76&lt;&gt;""),"",IF(OR(NOT(OR(LEN(TRIM('Raw Data'!B76:X76))&gt;0)),OR('Raw Data'!T76="",LEN(TRIM('Raw Data'!T76))=0)),"",IF(ISNUMBER(SEARCH('Raw Data'!U76, Configuration!$H$2)),"",_xlfn.REGEXEXTRACT(CELL("address",'Raw Data'!U76),"\$([A-Z]+)\$[0-9]+"))))</f>
        <v/>
      </c>
      <c r="V76" s="7" t="str" cm="1">
        <f t="array" aca="1" ref="V76" ca="1">IF(OR('Raw Data'!V76="",LEN(TRIM('Raw Data'!V76))=0,Validate_Empty!V76&lt;&gt;"",Validate_Value!V76&lt;&gt;""),"",IF(OR(NOT(OR(LEN(TRIM('Raw Data'!B76:X76))&gt;0)),OR('Raw Data'!V76="",LEN(TRIM('Raw Data'!V76))=0)),"",IF('Raw Data'!V76 = Configuration!$I$2,"",_xlfn.REGEXEXTRACT(CELL("address",'Raw Data'!V76),"\$([A-Z]+)\$[0-9]+"))))</f>
        <v/>
      </c>
      <c r="W76" s="7"/>
      <c r="X76" s="7"/>
    </row>
    <row r="77" spans="2:24" x14ac:dyDescent="0.25">
      <c r="B77" s="7"/>
      <c r="C77" s="7" t="str" cm="1">
        <f t="array" aca="1" ref="C77" ca="1">IF(OR('Raw Data'!C77="",LEN(TRIM('Raw Data'!C77))=0,Validate_Empty!C77&lt;&gt;"",Validate_Value!C77&lt;&gt;""),"",IF(OR(NOT(OR(LEN(TRIM('Raw Data'!B77:X77))&gt;0)),OR('Raw Data'!C77="",LEN(TRIM('Raw Data'!C77))=0)),"",IF(OR(AND('Raw Data'!B77="Main Contract", LEFT('Raw Data'!C77, LEN("Payment"))="Payment"),AND('Raw Data'!B77="Change Order", LEFT('Raw Data'!C77, LEN("CO Payment No."))="CO Payment No.")),"",_xlfn.REGEXEXTRACT(CELL("address",'Raw Data'!C77),"\$([A-Z]+)\$[0-9]+"))))</f>
        <v/>
      </c>
      <c r="D77" s="7"/>
      <c r="E77" s="7"/>
      <c r="F77" s="7"/>
      <c r="G77" s="7"/>
      <c r="H77" s="7"/>
      <c r="I77" s="7"/>
      <c r="J77" s="7"/>
      <c r="K77" s="7"/>
      <c r="L77" s="7"/>
      <c r="M77" s="7" t="str" cm="1">
        <f t="array" aca="1" ref="M77" ca="1">IF(OR('Raw Data'!M77="",LEN(TRIM('Raw Data'!M77))=0,Validate_Empty!M77&lt;&gt;"",Validate_Value!M77&lt;&gt;""),"",IF(OR(NOT(OR(LEN(TRIM('Raw Data'!B77:X77))&gt;0)),OR('Raw Data'!M77="",LEN(TRIM('Raw Data'!M77))=0)),"",IF('Raw Data'!M77 = SUM('Raw Data'!K77:L77),"",_xlfn.REGEXEXTRACT(CELL("address",'Raw Data'!M77),"\$([A-Z]+)\$[0-9]+"))))</f>
        <v/>
      </c>
      <c r="N77" s="7"/>
      <c r="O77" s="7"/>
      <c r="P77" s="7" t="str" cm="1">
        <f t="array" aca="1" ref="P77" ca="1">IF(OR('Raw Data'!P77="",LEN(TRIM('Raw Data'!P77))=0,Validate_Empty!P77&lt;&gt;"",Validate_Value!P77&lt;&gt;""),"",IF(OR(NOT(OR(LEN(TRIM('Raw Data'!B77:X77))&gt;0)),OR('Raw Data'!P77="",LEN(TRIM('Raw Data'!P77))=0)),"",IF(AND('Raw Data'!J77 + Configuration!$G$2 + 5 &gt;= 'Raw Data'!P77,'Raw Data'!J77 + Configuration!$G$2 - 5 &lt;= 'Raw Data'!P77),"",_xlfn.REGEXEXTRACT(CELL("address",'Raw Data'!P77),"\$([A-Z]+)\$[0-9]+"))))</f>
        <v/>
      </c>
      <c r="Q77" s="7"/>
      <c r="R77" s="7"/>
      <c r="S77" s="7"/>
      <c r="T77" s="7" t="str" cm="1">
        <f t="array" aca="1" ref="T77" ca="1">IF(OR('Raw Data'!T77="",LEN(TRIM('Raw Data'!T77))=0,Validate_Empty!T77&lt;&gt;"",Validate_Value!T77&lt;&gt;""),"",IF(OR(NOT(OR(LEN(TRIM('Raw Data'!B77:X77))&gt;0)),OR('Raw Data'!T77="",LEN(TRIM('Raw Data'!T77))=0)),"",IF('Raw Data'!T77 = SUM('Raw Data'!R77:S77),"",_xlfn.REGEXEXTRACT(CELL("address",'Raw Data'!T77),"\$([A-Z]+)\$[0-9]+"))))</f>
        <v/>
      </c>
      <c r="U77" s="7" t="str" cm="1">
        <f t="array" aca="1" ref="U77" ca="1">IF(OR('Raw Data'!U77="",LEN(TRIM('Raw Data'!U77))=0,Validate_Empty!U77&lt;&gt;"",Validate_Value!U77&lt;&gt;""),"",IF(OR(NOT(OR(LEN(TRIM('Raw Data'!B77:X77))&gt;0)),OR('Raw Data'!T77="",LEN(TRIM('Raw Data'!T77))=0)),"",IF(ISNUMBER(SEARCH('Raw Data'!U77, Configuration!$H$2)),"",_xlfn.REGEXEXTRACT(CELL("address",'Raw Data'!U77),"\$([A-Z]+)\$[0-9]+"))))</f>
        <v/>
      </c>
      <c r="V77" s="7" t="str" cm="1">
        <f t="array" aca="1" ref="V77" ca="1">IF(OR('Raw Data'!V77="",LEN(TRIM('Raw Data'!V77))=0,Validate_Empty!V77&lt;&gt;"",Validate_Value!V77&lt;&gt;""),"",IF(OR(NOT(OR(LEN(TRIM('Raw Data'!B77:X77))&gt;0)),OR('Raw Data'!V77="",LEN(TRIM('Raw Data'!V77))=0)),"",IF('Raw Data'!V77 = Configuration!$I$2,"",_xlfn.REGEXEXTRACT(CELL("address",'Raw Data'!V77),"\$([A-Z]+)\$[0-9]+"))))</f>
        <v/>
      </c>
      <c r="W77" s="7"/>
      <c r="X77" s="7"/>
    </row>
    <row r="78" spans="2:24" x14ac:dyDescent="0.25">
      <c r="B78" s="7"/>
      <c r="C78" s="7" t="str" cm="1">
        <f t="array" aca="1" ref="C78" ca="1">IF(OR('Raw Data'!C78="",LEN(TRIM('Raw Data'!C78))=0,Validate_Empty!C78&lt;&gt;"",Validate_Value!C78&lt;&gt;""),"",IF(OR(NOT(OR(LEN(TRIM('Raw Data'!B78:X78))&gt;0)),OR('Raw Data'!C78="",LEN(TRIM('Raw Data'!C78))=0)),"",IF(OR(AND('Raw Data'!B78="Main Contract", LEFT('Raw Data'!C78, LEN("Payment"))="Payment"),AND('Raw Data'!B78="Change Order", LEFT('Raw Data'!C78, LEN("CO Payment No."))="CO Payment No.")),"",_xlfn.REGEXEXTRACT(CELL("address",'Raw Data'!C78),"\$([A-Z]+)\$[0-9]+"))))</f>
        <v/>
      </c>
      <c r="D78" s="7"/>
      <c r="E78" s="7"/>
      <c r="F78" s="7"/>
      <c r="G78" s="7"/>
      <c r="H78" s="7"/>
      <c r="I78" s="7"/>
      <c r="J78" s="7"/>
      <c r="K78" s="7"/>
      <c r="L78" s="7"/>
      <c r="M78" s="7" t="str" cm="1">
        <f t="array" aca="1" ref="M78" ca="1">IF(OR('Raw Data'!M78="",LEN(TRIM('Raw Data'!M78))=0,Validate_Empty!M78&lt;&gt;"",Validate_Value!M78&lt;&gt;""),"",IF(OR(NOT(OR(LEN(TRIM('Raw Data'!B78:X78))&gt;0)),OR('Raw Data'!M78="",LEN(TRIM('Raw Data'!M78))=0)),"",IF('Raw Data'!M78 = SUM('Raw Data'!K78:L78),"",_xlfn.REGEXEXTRACT(CELL("address",'Raw Data'!M78),"\$([A-Z]+)\$[0-9]+"))))</f>
        <v/>
      </c>
      <c r="N78" s="7"/>
      <c r="O78" s="7"/>
      <c r="P78" s="7" t="str" cm="1">
        <f t="array" aca="1" ref="P78" ca="1">IF(OR('Raw Data'!P78="",LEN(TRIM('Raw Data'!P78))=0,Validate_Empty!P78&lt;&gt;"",Validate_Value!P78&lt;&gt;""),"",IF(OR(NOT(OR(LEN(TRIM('Raw Data'!B78:X78))&gt;0)),OR('Raw Data'!P78="",LEN(TRIM('Raw Data'!P78))=0)),"",IF(AND('Raw Data'!J78 + Configuration!$G$2 + 5 &gt;= 'Raw Data'!P78,'Raw Data'!J78 + Configuration!$G$2 - 5 &lt;= 'Raw Data'!P78),"",_xlfn.REGEXEXTRACT(CELL("address",'Raw Data'!P78),"\$([A-Z]+)\$[0-9]+"))))</f>
        <v/>
      </c>
      <c r="Q78" s="7"/>
      <c r="R78" s="7"/>
      <c r="S78" s="7"/>
      <c r="T78" s="7" t="str" cm="1">
        <f t="array" aca="1" ref="T78" ca="1">IF(OR('Raw Data'!T78="",LEN(TRIM('Raw Data'!T78))=0,Validate_Empty!T78&lt;&gt;"",Validate_Value!T78&lt;&gt;""),"",IF(OR(NOT(OR(LEN(TRIM('Raw Data'!B78:X78))&gt;0)),OR('Raw Data'!T78="",LEN(TRIM('Raw Data'!T78))=0)),"",IF('Raw Data'!T78 = SUM('Raw Data'!R78:S78),"",_xlfn.REGEXEXTRACT(CELL("address",'Raw Data'!T78),"\$([A-Z]+)\$[0-9]+"))))</f>
        <v/>
      </c>
      <c r="U78" s="7" t="str" cm="1">
        <f t="array" aca="1" ref="U78" ca="1">IF(OR('Raw Data'!U78="",LEN(TRIM('Raw Data'!U78))=0,Validate_Empty!U78&lt;&gt;"",Validate_Value!U78&lt;&gt;""),"",IF(OR(NOT(OR(LEN(TRIM('Raw Data'!B78:X78))&gt;0)),OR('Raw Data'!T78="",LEN(TRIM('Raw Data'!T78))=0)),"",IF(ISNUMBER(SEARCH('Raw Data'!U78, Configuration!$H$2)),"",_xlfn.REGEXEXTRACT(CELL("address",'Raw Data'!U78),"\$([A-Z]+)\$[0-9]+"))))</f>
        <v/>
      </c>
      <c r="V78" s="7" t="str" cm="1">
        <f t="array" aca="1" ref="V78" ca="1">IF(OR('Raw Data'!V78="",LEN(TRIM('Raw Data'!V78))=0,Validate_Empty!V78&lt;&gt;"",Validate_Value!V78&lt;&gt;""),"",IF(OR(NOT(OR(LEN(TRIM('Raw Data'!B78:X78))&gt;0)),OR('Raw Data'!V78="",LEN(TRIM('Raw Data'!V78))=0)),"",IF('Raw Data'!V78 = Configuration!$I$2,"",_xlfn.REGEXEXTRACT(CELL("address",'Raw Data'!V78),"\$([A-Z]+)\$[0-9]+"))))</f>
        <v/>
      </c>
      <c r="W78" s="7"/>
      <c r="X78" s="7"/>
    </row>
    <row r="79" spans="2:24" x14ac:dyDescent="0.25">
      <c r="B79" s="7"/>
      <c r="C79" s="7" t="str" cm="1">
        <f t="array" aca="1" ref="C79" ca="1">IF(OR('Raw Data'!C79="",LEN(TRIM('Raw Data'!C79))=0,Validate_Empty!C79&lt;&gt;"",Validate_Value!C79&lt;&gt;""),"",IF(OR(NOT(OR(LEN(TRIM('Raw Data'!B79:X79))&gt;0)),OR('Raw Data'!C79="",LEN(TRIM('Raw Data'!C79))=0)),"",IF(OR(AND('Raw Data'!B79="Main Contract", LEFT('Raw Data'!C79, LEN("Payment"))="Payment"),AND('Raw Data'!B79="Change Order", LEFT('Raw Data'!C79, LEN("CO Payment No."))="CO Payment No.")),"",_xlfn.REGEXEXTRACT(CELL("address",'Raw Data'!C79),"\$([A-Z]+)\$[0-9]+"))))</f>
        <v/>
      </c>
      <c r="D79" s="7"/>
      <c r="E79" s="7"/>
      <c r="F79" s="7"/>
      <c r="G79" s="7"/>
      <c r="H79" s="7"/>
      <c r="I79" s="7"/>
      <c r="J79" s="7"/>
      <c r="K79" s="7"/>
      <c r="L79" s="7"/>
      <c r="M79" s="7" t="str" cm="1">
        <f t="array" aca="1" ref="M79" ca="1">IF(OR('Raw Data'!M79="",LEN(TRIM('Raw Data'!M79))=0,Validate_Empty!M79&lt;&gt;"",Validate_Value!M79&lt;&gt;""),"",IF(OR(NOT(OR(LEN(TRIM('Raw Data'!B79:X79))&gt;0)),OR('Raw Data'!M79="",LEN(TRIM('Raw Data'!M79))=0)),"",IF('Raw Data'!M79 = SUM('Raw Data'!K79:L79),"",_xlfn.REGEXEXTRACT(CELL("address",'Raw Data'!M79),"\$([A-Z]+)\$[0-9]+"))))</f>
        <v/>
      </c>
      <c r="N79" s="7"/>
      <c r="O79" s="7"/>
      <c r="P79" s="7" t="str" cm="1">
        <f t="array" aca="1" ref="P79" ca="1">IF(OR('Raw Data'!P79="",LEN(TRIM('Raw Data'!P79))=0,Validate_Empty!P79&lt;&gt;"",Validate_Value!P79&lt;&gt;""),"",IF(OR(NOT(OR(LEN(TRIM('Raw Data'!B79:X79))&gt;0)),OR('Raw Data'!P79="",LEN(TRIM('Raw Data'!P79))=0)),"",IF(AND('Raw Data'!J79 + Configuration!$G$2 + 5 &gt;= 'Raw Data'!P79,'Raw Data'!J79 + Configuration!$G$2 - 5 &lt;= 'Raw Data'!P79),"",_xlfn.REGEXEXTRACT(CELL("address",'Raw Data'!P79),"\$([A-Z]+)\$[0-9]+"))))</f>
        <v/>
      </c>
      <c r="Q79" s="7"/>
      <c r="R79" s="7"/>
      <c r="S79" s="7"/>
      <c r="T79" s="7" t="str" cm="1">
        <f t="array" aca="1" ref="T79" ca="1">IF(OR('Raw Data'!T79="",LEN(TRIM('Raw Data'!T79))=0,Validate_Empty!T79&lt;&gt;"",Validate_Value!T79&lt;&gt;""),"",IF(OR(NOT(OR(LEN(TRIM('Raw Data'!B79:X79))&gt;0)),OR('Raw Data'!T79="",LEN(TRIM('Raw Data'!T79))=0)),"",IF('Raw Data'!T79 = SUM('Raw Data'!R79:S79),"",_xlfn.REGEXEXTRACT(CELL("address",'Raw Data'!T79),"\$([A-Z]+)\$[0-9]+"))))</f>
        <v/>
      </c>
      <c r="U79" s="7" t="str" cm="1">
        <f t="array" aca="1" ref="U79" ca="1">IF(OR('Raw Data'!U79="",LEN(TRIM('Raw Data'!U79))=0,Validate_Empty!U79&lt;&gt;"",Validate_Value!U79&lt;&gt;""),"",IF(OR(NOT(OR(LEN(TRIM('Raw Data'!B79:X79))&gt;0)),OR('Raw Data'!T79="",LEN(TRIM('Raw Data'!T79))=0)),"",IF(ISNUMBER(SEARCH('Raw Data'!U79, Configuration!$H$2)),"",_xlfn.REGEXEXTRACT(CELL("address",'Raw Data'!U79),"\$([A-Z]+)\$[0-9]+"))))</f>
        <v/>
      </c>
      <c r="V79" s="7" t="str" cm="1">
        <f t="array" aca="1" ref="V79" ca="1">IF(OR('Raw Data'!V79="",LEN(TRIM('Raw Data'!V79))=0,Validate_Empty!V79&lt;&gt;"",Validate_Value!V79&lt;&gt;""),"",IF(OR(NOT(OR(LEN(TRIM('Raw Data'!B79:X79))&gt;0)),OR('Raw Data'!V79="",LEN(TRIM('Raw Data'!V79))=0)),"",IF('Raw Data'!V79 = Configuration!$I$2,"",_xlfn.REGEXEXTRACT(CELL("address",'Raw Data'!V79),"\$([A-Z]+)\$[0-9]+"))))</f>
        <v/>
      </c>
      <c r="W79" s="7"/>
      <c r="X79" s="7"/>
    </row>
    <row r="80" spans="2:24" x14ac:dyDescent="0.25">
      <c r="B80" s="7"/>
      <c r="C80" s="7" t="str" cm="1">
        <f t="array" aca="1" ref="C80" ca="1">IF(OR('Raw Data'!C80="",LEN(TRIM('Raw Data'!C80))=0,Validate_Empty!C80&lt;&gt;"",Validate_Value!C80&lt;&gt;""),"",IF(OR(NOT(OR(LEN(TRIM('Raw Data'!B80:X80))&gt;0)),OR('Raw Data'!C80="",LEN(TRIM('Raw Data'!C80))=0)),"",IF(OR(AND('Raw Data'!B80="Main Contract", LEFT('Raw Data'!C80, LEN("Payment"))="Payment"),AND('Raw Data'!B80="Change Order", LEFT('Raw Data'!C80, LEN("CO Payment No."))="CO Payment No.")),"",_xlfn.REGEXEXTRACT(CELL("address",'Raw Data'!C80),"\$([A-Z]+)\$[0-9]+"))))</f>
        <v/>
      </c>
      <c r="D80" s="7"/>
      <c r="E80" s="7"/>
      <c r="F80" s="7"/>
      <c r="G80" s="7"/>
      <c r="H80" s="7"/>
      <c r="I80" s="7"/>
      <c r="J80" s="7"/>
      <c r="K80" s="7"/>
      <c r="L80" s="7"/>
      <c r="M80" s="7" t="str" cm="1">
        <f t="array" aca="1" ref="M80" ca="1">IF(OR('Raw Data'!M80="",LEN(TRIM('Raw Data'!M80))=0,Validate_Empty!M80&lt;&gt;"",Validate_Value!M80&lt;&gt;""),"",IF(OR(NOT(OR(LEN(TRIM('Raw Data'!B80:X80))&gt;0)),OR('Raw Data'!M80="",LEN(TRIM('Raw Data'!M80))=0)),"",IF('Raw Data'!M80 = SUM('Raw Data'!K80:L80),"",_xlfn.REGEXEXTRACT(CELL("address",'Raw Data'!M80),"\$([A-Z]+)\$[0-9]+"))))</f>
        <v/>
      </c>
      <c r="N80" s="7"/>
      <c r="O80" s="7"/>
      <c r="P80" s="7" t="str" cm="1">
        <f t="array" aca="1" ref="P80" ca="1">IF(OR('Raw Data'!P80="",LEN(TRIM('Raw Data'!P80))=0,Validate_Empty!P80&lt;&gt;"",Validate_Value!P80&lt;&gt;""),"",IF(OR(NOT(OR(LEN(TRIM('Raw Data'!B80:X80))&gt;0)),OR('Raw Data'!P80="",LEN(TRIM('Raw Data'!P80))=0)),"",IF(AND('Raw Data'!J80 + Configuration!$G$2 + 5 &gt;= 'Raw Data'!P80,'Raw Data'!J80 + Configuration!$G$2 - 5 &lt;= 'Raw Data'!P80),"",_xlfn.REGEXEXTRACT(CELL("address",'Raw Data'!P80),"\$([A-Z]+)\$[0-9]+"))))</f>
        <v/>
      </c>
      <c r="Q80" s="7"/>
      <c r="R80" s="7"/>
      <c r="S80" s="7"/>
      <c r="T80" s="7" t="str" cm="1">
        <f t="array" aca="1" ref="T80" ca="1">IF(OR('Raw Data'!T80="",LEN(TRIM('Raw Data'!T80))=0,Validate_Empty!T80&lt;&gt;"",Validate_Value!T80&lt;&gt;""),"",IF(OR(NOT(OR(LEN(TRIM('Raw Data'!B80:X80))&gt;0)),OR('Raw Data'!T80="",LEN(TRIM('Raw Data'!T80))=0)),"",IF('Raw Data'!T80 = SUM('Raw Data'!R80:S80),"",_xlfn.REGEXEXTRACT(CELL("address",'Raw Data'!T80),"\$([A-Z]+)\$[0-9]+"))))</f>
        <v/>
      </c>
      <c r="U80" s="7" t="str" cm="1">
        <f t="array" aca="1" ref="U80" ca="1">IF(OR('Raw Data'!U80="",LEN(TRIM('Raw Data'!U80))=0,Validate_Empty!U80&lt;&gt;"",Validate_Value!U80&lt;&gt;""),"",IF(OR(NOT(OR(LEN(TRIM('Raw Data'!B80:X80))&gt;0)),OR('Raw Data'!T80="",LEN(TRIM('Raw Data'!T80))=0)),"",IF(ISNUMBER(SEARCH('Raw Data'!U80, Configuration!$H$2)),"",_xlfn.REGEXEXTRACT(CELL("address",'Raw Data'!U80),"\$([A-Z]+)\$[0-9]+"))))</f>
        <v/>
      </c>
      <c r="V80" s="7" t="str" cm="1">
        <f t="array" aca="1" ref="V80" ca="1">IF(OR('Raw Data'!V80="",LEN(TRIM('Raw Data'!V80))=0,Validate_Empty!V80&lt;&gt;"",Validate_Value!V80&lt;&gt;""),"",IF(OR(NOT(OR(LEN(TRIM('Raw Data'!B80:X80))&gt;0)),OR('Raw Data'!V80="",LEN(TRIM('Raw Data'!V80))=0)),"",IF('Raw Data'!V80 = Configuration!$I$2,"",_xlfn.REGEXEXTRACT(CELL("address",'Raw Data'!V80),"\$([A-Z]+)\$[0-9]+"))))</f>
        <v/>
      </c>
      <c r="W80" s="7"/>
      <c r="X80" s="7"/>
    </row>
    <row r="81" spans="2:24" x14ac:dyDescent="0.25">
      <c r="B81" s="7"/>
      <c r="C81" s="7" t="str" cm="1">
        <f t="array" aca="1" ref="C81" ca="1">IF(OR('Raw Data'!C81="",LEN(TRIM('Raw Data'!C81))=0,Validate_Empty!C81&lt;&gt;"",Validate_Value!C81&lt;&gt;""),"",IF(OR(NOT(OR(LEN(TRIM('Raw Data'!B81:X81))&gt;0)),OR('Raw Data'!C81="",LEN(TRIM('Raw Data'!C81))=0)),"",IF(OR(AND('Raw Data'!B81="Main Contract", LEFT('Raw Data'!C81, LEN("Payment"))="Payment"),AND('Raw Data'!B81="Change Order", LEFT('Raw Data'!C81, LEN("CO Payment No."))="CO Payment No.")),"",_xlfn.REGEXEXTRACT(CELL("address",'Raw Data'!C81),"\$([A-Z]+)\$[0-9]+"))))</f>
        <v/>
      </c>
      <c r="D81" s="7"/>
      <c r="E81" s="7"/>
      <c r="F81" s="7"/>
      <c r="G81" s="7"/>
      <c r="H81" s="7"/>
      <c r="I81" s="7"/>
      <c r="J81" s="7"/>
      <c r="K81" s="7"/>
      <c r="L81" s="7"/>
      <c r="M81" s="7" t="str" cm="1">
        <f t="array" aca="1" ref="M81" ca="1">IF(OR('Raw Data'!M81="",LEN(TRIM('Raw Data'!M81))=0,Validate_Empty!M81&lt;&gt;"",Validate_Value!M81&lt;&gt;""),"",IF(OR(NOT(OR(LEN(TRIM('Raw Data'!B81:X81))&gt;0)),OR('Raw Data'!M81="",LEN(TRIM('Raw Data'!M81))=0)),"",IF('Raw Data'!M81 = SUM('Raw Data'!K81:L81),"",_xlfn.REGEXEXTRACT(CELL("address",'Raw Data'!M81),"\$([A-Z]+)\$[0-9]+"))))</f>
        <v/>
      </c>
      <c r="N81" s="7"/>
      <c r="O81" s="7"/>
      <c r="P81" s="7" t="str" cm="1">
        <f t="array" aca="1" ref="P81" ca="1">IF(OR('Raw Data'!P81="",LEN(TRIM('Raw Data'!P81))=0,Validate_Empty!P81&lt;&gt;"",Validate_Value!P81&lt;&gt;""),"",IF(OR(NOT(OR(LEN(TRIM('Raw Data'!B81:X81))&gt;0)),OR('Raw Data'!P81="",LEN(TRIM('Raw Data'!P81))=0)),"",IF(AND('Raw Data'!J81 + Configuration!$G$2 + 5 &gt;= 'Raw Data'!P81,'Raw Data'!J81 + Configuration!$G$2 - 5 &lt;= 'Raw Data'!P81),"",_xlfn.REGEXEXTRACT(CELL("address",'Raw Data'!P81),"\$([A-Z]+)\$[0-9]+"))))</f>
        <v/>
      </c>
      <c r="Q81" s="7"/>
      <c r="R81" s="7"/>
      <c r="S81" s="7"/>
      <c r="T81" s="7" t="str" cm="1">
        <f t="array" aca="1" ref="T81" ca="1">IF(OR('Raw Data'!T81="",LEN(TRIM('Raw Data'!T81))=0,Validate_Empty!T81&lt;&gt;"",Validate_Value!T81&lt;&gt;""),"",IF(OR(NOT(OR(LEN(TRIM('Raw Data'!B81:X81))&gt;0)),OR('Raw Data'!T81="",LEN(TRIM('Raw Data'!T81))=0)),"",IF('Raw Data'!T81 = SUM('Raw Data'!R81:S81),"",_xlfn.REGEXEXTRACT(CELL("address",'Raw Data'!T81),"\$([A-Z]+)\$[0-9]+"))))</f>
        <v/>
      </c>
      <c r="U81" s="7" t="str" cm="1">
        <f t="array" aca="1" ref="U81" ca="1">IF(OR('Raw Data'!U81="",LEN(TRIM('Raw Data'!U81))=0,Validate_Empty!U81&lt;&gt;"",Validate_Value!U81&lt;&gt;""),"",IF(OR(NOT(OR(LEN(TRIM('Raw Data'!B81:X81))&gt;0)),OR('Raw Data'!T81="",LEN(TRIM('Raw Data'!T81))=0)),"",IF(ISNUMBER(SEARCH('Raw Data'!U81, Configuration!$H$2)),"",_xlfn.REGEXEXTRACT(CELL("address",'Raw Data'!U81),"\$([A-Z]+)\$[0-9]+"))))</f>
        <v/>
      </c>
      <c r="V81" s="7" t="str" cm="1">
        <f t="array" aca="1" ref="V81" ca="1">IF(OR('Raw Data'!V81="",LEN(TRIM('Raw Data'!V81))=0,Validate_Empty!V81&lt;&gt;"",Validate_Value!V81&lt;&gt;""),"",IF(OR(NOT(OR(LEN(TRIM('Raw Data'!B81:X81))&gt;0)),OR('Raw Data'!V81="",LEN(TRIM('Raw Data'!V81))=0)),"",IF('Raw Data'!V81 = Configuration!$I$2,"",_xlfn.REGEXEXTRACT(CELL("address",'Raw Data'!V81),"\$([A-Z]+)\$[0-9]+"))))</f>
        <v/>
      </c>
      <c r="W81" s="7"/>
      <c r="X81" s="7"/>
    </row>
    <row r="82" spans="2:24" x14ac:dyDescent="0.25">
      <c r="B82" s="7"/>
      <c r="C82" s="7" t="str" cm="1">
        <f t="array" aca="1" ref="C82" ca="1">IF(OR('Raw Data'!C82="",LEN(TRIM('Raw Data'!C82))=0,Validate_Empty!C82&lt;&gt;"",Validate_Value!C82&lt;&gt;""),"",IF(OR(NOT(OR(LEN(TRIM('Raw Data'!B82:X82))&gt;0)),OR('Raw Data'!C82="",LEN(TRIM('Raw Data'!C82))=0)),"",IF(OR(AND('Raw Data'!B82="Main Contract", LEFT('Raw Data'!C82, LEN("Payment"))="Payment"),AND('Raw Data'!B82="Change Order", LEFT('Raw Data'!C82, LEN("CO Payment No."))="CO Payment No.")),"",_xlfn.REGEXEXTRACT(CELL("address",'Raw Data'!C82),"\$([A-Z]+)\$[0-9]+"))))</f>
        <v/>
      </c>
      <c r="D82" s="7"/>
      <c r="E82" s="7"/>
      <c r="F82" s="7"/>
      <c r="G82" s="7"/>
      <c r="H82" s="7"/>
      <c r="I82" s="7"/>
      <c r="J82" s="7"/>
      <c r="K82" s="7"/>
      <c r="L82" s="7"/>
      <c r="M82" s="7" t="str" cm="1">
        <f t="array" aca="1" ref="M82" ca="1">IF(OR('Raw Data'!M82="",LEN(TRIM('Raw Data'!M82))=0,Validate_Empty!M82&lt;&gt;"",Validate_Value!M82&lt;&gt;""),"",IF(OR(NOT(OR(LEN(TRIM('Raw Data'!B82:X82))&gt;0)),OR('Raw Data'!M82="",LEN(TRIM('Raw Data'!M82))=0)),"",IF('Raw Data'!M82 = SUM('Raw Data'!K82:L82),"",_xlfn.REGEXEXTRACT(CELL("address",'Raw Data'!M82),"\$([A-Z]+)\$[0-9]+"))))</f>
        <v/>
      </c>
      <c r="N82" s="7"/>
      <c r="O82" s="7"/>
      <c r="P82" s="7" t="str" cm="1">
        <f t="array" aca="1" ref="P82" ca="1">IF(OR('Raw Data'!P82="",LEN(TRIM('Raw Data'!P82))=0,Validate_Empty!P82&lt;&gt;"",Validate_Value!P82&lt;&gt;""),"",IF(OR(NOT(OR(LEN(TRIM('Raw Data'!B82:X82))&gt;0)),OR('Raw Data'!P82="",LEN(TRIM('Raw Data'!P82))=0)),"",IF(AND('Raw Data'!J82 + Configuration!$G$2 + 5 &gt;= 'Raw Data'!P82,'Raw Data'!J82 + Configuration!$G$2 - 5 &lt;= 'Raw Data'!P82),"",_xlfn.REGEXEXTRACT(CELL("address",'Raw Data'!P82),"\$([A-Z]+)\$[0-9]+"))))</f>
        <v/>
      </c>
      <c r="Q82" s="7"/>
      <c r="R82" s="7"/>
      <c r="S82" s="7"/>
      <c r="T82" s="7" t="str" cm="1">
        <f t="array" aca="1" ref="T82" ca="1">IF(OR('Raw Data'!T82="",LEN(TRIM('Raw Data'!T82))=0,Validate_Empty!T82&lt;&gt;"",Validate_Value!T82&lt;&gt;""),"",IF(OR(NOT(OR(LEN(TRIM('Raw Data'!B82:X82))&gt;0)),OR('Raw Data'!T82="",LEN(TRIM('Raw Data'!T82))=0)),"",IF('Raw Data'!T82 = SUM('Raw Data'!R82:S82),"",_xlfn.REGEXEXTRACT(CELL("address",'Raw Data'!T82),"\$([A-Z]+)\$[0-9]+"))))</f>
        <v/>
      </c>
      <c r="U82" s="7" t="str" cm="1">
        <f t="array" aca="1" ref="U82" ca="1">IF(OR('Raw Data'!U82="",LEN(TRIM('Raw Data'!U82))=0,Validate_Empty!U82&lt;&gt;"",Validate_Value!U82&lt;&gt;""),"",IF(OR(NOT(OR(LEN(TRIM('Raw Data'!B82:X82))&gt;0)),OR('Raw Data'!T82="",LEN(TRIM('Raw Data'!T82))=0)),"",IF(ISNUMBER(SEARCH('Raw Data'!U82, Configuration!$H$2)),"",_xlfn.REGEXEXTRACT(CELL("address",'Raw Data'!U82),"\$([A-Z]+)\$[0-9]+"))))</f>
        <v/>
      </c>
      <c r="V82" s="7" t="str" cm="1">
        <f t="array" aca="1" ref="V82" ca="1">IF(OR('Raw Data'!V82="",LEN(TRIM('Raw Data'!V82))=0,Validate_Empty!V82&lt;&gt;"",Validate_Value!V82&lt;&gt;""),"",IF(OR(NOT(OR(LEN(TRIM('Raw Data'!B82:X82))&gt;0)),OR('Raw Data'!V82="",LEN(TRIM('Raw Data'!V82))=0)),"",IF('Raw Data'!V82 = Configuration!$I$2,"",_xlfn.REGEXEXTRACT(CELL("address",'Raw Data'!V82),"\$([A-Z]+)\$[0-9]+"))))</f>
        <v/>
      </c>
      <c r="W82" s="7"/>
      <c r="X82" s="7"/>
    </row>
    <row r="83" spans="2:24" x14ac:dyDescent="0.25">
      <c r="B83" s="7"/>
      <c r="C83" s="7" t="str" cm="1">
        <f t="array" aca="1" ref="C83" ca="1">IF(OR('Raw Data'!C83="",LEN(TRIM('Raw Data'!C83))=0,Validate_Empty!C83&lt;&gt;"",Validate_Value!C83&lt;&gt;""),"",IF(OR(NOT(OR(LEN(TRIM('Raw Data'!B83:X83))&gt;0)),OR('Raw Data'!C83="",LEN(TRIM('Raw Data'!C83))=0)),"",IF(OR(AND('Raw Data'!B83="Main Contract", LEFT('Raw Data'!C83, LEN("Payment"))="Payment"),AND('Raw Data'!B83="Change Order", LEFT('Raw Data'!C83, LEN("CO Payment No."))="CO Payment No.")),"",_xlfn.REGEXEXTRACT(CELL("address",'Raw Data'!C83),"\$([A-Z]+)\$[0-9]+"))))</f>
        <v/>
      </c>
      <c r="D83" s="7"/>
      <c r="E83" s="7"/>
      <c r="F83" s="7"/>
      <c r="G83" s="7"/>
      <c r="H83" s="7"/>
      <c r="I83" s="7"/>
      <c r="J83" s="7"/>
      <c r="K83" s="7"/>
      <c r="L83" s="7"/>
      <c r="M83" s="7" t="str" cm="1">
        <f t="array" aca="1" ref="M83" ca="1">IF(OR('Raw Data'!M83="",LEN(TRIM('Raw Data'!M83))=0,Validate_Empty!M83&lt;&gt;"",Validate_Value!M83&lt;&gt;""),"",IF(OR(NOT(OR(LEN(TRIM('Raw Data'!B83:X83))&gt;0)),OR('Raw Data'!M83="",LEN(TRIM('Raw Data'!M83))=0)),"",IF('Raw Data'!M83 = SUM('Raw Data'!K83:L83),"",_xlfn.REGEXEXTRACT(CELL("address",'Raw Data'!M83),"\$([A-Z]+)\$[0-9]+"))))</f>
        <v/>
      </c>
      <c r="N83" s="7"/>
      <c r="O83" s="7"/>
      <c r="P83" s="7" t="str" cm="1">
        <f t="array" aca="1" ref="P83" ca="1">IF(OR('Raw Data'!P83="",LEN(TRIM('Raw Data'!P83))=0,Validate_Empty!P83&lt;&gt;"",Validate_Value!P83&lt;&gt;""),"",IF(OR(NOT(OR(LEN(TRIM('Raw Data'!B83:X83))&gt;0)),OR('Raw Data'!P83="",LEN(TRIM('Raw Data'!P83))=0)),"",IF(AND('Raw Data'!J83 + Configuration!$G$2 + 5 &gt;= 'Raw Data'!P83,'Raw Data'!J83 + Configuration!$G$2 - 5 &lt;= 'Raw Data'!P83),"",_xlfn.REGEXEXTRACT(CELL("address",'Raw Data'!P83),"\$([A-Z]+)\$[0-9]+"))))</f>
        <v/>
      </c>
      <c r="Q83" s="7"/>
      <c r="R83" s="7"/>
      <c r="S83" s="7"/>
      <c r="T83" s="7" t="str" cm="1">
        <f t="array" aca="1" ref="T83" ca="1">IF(OR('Raw Data'!T83="",LEN(TRIM('Raw Data'!T83))=0,Validate_Empty!T83&lt;&gt;"",Validate_Value!T83&lt;&gt;""),"",IF(OR(NOT(OR(LEN(TRIM('Raw Data'!B83:X83))&gt;0)),OR('Raw Data'!T83="",LEN(TRIM('Raw Data'!T83))=0)),"",IF('Raw Data'!T83 = SUM('Raw Data'!R83:S83),"",_xlfn.REGEXEXTRACT(CELL("address",'Raw Data'!T83),"\$([A-Z]+)\$[0-9]+"))))</f>
        <v/>
      </c>
      <c r="U83" s="7" t="str" cm="1">
        <f t="array" aca="1" ref="U83" ca="1">IF(OR('Raw Data'!U83="",LEN(TRIM('Raw Data'!U83))=0,Validate_Empty!U83&lt;&gt;"",Validate_Value!U83&lt;&gt;""),"",IF(OR(NOT(OR(LEN(TRIM('Raw Data'!B83:X83))&gt;0)),OR('Raw Data'!T83="",LEN(TRIM('Raw Data'!T83))=0)),"",IF(ISNUMBER(SEARCH('Raw Data'!U83, Configuration!$H$2)),"",_xlfn.REGEXEXTRACT(CELL("address",'Raw Data'!U83),"\$([A-Z]+)\$[0-9]+"))))</f>
        <v/>
      </c>
      <c r="V83" s="7" t="str" cm="1">
        <f t="array" aca="1" ref="V83" ca="1">IF(OR('Raw Data'!V83="",LEN(TRIM('Raw Data'!V83))=0,Validate_Empty!V83&lt;&gt;"",Validate_Value!V83&lt;&gt;""),"",IF(OR(NOT(OR(LEN(TRIM('Raw Data'!B83:X83))&gt;0)),OR('Raw Data'!V83="",LEN(TRIM('Raw Data'!V83))=0)),"",IF('Raw Data'!V83 = Configuration!$I$2,"",_xlfn.REGEXEXTRACT(CELL("address",'Raw Data'!V83),"\$([A-Z]+)\$[0-9]+"))))</f>
        <v/>
      </c>
      <c r="W83" s="7"/>
      <c r="X83" s="7"/>
    </row>
    <row r="84" spans="2:24" x14ac:dyDescent="0.25">
      <c r="B84" s="7"/>
      <c r="C84" s="7" t="str" cm="1">
        <f t="array" aca="1" ref="C84" ca="1">IF(OR('Raw Data'!C84="",LEN(TRIM('Raw Data'!C84))=0,Validate_Empty!C84&lt;&gt;"",Validate_Value!C84&lt;&gt;""),"",IF(OR(NOT(OR(LEN(TRIM('Raw Data'!B84:X84))&gt;0)),OR('Raw Data'!C84="",LEN(TRIM('Raw Data'!C84))=0)),"",IF(OR(AND('Raw Data'!B84="Main Contract", LEFT('Raw Data'!C84, LEN("Payment"))="Payment"),AND('Raw Data'!B84="Change Order", LEFT('Raw Data'!C84, LEN("CO Payment No."))="CO Payment No.")),"",_xlfn.REGEXEXTRACT(CELL("address",'Raw Data'!C84),"\$([A-Z]+)\$[0-9]+"))))</f>
        <v/>
      </c>
      <c r="D84" s="7"/>
      <c r="E84" s="7"/>
      <c r="F84" s="7"/>
      <c r="G84" s="7"/>
      <c r="H84" s="7"/>
      <c r="I84" s="7"/>
      <c r="J84" s="7"/>
      <c r="K84" s="7"/>
      <c r="L84" s="7"/>
      <c r="M84" s="7" t="str" cm="1">
        <f t="array" aca="1" ref="M84" ca="1">IF(OR('Raw Data'!M84="",LEN(TRIM('Raw Data'!M84))=0,Validate_Empty!M84&lt;&gt;"",Validate_Value!M84&lt;&gt;""),"",IF(OR(NOT(OR(LEN(TRIM('Raw Data'!B84:X84))&gt;0)),OR('Raw Data'!M84="",LEN(TRIM('Raw Data'!M84))=0)),"",IF('Raw Data'!M84 = SUM('Raw Data'!K84:L84),"",_xlfn.REGEXEXTRACT(CELL("address",'Raw Data'!M84),"\$([A-Z]+)\$[0-9]+"))))</f>
        <v/>
      </c>
      <c r="N84" s="7"/>
      <c r="O84" s="7"/>
      <c r="P84" s="7" t="str" cm="1">
        <f t="array" aca="1" ref="P84" ca="1">IF(OR('Raw Data'!P84="",LEN(TRIM('Raw Data'!P84))=0,Validate_Empty!P84&lt;&gt;"",Validate_Value!P84&lt;&gt;""),"",IF(OR(NOT(OR(LEN(TRIM('Raw Data'!B84:X84))&gt;0)),OR('Raw Data'!P84="",LEN(TRIM('Raw Data'!P84))=0)),"",IF(AND('Raw Data'!J84 + Configuration!$G$2 + 5 &gt;= 'Raw Data'!P84,'Raw Data'!J84 + Configuration!$G$2 - 5 &lt;= 'Raw Data'!P84),"",_xlfn.REGEXEXTRACT(CELL("address",'Raw Data'!P84),"\$([A-Z]+)\$[0-9]+"))))</f>
        <v/>
      </c>
      <c r="Q84" s="7"/>
      <c r="R84" s="7"/>
      <c r="S84" s="7"/>
      <c r="T84" s="7" t="str" cm="1">
        <f t="array" aca="1" ref="T84" ca="1">IF(OR('Raw Data'!T84="",LEN(TRIM('Raw Data'!T84))=0,Validate_Empty!T84&lt;&gt;"",Validate_Value!T84&lt;&gt;""),"",IF(OR(NOT(OR(LEN(TRIM('Raw Data'!B84:X84))&gt;0)),OR('Raw Data'!T84="",LEN(TRIM('Raw Data'!T84))=0)),"",IF('Raw Data'!T84 = SUM('Raw Data'!R84:S84),"",_xlfn.REGEXEXTRACT(CELL("address",'Raw Data'!T84),"\$([A-Z]+)\$[0-9]+"))))</f>
        <v/>
      </c>
      <c r="U84" s="7" t="str" cm="1">
        <f t="array" aca="1" ref="U84" ca="1">IF(OR('Raw Data'!U84="",LEN(TRIM('Raw Data'!U84))=0,Validate_Empty!U84&lt;&gt;"",Validate_Value!U84&lt;&gt;""),"",IF(OR(NOT(OR(LEN(TRIM('Raw Data'!B84:X84))&gt;0)),OR('Raw Data'!T84="",LEN(TRIM('Raw Data'!T84))=0)),"",IF(ISNUMBER(SEARCH('Raw Data'!U84, Configuration!$H$2)),"",_xlfn.REGEXEXTRACT(CELL("address",'Raw Data'!U84),"\$([A-Z]+)\$[0-9]+"))))</f>
        <v/>
      </c>
      <c r="V84" s="7" t="str" cm="1">
        <f t="array" aca="1" ref="V84" ca="1">IF(OR('Raw Data'!V84="",LEN(TRIM('Raw Data'!V84))=0,Validate_Empty!V84&lt;&gt;"",Validate_Value!V84&lt;&gt;""),"",IF(OR(NOT(OR(LEN(TRIM('Raw Data'!B84:X84))&gt;0)),OR('Raw Data'!V84="",LEN(TRIM('Raw Data'!V84))=0)),"",IF('Raw Data'!V84 = Configuration!$I$2,"",_xlfn.REGEXEXTRACT(CELL("address",'Raw Data'!V84),"\$([A-Z]+)\$[0-9]+"))))</f>
        <v/>
      </c>
      <c r="W84" s="7"/>
      <c r="X84" s="7"/>
    </row>
    <row r="85" spans="2:24" x14ac:dyDescent="0.25">
      <c r="B85" s="7"/>
      <c r="C85" s="7" t="str" cm="1">
        <f t="array" aca="1" ref="C85" ca="1">IF(OR('Raw Data'!C85="",LEN(TRIM('Raw Data'!C85))=0,Validate_Empty!C85&lt;&gt;"",Validate_Value!C85&lt;&gt;""),"",IF(OR(NOT(OR(LEN(TRIM('Raw Data'!B85:X85))&gt;0)),OR('Raw Data'!C85="",LEN(TRIM('Raw Data'!C85))=0)),"",IF(OR(AND('Raw Data'!B85="Main Contract", LEFT('Raw Data'!C85, LEN("Payment"))="Payment"),AND('Raw Data'!B85="Change Order", LEFT('Raw Data'!C85, LEN("CO Payment No."))="CO Payment No.")),"",_xlfn.REGEXEXTRACT(CELL("address",'Raw Data'!C85),"\$([A-Z]+)\$[0-9]+"))))</f>
        <v/>
      </c>
      <c r="D85" s="7"/>
      <c r="E85" s="7"/>
      <c r="F85" s="7"/>
      <c r="G85" s="7"/>
      <c r="H85" s="7"/>
      <c r="I85" s="7"/>
      <c r="J85" s="7"/>
      <c r="K85" s="7"/>
      <c r="L85" s="7"/>
      <c r="M85" s="7" t="str" cm="1">
        <f t="array" aca="1" ref="M85" ca="1">IF(OR('Raw Data'!M85="",LEN(TRIM('Raw Data'!M85))=0,Validate_Empty!M85&lt;&gt;"",Validate_Value!M85&lt;&gt;""),"",IF(OR(NOT(OR(LEN(TRIM('Raw Data'!B85:X85))&gt;0)),OR('Raw Data'!M85="",LEN(TRIM('Raw Data'!M85))=0)),"",IF('Raw Data'!M85 = SUM('Raw Data'!K85:L85),"",_xlfn.REGEXEXTRACT(CELL("address",'Raw Data'!M85),"\$([A-Z]+)\$[0-9]+"))))</f>
        <v/>
      </c>
      <c r="N85" s="7"/>
      <c r="O85" s="7"/>
      <c r="P85" s="7" t="str" cm="1">
        <f t="array" aca="1" ref="P85" ca="1">IF(OR('Raw Data'!P85="",LEN(TRIM('Raw Data'!P85))=0,Validate_Empty!P85&lt;&gt;"",Validate_Value!P85&lt;&gt;""),"",IF(OR(NOT(OR(LEN(TRIM('Raw Data'!B85:X85))&gt;0)),OR('Raw Data'!P85="",LEN(TRIM('Raw Data'!P85))=0)),"",IF(AND('Raw Data'!J85 + Configuration!$G$2 + 5 &gt;= 'Raw Data'!P85,'Raw Data'!J85 + Configuration!$G$2 - 5 &lt;= 'Raw Data'!P85),"",_xlfn.REGEXEXTRACT(CELL("address",'Raw Data'!P85),"\$([A-Z]+)\$[0-9]+"))))</f>
        <v/>
      </c>
      <c r="Q85" s="7"/>
      <c r="R85" s="7"/>
      <c r="S85" s="7"/>
      <c r="T85" s="7" t="str" cm="1">
        <f t="array" aca="1" ref="T85" ca="1">IF(OR('Raw Data'!T85="",LEN(TRIM('Raw Data'!T85))=0,Validate_Empty!T85&lt;&gt;"",Validate_Value!T85&lt;&gt;""),"",IF(OR(NOT(OR(LEN(TRIM('Raw Data'!B85:X85))&gt;0)),OR('Raw Data'!T85="",LEN(TRIM('Raw Data'!T85))=0)),"",IF('Raw Data'!T85 = SUM('Raw Data'!R85:S85),"",_xlfn.REGEXEXTRACT(CELL("address",'Raw Data'!T85),"\$([A-Z]+)\$[0-9]+"))))</f>
        <v/>
      </c>
      <c r="U85" s="7" t="str" cm="1">
        <f t="array" aca="1" ref="U85" ca="1">IF(OR('Raw Data'!U85="",LEN(TRIM('Raw Data'!U85))=0,Validate_Empty!U85&lt;&gt;"",Validate_Value!U85&lt;&gt;""),"",IF(OR(NOT(OR(LEN(TRIM('Raw Data'!B85:X85))&gt;0)),OR('Raw Data'!T85="",LEN(TRIM('Raw Data'!T85))=0)),"",IF(ISNUMBER(SEARCH('Raw Data'!U85, Configuration!$H$2)),"",_xlfn.REGEXEXTRACT(CELL("address",'Raw Data'!U85),"\$([A-Z]+)\$[0-9]+"))))</f>
        <v/>
      </c>
      <c r="V85" s="7" t="str" cm="1">
        <f t="array" aca="1" ref="V85" ca="1">IF(OR('Raw Data'!V85="",LEN(TRIM('Raw Data'!V85))=0,Validate_Empty!V85&lt;&gt;"",Validate_Value!V85&lt;&gt;""),"",IF(OR(NOT(OR(LEN(TRIM('Raw Data'!B85:X85))&gt;0)),OR('Raw Data'!V85="",LEN(TRIM('Raw Data'!V85))=0)),"",IF('Raw Data'!V85 = Configuration!$I$2,"",_xlfn.REGEXEXTRACT(CELL("address",'Raw Data'!V85),"\$([A-Z]+)\$[0-9]+"))))</f>
        <v/>
      </c>
      <c r="W85" s="7"/>
      <c r="X85" s="7"/>
    </row>
    <row r="86" spans="2:24" x14ac:dyDescent="0.25">
      <c r="B86" s="7"/>
      <c r="C86" s="7" t="str" cm="1">
        <f t="array" aca="1" ref="C86" ca="1">IF(OR('Raw Data'!C86="",LEN(TRIM('Raw Data'!C86))=0,Validate_Empty!C86&lt;&gt;"",Validate_Value!C86&lt;&gt;""),"",IF(OR(NOT(OR(LEN(TRIM('Raw Data'!B86:X86))&gt;0)),OR('Raw Data'!C86="",LEN(TRIM('Raw Data'!C86))=0)),"",IF(OR(AND('Raw Data'!B86="Main Contract", LEFT('Raw Data'!C86, LEN("Payment"))="Payment"),AND('Raw Data'!B86="Change Order", LEFT('Raw Data'!C86, LEN("CO Payment No."))="CO Payment No.")),"",_xlfn.REGEXEXTRACT(CELL("address",'Raw Data'!C86),"\$([A-Z]+)\$[0-9]+"))))</f>
        <v/>
      </c>
      <c r="D86" s="7"/>
      <c r="E86" s="7"/>
      <c r="F86" s="7"/>
      <c r="G86" s="7"/>
      <c r="H86" s="7"/>
      <c r="I86" s="7"/>
      <c r="J86" s="7"/>
      <c r="K86" s="7"/>
      <c r="L86" s="7"/>
      <c r="M86" s="7" t="str" cm="1">
        <f t="array" aca="1" ref="M86" ca="1">IF(OR('Raw Data'!M86="",LEN(TRIM('Raw Data'!M86))=0,Validate_Empty!M86&lt;&gt;"",Validate_Value!M86&lt;&gt;""),"",IF(OR(NOT(OR(LEN(TRIM('Raw Data'!B86:X86))&gt;0)),OR('Raw Data'!M86="",LEN(TRIM('Raw Data'!M86))=0)),"",IF('Raw Data'!M86 = SUM('Raw Data'!K86:L86),"",_xlfn.REGEXEXTRACT(CELL("address",'Raw Data'!M86),"\$([A-Z]+)\$[0-9]+"))))</f>
        <v/>
      </c>
      <c r="N86" s="7"/>
      <c r="O86" s="7"/>
      <c r="P86" s="7" t="str" cm="1">
        <f t="array" aca="1" ref="P86" ca="1">IF(OR('Raw Data'!P86="",LEN(TRIM('Raw Data'!P86))=0,Validate_Empty!P86&lt;&gt;"",Validate_Value!P86&lt;&gt;""),"",IF(OR(NOT(OR(LEN(TRIM('Raw Data'!B86:X86))&gt;0)),OR('Raw Data'!P86="",LEN(TRIM('Raw Data'!P86))=0)),"",IF(AND('Raw Data'!J86 + Configuration!$G$2 + 5 &gt;= 'Raw Data'!P86,'Raw Data'!J86 + Configuration!$G$2 - 5 &lt;= 'Raw Data'!P86),"",_xlfn.REGEXEXTRACT(CELL("address",'Raw Data'!P86),"\$([A-Z]+)\$[0-9]+"))))</f>
        <v/>
      </c>
      <c r="Q86" s="7"/>
      <c r="R86" s="7"/>
      <c r="S86" s="7"/>
      <c r="T86" s="7" t="str" cm="1">
        <f t="array" aca="1" ref="T86" ca="1">IF(OR('Raw Data'!T86="",LEN(TRIM('Raw Data'!T86))=0,Validate_Empty!T86&lt;&gt;"",Validate_Value!T86&lt;&gt;""),"",IF(OR(NOT(OR(LEN(TRIM('Raw Data'!B86:X86))&gt;0)),OR('Raw Data'!T86="",LEN(TRIM('Raw Data'!T86))=0)),"",IF('Raw Data'!T86 = SUM('Raw Data'!R86:S86),"",_xlfn.REGEXEXTRACT(CELL("address",'Raw Data'!T86),"\$([A-Z]+)\$[0-9]+"))))</f>
        <v/>
      </c>
      <c r="U86" s="7" t="str" cm="1">
        <f t="array" aca="1" ref="U86" ca="1">IF(OR('Raw Data'!U86="",LEN(TRIM('Raw Data'!U86))=0,Validate_Empty!U86&lt;&gt;"",Validate_Value!U86&lt;&gt;""),"",IF(OR(NOT(OR(LEN(TRIM('Raw Data'!B86:X86))&gt;0)),OR('Raw Data'!T86="",LEN(TRIM('Raw Data'!T86))=0)),"",IF(ISNUMBER(SEARCH('Raw Data'!U86, Configuration!$H$2)),"",_xlfn.REGEXEXTRACT(CELL("address",'Raw Data'!U86),"\$([A-Z]+)\$[0-9]+"))))</f>
        <v/>
      </c>
      <c r="V86" s="7" t="str" cm="1">
        <f t="array" aca="1" ref="V86" ca="1">IF(OR('Raw Data'!V86="",LEN(TRIM('Raw Data'!V86))=0,Validate_Empty!V86&lt;&gt;"",Validate_Value!V86&lt;&gt;""),"",IF(OR(NOT(OR(LEN(TRIM('Raw Data'!B86:X86))&gt;0)),OR('Raw Data'!V86="",LEN(TRIM('Raw Data'!V86))=0)),"",IF('Raw Data'!V86 = Configuration!$I$2,"",_xlfn.REGEXEXTRACT(CELL("address",'Raw Data'!V86),"\$([A-Z]+)\$[0-9]+"))))</f>
        <v/>
      </c>
      <c r="W86" s="7"/>
      <c r="X86" s="7"/>
    </row>
    <row r="87" spans="2:24" x14ac:dyDescent="0.25">
      <c r="B87" s="7"/>
      <c r="C87" s="7" t="str" cm="1">
        <f t="array" aca="1" ref="C87" ca="1">IF(OR('Raw Data'!C87="",LEN(TRIM('Raw Data'!C87))=0,Validate_Empty!C87&lt;&gt;"",Validate_Value!C87&lt;&gt;""),"",IF(OR(NOT(OR(LEN(TRIM('Raw Data'!B87:X87))&gt;0)),OR('Raw Data'!C87="",LEN(TRIM('Raw Data'!C87))=0)),"",IF(OR(AND('Raw Data'!B87="Main Contract", LEFT('Raw Data'!C87, LEN("Payment"))="Payment"),AND('Raw Data'!B87="Change Order", LEFT('Raw Data'!C87, LEN("CO Payment No."))="CO Payment No.")),"",_xlfn.REGEXEXTRACT(CELL("address",'Raw Data'!C87),"\$([A-Z]+)\$[0-9]+"))))</f>
        <v/>
      </c>
      <c r="D87" s="7"/>
      <c r="E87" s="7"/>
      <c r="F87" s="7"/>
      <c r="G87" s="7"/>
      <c r="H87" s="7"/>
      <c r="I87" s="7"/>
      <c r="J87" s="7"/>
      <c r="K87" s="7"/>
      <c r="L87" s="7"/>
      <c r="M87" s="7" t="str" cm="1">
        <f t="array" aca="1" ref="M87" ca="1">IF(OR('Raw Data'!M87="",LEN(TRIM('Raw Data'!M87))=0,Validate_Empty!M87&lt;&gt;"",Validate_Value!M87&lt;&gt;""),"",IF(OR(NOT(OR(LEN(TRIM('Raw Data'!B87:X87))&gt;0)),OR('Raw Data'!M87="",LEN(TRIM('Raw Data'!M87))=0)),"",IF('Raw Data'!M87 = SUM('Raw Data'!K87:L87),"",_xlfn.REGEXEXTRACT(CELL("address",'Raw Data'!M87),"\$([A-Z]+)\$[0-9]+"))))</f>
        <v/>
      </c>
      <c r="N87" s="7"/>
      <c r="O87" s="7"/>
      <c r="P87" s="7" t="str" cm="1">
        <f t="array" aca="1" ref="P87" ca="1">IF(OR('Raw Data'!P87="",LEN(TRIM('Raw Data'!P87))=0,Validate_Empty!P87&lt;&gt;"",Validate_Value!P87&lt;&gt;""),"",IF(OR(NOT(OR(LEN(TRIM('Raw Data'!B87:X87))&gt;0)),OR('Raw Data'!P87="",LEN(TRIM('Raw Data'!P87))=0)),"",IF(AND('Raw Data'!J87 + Configuration!$G$2 + 5 &gt;= 'Raw Data'!P87,'Raw Data'!J87 + Configuration!$G$2 - 5 &lt;= 'Raw Data'!P87),"",_xlfn.REGEXEXTRACT(CELL("address",'Raw Data'!P87),"\$([A-Z]+)\$[0-9]+"))))</f>
        <v/>
      </c>
      <c r="Q87" s="7"/>
      <c r="R87" s="7"/>
      <c r="S87" s="7"/>
      <c r="T87" s="7" t="str" cm="1">
        <f t="array" aca="1" ref="T87" ca="1">IF(OR('Raw Data'!T87="",LEN(TRIM('Raw Data'!T87))=0,Validate_Empty!T87&lt;&gt;"",Validate_Value!T87&lt;&gt;""),"",IF(OR(NOT(OR(LEN(TRIM('Raw Data'!B87:X87))&gt;0)),OR('Raw Data'!T87="",LEN(TRIM('Raw Data'!T87))=0)),"",IF('Raw Data'!T87 = SUM('Raw Data'!R87:S87),"",_xlfn.REGEXEXTRACT(CELL("address",'Raw Data'!T87),"\$([A-Z]+)\$[0-9]+"))))</f>
        <v/>
      </c>
      <c r="U87" s="7" t="str" cm="1">
        <f t="array" aca="1" ref="U87" ca="1">IF(OR('Raw Data'!U87="",LEN(TRIM('Raw Data'!U87))=0,Validate_Empty!U87&lt;&gt;"",Validate_Value!U87&lt;&gt;""),"",IF(OR(NOT(OR(LEN(TRIM('Raw Data'!B87:X87))&gt;0)),OR('Raw Data'!T87="",LEN(TRIM('Raw Data'!T87))=0)),"",IF(ISNUMBER(SEARCH('Raw Data'!U87, Configuration!$H$2)),"",_xlfn.REGEXEXTRACT(CELL("address",'Raw Data'!U87),"\$([A-Z]+)\$[0-9]+"))))</f>
        <v/>
      </c>
      <c r="V87" s="7" t="str" cm="1">
        <f t="array" aca="1" ref="V87" ca="1">IF(OR('Raw Data'!V87="",LEN(TRIM('Raw Data'!V87))=0,Validate_Empty!V87&lt;&gt;"",Validate_Value!V87&lt;&gt;""),"",IF(OR(NOT(OR(LEN(TRIM('Raw Data'!B87:X87))&gt;0)),OR('Raw Data'!V87="",LEN(TRIM('Raw Data'!V87))=0)),"",IF('Raw Data'!V87 = Configuration!$I$2,"",_xlfn.REGEXEXTRACT(CELL("address",'Raw Data'!V87),"\$([A-Z]+)\$[0-9]+"))))</f>
        <v/>
      </c>
      <c r="W87" s="7"/>
      <c r="X87" s="7"/>
    </row>
    <row r="88" spans="2:24" x14ac:dyDescent="0.25">
      <c r="B88" s="7"/>
      <c r="C88" s="7" t="str" cm="1">
        <f t="array" aca="1" ref="C88" ca="1">IF(OR('Raw Data'!C88="",LEN(TRIM('Raw Data'!C88))=0,Validate_Empty!C88&lt;&gt;"",Validate_Value!C88&lt;&gt;""),"",IF(OR(NOT(OR(LEN(TRIM('Raw Data'!B88:X88))&gt;0)),OR('Raw Data'!C88="",LEN(TRIM('Raw Data'!C88))=0)),"",IF(OR(AND('Raw Data'!B88="Main Contract", LEFT('Raw Data'!C88, LEN("Payment"))="Payment"),AND('Raw Data'!B88="Change Order", LEFT('Raw Data'!C88, LEN("CO Payment No."))="CO Payment No.")),"",_xlfn.REGEXEXTRACT(CELL("address",'Raw Data'!C88),"\$([A-Z]+)\$[0-9]+"))))</f>
        <v/>
      </c>
      <c r="D88" s="7"/>
      <c r="E88" s="7"/>
      <c r="F88" s="7"/>
      <c r="G88" s="7"/>
      <c r="H88" s="7"/>
      <c r="I88" s="7"/>
      <c r="J88" s="7"/>
      <c r="K88" s="7"/>
      <c r="L88" s="7"/>
      <c r="M88" s="7" t="str" cm="1">
        <f t="array" aca="1" ref="M88" ca="1">IF(OR('Raw Data'!M88="",LEN(TRIM('Raw Data'!M88))=0,Validate_Empty!M88&lt;&gt;"",Validate_Value!M88&lt;&gt;""),"",IF(OR(NOT(OR(LEN(TRIM('Raw Data'!B88:X88))&gt;0)),OR('Raw Data'!M88="",LEN(TRIM('Raw Data'!M88))=0)),"",IF('Raw Data'!M88 = SUM('Raw Data'!K88:L88),"",_xlfn.REGEXEXTRACT(CELL("address",'Raw Data'!M88),"\$([A-Z]+)\$[0-9]+"))))</f>
        <v/>
      </c>
      <c r="N88" s="7"/>
      <c r="O88" s="7"/>
      <c r="P88" s="7" t="str" cm="1">
        <f t="array" aca="1" ref="P88" ca="1">IF(OR('Raw Data'!P88="",LEN(TRIM('Raw Data'!P88))=0,Validate_Empty!P88&lt;&gt;"",Validate_Value!P88&lt;&gt;""),"",IF(OR(NOT(OR(LEN(TRIM('Raw Data'!B88:X88))&gt;0)),OR('Raw Data'!P88="",LEN(TRIM('Raw Data'!P88))=0)),"",IF(AND('Raw Data'!J88 + Configuration!$G$2 + 5 &gt;= 'Raw Data'!P88,'Raw Data'!J88 + Configuration!$G$2 - 5 &lt;= 'Raw Data'!P88),"",_xlfn.REGEXEXTRACT(CELL("address",'Raw Data'!P88),"\$([A-Z]+)\$[0-9]+"))))</f>
        <v/>
      </c>
      <c r="Q88" s="7"/>
      <c r="R88" s="7"/>
      <c r="S88" s="7"/>
      <c r="T88" s="7" t="str" cm="1">
        <f t="array" aca="1" ref="T88" ca="1">IF(OR('Raw Data'!T88="",LEN(TRIM('Raw Data'!T88))=0,Validate_Empty!T88&lt;&gt;"",Validate_Value!T88&lt;&gt;""),"",IF(OR(NOT(OR(LEN(TRIM('Raw Data'!B88:X88))&gt;0)),OR('Raw Data'!T88="",LEN(TRIM('Raw Data'!T88))=0)),"",IF('Raw Data'!T88 = SUM('Raw Data'!R88:S88),"",_xlfn.REGEXEXTRACT(CELL("address",'Raw Data'!T88),"\$([A-Z]+)\$[0-9]+"))))</f>
        <v/>
      </c>
      <c r="U88" s="7" t="str" cm="1">
        <f t="array" aca="1" ref="U88" ca="1">IF(OR('Raw Data'!U88="",LEN(TRIM('Raw Data'!U88))=0,Validate_Empty!U88&lt;&gt;"",Validate_Value!U88&lt;&gt;""),"",IF(OR(NOT(OR(LEN(TRIM('Raw Data'!B88:X88))&gt;0)),OR('Raw Data'!T88="",LEN(TRIM('Raw Data'!T88))=0)),"",IF(ISNUMBER(SEARCH('Raw Data'!U88, Configuration!$H$2)),"",_xlfn.REGEXEXTRACT(CELL("address",'Raw Data'!U88),"\$([A-Z]+)\$[0-9]+"))))</f>
        <v/>
      </c>
      <c r="V88" s="7" t="str" cm="1">
        <f t="array" aca="1" ref="V88" ca="1">IF(OR('Raw Data'!V88="",LEN(TRIM('Raw Data'!V88))=0,Validate_Empty!V88&lt;&gt;"",Validate_Value!V88&lt;&gt;""),"",IF(OR(NOT(OR(LEN(TRIM('Raw Data'!B88:X88))&gt;0)),OR('Raw Data'!V88="",LEN(TRIM('Raw Data'!V88))=0)),"",IF('Raw Data'!V88 = Configuration!$I$2,"",_xlfn.REGEXEXTRACT(CELL("address",'Raw Data'!V88),"\$([A-Z]+)\$[0-9]+"))))</f>
        <v/>
      </c>
      <c r="W88" s="7"/>
      <c r="X88" s="7"/>
    </row>
    <row r="89" spans="2:24" x14ac:dyDescent="0.25">
      <c r="B89" s="7"/>
      <c r="C89" s="7" t="str" cm="1">
        <f t="array" aca="1" ref="C89" ca="1">IF(OR('Raw Data'!C89="",LEN(TRIM('Raw Data'!C89))=0,Validate_Empty!C89&lt;&gt;"",Validate_Value!C89&lt;&gt;""),"",IF(OR(NOT(OR(LEN(TRIM('Raw Data'!B89:X89))&gt;0)),OR('Raw Data'!C89="",LEN(TRIM('Raw Data'!C89))=0)),"",IF(OR(AND('Raw Data'!B89="Main Contract", LEFT('Raw Data'!C89, LEN("Payment"))="Payment"),AND('Raw Data'!B89="Change Order", LEFT('Raw Data'!C89, LEN("CO Payment No."))="CO Payment No.")),"",_xlfn.REGEXEXTRACT(CELL("address",'Raw Data'!C89),"\$([A-Z]+)\$[0-9]+"))))</f>
        <v/>
      </c>
      <c r="D89" s="7"/>
      <c r="E89" s="7"/>
      <c r="F89" s="7"/>
      <c r="G89" s="7"/>
      <c r="H89" s="7"/>
      <c r="I89" s="7"/>
      <c r="J89" s="7"/>
      <c r="K89" s="7"/>
      <c r="L89" s="7"/>
      <c r="M89" s="7" t="str" cm="1">
        <f t="array" aca="1" ref="M89" ca="1">IF(OR('Raw Data'!M89="",LEN(TRIM('Raw Data'!M89))=0,Validate_Empty!M89&lt;&gt;"",Validate_Value!M89&lt;&gt;""),"",IF(OR(NOT(OR(LEN(TRIM('Raw Data'!B89:X89))&gt;0)),OR('Raw Data'!M89="",LEN(TRIM('Raw Data'!M89))=0)),"",IF('Raw Data'!M89 = SUM('Raw Data'!K89:L89),"",_xlfn.REGEXEXTRACT(CELL("address",'Raw Data'!M89),"\$([A-Z]+)\$[0-9]+"))))</f>
        <v/>
      </c>
      <c r="N89" s="7"/>
      <c r="O89" s="7"/>
      <c r="P89" s="7" t="str" cm="1">
        <f t="array" aca="1" ref="P89" ca="1">IF(OR('Raw Data'!P89="",LEN(TRIM('Raw Data'!P89))=0,Validate_Empty!P89&lt;&gt;"",Validate_Value!P89&lt;&gt;""),"",IF(OR(NOT(OR(LEN(TRIM('Raw Data'!B89:X89))&gt;0)),OR('Raw Data'!P89="",LEN(TRIM('Raw Data'!P89))=0)),"",IF(AND('Raw Data'!J89 + Configuration!$G$2 + 5 &gt;= 'Raw Data'!P89,'Raw Data'!J89 + Configuration!$G$2 - 5 &lt;= 'Raw Data'!P89),"",_xlfn.REGEXEXTRACT(CELL("address",'Raw Data'!P89),"\$([A-Z]+)\$[0-9]+"))))</f>
        <v/>
      </c>
      <c r="Q89" s="7"/>
      <c r="R89" s="7"/>
      <c r="S89" s="7"/>
      <c r="T89" s="7" t="str" cm="1">
        <f t="array" aca="1" ref="T89" ca="1">IF(OR('Raw Data'!T89="",LEN(TRIM('Raw Data'!T89))=0,Validate_Empty!T89&lt;&gt;"",Validate_Value!T89&lt;&gt;""),"",IF(OR(NOT(OR(LEN(TRIM('Raw Data'!B89:X89))&gt;0)),OR('Raw Data'!T89="",LEN(TRIM('Raw Data'!T89))=0)),"",IF('Raw Data'!T89 = SUM('Raw Data'!R89:S89),"",_xlfn.REGEXEXTRACT(CELL("address",'Raw Data'!T89),"\$([A-Z]+)\$[0-9]+"))))</f>
        <v/>
      </c>
      <c r="U89" s="7" t="str" cm="1">
        <f t="array" aca="1" ref="U89" ca="1">IF(OR('Raw Data'!U89="",LEN(TRIM('Raw Data'!U89))=0,Validate_Empty!U89&lt;&gt;"",Validate_Value!U89&lt;&gt;""),"",IF(OR(NOT(OR(LEN(TRIM('Raw Data'!B89:X89))&gt;0)),OR('Raw Data'!T89="",LEN(TRIM('Raw Data'!T89))=0)),"",IF(ISNUMBER(SEARCH('Raw Data'!U89, Configuration!$H$2)),"",_xlfn.REGEXEXTRACT(CELL("address",'Raw Data'!U89),"\$([A-Z]+)\$[0-9]+"))))</f>
        <v/>
      </c>
      <c r="V89" s="7" t="str" cm="1">
        <f t="array" aca="1" ref="V89" ca="1">IF(OR('Raw Data'!V89="",LEN(TRIM('Raw Data'!V89))=0,Validate_Empty!V89&lt;&gt;"",Validate_Value!V89&lt;&gt;""),"",IF(OR(NOT(OR(LEN(TRIM('Raw Data'!B89:X89))&gt;0)),OR('Raw Data'!V89="",LEN(TRIM('Raw Data'!V89))=0)),"",IF('Raw Data'!V89 = Configuration!$I$2,"",_xlfn.REGEXEXTRACT(CELL("address",'Raw Data'!V89),"\$([A-Z]+)\$[0-9]+"))))</f>
        <v/>
      </c>
      <c r="W89" s="7"/>
      <c r="X89" s="7"/>
    </row>
    <row r="90" spans="2:24" x14ac:dyDescent="0.25">
      <c r="B90" s="7"/>
      <c r="C90" s="7" t="str" cm="1">
        <f t="array" aca="1" ref="C90" ca="1">IF(OR('Raw Data'!C90="",LEN(TRIM('Raw Data'!C90))=0,Validate_Empty!C90&lt;&gt;"",Validate_Value!C90&lt;&gt;""),"",IF(OR(NOT(OR(LEN(TRIM('Raw Data'!B90:X90))&gt;0)),OR('Raw Data'!C90="",LEN(TRIM('Raw Data'!C90))=0)),"",IF(OR(AND('Raw Data'!B90="Main Contract", LEFT('Raw Data'!C90, LEN("Payment"))="Payment"),AND('Raw Data'!B90="Change Order", LEFT('Raw Data'!C90, LEN("CO Payment No."))="CO Payment No.")),"",_xlfn.REGEXEXTRACT(CELL("address",'Raw Data'!C90),"\$([A-Z]+)\$[0-9]+"))))</f>
        <v/>
      </c>
      <c r="D90" s="7"/>
      <c r="E90" s="7"/>
      <c r="F90" s="7"/>
      <c r="G90" s="7"/>
      <c r="H90" s="7"/>
      <c r="I90" s="7"/>
      <c r="J90" s="7"/>
      <c r="K90" s="7"/>
      <c r="L90" s="7"/>
      <c r="M90" s="7" t="str" cm="1">
        <f t="array" aca="1" ref="M90" ca="1">IF(OR('Raw Data'!M90="",LEN(TRIM('Raw Data'!M90))=0,Validate_Empty!M90&lt;&gt;"",Validate_Value!M90&lt;&gt;""),"",IF(OR(NOT(OR(LEN(TRIM('Raw Data'!B90:X90))&gt;0)),OR('Raw Data'!M90="",LEN(TRIM('Raw Data'!M90))=0)),"",IF('Raw Data'!M90 = SUM('Raw Data'!K90:L90),"",_xlfn.REGEXEXTRACT(CELL("address",'Raw Data'!M90),"\$([A-Z]+)\$[0-9]+"))))</f>
        <v/>
      </c>
      <c r="N90" s="7"/>
      <c r="O90" s="7"/>
      <c r="P90" s="7" t="str" cm="1">
        <f t="array" aca="1" ref="P90" ca="1">IF(OR('Raw Data'!P90="",LEN(TRIM('Raw Data'!P90))=0,Validate_Empty!P90&lt;&gt;"",Validate_Value!P90&lt;&gt;""),"",IF(OR(NOT(OR(LEN(TRIM('Raw Data'!B90:X90))&gt;0)),OR('Raw Data'!P90="",LEN(TRIM('Raw Data'!P90))=0)),"",IF(AND('Raw Data'!J90 + Configuration!$G$2 + 5 &gt;= 'Raw Data'!P90,'Raw Data'!J90 + Configuration!$G$2 - 5 &lt;= 'Raw Data'!P90),"",_xlfn.REGEXEXTRACT(CELL("address",'Raw Data'!P90),"\$([A-Z]+)\$[0-9]+"))))</f>
        <v/>
      </c>
      <c r="Q90" s="7"/>
      <c r="R90" s="7"/>
      <c r="S90" s="7"/>
      <c r="T90" s="7" t="str" cm="1">
        <f t="array" aca="1" ref="T90" ca="1">IF(OR('Raw Data'!T90="",LEN(TRIM('Raw Data'!T90))=0,Validate_Empty!T90&lt;&gt;"",Validate_Value!T90&lt;&gt;""),"",IF(OR(NOT(OR(LEN(TRIM('Raw Data'!B90:X90))&gt;0)),OR('Raw Data'!T90="",LEN(TRIM('Raw Data'!T90))=0)),"",IF('Raw Data'!T90 = SUM('Raw Data'!R90:S90),"",_xlfn.REGEXEXTRACT(CELL("address",'Raw Data'!T90),"\$([A-Z]+)\$[0-9]+"))))</f>
        <v/>
      </c>
      <c r="U90" s="7" t="str" cm="1">
        <f t="array" aca="1" ref="U90" ca="1">IF(OR('Raw Data'!U90="",LEN(TRIM('Raw Data'!U90))=0,Validate_Empty!U90&lt;&gt;"",Validate_Value!U90&lt;&gt;""),"",IF(OR(NOT(OR(LEN(TRIM('Raw Data'!B90:X90))&gt;0)),OR('Raw Data'!T90="",LEN(TRIM('Raw Data'!T90))=0)),"",IF(ISNUMBER(SEARCH('Raw Data'!U90, Configuration!$H$2)),"",_xlfn.REGEXEXTRACT(CELL("address",'Raw Data'!U90),"\$([A-Z]+)\$[0-9]+"))))</f>
        <v/>
      </c>
      <c r="V90" s="7" t="str" cm="1">
        <f t="array" aca="1" ref="V90" ca="1">IF(OR('Raw Data'!V90="",LEN(TRIM('Raw Data'!V90))=0,Validate_Empty!V90&lt;&gt;"",Validate_Value!V90&lt;&gt;""),"",IF(OR(NOT(OR(LEN(TRIM('Raw Data'!B90:X90))&gt;0)),OR('Raw Data'!V90="",LEN(TRIM('Raw Data'!V90))=0)),"",IF('Raw Data'!V90 = Configuration!$I$2,"",_xlfn.REGEXEXTRACT(CELL("address",'Raw Data'!V90),"\$([A-Z]+)\$[0-9]+"))))</f>
        <v/>
      </c>
      <c r="W90" s="7"/>
      <c r="X90" s="7"/>
    </row>
    <row r="91" spans="2:24" x14ac:dyDescent="0.25">
      <c r="B91" s="7"/>
      <c r="C91" s="7" t="str" cm="1">
        <f t="array" aca="1" ref="C91" ca="1">IF(OR('Raw Data'!C91="",LEN(TRIM('Raw Data'!C91))=0,Validate_Empty!C91&lt;&gt;"",Validate_Value!C91&lt;&gt;""),"",IF(OR(NOT(OR(LEN(TRIM('Raw Data'!B91:X91))&gt;0)),OR('Raw Data'!C91="",LEN(TRIM('Raw Data'!C91))=0)),"",IF(OR(AND('Raw Data'!B91="Main Contract", LEFT('Raw Data'!C91, LEN("Payment"))="Payment"),AND('Raw Data'!B91="Change Order", LEFT('Raw Data'!C91, LEN("CO Payment No."))="CO Payment No.")),"",_xlfn.REGEXEXTRACT(CELL("address",'Raw Data'!C91),"\$([A-Z]+)\$[0-9]+"))))</f>
        <v/>
      </c>
      <c r="D91" s="7"/>
      <c r="E91" s="7"/>
      <c r="F91" s="7"/>
      <c r="G91" s="7"/>
      <c r="H91" s="7"/>
      <c r="I91" s="7"/>
      <c r="J91" s="7"/>
      <c r="K91" s="7"/>
      <c r="L91" s="7"/>
      <c r="M91" s="7" t="str" cm="1">
        <f t="array" aca="1" ref="M91" ca="1">IF(OR('Raw Data'!M91="",LEN(TRIM('Raw Data'!M91))=0,Validate_Empty!M91&lt;&gt;"",Validate_Value!M91&lt;&gt;""),"",IF(OR(NOT(OR(LEN(TRIM('Raw Data'!B91:X91))&gt;0)),OR('Raw Data'!M91="",LEN(TRIM('Raw Data'!M91))=0)),"",IF('Raw Data'!M91 = SUM('Raw Data'!K91:L91),"",_xlfn.REGEXEXTRACT(CELL("address",'Raw Data'!M91),"\$([A-Z]+)\$[0-9]+"))))</f>
        <v/>
      </c>
      <c r="N91" s="7"/>
      <c r="O91" s="7"/>
      <c r="P91" s="7" t="str" cm="1">
        <f t="array" aca="1" ref="P91" ca="1">IF(OR('Raw Data'!P91="",LEN(TRIM('Raw Data'!P91))=0,Validate_Empty!P91&lt;&gt;"",Validate_Value!P91&lt;&gt;""),"",IF(OR(NOT(OR(LEN(TRIM('Raw Data'!B91:X91))&gt;0)),OR('Raw Data'!P91="",LEN(TRIM('Raw Data'!P91))=0)),"",IF(AND('Raw Data'!J91 + Configuration!$G$2 + 5 &gt;= 'Raw Data'!P91,'Raw Data'!J91 + Configuration!$G$2 - 5 &lt;= 'Raw Data'!P91),"",_xlfn.REGEXEXTRACT(CELL("address",'Raw Data'!P91),"\$([A-Z]+)\$[0-9]+"))))</f>
        <v/>
      </c>
      <c r="Q91" s="7"/>
      <c r="R91" s="7"/>
      <c r="S91" s="7"/>
      <c r="T91" s="7" t="str" cm="1">
        <f t="array" aca="1" ref="T91" ca="1">IF(OR('Raw Data'!T91="",LEN(TRIM('Raw Data'!T91))=0,Validate_Empty!T91&lt;&gt;"",Validate_Value!T91&lt;&gt;""),"",IF(OR(NOT(OR(LEN(TRIM('Raw Data'!B91:X91))&gt;0)),OR('Raw Data'!T91="",LEN(TRIM('Raw Data'!T91))=0)),"",IF('Raw Data'!T91 = SUM('Raw Data'!R91:S91),"",_xlfn.REGEXEXTRACT(CELL("address",'Raw Data'!T91),"\$([A-Z]+)\$[0-9]+"))))</f>
        <v/>
      </c>
      <c r="U91" s="7" t="str" cm="1">
        <f t="array" aca="1" ref="U91" ca="1">IF(OR('Raw Data'!U91="",LEN(TRIM('Raw Data'!U91))=0,Validate_Empty!U91&lt;&gt;"",Validate_Value!U91&lt;&gt;""),"",IF(OR(NOT(OR(LEN(TRIM('Raw Data'!B91:X91))&gt;0)),OR('Raw Data'!T91="",LEN(TRIM('Raw Data'!T91))=0)),"",IF(ISNUMBER(SEARCH('Raw Data'!U91, Configuration!$H$2)),"",_xlfn.REGEXEXTRACT(CELL("address",'Raw Data'!U91),"\$([A-Z]+)\$[0-9]+"))))</f>
        <v/>
      </c>
      <c r="V91" s="7" t="str" cm="1">
        <f t="array" aca="1" ref="V91" ca="1">IF(OR('Raw Data'!V91="",LEN(TRIM('Raw Data'!V91))=0,Validate_Empty!V91&lt;&gt;"",Validate_Value!V91&lt;&gt;""),"",IF(OR(NOT(OR(LEN(TRIM('Raw Data'!B91:X91))&gt;0)),OR('Raw Data'!V91="",LEN(TRIM('Raw Data'!V91))=0)),"",IF('Raw Data'!V91 = Configuration!$I$2,"",_xlfn.REGEXEXTRACT(CELL("address",'Raw Data'!V91),"\$([A-Z]+)\$[0-9]+"))))</f>
        <v/>
      </c>
      <c r="W91" s="7"/>
      <c r="X91" s="7"/>
    </row>
    <row r="92" spans="2:24" x14ac:dyDescent="0.25">
      <c r="B92" s="7"/>
      <c r="C92" s="7" t="str" cm="1">
        <f t="array" aca="1" ref="C92" ca="1">IF(OR('Raw Data'!C92="",LEN(TRIM('Raw Data'!C92))=0,Validate_Empty!C92&lt;&gt;"",Validate_Value!C92&lt;&gt;""),"",IF(OR(NOT(OR(LEN(TRIM('Raw Data'!B92:X92))&gt;0)),OR('Raw Data'!C92="",LEN(TRIM('Raw Data'!C92))=0)),"",IF(OR(AND('Raw Data'!B92="Main Contract", LEFT('Raw Data'!C92, LEN("Payment"))="Payment"),AND('Raw Data'!B92="Change Order", LEFT('Raw Data'!C92, LEN("CO Payment No."))="CO Payment No.")),"",_xlfn.REGEXEXTRACT(CELL("address",'Raw Data'!C92),"\$([A-Z]+)\$[0-9]+"))))</f>
        <v/>
      </c>
      <c r="D92" s="7"/>
      <c r="E92" s="7"/>
      <c r="F92" s="7"/>
      <c r="G92" s="7"/>
      <c r="H92" s="7"/>
      <c r="I92" s="7"/>
      <c r="J92" s="7"/>
      <c r="K92" s="7"/>
      <c r="L92" s="7"/>
      <c r="M92" s="7" t="str" cm="1">
        <f t="array" aca="1" ref="M92" ca="1">IF(OR('Raw Data'!M92="",LEN(TRIM('Raw Data'!M92))=0,Validate_Empty!M92&lt;&gt;"",Validate_Value!M92&lt;&gt;""),"",IF(OR(NOT(OR(LEN(TRIM('Raw Data'!B92:X92))&gt;0)),OR('Raw Data'!M92="",LEN(TRIM('Raw Data'!M92))=0)),"",IF('Raw Data'!M92 = SUM('Raw Data'!K92:L92),"",_xlfn.REGEXEXTRACT(CELL("address",'Raw Data'!M92),"\$([A-Z]+)\$[0-9]+"))))</f>
        <v/>
      </c>
      <c r="N92" s="7"/>
      <c r="O92" s="7"/>
      <c r="P92" s="7" t="str" cm="1">
        <f t="array" aca="1" ref="P92" ca="1">IF(OR('Raw Data'!P92="",LEN(TRIM('Raw Data'!P92))=0,Validate_Empty!P92&lt;&gt;"",Validate_Value!P92&lt;&gt;""),"",IF(OR(NOT(OR(LEN(TRIM('Raw Data'!B92:X92))&gt;0)),OR('Raw Data'!P92="",LEN(TRIM('Raw Data'!P92))=0)),"",IF(AND('Raw Data'!J92 + Configuration!$G$2 + 5 &gt;= 'Raw Data'!P92,'Raw Data'!J92 + Configuration!$G$2 - 5 &lt;= 'Raw Data'!P92),"",_xlfn.REGEXEXTRACT(CELL("address",'Raw Data'!P92),"\$([A-Z]+)\$[0-9]+"))))</f>
        <v/>
      </c>
      <c r="Q92" s="7"/>
      <c r="R92" s="7"/>
      <c r="S92" s="7"/>
      <c r="T92" s="7" t="str" cm="1">
        <f t="array" aca="1" ref="T92" ca="1">IF(OR('Raw Data'!T92="",LEN(TRIM('Raw Data'!T92))=0,Validate_Empty!T92&lt;&gt;"",Validate_Value!T92&lt;&gt;""),"",IF(OR(NOT(OR(LEN(TRIM('Raw Data'!B92:X92))&gt;0)),OR('Raw Data'!T92="",LEN(TRIM('Raw Data'!T92))=0)),"",IF('Raw Data'!T92 = SUM('Raw Data'!R92:S92),"",_xlfn.REGEXEXTRACT(CELL("address",'Raw Data'!T92),"\$([A-Z]+)\$[0-9]+"))))</f>
        <v/>
      </c>
      <c r="U92" s="7" t="str" cm="1">
        <f t="array" aca="1" ref="U92" ca="1">IF(OR('Raw Data'!U92="",LEN(TRIM('Raw Data'!U92))=0,Validate_Empty!U92&lt;&gt;"",Validate_Value!U92&lt;&gt;""),"",IF(OR(NOT(OR(LEN(TRIM('Raw Data'!B92:X92))&gt;0)),OR('Raw Data'!T92="",LEN(TRIM('Raw Data'!T92))=0)),"",IF(ISNUMBER(SEARCH('Raw Data'!U92, Configuration!$H$2)),"",_xlfn.REGEXEXTRACT(CELL("address",'Raw Data'!U92),"\$([A-Z]+)\$[0-9]+"))))</f>
        <v/>
      </c>
      <c r="V92" s="7" t="str" cm="1">
        <f t="array" aca="1" ref="V92" ca="1">IF(OR('Raw Data'!V92="",LEN(TRIM('Raw Data'!V92))=0,Validate_Empty!V92&lt;&gt;"",Validate_Value!V92&lt;&gt;""),"",IF(OR(NOT(OR(LEN(TRIM('Raw Data'!B92:X92))&gt;0)),OR('Raw Data'!V92="",LEN(TRIM('Raw Data'!V92))=0)),"",IF('Raw Data'!V92 = Configuration!$I$2,"",_xlfn.REGEXEXTRACT(CELL("address",'Raw Data'!V92),"\$([A-Z]+)\$[0-9]+"))))</f>
        <v/>
      </c>
      <c r="W92" s="7"/>
      <c r="X92" s="7"/>
    </row>
    <row r="93" spans="2:24" x14ac:dyDescent="0.25">
      <c r="B93" s="7"/>
      <c r="C93" s="7" t="str" cm="1">
        <f t="array" aca="1" ref="C93" ca="1">IF(OR('Raw Data'!C93="",LEN(TRIM('Raw Data'!C93))=0,Validate_Empty!C93&lt;&gt;"",Validate_Value!C93&lt;&gt;""),"",IF(OR(NOT(OR(LEN(TRIM('Raw Data'!B93:X93))&gt;0)),OR('Raw Data'!C93="",LEN(TRIM('Raw Data'!C93))=0)),"",IF(OR(AND('Raw Data'!B93="Main Contract", LEFT('Raw Data'!C93, LEN("Payment"))="Payment"),AND('Raw Data'!B93="Change Order", LEFT('Raw Data'!C93, LEN("CO Payment No."))="CO Payment No.")),"",_xlfn.REGEXEXTRACT(CELL("address",'Raw Data'!C93),"\$([A-Z]+)\$[0-9]+"))))</f>
        <v/>
      </c>
      <c r="D93" s="7"/>
      <c r="E93" s="7"/>
      <c r="F93" s="7"/>
      <c r="G93" s="7"/>
      <c r="H93" s="7"/>
      <c r="I93" s="7"/>
      <c r="J93" s="7"/>
      <c r="K93" s="7"/>
      <c r="L93" s="7"/>
      <c r="M93" s="7" t="str" cm="1">
        <f t="array" aca="1" ref="M93" ca="1">IF(OR('Raw Data'!M93="",LEN(TRIM('Raw Data'!M93))=0,Validate_Empty!M93&lt;&gt;"",Validate_Value!M93&lt;&gt;""),"",IF(OR(NOT(OR(LEN(TRIM('Raw Data'!B93:X93))&gt;0)),OR('Raw Data'!M93="",LEN(TRIM('Raw Data'!M93))=0)),"",IF('Raw Data'!M93 = SUM('Raw Data'!K93:L93),"",_xlfn.REGEXEXTRACT(CELL("address",'Raw Data'!M93),"\$([A-Z]+)\$[0-9]+"))))</f>
        <v/>
      </c>
      <c r="N93" s="7"/>
      <c r="O93" s="7"/>
      <c r="P93" s="7" t="str" cm="1">
        <f t="array" aca="1" ref="P93" ca="1">IF(OR('Raw Data'!P93="",LEN(TRIM('Raw Data'!P93))=0,Validate_Empty!P93&lt;&gt;"",Validate_Value!P93&lt;&gt;""),"",IF(OR(NOT(OR(LEN(TRIM('Raw Data'!B93:X93))&gt;0)),OR('Raw Data'!P93="",LEN(TRIM('Raw Data'!P93))=0)),"",IF(AND('Raw Data'!J93 + Configuration!$G$2 + 5 &gt;= 'Raw Data'!P93,'Raw Data'!J93 + Configuration!$G$2 - 5 &lt;= 'Raw Data'!P93),"",_xlfn.REGEXEXTRACT(CELL("address",'Raw Data'!P93),"\$([A-Z]+)\$[0-9]+"))))</f>
        <v/>
      </c>
      <c r="Q93" s="7"/>
      <c r="R93" s="7"/>
      <c r="S93" s="7"/>
      <c r="T93" s="7" t="str" cm="1">
        <f t="array" aca="1" ref="T93" ca="1">IF(OR('Raw Data'!T93="",LEN(TRIM('Raw Data'!T93))=0,Validate_Empty!T93&lt;&gt;"",Validate_Value!T93&lt;&gt;""),"",IF(OR(NOT(OR(LEN(TRIM('Raw Data'!B93:X93))&gt;0)),OR('Raw Data'!T93="",LEN(TRIM('Raw Data'!T93))=0)),"",IF('Raw Data'!T93 = SUM('Raw Data'!R93:S93),"",_xlfn.REGEXEXTRACT(CELL("address",'Raw Data'!T93),"\$([A-Z]+)\$[0-9]+"))))</f>
        <v/>
      </c>
      <c r="U93" s="7" t="str" cm="1">
        <f t="array" aca="1" ref="U93" ca="1">IF(OR('Raw Data'!U93="",LEN(TRIM('Raw Data'!U93))=0,Validate_Empty!U93&lt;&gt;"",Validate_Value!U93&lt;&gt;""),"",IF(OR(NOT(OR(LEN(TRIM('Raw Data'!B93:X93))&gt;0)),OR('Raw Data'!T93="",LEN(TRIM('Raw Data'!T93))=0)),"",IF(ISNUMBER(SEARCH('Raw Data'!U93, Configuration!$H$2)),"",_xlfn.REGEXEXTRACT(CELL("address",'Raw Data'!U93),"\$([A-Z]+)\$[0-9]+"))))</f>
        <v/>
      </c>
      <c r="V93" s="7" t="str" cm="1">
        <f t="array" aca="1" ref="V93" ca="1">IF(OR('Raw Data'!V93="",LEN(TRIM('Raw Data'!V93))=0,Validate_Empty!V93&lt;&gt;"",Validate_Value!V93&lt;&gt;""),"",IF(OR(NOT(OR(LEN(TRIM('Raw Data'!B93:X93))&gt;0)),OR('Raw Data'!V93="",LEN(TRIM('Raw Data'!V93))=0)),"",IF('Raw Data'!V93 = Configuration!$I$2,"",_xlfn.REGEXEXTRACT(CELL("address",'Raw Data'!V93),"\$([A-Z]+)\$[0-9]+"))))</f>
        <v/>
      </c>
      <c r="W93" s="7"/>
      <c r="X93" s="7"/>
    </row>
    <row r="94" spans="2:24" x14ac:dyDescent="0.25">
      <c r="B94" s="7"/>
      <c r="C94" s="7" t="str" cm="1">
        <f t="array" aca="1" ref="C94" ca="1">IF(OR('Raw Data'!C94="",LEN(TRIM('Raw Data'!C94))=0,Validate_Empty!C94&lt;&gt;"",Validate_Value!C94&lt;&gt;""),"",IF(OR(NOT(OR(LEN(TRIM('Raw Data'!B94:X94))&gt;0)),OR('Raw Data'!C94="",LEN(TRIM('Raw Data'!C94))=0)),"",IF(OR(AND('Raw Data'!B94="Main Contract", LEFT('Raw Data'!C94, LEN("Payment"))="Payment"),AND('Raw Data'!B94="Change Order", LEFT('Raw Data'!C94, LEN("CO Payment No."))="CO Payment No.")),"",_xlfn.REGEXEXTRACT(CELL("address",'Raw Data'!C94),"\$([A-Z]+)\$[0-9]+"))))</f>
        <v/>
      </c>
      <c r="D94" s="7"/>
      <c r="E94" s="7"/>
      <c r="F94" s="7"/>
      <c r="G94" s="7"/>
      <c r="H94" s="7"/>
      <c r="I94" s="7"/>
      <c r="J94" s="7"/>
      <c r="K94" s="7"/>
      <c r="L94" s="7"/>
      <c r="M94" s="7" t="str" cm="1">
        <f t="array" aca="1" ref="M94" ca="1">IF(OR('Raw Data'!M94="",LEN(TRIM('Raw Data'!M94))=0,Validate_Empty!M94&lt;&gt;"",Validate_Value!M94&lt;&gt;""),"",IF(OR(NOT(OR(LEN(TRIM('Raw Data'!B94:X94))&gt;0)),OR('Raw Data'!M94="",LEN(TRIM('Raw Data'!M94))=0)),"",IF('Raw Data'!M94 = SUM('Raw Data'!K94:L94),"",_xlfn.REGEXEXTRACT(CELL("address",'Raw Data'!M94),"\$([A-Z]+)\$[0-9]+"))))</f>
        <v/>
      </c>
      <c r="N94" s="7"/>
      <c r="O94" s="7"/>
      <c r="P94" s="7" t="str" cm="1">
        <f t="array" aca="1" ref="P94" ca="1">IF(OR('Raw Data'!P94="",LEN(TRIM('Raw Data'!P94))=0,Validate_Empty!P94&lt;&gt;"",Validate_Value!P94&lt;&gt;""),"",IF(OR(NOT(OR(LEN(TRIM('Raw Data'!B94:X94))&gt;0)),OR('Raw Data'!P94="",LEN(TRIM('Raw Data'!P94))=0)),"",IF(AND('Raw Data'!J94 + Configuration!$G$2 + 5 &gt;= 'Raw Data'!P94,'Raw Data'!J94 + Configuration!$G$2 - 5 &lt;= 'Raw Data'!P94),"",_xlfn.REGEXEXTRACT(CELL("address",'Raw Data'!P94),"\$([A-Z]+)\$[0-9]+"))))</f>
        <v/>
      </c>
      <c r="Q94" s="7"/>
      <c r="R94" s="7"/>
      <c r="S94" s="7"/>
      <c r="T94" s="7" t="str" cm="1">
        <f t="array" aca="1" ref="T94" ca="1">IF(OR('Raw Data'!T94="",LEN(TRIM('Raw Data'!T94))=0,Validate_Empty!T94&lt;&gt;"",Validate_Value!T94&lt;&gt;""),"",IF(OR(NOT(OR(LEN(TRIM('Raw Data'!B94:X94))&gt;0)),OR('Raw Data'!T94="",LEN(TRIM('Raw Data'!T94))=0)),"",IF('Raw Data'!T94 = SUM('Raw Data'!R94:S94),"",_xlfn.REGEXEXTRACT(CELL("address",'Raw Data'!T94),"\$([A-Z]+)\$[0-9]+"))))</f>
        <v/>
      </c>
      <c r="U94" s="7" t="str" cm="1">
        <f t="array" aca="1" ref="U94" ca="1">IF(OR('Raw Data'!U94="",LEN(TRIM('Raw Data'!U94))=0,Validate_Empty!U94&lt;&gt;"",Validate_Value!U94&lt;&gt;""),"",IF(OR(NOT(OR(LEN(TRIM('Raw Data'!B94:X94))&gt;0)),OR('Raw Data'!T94="",LEN(TRIM('Raw Data'!T94))=0)),"",IF(ISNUMBER(SEARCH('Raw Data'!U94, Configuration!$H$2)),"",_xlfn.REGEXEXTRACT(CELL("address",'Raw Data'!U94),"\$([A-Z]+)\$[0-9]+"))))</f>
        <v/>
      </c>
      <c r="V94" s="7" t="str" cm="1">
        <f t="array" aca="1" ref="V94" ca="1">IF(OR('Raw Data'!V94="",LEN(TRIM('Raw Data'!V94))=0,Validate_Empty!V94&lt;&gt;"",Validate_Value!V94&lt;&gt;""),"",IF(OR(NOT(OR(LEN(TRIM('Raw Data'!B94:X94))&gt;0)),OR('Raw Data'!V94="",LEN(TRIM('Raw Data'!V94))=0)),"",IF('Raw Data'!V94 = Configuration!$I$2,"",_xlfn.REGEXEXTRACT(CELL("address",'Raw Data'!V94),"\$([A-Z]+)\$[0-9]+"))))</f>
        <v/>
      </c>
      <c r="W94" s="7"/>
      <c r="X94" s="7"/>
    </row>
    <row r="95" spans="2:24" x14ac:dyDescent="0.25">
      <c r="B95" s="7"/>
      <c r="C95" s="7" t="str" cm="1">
        <f t="array" aca="1" ref="C95" ca="1">IF(OR('Raw Data'!C95="",LEN(TRIM('Raw Data'!C95))=0,Validate_Empty!C95&lt;&gt;"",Validate_Value!C95&lt;&gt;""),"",IF(OR(NOT(OR(LEN(TRIM('Raw Data'!B95:X95))&gt;0)),OR('Raw Data'!C95="",LEN(TRIM('Raw Data'!C95))=0)),"",IF(OR(AND('Raw Data'!B95="Main Contract", LEFT('Raw Data'!C95, LEN("Payment"))="Payment"),AND('Raw Data'!B95="Change Order", LEFT('Raw Data'!C95, LEN("CO Payment No."))="CO Payment No.")),"",_xlfn.REGEXEXTRACT(CELL("address",'Raw Data'!C95),"\$([A-Z]+)\$[0-9]+"))))</f>
        <v/>
      </c>
      <c r="D95" s="7"/>
      <c r="E95" s="7"/>
      <c r="F95" s="7"/>
      <c r="G95" s="7"/>
      <c r="H95" s="7"/>
      <c r="I95" s="7"/>
      <c r="J95" s="7"/>
      <c r="K95" s="7"/>
      <c r="L95" s="7"/>
      <c r="M95" s="7" t="str" cm="1">
        <f t="array" aca="1" ref="M95" ca="1">IF(OR('Raw Data'!M95="",LEN(TRIM('Raw Data'!M95))=0,Validate_Empty!M95&lt;&gt;"",Validate_Value!M95&lt;&gt;""),"",IF(OR(NOT(OR(LEN(TRIM('Raw Data'!B95:X95))&gt;0)),OR('Raw Data'!M95="",LEN(TRIM('Raw Data'!M95))=0)),"",IF('Raw Data'!M95 = SUM('Raw Data'!K95:L95),"",_xlfn.REGEXEXTRACT(CELL("address",'Raw Data'!M95),"\$([A-Z]+)\$[0-9]+"))))</f>
        <v/>
      </c>
      <c r="N95" s="7"/>
      <c r="O95" s="7"/>
      <c r="P95" s="7" t="str" cm="1">
        <f t="array" aca="1" ref="P95" ca="1">IF(OR('Raw Data'!P95="",LEN(TRIM('Raw Data'!P95))=0,Validate_Empty!P95&lt;&gt;"",Validate_Value!P95&lt;&gt;""),"",IF(OR(NOT(OR(LEN(TRIM('Raw Data'!B95:X95))&gt;0)),OR('Raw Data'!P95="",LEN(TRIM('Raw Data'!P95))=0)),"",IF(AND('Raw Data'!J95 + Configuration!$G$2 + 5 &gt;= 'Raw Data'!P95,'Raw Data'!J95 + Configuration!$G$2 - 5 &lt;= 'Raw Data'!P95),"",_xlfn.REGEXEXTRACT(CELL("address",'Raw Data'!P95),"\$([A-Z]+)\$[0-9]+"))))</f>
        <v/>
      </c>
      <c r="Q95" s="7"/>
      <c r="R95" s="7"/>
      <c r="S95" s="7"/>
      <c r="T95" s="7" t="str" cm="1">
        <f t="array" aca="1" ref="T95" ca="1">IF(OR('Raw Data'!T95="",LEN(TRIM('Raw Data'!T95))=0,Validate_Empty!T95&lt;&gt;"",Validate_Value!T95&lt;&gt;""),"",IF(OR(NOT(OR(LEN(TRIM('Raw Data'!B95:X95))&gt;0)),OR('Raw Data'!T95="",LEN(TRIM('Raw Data'!T95))=0)),"",IF('Raw Data'!T95 = SUM('Raw Data'!R95:S95),"",_xlfn.REGEXEXTRACT(CELL("address",'Raw Data'!T95),"\$([A-Z]+)\$[0-9]+"))))</f>
        <v/>
      </c>
      <c r="U95" s="7" t="str" cm="1">
        <f t="array" aca="1" ref="U95" ca="1">IF(OR('Raw Data'!U95="",LEN(TRIM('Raw Data'!U95))=0,Validate_Empty!U95&lt;&gt;"",Validate_Value!U95&lt;&gt;""),"",IF(OR(NOT(OR(LEN(TRIM('Raw Data'!B95:X95))&gt;0)),OR('Raw Data'!T95="",LEN(TRIM('Raw Data'!T95))=0)),"",IF(ISNUMBER(SEARCH('Raw Data'!U95, Configuration!$H$2)),"",_xlfn.REGEXEXTRACT(CELL("address",'Raw Data'!U95),"\$([A-Z]+)\$[0-9]+"))))</f>
        <v/>
      </c>
      <c r="V95" s="7" t="str" cm="1">
        <f t="array" aca="1" ref="V95" ca="1">IF(OR('Raw Data'!V95="",LEN(TRIM('Raw Data'!V95))=0,Validate_Empty!V95&lt;&gt;"",Validate_Value!V95&lt;&gt;""),"",IF(OR(NOT(OR(LEN(TRIM('Raw Data'!B95:X95))&gt;0)),OR('Raw Data'!V95="",LEN(TRIM('Raw Data'!V95))=0)),"",IF('Raw Data'!V95 = Configuration!$I$2,"",_xlfn.REGEXEXTRACT(CELL("address",'Raw Data'!V95),"\$([A-Z]+)\$[0-9]+"))))</f>
        <v/>
      </c>
      <c r="W95" s="7"/>
      <c r="X95" s="7"/>
    </row>
    <row r="96" spans="2:24" x14ac:dyDescent="0.25">
      <c r="B96" s="7"/>
      <c r="C96" s="7" t="str" cm="1">
        <f t="array" aca="1" ref="C96" ca="1">IF(OR('Raw Data'!C96="",LEN(TRIM('Raw Data'!C96))=0,Validate_Empty!C96&lt;&gt;"",Validate_Value!C96&lt;&gt;""),"",IF(OR(NOT(OR(LEN(TRIM('Raw Data'!B96:X96))&gt;0)),OR('Raw Data'!C96="",LEN(TRIM('Raw Data'!C96))=0)),"",IF(OR(AND('Raw Data'!B96="Main Contract", LEFT('Raw Data'!C96, LEN("Payment"))="Payment"),AND('Raw Data'!B96="Change Order", LEFT('Raw Data'!C96, LEN("CO Payment No."))="CO Payment No.")),"",_xlfn.REGEXEXTRACT(CELL("address",'Raw Data'!C96),"\$([A-Z]+)\$[0-9]+"))))</f>
        <v/>
      </c>
      <c r="D96" s="7"/>
      <c r="E96" s="7"/>
      <c r="F96" s="7"/>
      <c r="G96" s="7"/>
      <c r="H96" s="7"/>
      <c r="I96" s="7"/>
      <c r="J96" s="7"/>
      <c r="K96" s="7"/>
      <c r="L96" s="7"/>
      <c r="M96" s="7" t="str" cm="1">
        <f t="array" aca="1" ref="M96" ca="1">IF(OR('Raw Data'!M96="",LEN(TRIM('Raw Data'!M96))=0,Validate_Empty!M96&lt;&gt;"",Validate_Value!M96&lt;&gt;""),"",IF(OR(NOT(OR(LEN(TRIM('Raw Data'!B96:X96))&gt;0)),OR('Raw Data'!M96="",LEN(TRIM('Raw Data'!M96))=0)),"",IF('Raw Data'!M96 = SUM('Raw Data'!K96:L96),"",_xlfn.REGEXEXTRACT(CELL("address",'Raw Data'!M96),"\$([A-Z]+)\$[0-9]+"))))</f>
        <v/>
      </c>
      <c r="N96" s="7"/>
      <c r="O96" s="7"/>
      <c r="P96" s="7" t="str" cm="1">
        <f t="array" aca="1" ref="P96" ca="1">IF(OR('Raw Data'!P96="",LEN(TRIM('Raw Data'!P96))=0,Validate_Empty!P96&lt;&gt;"",Validate_Value!P96&lt;&gt;""),"",IF(OR(NOT(OR(LEN(TRIM('Raw Data'!B96:X96))&gt;0)),OR('Raw Data'!P96="",LEN(TRIM('Raw Data'!P96))=0)),"",IF(AND('Raw Data'!J96 + Configuration!$G$2 + 5 &gt;= 'Raw Data'!P96,'Raw Data'!J96 + Configuration!$G$2 - 5 &lt;= 'Raw Data'!P96),"",_xlfn.REGEXEXTRACT(CELL("address",'Raw Data'!P96),"\$([A-Z]+)\$[0-9]+"))))</f>
        <v/>
      </c>
      <c r="Q96" s="7"/>
      <c r="R96" s="7"/>
      <c r="S96" s="7"/>
      <c r="T96" s="7" t="str" cm="1">
        <f t="array" aca="1" ref="T96" ca="1">IF(OR('Raw Data'!T96="",LEN(TRIM('Raw Data'!T96))=0,Validate_Empty!T96&lt;&gt;"",Validate_Value!T96&lt;&gt;""),"",IF(OR(NOT(OR(LEN(TRIM('Raw Data'!B96:X96))&gt;0)),OR('Raw Data'!T96="",LEN(TRIM('Raw Data'!T96))=0)),"",IF('Raw Data'!T96 = SUM('Raw Data'!R96:S96),"",_xlfn.REGEXEXTRACT(CELL("address",'Raw Data'!T96),"\$([A-Z]+)\$[0-9]+"))))</f>
        <v/>
      </c>
      <c r="U96" s="7" t="str" cm="1">
        <f t="array" aca="1" ref="U96" ca="1">IF(OR('Raw Data'!U96="",LEN(TRIM('Raw Data'!U96))=0,Validate_Empty!U96&lt;&gt;"",Validate_Value!U96&lt;&gt;""),"",IF(OR(NOT(OR(LEN(TRIM('Raw Data'!B96:X96))&gt;0)),OR('Raw Data'!T96="",LEN(TRIM('Raw Data'!T96))=0)),"",IF(ISNUMBER(SEARCH('Raw Data'!U96, Configuration!$H$2)),"",_xlfn.REGEXEXTRACT(CELL("address",'Raw Data'!U96),"\$([A-Z]+)\$[0-9]+"))))</f>
        <v/>
      </c>
      <c r="V96" s="7" t="str" cm="1">
        <f t="array" aca="1" ref="V96" ca="1">IF(OR('Raw Data'!V96="",LEN(TRIM('Raw Data'!V96))=0,Validate_Empty!V96&lt;&gt;"",Validate_Value!V96&lt;&gt;""),"",IF(OR(NOT(OR(LEN(TRIM('Raw Data'!B96:X96))&gt;0)),OR('Raw Data'!V96="",LEN(TRIM('Raw Data'!V96))=0)),"",IF('Raw Data'!V96 = Configuration!$I$2,"",_xlfn.REGEXEXTRACT(CELL("address",'Raw Data'!V96),"\$([A-Z]+)\$[0-9]+"))))</f>
        <v/>
      </c>
      <c r="W96" s="7"/>
      <c r="X96" s="7"/>
    </row>
    <row r="97" spans="2:24" x14ac:dyDescent="0.25">
      <c r="B97" s="7"/>
      <c r="C97" s="7" t="str" cm="1">
        <f t="array" aca="1" ref="C97" ca="1">IF(OR('Raw Data'!C97="",LEN(TRIM('Raw Data'!C97))=0,Validate_Empty!C97&lt;&gt;"",Validate_Value!C97&lt;&gt;""),"",IF(OR(NOT(OR(LEN(TRIM('Raw Data'!B97:X97))&gt;0)),OR('Raw Data'!C97="",LEN(TRIM('Raw Data'!C97))=0)),"",IF(OR(AND('Raw Data'!B97="Main Contract", LEFT('Raw Data'!C97, LEN("Payment"))="Payment"),AND('Raw Data'!B97="Change Order", LEFT('Raw Data'!C97, LEN("CO Payment No."))="CO Payment No.")),"",_xlfn.REGEXEXTRACT(CELL("address",'Raw Data'!C97),"\$([A-Z]+)\$[0-9]+"))))</f>
        <v/>
      </c>
      <c r="D97" s="7"/>
      <c r="E97" s="7"/>
      <c r="F97" s="7"/>
      <c r="G97" s="7"/>
      <c r="H97" s="7"/>
      <c r="I97" s="7"/>
      <c r="J97" s="7"/>
      <c r="K97" s="7"/>
      <c r="L97" s="7"/>
      <c r="M97" s="7" t="str" cm="1">
        <f t="array" aca="1" ref="M97" ca="1">IF(OR('Raw Data'!M97="",LEN(TRIM('Raw Data'!M97))=0,Validate_Empty!M97&lt;&gt;"",Validate_Value!M97&lt;&gt;""),"",IF(OR(NOT(OR(LEN(TRIM('Raw Data'!B97:X97))&gt;0)),OR('Raw Data'!M97="",LEN(TRIM('Raw Data'!M97))=0)),"",IF('Raw Data'!M97 = SUM('Raw Data'!K97:L97),"",_xlfn.REGEXEXTRACT(CELL("address",'Raw Data'!M97),"\$([A-Z]+)\$[0-9]+"))))</f>
        <v/>
      </c>
      <c r="N97" s="7"/>
      <c r="O97" s="7"/>
      <c r="P97" s="7" t="str" cm="1">
        <f t="array" aca="1" ref="P97" ca="1">IF(OR('Raw Data'!P97="",LEN(TRIM('Raw Data'!P97))=0,Validate_Empty!P97&lt;&gt;"",Validate_Value!P97&lt;&gt;""),"",IF(OR(NOT(OR(LEN(TRIM('Raw Data'!B97:X97))&gt;0)),OR('Raw Data'!P97="",LEN(TRIM('Raw Data'!P97))=0)),"",IF(AND('Raw Data'!J97 + Configuration!$G$2 + 5 &gt;= 'Raw Data'!P97,'Raw Data'!J97 + Configuration!$G$2 - 5 &lt;= 'Raw Data'!P97),"",_xlfn.REGEXEXTRACT(CELL("address",'Raw Data'!P97),"\$([A-Z]+)\$[0-9]+"))))</f>
        <v/>
      </c>
      <c r="Q97" s="7"/>
      <c r="R97" s="7"/>
      <c r="S97" s="7"/>
      <c r="T97" s="7" t="str" cm="1">
        <f t="array" aca="1" ref="T97" ca="1">IF(OR('Raw Data'!T97="",LEN(TRIM('Raw Data'!T97))=0,Validate_Empty!T97&lt;&gt;"",Validate_Value!T97&lt;&gt;""),"",IF(OR(NOT(OR(LEN(TRIM('Raw Data'!B97:X97))&gt;0)),OR('Raw Data'!T97="",LEN(TRIM('Raw Data'!T97))=0)),"",IF('Raw Data'!T97 = SUM('Raw Data'!R97:S97),"",_xlfn.REGEXEXTRACT(CELL("address",'Raw Data'!T97),"\$([A-Z]+)\$[0-9]+"))))</f>
        <v/>
      </c>
      <c r="U97" s="7" t="str" cm="1">
        <f t="array" aca="1" ref="U97" ca="1">IF(OR('Raw Data'!U97="",LEN(TRIM('Raw Data'!U97))=0,Validate_Empty!U97&lt;&gt;"",Validate_Value!U97&lt;&gt;""),"",IF(OR(NOT(OR(LEN(TRIM('Raw Data'!B97:X97))&gt;0)),OR('Raw Data'!T97="",LEN(TRIM('Raw Data'!T97))=0)),"",IF(ISNUMBER(SEARCH('Raw Data'!U97, Configuration!$H$2)),"",_xlfn.REGEXEXTRACT(CELL("address",'Raw Data'!U97),"\$([A-Z]+)\$[0-9]+"))))</f>
        <v/>
      </c>
      <c r="V97" s="7" t="str" cm="1">
        <f t="array" aca="1" ref="V97" ca="1">IF(OR('Raw Data'!V97="",LEN(TRIM('Raw Data'!V97))=0,Validate_Empty!V97&lt;&gt;"",Validate_Value!V97&lt;&gt;""),"",IF(OR(NOT(OR(LEN(TRIM('Raw Data'!B97:X97))&gt;0)),OR('Raw Data'!V97="",LEN(TRIM('Raw Data'!V97))=0)),"",IF('Raw Data'!V97 = Configuration!$I$2,"",_xlfn.REGEXEXTRACT(CELL("address",'Raw Data'!V97),"\$([A-Z]+)\$[0-9]+"))))</f>
        <v/>
      </c>
      <c r="W97" s="7"/>
      <c r="X97" s="7"/>
    </row>
    <row r="98" spans="2:24" x14ac:dyDescent="0.25">
      <c r="B98" s="7"/>
      <c r="C98" s="7" t="str" cm="1">
        <f t="array" aca="1" ref="C98" ca="1">IF(OR('Raw Data'!C98="",LEN(TRIM('Raw Data'!C98))=0,Validate_Empty!C98&lt;&gt;"",Validate_Value!C98&lt;&gt;""),"",IF(OR(NOT(OR(LEN(TRIM('Raw Data'!B98:X98))&gt;0)),OR('Raw Data'!C98="",LEN(TRIM('Raw Data'!C98))=0)),"",IF(OR(AND('Raw Data'!B98="Main Contract", LEFT('Raw Data'!C98, LEN("Payment"))="Payment"),AND('Raw Data'!B98="Change Order", LEFT('Raw Data'!C98, LEN("CO Payment No."))="CO Payment No.")),"",_xlfn.REGEXEXTRACT(CELL("address",'Raw Data'!C98),"\$([A-Z]+)\$[0-9]+"))))</f>
        <v/>
      </c>
      <c r="D98" s="7"/>
      <c r="E98" s="7"/>
      <c r="F98" s="7"/>
      <c r="G98" s="7"/>
      <c r="H98" s="7"/>
      <c r="I98" s="7"/>
      <c r="J98" s="7"/>
      <c r="K98" s="7"/>
      <c r="L98" s="7"/>
      <c r="M98" s="7" t="str" cm="1">
        <f t="array" aca="1" ref="M98" ca="1">IF(OR('Raw Data'!M98="",LEN(TRIM('Raw Data'!M98))=0,Validate_Empty!M98&lt;&gt;"",Validate_Value!M98&lt;&gt;""),"",IF(OR(NOT(OR(LEN(TRIM('Raw Data'!B98:X98))&gt;0)),OR('Raw Data'!M98="",LEN(TRIM('Raw Data'!M98))=0)),"",IF('Raw Data'!M98 = SUM('Raw Data'!K98:L98),"",_xlfn.REGEXEXTRACT(CELL("address",'Raw Data'!M98),"\$([A-Z]+)\$[0-9]+"))))</f>
        <v/>
      </c>
      <c r="N98" s="7"/>
      <c r="O98" s="7"/>
      <c r="P98" s="7" t="str" cm="1">
        <f t="array" aca="1" ref="P98" ca="1">IF(OR('Raw Data'!P98="",LEN(TRIM('Raw Data'!P98))=0,Validate_Empty!P98&lt;&gt;"",Validate_Value!P98&lt;&gt;""),"",IF(OR(NOT(OR(LEN(TRIM('Raw Data'!B98:X98))&gt;0)),OR('Raw Data'!P98="",LEN(TRIM('Raw Data'!P98))=0)),"",IF(AND('Raw Data'!J98 + Configuration!$G$2 + 5 &gt;= 'Raw Data'!P98,'Raw Data'!J98 + Configuration!$G$2 - 5 &lt;= 'Raw Data'!P98),"",_xlfn.REGEXEXTRACT(CELL("address",'Raw Data'!P98),"\$([A-Z]+)\$[0-9]+"))))</f>
        <v/>
      </c>
      <c r="Q98" s="7"/>
      <c r="R98" s="7"/>
      <c r="S98" s="7"/>
      <c r="T98" s="7" t="str" cm="1">
        <f t="array" aca="1" ref="T98" ca="1">IF(OR('Raw Data'!T98="",LEN(TRIM('Raw Data'!T98))=0,Validate_Empty!T98&lt;&gt;"",Validate_Value!T98&lt;&gt;""),"",IF(OR(NOT(OR(LEN(TRIM('Raw Data'!B98:X98))&gt;0)),OR('Raw Data'!T98="",LEN(TRIM('Raw Data'!T98))=0)),"",IF('Raw Data'!T98 = SUM('Raw Data'!R98:S98),"",_xlfn.REGEXEXTRACT(CELL("address",'Raw Data'!T98),"\$([A-Z]+)\$[0-9]+"))))</f>
        <v/>
      </c>
      <c r="U98" s="7" t="str" cm="1">
        <f t="array" aca="1" ref="U98" ca="1">IF(OR('Raw Data'!U98="",LEN(TRIM('Raw Data'!U98))=0,Validate_Empty!U98&lt;&gt;"",Validate_Value!U98&lt;&gt;""),"",IF(OR(NOT(OR(LEN(TRIM('Raw Data'!B98:X98))&gt;0)),OR('Raw Data'!T98="",LEN(TRIM('Raw Data'!T98))=0)),"",IF(ISNUMBER(SEARCH('Raw Data'!U98, Configuration!$H$2)),"",_xlfn.REGEXEXTRACT(CELL("address",'Raw Data'!U98),"\$([A-Z]+)\$[0-9]+"))))</f>
        <v/>
      </c>
      <c r="V98" s="7" t="str" cm="1">
        <f t="array" aca="1" ref="V98" ca="1">IF(OR('Raw Data'!V98="",LEN(TRIM('Raw Data'!V98))=0,Validate_Empty!V98&lt;&gt;"",Validate_Value!V98&lt;&gt;""),"",IF(OR(NOT(OR(LEN(TRIM('Raw Data'!B98:X98))&gt;0)),OR('Raw Data'!V98="",LEN(TRIM('Raw Data'!V98))=0)),"",IF('Raw Data'!V98 = Configuration!$I$2,"",_xlfn.REGEXEXTRACT(CELL("address",'Raw Data'!V98),"\$([A-Z]+)\$[0-9]+"))))</f>
        <v/>
      </c>
      <c r="W98" s="7"/>
      <c r="X98" s="7"/>
    </row>
    <row r="99" spans="2:24" x14ac:dyDescent="0.25">
      <c r="B99" s="7"/>
      <c r="C99" s="7" t="str" cm="1">
        <f t="array" aca="1" ref="C99" ca="1">IF(OR('Raw Data'!C99="",LEN(TRIM('Raw Data'!C99))=0,Validate_Empty!C99&lt;&gt;"",Validate_Value!C99&lt;&gt;""),"",IF(OR(NOT(OR(LEN(TRIM('Raw Data'!B99:X99))&gt;0)),OR('Raw Data'!C99="",LEN(TRIM('Raw Data'!C99))=0)),"",IF(OR(AND('Raw Data'!B99="Main Contract", LEFT('Raw Data'!C99, LEN("Payment"))="Payment"),AND('Raw Data'!B99="Change Order", LEFT('Raw Data'!C99, LEN("CO Payment No."))="CO Payment No.")),"",_xlfn.REGEXEXTRACT(CELL("address",'Raw Data'!C99),"\$([A-Z]+)\$[0-9]+"))))</f>
        <v/>
      </c>
      <c r="D99" s="7"/>
      <c r="E99" s="7"/>
      <c r="F99" s="7"/>
      <c r="G99" s="7"/>
      <c r="H99" s="7"/>
      <c r="I99" s="7"/>
      <c r="J99" s="7"/>
      <c r="K99" s="7"/>
      <c r="L99" s="7"/>
      <c r="M99" s="7" t="str" cm="1">
        <f t="array" aca="1" ref="M99" ca="1">IF(OR('Raw Data'!M99="",LEN(TRIM('Raw Data'!M99))=0,Validate_Empty!M99&lt;&gt;"",Validate_Value!M99&lt;&gt;""),"",IF(OR(NOT(OR(LEN(TRIM('Raw Data'!B99:X99))&gt;0)),OR('Raw Data'!M99="",LEN(TRIM('Raw Data'!M99))=0)),"",IF('Raw Data'!M99 = SUM('Raw Data'!K99:L99),"",_xlfn.REGEXEXTRACT(CELL("address",'Raw Data'!M99),"\$([A-Z]+)\$[0-9]+"))))</f>
        <v/>
      </c>
      <c r="N99" s="7"/>
      <c r="O99" s="7"/>
      <c r="P99" s="7" t="str" cm="1">
        <f t="array" aca="1" ref="P99" ca="1">IF(OR('Raw Data'!P99="",LEN(TRIM('Raw Data'!P99))=0,Validate_Empty!P99&lt;&gt;"",Validate_Value!P99&lt;&gt;""),"",IF(OR(NOT(OR(LEN(TRIM('Raw Data'!B99:X99))&gt;0)),OR('Raw Data'!P99="",LEN(TRIM('Raw Data'!P99))=0)),"",IF(AND('Raw Data'!J99 + Configuration!$G$2 + 5 &gt;= 'Raw Data'!P99,'Raw Data'!J99 + Configuration!$G$2 - 5 &lt;= 'Raw Data'!P99),"",_xlfn.REGEXEXTRACT(CELL("address",'Raw Data'!P99),"\$([A-Z]+)\$[0-9]+"))))</f>
        <v/>
      </c>
      <c r="Q99" s="7"/>
      <c r="R99" s="7"/>
      <c r="S99" s="7"/>
      <c r="T99" s="7" t="str" cm="1">
        <f t="array" aca="1" ref="T99" ca="1">IF(OR('Raw Data'!T99="",LEN(TRIM('Raw Data'!T99))=0,Validate_Empty!T99&lt;&gt;"",Validate_Value!T99&lt;&gt;""),"",IF(OR(NOT(OR(LEN(TRIM('Raw Data'!B99:X99))&gt;0)),OR('Raw Data'!T99="",LEN(TRIM('Raw Data'!T99))=0)),"",IF('Raw Data'!T99 = SUM('Raw Data'!R99:S99),"",_xlfn.REGEXEXTRACT(CELL("address",'Raw Data'!T99),"\$([A-Z]+)\$[0-9]+"))))</f>
        <v/>
      </c>
      <c r="U99" s="7" t="str" cm="1">
        <f t="array" aca="1" ref="U99" ca="1">IF(OR('Raw Data'!U99="",LEN(TRIM('Raw Data'!U99))=0,Validate_Empty!U99&lt;&gt;"",Validate_Value!U99&lt;&gt;""),"",IF(OR(NOT(OR(LEN(TRIM('Raw Data'!B99:X99))&gt;0)),OR('Raw Data'!T99="",LEN(TRIM('Raw Data'!T99))=0)),"",IF(ISNUMBER(SEARCH('Raw Data'!U99, Configuration!$H$2)),"",_xlfn.REGEXEXTRACT(CELL("address",'Raw Data'!U99),"\$([A-Z]+)\$[0-9]+"))))</f>
        <v/>
      </c>
      <c r="V99" s="7" t="str" cm="1">
        <f t="array" aca="1" ref="V99" ca="1">IF(OR('Raw Data'!V99="",LEN(TRIM('Raw Data'!V99))=0,Validate_Empty!V99&lt;&gt;"",Validate_Value!V99&lt;&gt;""),"",IF(OR(NOT(OR(LEN(TRIM('Raw Data'!B99:X99))&gt;0)),OR('Raw Data'!V99="",LEN(TRIM('Raw Data'!V99))=0)),"",IF('Raw Data'!V99 = Configuration!$I$2,"",_xlfn.REGEXEXTRACT(CELL("address",'Raw Data'!V99),"\$([A-Z]+)\$[0-9]+"))))</f>
        <v/>
      </c>
      <c r="W99" s="7"/>
      <c r="X99" s="7"/>
    </row>
    <row r="100" spans="2:24" x14ac:dyDescent="0.25">
      <c r="B100" s="7"/>
      <c r="C100" s="7" t="str" cm="1">
        <f t="array" aca="1" ref="C100" ca="1">IF(OR('Raw Data'!C100="",LEN(TRIM('Raw Data'!C100))=0,Validate_Empty!C100&lt;&gt;"",Validate_Value!C100&lt;&gt;""),"",IF(OR(NOT(OR(LEN(TRIM('Raw Data'!B100:X100))&gt;0)),OR('Raw Data'!C100="",LEN(TRIM('Raw Data'!C100))=0)),"",IF(OR(AND('Raw Data'!B100="Main Contract", LEFT('Raw Data'!C100, LEN("Payment"))="Payment"),AND('Raw Data'!B100="Change Order", LEFT('Raw Data'!C100, LEN("CO Payment No."))="CO Payment No.")),"",_xlfn.REGEXEXTRACT(CELL("address",'Raw Data'!C100),"\$([A-Z]+)\$[0-9]+"))))</f>
        <v/>
      </c>
      <c r="D100" s="7"/>
      <c r="E100" s="7"/>
      <c r="F100" s="7"/>
      <c r="G100" s="7"/>
      <c r="H100" s="7"/>
      <c r="I100" s="7"/>
      <c r="J100" s="7"/>
      <c r="K100" s="7"/>
      <c r="L100" s="7"/>
      <c r="M100" s="7" t="str" cm="1">
        <f t="array" aca="1" ref="M100" ca="1">IF(OR('Raw Data'!M100="",LEN(TRIM('Raw Data'!M100))=0,Validate_Empty!M100&lt;&gt;"",Validate_Value!M100&lt;&gt;""),"",IF(OR(NOT(OR(LEN(TRIM('Raw Data'!B100:X100))&gt;0)),OR('Raw Data'!M100="",LEN(TRIM('Raw Data'!M100))=0)),"",IF('Raw Data'!M100 = SUM('Raw Data'!K100:L100),"",_xlfn.REGEXEXTRACT(CELL("address",'Raw Data'!M100),"\$([A-Z]+)\$[0-9]+"))))</f>
        <v/>
      </c>
      <c r="N100" s="7"/>
      <c r="O100" s="7"/>
      <c r="P100" s="7" t="str" cm="1">
        <f t="array" aca="1" ref="P100" ca="1">IF(OR('Raw Data'!P100="",LEN(TRIM('Raw Data'!P100))=0,Validate_Empty!P100&lt;&gt;"",Validate_Value!P100&lt;&gt;""),"",IF(OR(NOT(OR(LEN(TRIM('Raw Data'!B100:X100))&gt;0)),OR('Raw Data'!P100="",LEN(TRIM('Raw Data'!P100))=0)),"",IF(AND('Raw Data'!J100 + Configuration!$G$2 + 5 &gt;= 'Raw Data'!P100,'Raw Data'!J100 + Configuration!$G$2 - 5 &lt;= 'Raw Data'!P100),"",_xlfn.REGEXEXTRACT(CELL("address",'Raw Data'!P100),"\$([A-Z]+)\$[0-9]+"))))</f>
        <v/>
      </c>
      <c r="Q100" s="7"/>
      <c r="R100" s="7"/>
      <c r="S100" s="7"/>
      <c r="T100" s="7" t="str" cm="1">
        <f t="array" aca="1" ref="T100" ca="1">IF(OR('Raw Data'!T100="",LEN(TRIM('Raw Data'!T100))=0,Validate_Empty!T100&lt;&gt;"",Validate_Value!T100&lt;&gt;""),"",IF(OR(NOT(OR(LEN(TRIM('Raw Data'!B100:X100))&gt;0)),OR('Raw Data'!T100="",LEN(TRIM('Raw Data'!T100))=0)),"",IF('Raw Data'!T100 = SUM('Raw Data'!R100:S100),"",_xlfn.REGEXEXTRACT(CELL("address",'Raw Data'!T100),"\$([A-Z]+)\$[0-9]+"))))</f>
        <v/>
      </c>
      <c r="U100" s="7" t="str" cm="1">
        <f t="array" aca="1" ref="U100" ca="1">IF(OR('Raw Data'!U100="",LEN(TRIM('Raw Data'!U100))=0,Validate_Empty!U100&lt;&gt;"",Validate_Value!U100&lt;&gt;""),"",IF(OR(NOT(OR(LEN(TRIM('Raw Data'!B100:X100))&gt;0)),OR('Raw Data'!T100="",LEN(TRIM('Raw Data'!T100))=0)),"",IF(ISNUMBER(SEARCH('Raw Data'!U100, Configuration!$H$2)),"",_xlfn.REGEXEXTRACT(CELL("address",'Raw Data'!U100),"\$([A-Z]+)\$[0-9]+"))))</f>
        <v/>
      </c>
      <c r="V100" s="7" t="str" cm="1">
        <f t="array" aca="1" ref="V100" ca="1">IF(OR('Raw Data'!V100="",LEN(TRIM('Raw Data'!V100))=0,Validate_Empty!V100&lt;&gt;"",Validate_Value!V100&lt;&gt;""),"",IF(OR(NOT(OR(LEN(TRIM('Raw Data'!B100:X100))&gt;0)),OR('Raw Data'!V100="",LEN(TRIM('Raw Data'!V100))=0)),"",IF('Raw Data'!V100 = Configuration!$I$2,"",_xlfn.REGEXEXTRACT(CELL("address",'Raw Data'!V100),"\$([A-Z]+)\$[0-9]+"))))</f>
        <v/>
      </c>
      <c r="W100" s="7"/>
      <c r="X100" s="7"/>
    </row>
    <row r="101" spans="2:24" x14ac:dyDescent="0.25">
      <c r="B101" s="7"/>
      <c r="C101" s="7" t="str" cm="1">
        <f t="array" aca="1" ref="C101" ca="1">IF(OR('Raw Data'!C101="",LEN(TRIM('Raw Data'!C101))=0,Validate_Empty!C101&lt;&gt;"",Validate_Value!C101&lt;&gt;""),"",IF(OR(NOT(OR(LEN(TRIM('Raw Data'!B101:X101))&gt;0)),OR('Raw Data'!C101="",LEN(TRIM('Raw Data'!C101))=0)),"",IF(OR(AND('Raw Data'!B101="Main Contract", LEFT('Raw Data'!C101, LEN("Payment"))="Payment"),AND('Raw Data'!B101="Change Order", LEFT('Raw Data'!C101, LEN("CO Payment No."))="CO Payment No.")),"",_xlfn.REGEXEXTRACT(CELL("address",'Raw Data'!C101),"\$([A-Z]+)\$[0-9]+"))))</f>
        <v/>
      </c>
      <c r="D101" s="7"/>
      <c r="E101" s="7"/>
      <c r="F101" s="7"/>
      <c r="G101" s="7"/>
      <c r="H101" s="7"/>
      <c r="I101" s="7"/>
      <c r="J101" s="7"/>
      <c r="K101" s="7"/>
      <c r="L101" s="7"/>
      <c r="M101" s="7" t="str" cm="1">
        <f t="array" aca="1" ref="M101" ca="1">IF(OR('Raw Data'!M101="",LEN(TRIM('Raw Data'!M101))=0,Validate_Empty!M101&lt;&gt;"",Validate_Value!M101&lt;&gt;""),"",IF(OR(NOT(OR(LEN(TRIM('Raw Data'!B101:X101))&gt;0)),OR('Raw Data'!M101="",LEN(TRIM('Raw Data'!M101))=0)),"",IF('Raw Data'!M101 = SUM('Raw Data'!K101:L101),"",_xlfn.REGEXEXTRACT(CELL("address",'Raw Data'!M101),"\$([A-Z]+)\$[0-9]+"))))</f>
        <v/>
      </c>
      <c r="N101" s="7"/>
      <c r="O101" s="7"/>
      <c r="P101" s="7" t="str" cm="1">
        <f t="array" aca="1" ref="P101" ca="1">IF(OR('Raw Data'!P101="",LEN(TRIM('Raw Data'!P101))=0,Validate_Empty!P101&lt;&gt;"",Validate_Value!P101&lt;&gt;""),"",IF(OR(NOT(OR(LEN(TRIM('Raw Data'!B101:X101))&gt;0)),OR('Raw Data'!P101="",LEN(TRIM('Raw Data'!P101))=0)),"",IF(AND('Raw Data'!J101 + Configuration!$G$2 + 5 &gt;= 'Raw Data'!P101,'Raw Data'!J101 + Configuration!$G$2 - 5 &lt;= 'Raw Data'!P101),"",_xlfn.REGEXEXTRACT(CELL("address",'Raw Data'!P101),"\$([A-Z]+)\$[0-9]+"))))</f>
        <v/>
      </c>
      <c r="Q101" s="7"/>
      <c r="R101" s="7"/>
      <c r="S101" s="7"/>
      <c r="T101" s="7" t="str" cm="1">
        <f t="array" aca="1" ref="T101" ca="1">IF(OR('Raw Data'!T101="",LEN(TRIM('Raw Data'!T101))=0,Validate_Empty!T101&lt;&gt;"",Validate_Value!T101&lt;&gt;""),"",IF(OR(NOT(OR(LEN(TRIM('Raw Data'!B101:X101))&gt;0)),OR('Raw Data'!T101="",LEN(TRIM('Raw Data'!T101))=0)),"",IF('Raw Data'!T101 = SUM('Raw Data'!R101:S101),"",_xlfn.REGEXEXTRACT(CELL("address",'Raw Data'!T101),"\$([A-Z]+)\$[0-9]+"))))</f>
        <v/>
      </c>
      <c r="U101" s="7" t="str" cm="1">
        <f t="array" aca="1" ref="U101" ca="1">IF(OR('Raw Data'!U101="",LEN(TRIM('Raw Data'!U101))=0,Validate_Empty!U101&lt;&gt;"",Validate_Value!U101&lt;&gt;""),"",IF(OR(NOT(OR(LEN(TRIM('Raw Data'!B101:X101))&gt;0)),OR('Raw Data'!T101="",LEN(TRIM('Raw Data'!T101))=0)),"",IF(ISNUMBER(SEARCH('Raw Data'!U101, Configuration!$H$2)),"",_xlfn.REGEXEXTRACT(CELL("address",'Raw Data'!U101),"\$([A-Z]+)\$[0-9]+"))))</f>
        <v/>
      </c>
      <c r="V101" s="7" t="str" cm="1">
        <f t="array" aca="1" ref="V101" ca="1">IF(OR('Raw Data'!V101="",LEN(TRIM('Raw Data'!V101))=0,Validate_Empty!V101&lt;&gt;"",Validate_Value!V101&lt;&gt;""),"",IF(OR(NOT(OR(LEN(TRIM('Raw Data'!B101:X101))&gt;0)),OR('Raw Data'!V101="",LEN(TRIM('Raw Data'!V101))=0)),"",IF('Raw Data'!V101 = Configuration!$I$2,"",_xlfn.REGEXEXTRACT(CELL("address",'Raw Data'!V101),"\$([A-Z]+)\$[0-9]+"))))</f>
        <v/>
      </c>
      <c r="W101" s="7"/>
      <c r="X101" s="7"/>
    </row>
    <row r="102" spans="2:24" x14ac:dyDescent="0.25">
      <c r="B102" s="7"/>
      <c r="C102" s="7" t="str" cm="1">
        <f t="array" aca="1" ref="C102" ca="1">IF(OR('Raw Data'!C102="",LEN(TRIM('Raw Data'!C102))=0,Validate_Empty!C102&lt;&gt;"",Validate_Value!C102&lt;&gt;""),"",IF(OR(NOT(OR(LEN(TRIM('Raw Data'!B102:X102))&gt;0)),OR('Raw Data'!C102="",LEN(TRIM('Raw Data'!C102))=0)),"",IF(OR(AND('Raw Data'!B102="Main Contract", LEFT('Raw Data'!C102, LEN("Payment"))="Payment"),AND('Raw Data'!B102="Change Order", LEFT('Raw Data'!C102, LEN("CO Payment No."))="CO Payment No.")),"",_xlfn.REGEXEXTRACT(CELL("address",'Raw Data'!C102),"\$([A-Z]+)\$[0-9]+"))))</f>
        <v/>
      </c>
      <c r="D102" s="7"/>
      <c r="E102" s="7"/>
      <c r="F102" s="7"/>
      <c r="G102" s="7"/>
      <c r="H102" s="7"/>
      <c r="I102" s="7"/>
      <c r="J102" s="7"/>
      <c r="K102" s="7"/>
      <c r="L102" s="7"/>
      <c r="M102" s="7" t="str" cm="1">
        <f t="array" aca="1" ref="M102" ca="1">IF(OR('Raw Data'!M102="",LEN(TRIM('Raw Data'!M102))=0,Validate_Empty!M102&lt;&gt;"",Validate_Value!M102&lt;&gt;""),"",IF(OR(NOT(OR(LEN(TRIM('Raw Data'!B102:X102))&gt;0)),OR('Raw Data'!M102="",LEN(TRIM('Raw Data'!M102))=0)),"",IF('Raw Data'!M102 = SUM('Raw Data'!K102:L102),"",_xlfn.REGEXEXTRACT(CELL("address",'Raw Data'!M102),"\$([A-Z]+)\$[0-9]+"))))</f>
        <v/>
      </c>
      <c r="N102" s="7"/>
      <c r="O102" s="7"/>
      <c r="P102" s="7" t="str" cm="1">
        <f t="array" aca="1" ref="P102" ca="1">IF(OR('Raw Data'!P102="",LEN(TRIM('Raw Data'!P102))=0,Validate_Empty!P102&lt;&gt;"",Validate_Value!P102&lt;&gt;""),"",IF(OR(NOT(OR(LEN(TRIM('Raw Data'!B102:X102))&gt;0)),OR('Raw Data'!P102="",LEN(TRIM('Raw Data'!P102))=0)),"",IF(AND('Raw Data'!J102 + Configuration!$G$2 + 5 &gt;= 'Raw Data'!P102,'Raw Data'!J102 + Configuration!$G$2 - 5 &lt;= 'Raw Data'!P102),"",_xlfn.REGEXEXTRACT(CELL("address",'Raw Data'!P102),"\$([A-Z]+)\$[0-9]+"))))</f>
        <v/>
      </c>
      <c r="Q102" s="7"/>
      <c r="R102" s="7"/>
      <c r="S102" s="7"/>
      <c r="T102" s="7" t="str" cm="1">
        <f t="array" aca="1" ref="T102" ca="1">IF(OR('Raw Data'!T102="",LEN(TRIM('Raw Data'!T102))=0,Validate_Empty!T102&lt;&gt;"",Validate_Value!T102&lt;&gt;""),"",IF(OR(NOT(OR(LEN(TRIM('Raw Data'!B102:X102))&gt;0)),OR('Raw Data'!T102="",LEN(TRIM('Raw Data'!T102))=0)),"",IF('Raw Data'!T102 = SUM('Raw Data'!R102:S102),"",_xlfn.REGEXEXTRACT(CELL("address",'Raw Data'!T102),"\$([A-Z]+)\$[0-9]+"))))</f>
        <v/>
      </c>
      <c r="U102" s="7" t="str" cm="1">
        <f t="array" aca="1" ref="U102" ca="1">IF(OR('Raw Data'!U102="",LEN(TRIM('Raw Data'!U102))=0,Validate_Empty!U102&lt;&gt;"",Validate_Value!U102&lt;&gt;""),"",IF(OR(NOT(OR(LEN(TRIM('Raw Data'!B102:X102))&gt;0)),OR('Raw Data'!T102="",LEN(TRIM('Raw Data'!T102))=0)),"",IF(ISNUMBER(SEARCH('Raw Data'!U102, Configuration!$H$2)),"",_xlfn.REGEXEXTRACT(CELL("address",'Raw Data'!U102),"\$([A-Z]+)\$[0-9]+"))))</f>
        <v/>
      </c>
      <c r="V102" s="7" t="str" cm="1">
        <f t="array" aca="1" ref="V102" ca="1">IF(OR('Raw Data'!V102="",LEN(TRIM('Raw Data'!V102))=0,Validate_Empty!V102&lt;&gt;"",Validate_Value!V102&lt;&gt;""),"",IF(OR(NOT(OR(LEN(TRIM('Raw Data'!B102:X102))&gt;0)),OR('Raw Data'!V102="",LEN(TRIM('Raw Data'!V102))=0)),"",IF('Raw Data'!V102 = Configuration!$I$2,"",_xlfn.REGEXEXTRACT(CELL("address",'Raw Data'!V102),"\$([A-Z]+)\$[0-9]+"))))</f>
        <v/>
      </c>
      <c r="W102" s="7"/>
      <c r="X102" s="7"/>
    </row>
    <row r="103" spans="2:24" x14ac:dyDescent="0.25">
      <c r="B103" s="7"/>
      <c r="C103" s="7" t="str" cm="1">
        <f t="array" aca="1" ref="C103" ca="1">IF(OR('Raw Data'!C103="",LEN(TRIM('Raw Data'!C103))=0,Validate_Empty!C103&lt;&gt;"",Validate_Value!C103&lt;&gt;""),"",IF(OR(NOT(OR(LEN(TRIM('Raw Data'!B103:X103))&gt;0)),OR('Raw Data'!C103="",LEN(TRIM('Raw Data'!C103))=0)),"",IF(OR(AND('Raw Data'!B103="Main Contract", LEFT('Raw Data'!C103, LEN("Payment"))="Payment"),AND('Raw Data'!B103="Change Order", LEFT('Raw Data'!C103, LEN("CO Payment No."))="CO Payment No.")),"",_xlfn.REGEXEXTRACT(CELL("address",'Raw Data'!C103),"\$([A-Z]+)\$[0-9]+"))))</f>
        <v/>
      </c>
      <c r="D103" s="7"/>
      <c r="E103" s="7"/>
      <c r="F103" s="7"/>
      <c r="G103" s="7"/>
      <c r="H103" s="7"/>
      <c r="I103" s="7"/>
      <c r="J103" s="7"/>
      <c r="K103" s="7"/>
      <c r="L103" s="7"/>
      <c r="M103" s="7" t="str" cm="1">
        <f t="array" aca="1" ref="M103" ca="1">IF(OR('Raw Data'!M103="",LEN(TRIM('Raw Data'!M103))=0,Validate_Empty!M103&lt;&gt;"",Validate_Value!M103&lt;&gt;""),"",IF(OR(NOT(OR(LEN(TRIM('Raw Data'!B103:X103))&gt;0)),OR('Raw Data'!M103="",LEN(TRIM('Raw Data'!M103))=0)),"",IF('Raw Data'!M103 = SUM('Raw Data'!K103:L103),"",_xlfn.REGEXEXTRACT(CELL("address",'Raw Data'!M103),"\$([A-Z]+)\$[0-9]+"))))</f>
        <v/>
      </c>
      <c r="N103" s="7"/>
      <c r="O103" s="7"/>
      <c r="P103" s="7" t="str" cm="1">
        <f t="array" aca="1" ref="P103" ca="1">IF(OR('Raw Data'!P103="",LEN(TRIM('Raw Data'!P103))=0,Validate_Empty!P103&lt;&gt;"",Validate_Value!P103&lt;&gt;""),"",IF(OR(NOT(OR(LEN(TRIM('Raw Data'!B103:X103))&gt;0)),OR('Raw Data'!P103="",LEN(TRIM('Raw Data'!P103))=0)),"",IF(AND('Raw Data'!J103 + Configuration!$G$2 + 5 &gt;= 'Raw Data'!P103,'Raw Data'!J103 + Configuration!$G$2 - 5 &lt;= 'Raw Data'!P103),"",_xlfn.REGEXEXTRACT(CELL("address",'Raw Data'!P103),"\$([A-Z]+)\$[0-9]+"))))</f>
        <v/>
      </c>
      <c r="Q103" s="7"/>
      <c r="R103" s="7"/>
      <c r="S103" s="7"/>
      <c r="T103" s="7" t="str" cm="1">
        <f t="array" aca="1" ref="T103" ca="1">IF(OR('Raw Data'!T103="",LEN(TRIM('Raw Data'!T103))=0,Validate_Empty!T103&lt;&gt;"",Validate_Value!T103&lt;&gt;""),"",IF(OR(NOT(OR(LEN(TRIM('Raw Data'!B103:X103))&gt;0)),OR('Raw Data'!T103="",LEN(TRIM('Raw Data'!T103))=0)),"",IF('Raw Data'!T103 = SUM('Raw Data'!R103:S103),"",_xlfn.REGEXEXTRACT(CELL("address",'Raw Data'!T103),"\$([A-Z]+)\$[0-9]+"))))</f>
        <v/>
      </c>
      <c r="U103" s="7" t="str" cm="1">
        <f t="array" aca="1" ref="U103" ca="1">IF(OR('Raw Data'!U103="",LEN(TRIM('Raw Data'!U103))=0,Validate_Empty!U103&lt;&gt;"",Validate_Value!U103&lt;&gt;""),"",IF(OR(NOT(OR(LEN(TRIM('Raw Data'!B103:X103))&gt;0)),OR('Raw Data'!T103="",LEN(TRIM('Raw Data'!T103))=0)),"",IF(ISNUMBER(SEARCH('Raw Data'!U103, Configuration!$H$2)),"",_xlfn.REGEXEXTRACT(CELL("address",'Raw Data'!U103),"\$([A-Z]+)\$[0-9]+"))))</f>
        <v/>
      </c>
      <c r="V103" s="7" t="str" cm="1">
        <f t="array" aca="1" ref="V103" ca="1">IF(OR('Raw Data'!V103="",LEN(TRIM('Raw Data'!V103))=0,Validate_Empty!V103&lt;&gt;"",Validate_Value!V103&lt;&gt;""),"",IF(OR(NOT(OR(LEN(TRIM('Raw Data'!B103:X103))&gt;0)),OR('Raw Data'!V103="",LEN(TRIM('Raw Data'!V103))=0)),"",IF('Raw Data'!V103 = Configuration!$I$2,"",_xlfn.REGEXEXTRACT(CELL("address",'Raw Data'!V103),"\$([A-Z]+)\$[0-9]+"))))</f>
        <v/>
      </c>
      <c r="W103" s="7"/>
      <c r="X103" s="7"/>
    </row>
    <row r="104" spans="2:24" x14ac:dyDescent="0.25">
      <c r="B104" s="7"/>
      <c r="C104" s="7" t="str" cm="1">
        <f t="array" aca="1" ref="C104" ca="1">IF(OR('Raw Data'!C104="",LEN(TRIM('Raw Data'!C104))=0,Validate_Empty!C104&lt;&gt;"",Validate_Value!C104&lt;&gt;""),"",IF(OR(NOT(OR(LEN(TRIM('Raw Data'!B104:X104))&gt;0)),OR('Raw Data'!C104="",LEN(TRIM('Raw Data'!C104))=0)),"",IF(OR(AND('Raw Data'!B104="Main Contract", LEFT('Raw Data'!C104, LEN("Payment"))="Payment"),AND('Raw Data'!B104="Change Order", LEFT('Raw Data'!C104, LEN("CO Payment No."))="CO Payment No.")),"",_xlfn.REGEXEXTRACT(CELL("address",'Raw Data'!C104),"\$([A-Z]+)\$[0-9]+"))))</f>
        <v/>
      </c>
      <c r="D104" s="7"/>
      <c r="E104" s="7"/>
      <c r="F104" s="7"/>
      <c r="G104" s="7"/>
      <c r="H104" s="7"/>
      <c r="I104" s="7"/>
      <c r="J104" s="7"/>
      <c r="K104" s="7"/>
      <c r="L104" s="7"/>
      <c r="M104" s="7" t="str" cm="1">
        <f t="array" aca="1" ref="M104" ca="1">IF(OR('Raw Data'!M104="",LEN(TRIM('Raw Data'!M104))=0,Validate_Empty!M104&lt;&gt;"",Validate_Value!M104&lt;&gt;""),"",IF(OR(NOT(OR(LEN(TRIM('Raw Data'!B104:X104))&gt;0)),OR('Raw Data'!M104="",LEN(TRIM('Raw Data'!M104))=0)),"",IF('Raw Data'!M104 = SUM('Raw Data'!K104:L104),"",_xlfn.REGEXEXTRACT(CELL("address",'Raw Data'!M104),"\$([A-Z]+)\$[0-9]+"))))</f>
        <v/>
      </c>
      <c r="N104" s="7"/>
      <c r="O104" s="7"/>
      <c r="P104" s="7" t="str" cm="1">
        <f t="array" aca="1" ref="P104" ca="1">IF(OR('Raw Data'!P104="",LEN(TRIM('Raw Data'!P104))=0,Validate_Empty!P104&lt;&gt;"",Validate_Value!P104&lt;&gt;""),"",IF(OR(NOT(OR(LEN(TRIM('Raw Data'!B104:X104))&gt;0)),OR('Raw Data'!P104="",LEN(TRIM('Raw Data'!P104))=0)),"",IF(AND('Raw Data'!J104 + Configuration!$G$2 + 5 &gt;= 'Raw Data'!P104,'Raw Data'!J104 + Configuration!$G$2 - 5 &lt;= 'Raw Data'!P104),"",_xlfn.REGEXEXTRACT(CELL("address",'Raw Data'!P104),"\$([A-Z]+)\$[0-9]+"))))</f>
        <v/>
      </c>
      <c r="Q104" s="7"/>
      <c r="R104" s="7"/>
      <c r="S104" s="7"/>
      <c r="T104" s="7" t="str" cm="1">
        <f t="array" aca="1" ref="T104" ca="1">IF(OR('Raw Data'!T104="",LEN(TRIM('Raw Data'!T104))=0,Validate_Empty!T104&lt;&gt;"",Validate_Value!T104&lt;&gt;""),"",IF(OR(NOT(OR(LEN(TRIM('Raw Data'!B104:X104))&gt;0)),OR('Raw Data'!T104="",LEN(TRIM('Raw Data'!T104))=0)),"",IF('Raw Data'!T104 = SUM('Raw Data'!R104:S104),"",_xlfn.REGEXEXTRACT(CELL("address",'Raw Data'!T104),"\$([A-Z]+)\$[0-9]+"))))</f>
        <v/>
      </c>
      <c r="U104" s="7" t="str" cm="1">
        <f t="array" aca="1" ref="U104" ca="1">IF(OR('Raw Data'!U104="",LEN(TRIM('Raw Data'!U104))=0,Validate_Empty!U104&lt;&gt;"",Validate_Value!U104&lt;&gt;""),"",IF(OR(NOT(OR(LEN(TRIM('Raw Data'!B104:X104))&gt;0)),OR('Raw Data'!T104="",LEN(TRIM('Raw Data'!T104))=0)),"",IF(ISNUMBER(SEARCH('Raw Data'!U104, Configuration!$H$2)),"",_xlfn.REGEXEXTRACT(CELL("address",'Raw Data'!U104),"\$([A-Z]+)\$[0-9]+"))))</f>
        <v/>
      </c>
      <c r="V104" s="7" t="str" cm="1">
        <f t="array" aca="1" ref="V104" ca="1">IF(OR('Raw Data'!V104="",LEN(TRIM('Raw Data'!V104))=0,Validate_Empty!V104&lt;&gt;"",Validate_Value!V104&lt;&gt;""),"",IF(OR(NOT(OR(LEN(TRIM('Raw Data'!B104:X104))&gt;0)),OR('Raw Data'!V104="",LEN(TRIM('Raw Data'!V104))=0)),"",IF('Raw Data'!V104 = Configuration!$I$2,"",_xlfn.REGEXEXTRACT(CELL("address",'Raw Data'!V104),"\$([A-Z]+)\$[0-9]+"))))</f>
        <v/>
      </c>
      <c r="W104" s="7"/>
      <c r="X104" s="7"/>
    </row>
    <row r="105" spans="2:24" x14ac:dyDescent="0.25">
      <c r="B105" s="7"/>
      <c r="C105" s="7" t="str" cm="1">
        <f t="array" aca="1" ref="C105" ca="1">IF(OR('Raw Data'!C105="",LEN(TRIM('Raw Data'!C105))=0,Validate_Empty!C105&lt;&gt;"",Validate_Value!C105&lt;&gt;""),"",IF(OR(NOT(OR(LEN(TRIM('Raw Data'!B105:X105))&gt;0)),OR('Raw Data'!C105="",LEN(TRIM('Raw Data'!C105))=0)),"",IF(OR(AND('Raw Data'!B105="Main Contract", LEFT('Raw Data'!C105, LEN("Payment"))="Payment"),AND('Raw Data'!B105="Change Order", LEFT('Raw Data'!C105, LEN("CO Payment No."))="CO Payment No.")),"",_xlfn.REGEXEXTRACT(CELL("address",'Raw Data'!C105),"\$([A-Z]+)\$[0-9]+"))))</f>
        <v/>
      </c>
      <c r="D105" s="7"/>
      <c r="E105" s="7"/>
      <c r="F105" s="7"/>
      <c r="G105" s="7"/>
      <c r="H105" s="7"/>
      <c r="I105" s="7"/>
      <c r="J105" s="7"/>
      <c r="K105" s="7"/>
      <c r="L105" s="7"/>
      <c r="M105" s="7" t="str" cm="1">
        <f t="array" aca="1" ref="M105" ca="1">IF(OR('Raw Data'!M105="",LEN(TRIM('Raw Data'!M105))=0,Validate_Empty!M105&lt;&gt;"",Validate_Value!M105&lt;&gt;""),"",IF(OR(NOT(OR(LEN(TRIM('Raw Data'!B105:X105))&gt;0)),OR('Raw Data'!M105="",LEN(TRIM('Raw Data'!M105))=0)),"",IF('Raw Data'!M105 = SUM('Raw Data'!K105:L105),"",_xlfn.REGEXEXTRACT(CELL("address",'Raw Data'!M105),"\$([A-Z]+)\$[0-9]+"))))</f>
        <v/>
      </c>
      <c r="N105" s="7"/>
      <c r="O105" s="7"/>
      <c r="P105" s="7" t="str" cm="1">
        <f t="array" aca="1" ref="P105" ca="1">IF(OR('Raw Data'!P105="",LEN(TRIM('Raw Data'!P105))=0,Validate_Empty!P105&lt;&gt;"",Validate_Value!P105&lt;&gt;""),"",IF(OR(NOT(OR(LEN(TRIM('Raw Data'!B105:X105))&gt;0)),OR('Raw Data'!P105="",LEN(TRIM('Raw Data'!P105))=0)),"",IF(AND('Raw Data'!J105 + Configuration!$G$2 + 5 &gt;= 'Raw Data'!P105,'Raw Data'!J105 + Configuration!$G$2 - 5 &lt;= 'Raw Data'!P105),"",_xlfn.REGEXEXTRACT(CELL("address",'Raw Data'!P105),"\$([A-Z]+)\$[0-9]+"))))</f>
        <v/>
      </c>
      <c r="Q105" s="7"/>
      <c r="R105" s="7"/>
      <c r="S105" s="7"/>
      <c r="T105" s="7" t="str" cm="1">
        <f t="array" aca="1" ref="T105" ca="1">IF(OR('Raw Data'!T105="",LEN(TRIM('Raw Data'!T105))=0,Validate_Empty!T105&lt;&gt;"",Validate_Value!T105&lt;&gt;""),"",IF(OR(NOT(OR(LEN(TRIM('Raw Data'!B105:X105))&gt;0)),OR('Raw Data'!T105="",LEN(TRIM('Raw Data'!T105))=0)),"",IF('Raw Data'!T105 = SUM('Raw Data'!R105:S105),"",_xlfn.REGEXEXTRACT(CELL("address",'Raw Data'!T105),"\$([A-Z]+)\$[0-9]+"))))</f>
        <v/>
      </c>
      <c r="U105" s="7" t="str" cm="1">
        <f t="array" aca="1" ref="U105" ca="1">IF(OR('Raw Data'!U105="",LEN(TRIM('Raw Data'!U105))=0,Validate_Empty!U105&lt;&gt;"",Validate_Value!U105&lt;&gt;""),"",IF(OR(NOT(OR(LEN(TRIM('Raw Data'!B105:X105))&gt;0)),OR('Raw Data'!T105="",LEN(TRIM('Raw Data'!T105))=0)),"",IF(ISNUMBER(SEARCH('Raw Data'!U105, Configuration!$H$2)),"",_xlfn.REGEXEXTRACT(CELL("address",'Raw Data'!U105),"\$([A-Z]+)\$[0-9]+"))))</f>
        <v/>
      </c>
      <c r="V105" s="7" t="str" cm="1">
        <f t="array" aca="1" ref="V105" ca="1">IF(OR('Raw Data'!V105="",LEN(TRIM('Raw Data'!V105))=0,Validate_Empty!V105&lt;&gt;"",Validate_Value!V105&lt;&gt;""),"",IF(OR(NOT(OR(LEN(TRIM('Raw Data'!B105:X105))&gt;0)),OR('Raw Data'!V105="",LEN(TRIM('Raw Data'!V105))=0)),"",IF('Raw Data'!V105 = Configuration!$I$2,"",_xlfn.REGEXEXTRACT(CELL("address",'Raw Data'!V105),"\$([A-Z]+)\$[0-9]+"))))</f>
        <v/>
      </c>
      <c r="W105" s="7"/>
      <c r="X105" s="7"/>
    </row>
    <row r="106" spans="2:24" x14ac:dyDescent="0.25">
      <c r="B106" s="7"/>
      <c r="C106" s="7" t="str" cm="1">
        <f t="array" aca="1" ref="C106" ca="1">IF(OR('Raw Data'!C106="",LEN(TRIM('Raw Data'!C106))=0,Validate_Empty!C106&lt;&gt;"",Validate_Value!C106&lt;&gt;""),"",IF(OR(NOT(OR(LEN(TRIM('Raw Data'!B106:X106))&gt;0)),OR('Raw Data'!C106="",LEN(TRIM('Raw Data'!C106))=0)),"",IF(OR(AND('Raw Data'!B106="Main Contract", LEFT('Raw Data'!C106, LEN("Payment"))="Payment"),AND('Raw Data'!B106="Change Order", LEFT('Raw Data'!C106, LEN("CO Payment No."))="CO Payment No.")),"",_xlfn.REGEXEXTRACT(CELL("address",'Raw Data'!C106),"\$([A-Z]+)\$[0-9]+"))))</f>
        <v/>
      </c>
      <c r="D106" s="7"/>
      <c r="E106" s="7"/>
      <c r="F106" s="7"/>
      <c r="G106" s="7"/>
      <c r="H106" s="7"/>
      <c r="I106" s="7"/>
      <c r="J106" s="7"/>
      <c r="K106" s="7"/>
      <c r="L106" s="7"/>
      <c r="M106" s="7" t="str" cm="1">
        <f t="array" aca="1" ref="M106" ca="1">IF(OR('Raw Data'!M106="",LEN(TRIM('Raw Data'!M106))=0,Validate_Empty!M106&lt;&gt;"",Validate_Value!M106&lt;&gt;""),"",IF(OR(NOT(OR(LEN(TRIM('Raw Data'!B106:X106))&gt;0)),OR('Raw Data'!M106="",LEN(TRIM('Raw Data'!M106))=0)),"",IF('Raw Data'!M106 = SUM('Raw Data'!K106:L106),"",_xlfn.REGEXEXTRACT(CELL("address",'Raw Data'!M106),"\$([A-Z]+)\$[0-9]+"))))</f>
        <v/>
      </c>
      <c r="N106" s="7"/>
      <c r="O106" s="7"/>
      <c r="P106" s="7" t="str" cm="1">
        <f t="array" aca="1" ref="P106" ca="1">IF(OR('Raw Data'!P106="",LEN(TRIM('Raw Data'!P106))=0,Validate_Empty!P106&lt;&gt;"",Validate_Value!P106&lt;&gt;""),"",IF(OR(NOT(OR(LEN(TRIM('Raw Data'!B106:X106))&gt;0)),OR('Raw Data'!P106="",LEN(TRIM('Raw Data'!P106))=0)),"",IF(AND('Raw Data'!J106 + Configuration!$G$2 + 5 &gt;= 'Raw Data'!P106,'Raw Data'!J106 + Configuration!$G$2 - 5 &lt;= 'Raw Data'!P106),"",_xlfn.REGEXEXTRACT(CELL("address",'Raw Data'!P106),"\$([A-Z]+)\$[0-9]+"))))</f>
        <v/>
      </c>
      <c r="Q106" s="7"/>
      <c r="R106" s="7"/>
      <c r="S106" s="7"/>
      <c r="T106" s="7" t="str" cm="1">
        <f t="array" aca="1" ref="T106" ca="1">IF(OR('Raw Data'!T106="",LEN(TRIM('Raw Data'!T106))=0,Validate_Empty!T106&lt;&gt;"",Validate_Value!T106&lt;&gt;""),"",IF(OR(NOT(OR(LEN(TRIM('Raw Data'!B106:X106))&gt;0)),OR('Raw Data'!T106="",LEN(TRIM('Raw Data'!T106))=0)),"",IF('Raw Data'!T106 = SUM('Raw Data'!R106:S106),"",_xlfn.REGEXEXTRACT(CELL("address",'Raw Data'!T106),"\$([A-Z]+)\$[0-9]+"))))</f>
        <v/>
      </c>
      <c r="U106" s="7" t="str" cm="1">
        <f t="array" aca="1" ref="U106" ca="1">IF(OR('Raw Data'!U106="",LEN(TRIM('Raw Data'!U106))=0,Validate_Empty!U106&lt;&gt;"",Validate_Value!U106&lt;&gt;""),"",IF(OR(NOT(OR(LEN(TRIM('Raw Data'!B106:X106))&gt;0)),OR('Raw Data'!T106="",LEN(TRIM('Raw Data'!T106))=0)),"",IF(ISNUMBER(SEARCH('Raw Data'!U106, Configuration!$H$2)),"",_xlfn.REGEXEXTRACT(CELL("address",'Raw Data'!U106),"\$([A-Z]+)\$[0-9]+"))))</f>
        <v/>
      </c>
      <c r="V106" s="7" t="str" cm="1">
        <f t="array" aca="1" ref="V106" ca="1">IF(OR('Raw Data'!V106="",LEN(TRIM('Raw Data'!V106))=0,Validate_Empty!V106&lt;&gt;"",Validate_Value!V106&lt;&gt;""),"",IF(OR(NOT(OR(LEN(TRIM('Raw Data'!B106:X106))&gt;0)),OR('Raw Data'!V106="",LEN(TRIM('Raw Data'!V106))=0)),"",IF('Raw Data'!V106 = Configuration!$I$2,"",_xlfn.REGEXEXTRACT(CELL("address",'Raw Data'!V106),"\$([A-Z]+)\$[0-9]+"))))</f>
        <v/>
      </c>
      <c r="W106" s="7"/>
      <c r="X106" s="7"/>
    </row>
    <row r="107" spans="2:24" x14ac:dyDescent="0.25">
      <c r="B107" s="7"/>
      <c r="C107" s="7" t="str" cm="1">
        <f t="array" aca="1" ref="C107" ca="1">IF(OR('Raw Data'!C107="",LEN(TRIM('Raw Data'!C107))=0,Validate_Empty!C107&lt;&gt;"",Validate_Value!C107&lt;&gt;""),"",IF(OR(NOT(OR(LEN(TRIM('Raw Data'!B107:X107))&gt;0)),OR('Raw Data'!C107="",LEN(TRIM('Raw Data'!C107))=0)),"",IF(OR(AND('Raw Data'!B107="Main Contract", LEFT('Raw Data'!C107, LEN("Payment"))="Payment"),AND('Raw Data'!B107="Change Order", LEFT('Raw Data'!C107, LEN("CO Payment No."))="CO Payment No.")),"",_xlfn.REGEXEXTRACT(CELL("address",'Raw Data'!C107),"\$([A-Z]+)\$[0-9]+"))))</f>
        <v/>
      </c>
      <c r="D107" s="7"/>
      <c r="E107" s="7"/>
      <c r="F107" s="7"/>
      <c r="G107" s="7"/>
      <c r="H107" s="7"/>
      <c r="I107" s="7"/>
      <c r="J107" s="7"/>
      <c r="K107" s="7"/>
      <c r="L107" s="7"/>
      <c r="M107" s="7" t="str" cm="1">
        <f t="array" aca="1" ref="M107" ca="1">IF(OR('Raw Data'!M107="",LEN(TRIM('Raw Data'!M107))=0,Validate_Empty!M107&lt;&gt;"",Validate_Value!M107&lt;&gt;""),"",IF(OR(NOT(OR(LEN(TRIM('Raw Data'!B107:X107))&gt;0)),OR('Raw Data'!M107="",LEN(TRIM('Raw Data'!M107))=0)),"",IF('Raw Data'!M107 = SUM('Raw Data'!K107:L107),"",_xlfn.REGEXEXTRACT(CELL("address",'Raw Data'!M107),"\$([A-Z]+)\$[0-9]+"))))</f>
        <v/>
      </c>
      <c r="N107" s="7"/>
      <c r="O107" s="7"/>
      <c r="P107" s="7" t="str" cm="1">
        <f t="array" aca="1" ref="P107" ca="1">IF(OR('Raw Data'!P107="",LEN(TRIM('Raw Data'!P107))=0,Validate_Empty!P107&lt;&gt;"",Validate_Value!P107&lt;&gt;""),"",IF(OR(NOT(OR(LEN(TRIM('Raw Data'!B107:X107))&gt;0)),OR('Raw Data'!P107="",LEN(TRIM('Raw Data'!P107))=0)),"",IF(AND('Raw Data'!J107 + Configuration!$G$2 + 5 &gt;= 'Raw Data'!P107,'Raw Data'!J107 + Configuration!$G$2 - 5 &lt;= 'Raw Data'!P107),"",_xlfn.REGEXEXTRACT(CELL("address",'Raw Data'!P107),"\$([A-Z]+)\$[0-9]+"))))</f>
        <v/>
      </c>
      <c r="Q107" s="7"/>
      <c r="R107" s="7"/>
      <c r="S107" s="7"/>
      <c r="T107" s="7" t="str" cm="1">
        <f t="array" aca="1" ref="T107" ca="1">IF(OR('Raw Data'!T107="",LEN(TRIM('Raw Data'!T107))=0,Validate_Empty!T107&lt;&gt;"",Validate_Value!T107&lt;&gt;""),"",IF(OR(NOT(OR(LEN(TRIM('Raw Data'!B107:X107))&gt;0)),OR('Raw Data'!T107="",LEN(TRIM('Raw Data'!T107))=0)),"",IF('Raw Data'!T107 = SUM('Raw Data'!R107:S107),"",_xlfn.REGEXEXTRACT(CELL("address",'Raw Data'!T107),"\$([A-Z]+)\$[0-9]+"))))</f>
        <v/>
      </c>
      <c r="U107" s="7" t="str" cm="1">
        <f t="array" aca="1" ref="U107" ca="1">IF(OR('Raw Data'!U107="",LEN(TRIM('Raw Data'!U107))=0,Validate_Empty!U107&lt;&gt;"",Validate_Value!U107&lt;&gt;""),"",IF(OR(NOT(OR(LEN(TRIM('Raw Data'!B107:X107))&gt;0)),OR('Raw Data'!T107="",LEN(TRIM('Raw Data'!T107))=0)),"",IF(ISNUMBER(SEARCH('Raw Data'!U107, Configuration!$H$2)),"",_xlfn.REGEXEXTRACT(CELL("address",'Raw Data'!U107),"\$([A-Z]+)\$[0-9]+"))))</f>
        <v/>
      </c>
      <c r="V107" s="7" t="str" cm="1">
        <f t="array" aca="1" ref="V107" ca="1">IF(OR('Raw Data'!V107="",LEN(TRIM('Raw Data'!V107))=0,Validate_Empty!V107&lt;&gt;"",Validate_Value!V107&lt;&gt;""),"",IF(OR(NOT(OR(LEN(TRIM('Raw Data'!B107:X107))&gt;0)),OR('Raw Data'!V107="",LEN(TRIM('Raw Data'!V107))=0)),"",IF('Raw Data'!V107 = Configuration!$I$2,"",_xlfn.REGEXEXTRACT(CELL("address",'Raw Data'!V107),"\$([A-Z]+)\$[0-9]+"))))</f>
        <v/>
      </c>
      <c r="W107" s="7"/>
      <c r="X107" s="7"/>
    </row>
    <row r="108" spans="2:24" x14ac:dyDescent="0.25">
      <c r="B108" s="7"/>
      <c r="C108" s="7" t="str" cm="1">
        <f t="array" aca="1" ref="C108" ca="1">IF(OR('Raw Data'!C108="",LEN(TRIM('Raw Data'!C108))=0,Validate_Empty!C108&lt;&gt;"",Validate_Value!C108&lt;&gt;""),"",IF(OR(NOT(OR(LEN(TRIM('Raw Data'!B108:X108))&gt;0)),OR('Raw Data'!C108="",LEN(TRIM('Raw Data'!C108))=0)),"",IF(OR(AND('Raw Data'!B108="Main Contract", LEFT('Raw Data'!C108, LEN("Payment"))="Payment"),AND('Raw Data'!B108="Change Order", LEFT('Raw Data'!C108, LEN("CO Payment No."))="CO Payment No.")),"",_xlfn.REGEXEXTRACT(CELL("address",'Raw Data'!C108),"\$([A-Z]+)\$[0-9]+"))))</f>
        <v/>
      </c>
      <c r="D108" s="7"/>
      <c r="E108" s="7"/>
      <c r="F108" s="7"/>
      <c r="G108" s="7"/>
      <c r="H108" s="7"/>
      <c r="I108" s="7"/>
      <c r="J108" s="7"/>
      <c r="K108" s="7"/>
      <c r="L108" s="7"/>
      <c r="M108" s="7" t="str" cm="1">
        <f t="array" aca="1" ref="M108" ca="1">IF(OR('Raw Data'!M108="",LEN(TRIM('Raw Data'!M108))=0,Validate_Empty!M108&lt;&gt;"",Validate_Value!M108&lt;&gt;""),"",IF(OR(NOT(OR(LEN(TRIM('Raw Data'!B108:X108))&gt;0)),OR('Raw Data'!M108="",LEN(TRIM('Raw Data'!M108))=0)),"",IF('Raw Data'!M108 = SUM('Raw Data'!K108:L108),"",_xlfn.REGEXEXTRACT(CELL("address",'Raw Data'!M108),"\$([A-Z]+)\$[0-9]+"))))</f>
        <v/>
      </c>
      <c r="N108" s="7"/>
      <c r="O108" s="7"/>
      <c r="P108" s="7" t="str" cm="1">
        <f t="array" aca="1" ref="P108" ca="1">IF(OR('Raw Data'!P108="",LEN(TRIM('Raw Data'!P108))=0,Validate_Empty!P108&lt;&gt;"",Validate_Value!P108&lt;&gt;""),"",IF(OR(NOT(OR(LEN(TRIM('Raw Data'!B108:X108))&gt;0)),OR('Raw Data'!P108="",LEN(TRIM('Raw Data'!P108))=0)),"",IF(AND('Raw Data'!J108 + Configuration!$G$2 + 5 &gt;= 'Raw Data'!P108,'Raw Data'!J108 + Configuration!$G$2 - 5 &lt;= 'Raw Data'!P108),"",_xlfn.REGEXEXTRACT(CELL("address",'Raw Data'!P108),"\$([A-Z]+)\$[0-9]+"))))</f>
        <v/>
      </c>
      <c r="Q108" s="7"/>
      <c r="R108" s="7"/>
      <c r="S108" s="7"/>
      <c r="T108" s="7" t="str" cm="1">
        <f t="array" aca="1" ref="T108" ca="1">IF(OR('Raw Data'!T108="",LEN(TRIM('Raw Data'!T108))=0,Validate_Empty!T108&lt;&gt;"",Validate_Value!T108&lt;&gt;""),"",IF(OR(NOT(OR(LEN(TRIM('Raw Data'!B108:X108))&gt;0)),OR('Raw Data'!T108="",LEN(TRIM('Raw Data'!T108))=0)),"",IF('Raw Data'!T108 = SUM('Raw Data'!R108:S108),"",_xlfn.REGEXEXTRACT(CELL("address",'Raw Data'!T108),"\$([A-Z]+)\$[0-9]+"))))</f>
        <v/>
      </c>
      <c r="U108" s="7" t="str" cm="1">
        <f t="array" aca="1" ref="U108" ca="1">IF(OR('Raw Data'!U108="",LEN(TRIM('Raw Data'!U108))=0,Validate_Empty!U108&lt;&gt;"",Validate_Value!U108&lt;&gt;""),"",IF(OR(NOT(OR(LEN(TRIM('Raw Data'!B108:X108))&gt;0)),OR('Raw Data'!T108="",LEN(TRIM('Raw Data'!T108))=0)),"",IF(ISNUMBER(SEARCH('Raw Data'!U108, Configuration!$H$2)),"",_xlfn.REGEXEXTRACT(CELL("address",'Raw Data'!U108),"\$([A-Z]+)\$[0-9]+"))))</f>
        <v/>
      </c>
      <c r="V108" s="7" t="str" cm="1">
        <f t="array" aca="1" ref="V108" ca="1">IF(OR('Raw Data'!V108="",LEN(TRIM('Raw Data'!V108))=0,Validate_Empty!V108&lt;&gt;"",Validate_Value!V108&lt;&gt;""),"",IF(OR(NOT(OR(LEN(TRIM('Raw Data'!B108:X108))&gt;0)),OR('Raw Data'!V108="",LEN(TRIM('Raw Data'!V108))=0)),"",IF('Raw Data'!V108 = Configuration!$I$2,"",_xlfn.REGEXEXTRACT(CELL("address",'Raw Data'!V108),"\$([A-Z]+)\$[0-9]+"))))</f>
        <v/>
      </c>
      <c r="W108" s="7"/>
      <c r="X108" s="7"/>
    </row>
    <row r="109" spans="2:24" x14ac:dyDescent="0.25">
      <c r="B109" s="7"/>
      <c r="C109" s="7" t="str" cm="1">
        <f t="array" aca="1" ref="C109" ca="1">IF(OR('Raw Data'!C109="",LEN(TRIM('Raw Data'!C109))=0,Validate_Empty!C109&lt;&gt;"",Validate_Value!C109&lt;&gt;""),"",IF(OR(NOT(OR(LEN(TRIM('Raw Data'!B109:X109))&gt;0)),OR('Raw Data'!C109="",LEN(TRIM('Raw Data'!C109))=0)),"",IF(OR(AND('Raw Data'!B109="Main Contract", LEFT('Raw Data'!C109, LEN("Payment"))="Payment"),AND('Raw Data'!B109="Change Order", LEFT('Raw Data'!C109, LEN("CO Payment No."))="CO Payment No.")),"",_xlfn.REGEXEXTRACT(CELL("address",'Raw Data'!C109),"\$([A-Z]+)\$[0-9]+"))))</f>
        <v/>
      </c>
      <c r="D109" s="7"/>
      <c r="E109" s="7"/>
      <c r="F109" s="7"/>
      <c r="G109" s="7"/>
      <c r="H109" s="7"/>
      <c r="I109" s="7"/>
      <c r="J109" s="7"/>
      <c r="K109" s="7"/>
      <c r="L109" s="7"/>
      <c r="M109" s="7" t="str" cm="1">
        <f t="array" aca="1" ref="M109" ca="1">IF(OR('Raw Data'!M109="",LEN(TRIM('Raw Data'!M109))=0,Validate_Empty!M109&lt;&gt;"",Validate_Value!M109&lt;&gt;""),"",IF(OR(NOT(OR(LEN(TRIM('Raw Data'!B109:X109))&gt;0)),OR('Raw Data'!M109="",LEN(TRIM('Raw Data'!M109))=0)),"",IF('Raw Data'!M109 = SUM('Raw Data'!K109:L109),"",_xlfn.REGEXEXTRACT(CELL("address",'Raw Data'!M109),"\$([A-Z]+)\$[0-9]+"))))</f>
        <v/>
      </c>
      <c r="N109" s="7"/>
      <c r="O109" s="7"/>
      <c r="P109" s="7" t="str" cm="1">
        <f t="array" aca="1" ref="P109" ca="1">IF(OR('Raw Data'!P109="",LEN(TRIM('Raw Data'!P109))=0,Validate_Empty!P109&lt;&gt;"",Validate_Value!P109&lt;&gt;""),"",IF(OR(NOT(OR(LEN(TRIM('Raw Data'!B109:X109))&gt;0)),OR('Raw Data'!P109="",LEN(TRIM('Raw Data'!P109))=0)),"",IF(AND('Raw Data'!J109 + Configuration!$G$2 + 5 &gt;= 'Raw Data'!P109,'Raw Data'!J109 + Configuration!$G$2 - 5 &lt;= 'Raw Data'!P109),"",_xlfn.REGEXEXTRACT(CELL("address",'Raw Data'!P109),"\$([A-Z]+)\$[0-9]+"))))</f>
        <v/>
      </c>
      <c r="Q109" s="7"/>
      <c r="R109" s="7"/>
      <c r="S109" s="7"/>
      <c r="T109" s="7" t="str" cm="1">
        <f t="array" aca="1" ref="T109" ca="1">IF(OR('Raw Data'!T109="",LEN(TRIM('Raw Data'!T109))=0,Validate_Empty!T109&lt;&gt;"",Validate_Value!T109&lt;&gt;""),"",IF(OR(NOT(OR(LEN(TRIM('Raw Data'!B109:X109))&gt;0)),OR('Raw Data'!T109="",LEN(TRIM('Raw Data'!T109))=0)),"",IF('Raw Data'!T109 = SUM('Raw Data'!R109:S109),"",_xlfn.REGEXEXTRACT(CELL("address",'Raw Data'!T109),"\$([A-Z]+)\$[0-9]+"))))</f>
        <v/>
      </c>
      <c r="U109" s="7" t="str" cm="1">
        <f t="array" aca="1" ref="U109" ca="1">IF(OR('Raw Data'!U109="",LEN(TRIM('Raw Data'!U109))=0,Validate_Empty!U109&lt;&gt;"",Validate_Value!U109&lt;&gt;""),"",IF(OR(NOT(OR(LEN(TRIM('Raw Data'!B109:X109))&gt;0)),OR('Raw Data'!T109="",LEN(TRIM('Raw Data'!T109))=0)),"",IF(ISNUMBER(SEARCH('Raw Data'!U109, Configuration!$H$2)),"",_xlfn.REGEXEXTRACT(CELL("address",'Raw Data'!U109),"\$([A-Z]+)\$[0-9]+"))))</f>
        <v/>
      </c>
      <c r="V109" s="7" t="str" cm="1">
        <f t="array" aca="1" ref="V109" ca="1">IF(OR('Raw Data'!V109="",LEN(TRIM('Raw Data'!V109))=0,Validate_Empty!V109&lt;&gt;"",Validate_Value!V109&lt;&gt;""),"",IF(OR(NOT(OR(LEN(TRIM('Raw Data'!B109:X109))&gt;0)),OR('Raw Data'!V109="",LEN(TRIM('Raw Data'!V109))=0)),"",IF('Raw Data'!V109 = Configuration!$I$2,"",_xlfn.REGEXEXTRACT(CELL("address",'Raw Data'!V109),"\$([A-Z]+)\$[0-9]+"))))</f>
        <v/>
      </c>
      <c r="W109" s="7"/>
      <c r="X109" s="7"/>
    </row>
    <row r="110" spans="2:24" x14ac:dyDescent="0.25">
      <c r="B110" s="7"/>
      <c r="C110" s="7" t="str" cm="1">
        <f t="array" aca="1" ref="C110" ca="1">IF(OR('Raw Data'!C110="",LEN(TRIM('Raw Data'!C110))=0,Validate_Empty!C110&lt;&gt;"",Validate_Value!C110&lt;&gt;""),"",IF(OR(NOT(OR(LEN(TRIM('Raw Data'!B110:X110))&gt;0)),OR('Raw Data'!C110="",LEN(TRIM('Raw Data'!C110))=0)),"",IF(OR(AND('Raw Data'!B110="Main Contract", LEFT('Raw Data'!C110, LEN("Payment"))="Payment"),AND('Raw Data'!B110="Change Order", LEFT('Raw Data'!C110, LEN("CO Payment No."))="CO Payment No.")),"",_xlfn.REGEXEXTRACT(CELL("address",'Raw Data'!C110),"\$([A-Z]+)\$[0-9]+"))))</f>
        <v/>
      </c>
      <c r="D110" s="7"/>
      <c r="E110" s="7"/>
      <c r="F110" s="7"/>
      <c r="G110" s="7"/>
      <c r="H110" s="7"/>
      <c r="I110" s="7"/>
      <c r="J110" s="7"/>
      <c r="K110" s="7"/>
      <c r="L110" s="7"/>
      <c r="M110" s="7" t="str" cm="1">
        <f t="array" aca="1" ref="M110" ca="1">IF(OR('Raw Data'!M110="",LEN(TRIM('Raw Data'!M110))=0,Validate_Empty!M110&lt;&gt;"",Validate_Value!M110&lt;&gt;""),"",IF(OR(NOT(OR(LEN(TRIM('Raw Data'!B110:X110))&gt;0)),OR('Raw Data'!M110="",LEN(TRIM('Raw Data'!M110))=0)),"",IF('Raw Data'!M110 = SUM('Raw Data'!K110:L110),"",_xlfn.REGEXEXTRACT(CELL("address",'Raw Data'!M110),"\$([A-Z]+)\$[0-9]+"))))</f>
        <v/>
      </c>
      <c r="N110" s="7"/>
      <c r="O110" s="7"/>
      <c r="P110" s="7" t="str" cm="1">
        <f t="array" aca="1" ref="P110" ca="1">IF(OR('Raw Data'!P110="",LEN(TRIM('Raw Data'!P110))=0,Validate_Empty!P110&lt;&gt;"",Validate_Value!P110&lt;&gt;""),"",IF(OR(NOT(OR(LEN(TRIM('Raw Data'!B110:X110))&gt;0)),OR('Raw Data'!P110="",LEN(TRIM('Raw Data'!P110))=0)),"",IF(AND('Raw Data'!J110 + Configuration!$G$2 + 5 &gt;= 'Raw Data'!P110,'Raw Data'!J110 + Configuration!$G$2 - 5 &lt;= 'Raw Data'!P110),"",_xlfn.REGEXEXTRACT(CELL("address",'Raw Data'!P110),"\$([A-Z]+)\$[0-9]+"))))</f>
        <v/>
      </c>
      <c r="Q110" s="7"/>
      <c r="R110" s="7"/>
      <c r="S110" s="7"/>
      <c r="T110" s="7" t="str" cm="1">
        <f t="array" aca="1" ref="T110" ca="1">IF(OR('Raw Data'!T110="",LEN(TRIM('Raw Data'!T110))=0,Validate_Empty!T110&lt;&gt;"",Validate_Value!T110&lt;&gt;""),"",IF(OR(NOT(OR(LEN(TRIM('Raw Data'!B110:X110))&gt;0)),OR('Raw Data'!T110="",LEN(TRIM('Raw Data'!T110))=0)),"",IF('Raw Data'!T110 = SUM('Raw Data'!R110:S110),"",_xlfn.REGEXEXTRACT(CELL("address",'Raw Data'!T110),"\$([A-Z]+)\$[0-9]+"))))</f>
        <v/>
      </c>
      <c r="U110" s="7" t="str" cm="1">
        <f t="array" aca="1" ref="U110" ca="1">IF(OR('Raw Data'!U110="",LEN(TRIM('Raw Data'!U110))=0,Validate_Empty!U110&lt;&gt;"",Validate_Value!U110&lt;&gt;""),"",IF(OR(NOT(OR(LEN(TRIM('Raw Data'!B110:X110))&gt;0)),OR('Raw Data'!T110="",LEN(TRIM('Raw Data'!T110))=0)),"",IF(ISNUMBER(SEARCH('Raw Data'!U110, Configuration!$H$2)),"",_xlfn.REGEXEXTRACT(CELL("address",'Raw Data'!U110),"\$([A-Z]+)\$[0-9]+"))))</f>
        <v/>
      </c>
      <c r="V110" s="7" t="str" cm="1">
        <f t="array" aca="1" ref="V110" ca="1">IF(OR('Raw Data'!V110="",LEN(TRIM('Raw Data'!V110))=0,Validate_Empty!V110&lt;&gt;"",Validate_Value!V110&lt;&gt;""),"",IF(OR(NOT(OR(LEN(TRIM('Raw Data'!B110:X110))&gt;0)),OR('Raw Data'!V110="",LEN(TRIM('Raw Data'!V110))=0)),"",IF('Raw Data'!V110 = Configuration!$I$2,"",_xlfn.REGEXEXTRACT(CELL("address",'Raw Data'!V110),"\$([A-Z]+)\$[0-9]+"))))</f>
        <v/>
      </c>
      <c r="W110" s="7"/>
      <c r="X110" s="7"/>
    </row>
    <row r="111" spans="2:24" x14ac:dyDescent="0.25">
      <c r="B111" s="7"/>
      <c r="C111" s="7" t="str" cm="1">
        <f t="array" aca="1" ref="C111" ca="1">IF(OR('Raw Data'!C111="",LEN(TRIM('Raw Data'!C111))=0,Validate_Empty!C111&lt;&gt;"",Validate_Value!C111&lt;&gt;""),"",IF(OR(NOT(OR(LEN(TRIM('Raw Data'!B111:X111))&gt;0)),OR('Raw Data'!C111="",LEN(TRIM('Raw Data'!C111))=0)),"",IF(OR(AND('Raw Data'!B111="Main Contract", LEFT('Raw Data'!C111, LEN("Payment"))="Payment"),AND('Raw Data'!B111="Change Order", LEFT('Raw Data'!C111, LEN("CO Payment No."))="CO Payment No.")),"",_xlfn.REGEXEXTRACT(CELL("address",'Raw Data'!C111),"\$([A-Z]+)\$[0-9]+"))))</f>
        <v/>
      </c>
      <c r="D111" s="7"/>
      <c r="E111" s="7"/>
      <c r="F111" s="7"/>
      <c r="G111" s="7"/>
      <c r="H111" s="7"/>
      <c r="I111" s="7"/>
      <c r="J111" s="7"/>
      <c r="K111" s="7"/>
      <c r="L111" s="7"/>
      <c r="M111" s="7" t="str" cm="1">
        <f t="array" aca="1" ref="M111" ca="1">IF(OR('Raw Data'!M111="",LEN(TRIM('Raw Data'!M111))=0,Validate_Empty!M111&lt;&gt;"",Validate_Value!M111&lt;&gt;""),"",IF(OR(NOT(OR(LEN(TRIM('Raw Data'!B111:X111))&gt;0)),OR('Raw Data'!M111="",LEN(TRIM('Raw Data'!M111))=0)),"",IF('Raw Data'!M111 = SUM('Raw Data'!K111:L111),"",_xlfn.REGEXEXTRACT(CELL("address",'Raw Data'!M111),"\$([A-Z]+)\$[0-9]+"))))</f>
        <v/>
      </c>
      <c r="N111" s="7"/>
      <c r="O111" s="7"/>
      <c r="P111" s="7" t="str" cm="1">
        <f t="array" aca="1" ref="P111" ca="1">IF(OR('Raw Data'!P111="",LEN(TRIM('Raw Data'!P111))=0,Validate_Empty!P111&lt;&gt;"",Validate_Value!P111&lt;&gt;""),"",IF(OR(NOT(OR(LEN(TRIM('Raw Data'!B111:X111))&gt;0)),OR('Raw Data'!P111="",LEN(TRIM('Raw Data'!P111))=0)),"",IF(AND('Raw Data'!J111 + Configuration!$G$2 + 5 &gt;= 'Raw Data'!P111,'Raw Data'!J111 + Configuration!$G$2 - 5 &lt;= 'Raw Data'!P111),"",_xlfn.REGEXEXTRACT(CELL("address",'Raw Data'!P111),"\$([A-Z]+)\$[0-9]+"))))</f>
        <v/>
      </c>
      <c r="Q111" s="7"/>
      <c r="R111" s="7"/>
      <c r="S111" s="7"/>
      <c r="T111" s="7" t="str" cm="1">
        <f t="array" aca="1" ref="T111" ca="1">IF(OR('Raw Data'!T111="",LEN(TRIM('Raw Data'!T111))=0,Validate_Empty!T111&lt;&gt;"",Validate_Value!T111&lt;&gt;""),"",IF(OR(NOT(OR(LEN(TRIM('Raw Data'!B111:X111))&gt;0)),OR('Raw Data'!T111="",LEN(TRIM('Raw Data'!T111))=0)),"",IF('Raw Data'!T111 = SUM('Raw Data'!R111:S111),"",_xlfn.REGEXEXTRACT(CELL("address",'Raw Data'!T111),"\$([A-Z]+)\$[0-9]+"))))</f>
        <v/>
      </c>
      <c r="U111" s="7" t="str" cm="1">
        <f t="array" aca="1" ref="U111" ca="1">IF(OR('Raw Data'!U111="",LEN(TRIM('Raw Data'!U111))=0,Validate_Empty!U111&lt;&gt;"",Validate_Value!U111&lt;&gt;""),"",IF(OR(NOT(OR(LEN(TRIM('Raw Data'!B111:X111))&gt;0)),OR('Raw Data'!T111="",LEN(TRIM('Raw Data'!T111))=0)),"",IF(ISNUMBER(SEARCH('Raw Data'!U111, Configuration!$H$2)),"",_xlfn.REGEXEXTRACT(CELL("address",'Raw Data'!U111),"\$([A-Z]+)\$[0-9]+"))))</f>
        <v/>
      </c>
      <c r="V111" s="7" t="str" cm="1">
        <f t="array" aca="1" ref="V111" ca="1">IF(OR('Raw Data'!V111="",LEN(TRIM('Raw Data'!V111))=0,Validate_Empty!V111&lt;&gt;"",Validate_Value!V111&lt;&gt;""),"",IF(OR(NOT(OR(LEN(TRIM('Raw Data'!B111:X111))&gt;0)),OR('Raw Data'!V111="",LEN(TRIM('Raw Data'!V111))=0)),"",IF('Raw Data'!V111 = Configuration!$I$2,"",_xlfn.REGEXEXTRACT(CELL("address",'Raw Data'!V111),"\$([A-Z]+)\$[0-9]+"))))</f>
        <v/>
      </c>
      <c r="W111" s="7"/>
      <c r="X111" s="7"/>
    </row>
    <row r="112" spans="2:24" x14ac:dyDescent="0.25">
      <c r="B112" s="7"/>
      <c r="C112" s="7" t="str" cm="1">
        <f t="array" aca="1" ref="C112" ca="1">IF(OR('Raw Data'!C112="",LEN(TRIM('Raw Data'!C112))=0,Validate_Empty!C112&lt;&gt;"",Validate_Value!C112&lt;&gt;""),"",IF(OR(NOT(OR(LEN(TRIM('Raw Data'!B112:X112))&gt;0)),OR('Raw Data'!C112="",LEN(TRIM('Raw Data'!C112))=0)),"",IF(OR(AND('Raw Data'!B112="Main Contract", LEFT('Raw Data'!C112, LEN("Payment"))="Payment"),AND('Raw Data'!B112="Change Order", LEFT('Raw Data'!C112, LEN("CO Payment No."))="CO Payment No.")),"",_xlfn.REGEXEXTRACT(CELL("address",'Raw Data'!C112),"\$([A-Z]+)\$[0-9]+"))))</f>
        <v/>
      </c>
      <c r="D112" s="7"/>
      <c r="E112" s="7"/>
      <c r="F112" s="7"/>
      <c r="G112" s="7"/>
      <c r="H112" s="7"/>
      <c r="I112" s="7"/>
      <c r="J112" s="7"/>
      <c r="K112" s="7"/>
      <c r="L112" s="7"/>
      <c r="M112" s="7" t="str" cm="1">
        <f t="array" aca="1" ref="M112" ca="1">IF(OR('Raw Data'!M112="",LEN(TRIM('Raw Data'!M112))=0,Validate_Empty!M112&lt;&gt;"",Validate_Value!M112&lt;&gt;""),"",IF(OR(NOT(OR(LEN(TRIM('Raw Data'!B112:X112))&gt;0)),OR('Raw Data'!M112="",LEN(TRIM('Raw Data'!M112))=0)),"",IF('Raw Data'!M112 = SUM('Raw Data'!K112:L112),"",_xlfn.REGEXEXTRACT(CELL("address",'Raw Data'!M112),"\$([A-Z]+)\$[0-9]+"))))</f>
        <v/>
      </c>
      <c r="N112" s="7"/>
      <c r="O112" s="7"/>
      <c r="P112" s="7" t="str" cm="1">
        <f t="array" aca="1" ref="P112" ca="1">IF(OR('Raw Data'!P112="",LEN(TRIM('Raw Data'!P112))=0,Validate_Empty!P112&lt;&gt;"",Validate_Value!P112&lt;&gt;""),"",IF(OR(NOT(OR(LEN(TRIM('Raw Data'!B112:X112))&gt;0)),OR('Raw Data'!P112="",LEN(TRIM('Raw Data'!P112))=0)),"",IF(AND('Raw Data'!J112 + Configuration!$G$2 + 5 &gt;= 'Raw Data'!P112,'Raw Data'!J112 + Configuration!$G$2 - 5 &lt;= 'Raw Data'!P112),"",_xlfn.REGEXEXTRACT(CELL("address",'Raw Data'!P112),"\$([A-Z]+)\$[0-9]+"))))</f>
        <v/>
      </c>
      <c r="Q112" s="7"/>
      <c r="R112" s="7"/>
      <c r="S112" s="7"/>
      <c r="T112" s="7" t="str" cm="1">
        <f t="array" aca="1" ref="T112" ca="1">IF(OR('Raw Data'!T112="",LEN(TRIM('Raw Data'!T112))=0,Validate_Empty!T112&lt;&gt;"",Validate_Value!T112&lt;&gt;""),"",IF(OR(NOT(OR(LEN(TRIM('Raw Data'!B112:X112))&gt;0)),OR('Raw Data'!T112="",LEN(TRIM('Raw Data'!T112))=0)),"",IF('Raw Data'!T112 = SUM('Raw Data'!R112:S112),"",_xlfn.REGEXEXTRACT(CELL("address",'Raw Data'!T112),"\$([A-Z]+)\$[0-9]+"))))</f>
        <v/>
      </c>
      <c r="U112" s="7" t="str" cm="1">
        <f t="array" aca="1" ref="U112" ca="1">IF(OR('Raw Data'!U112="",LEN(TRIM('Raw Data'!U112))=0,Validate_Empty!U112&lt;&gt;"",Validate_Value!U112&lt;&gt;""),"",IF(OR(NOT(OR(LEN(TRIM('Raw Data'!B112:X112))&gt;0)),OR('Raw Data'!T112="",LEN(TRIM('Raw Data'!T112))=0)),"",IF(ISNUMBER(SEARCH('Raw Data'!U112, Configuration!$H$2)),"",_xlfn.REGEXEXTRACT(CELL("address",'Raw Data'!U112),"\$([A-Z]+)\$[0-9]+"))))</f>
        <v/>
      </c>
      <c r="V112" s="7" t="str" cm="1">
        <f t="array" aca="1" ref="V112" ca="1">IF(OR('Raw Data'!V112="",LEN(TRIM('Raw Data'!V112))=0,Validate_Empty!V112&lt;&gt;"",Validate_Value!V112&lt;&gt;""),"",IF(OR(NOT(OR(LEN(TRIM('Raw Data'!B112:X112))&gt;0)),OR('Raw Data'!V112="",LEN(TRIM('Raw Data'!V112))=0)),"",IF('Raw Data'!V112 = Configuration!$I$2,"",_xlfn.REGEXEXTRACT(CELL("address",'Raw Data'!V112),"\$([A-Z]+)\$[0-9]+"))))</f>
        <v/>
      </c>
      <c r="W112" s="7"/>
      <c r="X112" s="7"/>
    </row>
    <row r="113" spans="2:24" x14ac:dyDescent="0.25">
      <c r="B113" s="7"/>
      <c r="C113" s="7" t="str" cm="1">
        <f t="array" aca="1" ref="C113" ca="1">IF(OR('Raw Data'!C113="",LEN(TRIM('Raw Data'!C113))=0,Validate_Empty!C113&lt;&gt;"",Validate_Value!C113&lt;&gt;""),"",IF(OR(NOT(OR(LEN(TRIM('Raw Data'!B113:X113))&gt;0)),OR('Raw Data'!C113="",LEN(TRIM('Raw Data'!C113))=0)),"",IF(OR(AND('Raw Data'!B113="Main Contract", LEFT('Raw Data'!C113, LEN("Payment"))="Payment"),AND('Raw Data'!B113="Change Order", LEFT('Raw Data'!C113, LEN("CO Payment No."))="CO Payment No.")),"",_xlfn.REGEXEXTRACT(CELL("address",'Raw Data'!C113),"\$([A-Z]+)\$[0-9]+"))))</f>
        <v/>
      </c>
      <c r="D113" s="7"/>
      <c r="E113" s="7"/>
      <c r="F113" s="7"/>
      <c r="G113" s="7"/>
      <c r="H113" s="7"/>
      <c r="I113" s="7"/>
      <c r="J113" s="7"/>
      <c r="K113" s="7"/>
      <c r="L113" s="7"/>
      <c r="M113" s="7" t="str" cm="1">
        <f t="array" aca="1" ref="M113" ca="1">IF(OR('Raw Data'!M113="",LEN(TRIM('Raw Data'!M113))=0,Validate_Empty!M113&lt;&gt;"",Validate_Value!M113&lt;&gt;""),"",IF(OR(NOT(OR(LEN(TRIM('Raw Data'!B113:X113))&gt;0)),OR('Raw Data'!M113="",LEN(TRIM('Raw Data'!M113))=0)),"",IF('Raw Data'!M113 = SUM('Raw Data'!K113:L113),"",_xlfn.REGEXEXTRACT(CELL("address",'Raw Data'!M113),"\$([A-Z]+)\$[0-9]+"))))</f>
        <v/>
      </c>
      <c r="N113" s="7"/>
      <c r="O113" s="7"/>
      <c r="P113" s="7" t="str" cm="1">
        <f t="array" aca="1" ref="P113" ca="1">IF(OR('Raw Data'!P113="",LEN(TRIM('Raw Data'!P113))=0,Validate_Empty!P113&lt;&gt;"",Validate_Value!P113&lt;&gt;""),"",IF(OR(NOT(OR(LEN(TRIM('Raw Data'!B113:X113))&gt;0)),OR('Raw Data'!P113="",LEN(TRIM('Raw Data'!P113))=0)),"",IF(AND('Raw Data'!J113 + Configuration!$G$2 + 5 &gt;= 'Raw Data'!P113,'Raw Data'!J113 + Configuration!$G$2 - 5 &lt;= 'Raw Data'!P113),"",_xlfn.REGEXEXTRACT(CELL("address",'Raw Data'!P113),"\$([A-Z]+)\$[0-9]+"))))</f>
        <v/>
      </c>
      <c r="Q113" s="7"/>
      <c r="R113" s="7"/>
      <c r="S113" s="7"/>
      <c r="T113" s="7" t="str" cm="1">
        <f t="array" aca="1" ref="T113" ca="1">IF(OR('Raw Data'!T113="",LEN(TRIM('Raw Data'!T113))=0,Validate_Empty!T113&lt;&gt;"",Validate_Value!T113&lt;&gt;""),"",IF(OR(NOT(OR(LEN(TRIM('Raw Data'!B113:X113))&gt;0)),OR('Raw Data'!T113="",LEN(TRIM('Raw Data'!T113))=0)),"",IF('Raw Data'!T113 = SUM('Raw Data'!R113:S113),"",_xlfn.REGEXEXTRACT(CELL("address",'Raw Data'!T113),"\$([A-Z]+)\$[0-9]+"))))</f>
        <v/>
      </c>
      <c r="U113" s="7" t="str" cm="1">
        <f t="array" aca="1" ref="U113" ca="1">IF(OR('Raw Data'!U113="",LEN(TRIM('Raw Data'!U113))=0,Validate_Empty!U113&lt;&gt;"",Validate_Value!U113&lt;&gt;""),"",IF(OR(NOT(OR(LEN(TRIM('Raw Data'!B113:X113))&gt;0)),OR('Raw Data'!T113="",LEN(TRIM('Raw Data'!T113))=0)),"",IF(ISNUMBER(SEARCH('Raw Data'!U113, Configuration!$H$2)),"",_xlfn.REGEXEXTRACT(CELL("address",'Raw Data'!U113),"\$([A-Z]+)\$[0-9]+"))))</f>
        <v/>
      </c>
      <c r="V113" s="7" t="str" cm="1">
        <f t="array" aca="1" ref="V113" ca="1">IF(OR('Raw Data'!V113="",LEN(TRIM('Raw Data'!V113))=0,Validate_Empty!V113&lt;&gt;"",Validate_Value!V113&lt;&gt;""),"",IF(OR(NOT(OR(LEN(TRIM('Raw Data'!B113:X113))&gt;0)),OR('Raw Data'!V113="",LEN(TRIM('Raw Data'!V113))=0)),"",IF('Raw Data'!V113 = Configuration!$I$2,"",_xlfn.REGEXEXTRACT(CELL("address",'Raw Data'!V113),"\$([A-Z]+)\$[0-9]+"))))</f>
        <v/>
      </c>
      <c r="W113" s="7"/>
      <c r="X113" s="7"/>
    </row>
    <row r="114" spans="2:24" x14ac:dyDescent="0.25">
      <c r="B114" s="7"/>
      <c r="C114" s="7" t="str" cm="1">
        <f t="array" aca="1" ref="C114" ca="1">IF(OR('Raw Data'!C114="",LEN(TRIM('Raw Data'!C114))=0,Validate_Empty!C114&lt;&gt;"",Validate_Value!C114&lt;&gt;""),"",IF(OR(NOT(OR(LEN(TRIM('Raw Data'!B114:X114))&gt;0)),OR('Raw Data'!C114="",LEN(TRIM('Raw Data'!C114))=0)),"",IF(OR(AND('Raw Data'!B114="Main Contract", LEFT('Raw Data'!C114, LEN("Payment"))="Payment"),AND('Raw Data'!B114="Change Order", LEFT('Raw Data'!C114, LEN("CO Payment No."))="CO Payment No.")),"",_xlfn.REGEXEXTRACT(CELL("address",'Raw Data'!C114),"\$([A-Z]+)\$[0-9]+"))))</f>
        <v/>
      </c>
      <c r="D114" s="7"/>
      <c r="E114" s="7"/>
      <c r="F114" s="7"/>
      <c r="G114" s="7"/>
      <c r="H114" s="7"/>
      <c r="I114" s="7"/>
      <c r="J114" s="7"/>
      <c r="K114" s="7"/>
      <c r="L114" s="7"/>
      <c r="M114" s="7" t="str" cm="1">
        <f t="array" aca="1" ref="M114" ca="1">IF(OR('Raw Data'!M114="",LEN(TRIM('Raw Data'!M114))=0,Validate_Empty!M114&lt;&gt;"",Validate_Value!M114&lt;&gt;""),"",IF(OR(NOT(OR(LEN(TRIM('Raw Data'!B114:X114))&gt;0)),OR('Raw Data'!M114="",LEN(TRIM('Raw Data'!M114))=0)),"",IF('Raw Data'!M114 = SUM('Raw Data'!K114:L114),"",_xlfn.REGEXEXTRACT(CELL("address",'Raw Data'!M114),"\$([A-Z]+)\$[0-9]+"))))</f>
        <v/>
      </c>
      <c r="N114" s="7"/>
      <c r="O114" s="7"/>
      <c r="P114" s="7" t="str" cm="1">
        <f t="array" aca="1" ref="P114" ca="1">IF(OR('Raw Data'!P114="",LEN(TRIM('Raw Data'!P114))=0,Validate_Empty!P114&lt;&gt;"",Validate_Value!P114&lt;&gt;""),"",IF(OR(NOT(OR(LEN(TRIM('Raw Data'!B114:X114))&gt;0)),OR('Raw Data'!P114="",LEN(TRIM('Raw Data'!P114))=0)),"",IF(AND('Raw Data'!J114 + Configuration!$G$2 + 5 &gt;= 'Raw Data'!P114,'Raw Data'!J114 + Configuration!$G$2 - 5 &lt;= 'Raw Data'!P114),"",_xlfn.REGEXEXTRACT(CELL("address",'Raw Data'!P114),"\$([A-Z]+)\$[0-9]+"))))</f>
        <v/>
      </c>
      <c r="Q114" s="7"/>
      <c r="R114" s="7"/>
      <c r="S114" s="7"/>
      <c r="T114" s="7" t="str" cm="1">
        <f t="array" aca="1" ref="T114" ca="1">IF(OR('Raw Data'!T114="",LEN(TRIM('Raw Data'!T114))=0,Validate_Empty!T114&lt;&gt;"",Validate_Value!T114&lt;&gt;""),"",IF(OR(NOT(OR(LEN(TRIM('Raw Data'!B114:X114))&gt;0)),OR('Raw Data'!T114="",LEN(TRIM('Raw Data'!T114))=0)),"",IF('Raw Data'!T114 = SUM('Raw Data'!R114:S114),"",_xlfn.REGEXEXTRACT(CELL("address",'Raw Data'!T114),"\$([A-Z]+)\$[0-9]+"))))</f>
        <v/>
      </c>
      <c r="U114" s="7" t="str" cm="1">
        <f t="array" aca="1" ref="U114" ca="1">IF(OR('Raw Data'!U114="",LEN(TRIM('Raw Data'!U114))=0,Validate_Empty!U114&lt;&gt;"",Validate_Value!U114&lt;&gt;""),"",IF(OR(NOT(OR(LEN(TRIM('Raw Data'!B114:X114))&gt;0)),OR('Raw Data'!T114="",LEN(TRIM('Raw Data'!T114))=0)),"",IF(ISNUMBER(SEARCH('Raw Data'!U114, Configuration!$H$2)),"",_xlfn.REGEXEXTRACT(CELL("address",'Raw Data'!U114),"\$([A-Z]+)\$[0-9]+"))))</f>
        <v/>
      </c>
      <c r="V114" s="7" t="str" cm="1">
        <f t="array" aca="1" ref="V114" ca="1">IF(OR('Raw Data'!V114="",LEN(TRIM('Raw Data'!V114))=0,Validate_Empty!V114&lt;&gt;"",Validate_Value!V114&lt;&gt;""),"",IF(OR(NOT(OR(LEN(TRIM('Raw Data'!B114:X114))&gt;0)),OR('Raw Data'!V114="",LEN(TRIM('Raw Data'!V114))=0)),"",IF('Raw Data'!V114 = Configuration!$I$2,"",_xlfn.REGEXEXTRACT(CELL("address",'Raw Data'!V114),"\$([A-Z]+)\$[0-9]+"))))</f>
        <v/>
      </c>
      <c r="W114" s="7"/>
      <c r="X114" s="7"/>
    </row>
    <row r="115" spans="2:24" x14ac:dyDescent="0.25">
      <c r="B115" s="7"/>
      <c r="C115" s="7" t="str" cm="1">
        <f t="array" aca="1" ref="C115" ca="1">IF(OR('Raw Data'!C115="",LEN(TRIM('Raw Data'!C115))=0,Validate_Empty!C115&lt;&gt;"",Validate_Value!C115&lt;&gt;""),"",IF(OR(NOT(OR(LEN(TRIM('Raw Data'!B115:X115))&gt;0)),OR('Raw Data'!C115="",LEN(TRIM('Raw Data'!C115))=0)),"",IF(OR(AND('Raw Data'!B115="Main Contract", LEFT('Raw Data'!C115, LEN("Payment"))="Payment"),AND('Raw Data'!B115="Change Order", LEFT('Raw Data'!C115, LEN("CO Payment No."))="CO Payment No.")),"",_xlfn.REGEXEXTRACT(CELL("address",'Raw Data'!C115),"\$([A-Z]+)\$[0-9]+"))))</f>
        <v/>
      </c>
      <c r="D115" s="7"/>
      <c r="E115" s="7"/>
      <c r="F115" s="7"/>
      <c r="G115" s="7"/>
      <c r="H115" s="7"/>
      <c r="I115" s="7"/>
      <c r="J115" s="7"/>
      <c r="K115" s="7"/>
      <c r="L115" s="7"/>
      <c r="M115" s="7" t="str" cm="1">
        <f t="array" aca="1" ref="M115" ca="1">IF(OR('Raw Data'!M115="",LEN(TRIM('Raw Data'!M115))=0,Validate_Empty!M115&lt;&gt;"",Validate_Value!M115&lt;&gt;""),"",IF(OR(NOT(OR(LEN(TRIM('Raw Data'!B115:X115))&gt;0)),OR('Raw Data'!M115="",LEN(TRIM('Raw Data'!M115))=0)),"",IF('Raw Data'!M115 = SUM('Raw Data'!K115:L115),"",_xlfn.REGEXEXTRACT(CELL("address",'Raw Data'!M115),"\$([A-Z]+)\$[0-9]+"))))</f>
        <v/>
      </c>
      <c r="N115" s="7"/>
      <c r="O115" s="7"/>
      <c r="P115" s="7" t="str" cm="1">
        <f t="array" aca="1" ref="P115" ca="1">IF(OR('Raw Data'!P115="",LEN(TRIM('Raw Data'!P115))=0,Validate_Empty!P115&lt;&gt;"",Validate_Value!P115&lt;&gt;""),"",IF(OR(NOT(OR(LEN(TRIM('Raw Data'!B115:X115))&gt;0)),OR('Raw Data'!P115="",LEN(TRIM('Raw Data'!P115))=0)),"",IF(AND('Raw Data'!J115 + Configuration!$G$2 + 5 &gt;= 'Raw Data'!P115,'Raw Data'!J115 + Configuration!$G$2 - 5 &lt;= 'Raw Data'!P115),"",_xlfn.REGEXEXTRACT(CELL("address",'Raw Data'!P115),"\$([A-Z]+)\$[0-9]+"))))</f>
        <v/>
      </c>
      <c r="Q115" s="7"/>
      <c r="R115" s="7"/>
      <c r="S115" s="7"/>
      <c r="T115" s="7" t="str" cm="1">
        <f t="array" aca="1" ref="T115" ca="1">IF(OR('Raw Data'!T115="",LEN(TRIM('Raw Data'!T115))=0,Validate_Empty!T115&lt;&gt;"",Validate_Value!T115&lt;&gt;""),"",IF(OR(NOT(OR(LEN(TRIM('Raw Data'!B115:X115))&gt;0)),OR('Raw Data'!T115="",LEN(TRIM('Raw Data'!T115))=0)),"",IF('Raw Data'!T115 = SUM('Raw Data'!R115:S115),"",_xlfn.REGEXEXTRACT(CELL("address",'Raw Data'!T115),"\$([A-Z]+)\$[0-9]+"))))</f>
        <v/>
      </c>
      <c r="U115" s="7" t="str" cm="1">
        <f t="array" aca="1" ref="U115" ca="1">IF(OR('Raw Data'!U115="",LEN(TRIM('Raw Data'!U115))=0,Validate_Empty!U115&lt;&gt;"",Validate_Value!U115&lt;&gt;""),"",IF(OR(NOT(OR(LEN(TRIM('Raw Data'!B115:X115))&gt;0)),OR('Raw Data'!T115="",LEN(TRIM('Raw Data'!T115))=0)),"",IF(ISNUMBER(SEARCH('Raw Data'!U115, Configuration!$H$2)),"",_xlfn.REGEXEXTRACT(CELL("address",'Raw Data'!U115),"\$([A-Z]+)\$[0-9]+"))))</f>
        <v/>
      </c>
      <c r="V115" s="7" t="str" cm="1">
        <f t="array" aca="1" ref="V115" ca="1">IF(OR('Raw Data'!V115="",LEN(TRIM('Raw Data'!V115))=0,Validate_Empty!V115&lt;&gt;"",Validate_Value!V115&lt;&gt;""),"",IF(OR(NOT(OR(LEN(TRIM('Raw Data'!B115:X115))&gt;0)),OR('Raw Data'!V115="",LEN(TRIM('Raw Data'!V115))=0)),"",IF('Raw Data'!V115 = Configuration!$I$2,"",_xlfn.REGEXEXTRACT(CELL("address",'Raw Data'!V115),"\$([A-Z]+)\$[0-9]+"))))</f>
        <v/>
      </c>
      <c r="W115" s="7"/>
      <c r="X115" s="7"/>
    </row>
    <row r="116" spans="2:24" x14ac:dyDescent="0.25">
      <c r="B116" s="7"/>
      <c r="C116" s="7" t="str" cm="1">
        <f t="array" aca="1" ref="C116" ca="1">IF(OR('Raw Data'!C116="",LEN(TRIM('Raw Data'!C116))=0,Validate_Empty!C116&lt;&gt;"",Validate_Value!C116&lt;&gt;""),"",IF(OR(NOT(OR(LEN(TRIM('Raw Data'!B116:X116))&gt;0)),OR('Raw Data'!C116="",LEN(TRIM('Raw Data'!C116))=0)),"",IF(OR(AND('Raw Data'!B116="Main Contract", LEFT('Raw Data'!C116, LEN("Payment"))="Payment"),AND('Raw Data'!B116="Change Order", LEFT('Raw Data'!C116, LEN("CO Payment No."))="CO Payment No.")),"",_xlfn.REGEXEXTRACT(CELL("address",'Raw Data'!C116),"\$([A-Z]+)\$[0-9]+"))))</f>
        <v/>
      </c>
      <c r="D116" s="7"/>
      <c r="E116" s="7"/>
      <c r="F116" s="7"/>
      <c r="G116" s="7"/>
      <c r="H116" s="7"/>
      <c r="I116" s="7"/>
      <c r="J116" s="7"/>
      <c r="K116" s="7"/>
      <c r="L116" s="7"/>
      <c r="M116" s="7" t="str" cm="1">
        <f t="array" aca="1" ref="M116" ca="1">IF(OR('Raw Data'!M116="",LEN(TRIM('Raw Data'!M116))=0,Validate_Empty!M116&lt;&gt;"",Validate_Value!M116&lt;&gt;""),"",IF(OR(NOT(OR(LEN(TRIM('Raw Data'!B116:X116))&gt;0)),OR('Raw Data'!M116="",LEN(TRIM('Raw Data'!M116))=0)),"",IF('Raw Data'!M116 = SUM('Raw Data'!K116:L116),"",_xlfn.REGEXEXTRACT(CELL("address",'Raw Data'!M116),"\$([A-Z]+)\$[0-9]+"))))</f>
        <v/>
      </c>
      <c r="N116" s="7"/>
      <c r="O116" s="7"/>
      <c r="P116" s="7" t="str" cm="1">
        <f t="array" aca="1" ref="P116" ca="1">IF(OR('Raw Data'!P116="",LEN(TRIM('Raw Data'!P116))=0,Validate_Empty!P116&lt;&gt;"",Validate_Value!P116&lt;&gt;""),"",IF(OR(NOT(OR(LEN(TRIM('Raw Data'!B116:X116))&gt;0)),OR('Raw Data'!P116="",LEN(TRIM('Raw Data'!P116))=0)),"",IF(AND('Raw Data'!J116 + Configuration!$G$2 + 5 &gt;= 'Raw Data'!P116,'Raw Data'!J116 + Configuration!$G$2 - 5 &lt;= 'Raw Data'!P116),"",_xlfn.REGEXEXTRACT(CELL("address",'Raw Data'!P116),"\$([A-Z]+)\$[0-9]+"))))</f>
        <v/>
      </c>
      <c r="Q116" s="7"/>
      <c r="R116" s="7"/>
      <c r="S116" s="7"/>
      <c r="T116" s="7" t="str" cm="1">
        <f t="array" aca="1" ref="T116" ca="1">IF(OR('Raw Data'!T116="",LEN(TRIM('Raw Data'!T116))=0,Validate_Empty!T116&lt;&gt;"",Validate_Value!T116&lt;&gt;""),"",IF(OR(NOT(OR(LEN(TRIM('Raw Data'!B116:X116))&gt;0)),OR('Raw Data'!T116="",LEN(TRIM('Raw Data'!T116))=0)),"",IF('Raw Data'!T116 = SUM('Raw Data'!R116:S116),"",_xlfn.REGEXEXTRACT(CELL("address",'Raw Data'!T116),"\$([A-Z]+)\$[0-9]+"))))</f>
        <v/>
      </c>
      <c r="U116" s="7" t="str" cm="1">
        <f t="array" aca="1" ref="U116" ca="1">IF(OR('Raw Data'!U116="",LEN(TRIM('Raw Data'!U116))=0,Validate_Empty!U116&lt;&gt;"",Validate_Value!U116&lt;&gt;""),"",IF(OR(NOT(OR(LEN(TRIM('Raw Data'!B116:X116))&gt;0)),OR('Raw Data'!T116="",LEN(TRIM('Raw Data'!T116))=0)),"",IF(ISNUMBER(SEARCH('Raw Data'!U116, Configuration!$H$2)),"",_xlfn.REGEXEXTRACT(CELL("address",'Raw Data'!U116),"\$([A-Z]+)\$[0-9]+"))))</f>
        <v/>
      </c>
      <c r="V116" s="7" t="str" cm="1">
        <f t="array" aca="1" ref="V116" ca="1">IF(OR('Raw Data'!V116="",LEN(TRIM('Raw Data'!V116))=0,Validate_Empty!V116&lt;&gt;"",Validate_Value!V116&lt;&gt;""),"",IF(OR(NOT(OR(LEN(TRIM('Raw Data'!B116:X116))&gt;0)),OR('Raw Data'!V116="",LEN(TRIM('Raw Data'!V116))=0)),"",IF('Raw Data'!V116 = Configuration!$I$2,"",_xlfn.REGEXEXTRACT(CELL("address",'Raw Data'!V116),"\$([A-Z]+)\$[0-9]+"))))</f>
        <v/>
      </c>
      <c r="W116" s="7"/>
      <c r="X116" s="7"/>
    </row>
    <row r="117" spans="2:24" x14ac:dyDescent="0.25">
      <c r="B117" s="7"/>
      <c r="C117" s="7" t="str" cm="1">
        <f t="array" aca="1" ref="C117" ca="1">IF(OR('Raw Data'!C117="",LEN(TRIM('Raw Data'!C117))=0,Validate_Empty!C117&lt;&gt;"",Validate_Value!C117&lt;&gt;""),"",IF(OR(NOT(OR(LEN(TRIM('Raw Data'!B117:X117))&gt;0)),OR('Raw Data'!C117="",LEN(TRIM('Raw Data'!C117))=0)),"",IF(OR(AND('Raw Data'!B117="Main Contract", LEFT('Raw Data'!C117, LEN("Payment"))="Payment"),AND('Raw Data'!B117="Change Order", LEFT('Raw Data'!C117, LEN("CO Payment No."))="CO Payment No.")),"",_xlfn.REGEXEXTRACT(CELL("address",'Raw Data'!C117),"\$([A-Z]+)\$[0-9]+"))))</f>
        <v/>
      </c>
      <c r="D117" s="7"/>
      <c r="E117" s="7"/>
      <c r="F117" s="7"/>
      <c r="G117" s="7"/>
      <c r="H117" s="7"/>
      <c r="I117" s="7"/>
      <c r="J117" s="7"/>
      <c r="K117" s="7"/>
      <c r="L117" s="7"/>
      <c r="M117" s="7" t="str" cm="1">
        <f t="array" aca="1" ref="M117" ca="1">IF(OR('Raw Data'!M117="",LEN(TRIM('Raw Data'!M117))=0,Validate_Empty!M117&lt;&gt;"",Validate_Value!M117&lt;&gt;""),"",IF(OR(NOT(OR(LEN(TRIM('Raw Data'!B117:X117))&gt;0)),OR('Raw Data'!M117="",LEN(TRIM('Raw Data'!M117))=0)),"",IF('Raw Data'!M117 = SUM('Raw Data'!K117:L117),"",_xlfn.REGEXEXTRACT(CELL("address",'Raw Data'!M117),"\$([A-Z]+)\$[0-9]+"))))</f>
        <v/>
      </c>
      <c r="N117" s="7"/>
      <c r="O117" s="7"/>
      <c r="P117" s="7" t="str" cm="1">
        <f t="array" aca="1" ref="P117" ca="1">IF(OR('Raw Data'!P117="",LEN(TRIM('Raw Data'!P117))=0,Validate_Empty!P117&lt;&gt;"",Validate_Value!P117&lt;&gt;""),"",IF(OR(NOT(OR(LEN(TRIM('Raw Data'!B117:X117))&gt;0)),OR('Raw Data'!P117="",LEN(TRIM('Raw Data'!P117))=0)),"",IF(AND('Raw Data'!J117 + Configuration!$G$2 + 5 &gt;= 'Raw Data'!P117,'Raw Data'!J117 + Configuration!$G$2 - 5 &lt;= 'Raw Data'!P117),"",_xlfn.REGEXEXTRACT(CELL("address",'Raw Data'!P117),"\$([A-Z]+)\$[0-9]+"))))</f>
        <v/>
      </c>
      <c r="Q117" s="7"/>
      <c r="R117" s="7"/>
      <c r="S117" s="7"/>
      <c r="T117" s="7" t="str" cm="1">
        <f t="array" aca="1" ref="T117" ca="1">IF(OR('Raw Data'!T117="",LEN(TRIM('Raw Data'!T117))=0,Validate_Empty!T117&lt;&gt;"",Validate_Value!T117&lt;&gt;""),"",IF(OR(NOT(OR(LEN(TRIM('Raw Data'!B117:X117))&gt;0)),OR('Raw Data'!T117="",LEN(TRIM('Raw Data'!T117))=0)),"",IF('Raw Data'!T117 = SUM('Raw Data'!R117:S117),"",_xlfn.REGEXEXTRACT(CELL("address",'Raw Data'!T117),"\$([A-Z]+)\$[0-9]+"))))</f>
        <v/>
      </c>
      <c r="U117" s="7" t="str" cm="1">
        <f t="array" aca="1" ref="U117" ca="1">IF(OR('Raw Data'!U117="",LEN(TRIM('Raw Data'!U117))=0,Validate_Empty!U117&lt;&gt;"",Validate_Value!U117&lt;&gt;""),"",IF(OR(NOT(OR(LEN(TRIM('Raw Data'!B117:X117))&gt;0)),OR('Raw Data'!T117="",LEN(TRIM('Raw Data'!T117))=0)),"",IF(ISNUMBER(SEARCH('Raw Data'!U117, Configuration!$H$2)),"",_xlfn.REGEXEXTRACT(CELL("address",'Raw Data'!U117),"\$([A-Z]+)\$[0-9]+"))))</f>
        <v/>
      </c>
      <c r="V117" s="7" t="str" cm="1">
        <f t="array" aca="1" ref="V117" ca="1">IF(OR('Raw Data'!V117="",LEN(TRIM('Raw Data'!V117))=0,Validate_Empty!V117&lt;&gt;"",Validate_Value!V117&lt;&gt;""),"",IF(OR(NOT(OR(LEN(TRIM('Raw Data'!B117:X117))&gt;0)),OR('Raw Data'!V117="",LEN(TRIM('Raw Data'!V117))=0)),"",IF('Raw Data'!V117 = Configuration!$I$2,"",_xlfn.REGEXEXTRACT(CELL("address",'Raw Data'!V117),"\$([A-Z]+)\$[0-9]+"))))</f>
        <v/>
      </c>
      <c r="W117" s="7"/>
      <c r="X117" s="7"/>
    </row>
    <row r="118" spans="2:24" x14ac:dyDescent="0.25">
      <c r="B118" s="7"/>
      <c r="C118" s="7" t="str" cm="1">
        <f t="array" aca="1" ref="C118" ca="1">IF(OR('Raw Data'!C118="",LEN(TRIM('Raw Data'!C118))=0,Validate_Empty!C118&lt;&gt;"",Validate_Value!C118&lt;&gt;""),"",IF(OR(NOT(OR(LEN(TRIM('Raw Data'!B118:X118))&gt;0)),OR('Raw Data'!C118="",LEN(TRIM('Raw Data'!C118))=0)),"",IF(OR(AND('Raw Data'!B118="Main Contract", LEFT('Raw Data'!C118, LEN("Payment"))="Payment"),AND('Raw Data'!B118="Change Order", LEFT('Raw Data'!C118, LEN("CO Payment No."))="CO Payment No.")),"",_xlfn.REGEXEXTRACT(CELL("address",'Raw Data'!C118),"\$([A-Z]+)\$[0-9]+"))))</f>
        <v/>
      </c>
      <c r="D118" s="7"/>
      <c r="E118" s="7"/>
      <c r="F118" s="7"/>
      <c r="G118" s="7"/>
      <c r="H118" s="7"/>
      <c r="I118" s="7"/>
      <c r="J118" s="7"/>
      <c r="K118" s="7"/>
      <c r="L118" s="7"/>
      <c r="M118" s="7" t="str" cm="1">
        <f t="array" aca="1" ref="M118" ca="1">IF(OR('Raw Data'!M118="",LEN(TRIM('Raw Data'!M118))=0,Validate_Empty!M118&lt;&gt;"",Validate_Value!M118&lt;&gt;""),"",IF(OR(NOT(OR(LEN(TRIM('Raw Data'!B118:X118))&gt;0)),OR('Raw Data'!M118="",LEN(TRIM('Raw Data'!M118))=0)),"",IF('Raw Data'!M118 = SUM('Raw Data'!K118:L118),"",_xlfn.REGEXEXTRACT(CELL("address",'Raw Data'!M118),"\$([A-Z]+)\$[0-9]+"))))</f>
        <v/>
      </c>
      <c r="N118" s="7"/>
      <c r="O118" s="7"/>
      <c r="P118" s="7" t="str" cm="1">
        <f t="array" aca="1" ref="P118" ca="1">IF(OR('Raw Data'!P118="",LEN(TRIM('Raw Data'!P118))=0,Validate_Empty!P118&lt;&gt;"",Validate_Value!P118&lt;&gt;""),"",IF(OR(NOT(OR(LEN(TRIM('Raw Data'!B118:X118))&gt;0)),OR('Raw Data'!P118="",LEN(TRIM('Raw Data'!P118))=0)),"",IF(AND('Raw Data'!J118 + Configuration!$G$2 + 5 &gt;= 'Raw Data'!P118,'Raw Data'!J118 + Configuration!$G$2 - 5 &lt;= 'Raw Data'!P118),"",_xlfn.REGEXEXTRACT(CELL("address",'Raw Data'!P118),"\$([A-Z]+)\$[0-9]+"))))</f>
        <v/>
      </c>
      <c r="Q118" s="7"/>
      <c r="R118" s="7"/>
      <c r="S118" s="7"/>
      <c r="T118" s="7" t="str" cm="1">
        <f t="array" aca="1" ref="T118" ca="1">IF(OR('Raw Data'!T118="",LEN(TRIM('Raw Data'!T118))=0,Validate_Empty!T118&lt;&gt;"",Validate_Value!T118&lt;&gt;""),"",IF(OR(NOT(OR(LEN(TRIM('Raw Data'!B118:X118))&gt;0)),OR('Raw Data'!T118="",LEN(TRIM('Raw Data'!T118))=0)),"",IF('Raw Data'!T118 = SUM('Raw Data'!R118:S118),"",_xlfn.REGEXEXTRACT(CELL("address",'Raw Data'!T118),"\$([A-Z]+)\$[0-9]+"))))</f>
        <v/>
      </c>
      <c r="U118" s="7" t="str" cm="1">
        <f t="array" aca="1" ref="U118" ca="1">IF(OR('Raw Data'!U118="",LEN(TRIM('Raw Data'!U118))=0,Validate_Empty!U118&lt;&gt;"",Validate_Value!U118&lt;&gt;""),"",IF(OR(NOT(OR(LEN(TRIM('Raw Data'!B118:X118))&gt;0)),OR('Raw Data'!T118="",LEN(TRIM('Raw Data'!T118))=0)),"",IF(ISNUMBER(SEARCH('Raw Data'!U118, Configuration!$H$2)),"",_xlfn.REGEXEXTRACT(CELL("address",'Raw Data'!U118),"\$([A-Z]+)\$[0-9]+"))))</f>
        <v/>
      </c>
      <c r="V118" s="7" t="str" cm="1">
        <f t="array" aca="1" ref="V118" ca="1">IF(OR('Raw Data'!V118="",LEN(TRIM('Raw Data'!V118))=0,Validate_Empty!V118&lt;&gt;"",Validate_Value!V118&lt;&gt;""),"",IF(OR(NOT(OR(LEN(TRIM('Raw Data'!B118:X118))&gt;0)),OR('Raw Data'!V118="",LEN(TRIM('Raw Data'!V118))=0)),"",IF('Raw Data'!V118 = Configuration!$I$2,"",_xlfn.REGEXEXTRACT(CELL("address",'Raw Data'!V118),"\$([A-Z]+)\$[0-9]+"))))</f>
        <v/>
      </c>
      <c r="W118" s="7"/>
      <c r="X118" s="7"/>
    </row>
    <row r="119" spans="2:24" x14ac:dyDescent="0.25">
      <c r="B119" s="7"/>
      <c r="C119" s="7" t="str" cm="1">
        <f t="array" aca="1" ref="C119" ca="1">IF(OR('Raw Data'!C119="",LEN(TRIM('Raw Data'!C119))=0,Validate_Empty!C119&lt;&gt;"",Validate_Value!C119&lt;&gt;""),"",IF(OR(NOT(OR(LEN(TRIM('Raw Data'!B119:X119))&gt;0)),OR('Raw Data'!C119="",LEN(TRIM('Raw Data'!C119))=0)),"",IF(OR(AND('Raw Data'!B119="Main Contract", LEFT('Raw Data'!C119, LEN("Payment"))="Payment"),AND('Raw Data'!B119="Change Order", LEFT('Raw Data'!C119, LEN("CO Payment No."))="CO Payment No.")),"",_xlfn.REGEXEXTRACT(CELL("address",'Raw Data'!C119),"\$([A-Z]+)\$[0-9]+"))))</f>
        <v/>
      </c>
      <c r="D119" s="7"/>
      <c r="E119" s="7"/>
      <c r="F119" s="7"/>
      <c r="G119" s="7"/>
      <c r="H119" s="7"/>
      <c r="I119" s="7"/>
      <c r="J119" s="7"/>
      <c r="K119" s="7"/>
      <c r="L119" s="7"/>
      <c r="M119" s="7" t="str" cm="1">
        <f t="array" aca="1" ref="M119" ca="1">IF(OR('Raw Data'!M119="",LEN(TRIM('Raw Data'!M119))=0,Validate_Empty!M119&lt;&gt;"",Validate_Value!M119&lt;&gt;""),"",IF(OR(NOT(OR(LEN(TRIM('Raw Data'!B119:X119))&gt;0)),OR('Raw Data'!M119="",LEN(TRIM('Raw Data'!M119))=0)),"",IF('Raw Data'!M119 = SUM('Raw Data'!K119:L119),"",_xlfn.REGEXEXTRACT(CELL("address",'Raw Data'!M119),"\$([A-Z]+)\$[0-9]+"))))</f>
        <v/>
      </c>
      <c r="N119" s="7"/>
      <c r="O119" s="7"/>
      <c r="P119" s="7" t="str" cm="1">
        <f t="array" aca="1" ref="P119" ca="1">IF(OR('Raw Data'!P119="",LEN(TRIM('Raw Data'!P119))=0,Validate_Empty!P119&lt;&gt;"",Validate_Value!P119&lt;&gt;""),"",IF(OR(NOT(OR(LEN(TRIM('Raw Data'!B119:X119))&gt;0)),OR('Raw Data'!P119="",LEN(TRIM('Raw Data'!P119))=0)),"",IF(AND('Raw Data'!J119 + Configuration!$G$2 + 5 &gt;= 'Raw Data'!P119,'Raw Data'!J119 + Configuration!$G$2 - 5 &lt;= 'Raw Data'!P119),"",_xlfn.REGEXEXTRACT(CELL("address",'Raw Data'!P119),"\$([A-Z]+)\$[0-9]+"))))</f>
        <v/>
      </c>
      <c r="Q119" s="7"/>
      <c r="R119" s="7"/>
      <c r="S119" s="7"/>
      <c r="T119" s="7" t="str" cm="1">
        <f t="array" aca="1" ref="T119" ca="1">IF(OR('Raw Data'!T119="",LEN(TRIM('Raw Data'!T119))=0,Validate_Empty!T119&lt;&gt;"",Validate_Value!T119&lt;&gt;""),"",IF(OR(NOT(OR(LEN(TRIM('Raw Data'!B119:X119))&gt;0)),OR('Raw Data'!T119="",LEN(TRIM('Raw Data'!T119))=0)),"",IF('Raw Data'!T119 = SUM('Raw Data'!R119:S119),"",_xlfn.REGEXEXTRACT(CELL("address",'Raw Data'!T119),"\$([A-Z]+)\$[0-9]+"))))</f>
        <v/>
      </c>
      <c r="U119" s="7" t="str" cm="1">
        <f t="array" aca="1" ref="U119" ca="1">IF(OR('Raw Data'!U119="",LEN(TRIM('Raw Data'!U119))=0,Validate_Empty!U119&lt;&gt;"",Validate_Value!U119&lt;&gt;""),"",IF(OR(NOT(OR(LEN(TRIM('Raw Data'!B119:X119))&gt;0)),OR('Raw Data'!T119="",LEN(TRIM('Raw Data'!T119))=0)),"",IF(ISNUMBER(SEARCH('Raw Data'!U119, Configuration!$H$2)),"",_xlfn.REGEXEXTRACT(CELL("address",'Raw Data'!U119),"\$([A-Z]+)\$[0-9]+"))))</f>
        <v/>
      </c>
      <c r="V119" s="7" t="str" cm="1">
        <f t="array" aca="1" ref="V119" ca="1">IF(OR('Raw Data'!V119="",LEN(TRIM('Raw Data'!V119))=0,Validate_Empty!V119&lt;&gt;"",Validate_Value!V119&lt;&gt;""),"",IF(OR(NOT(OR(LEN(TRIM('Raw Data'!B119:X119))&gt;0)),OR('Raw Data'!V119="",LEN(TRIM('Raw Data'!V119))=0)),"",IF('Raw Data'!V119 = Configuration!$I$2,"",_xlfn.REGEXEXTRACT(CELL("address",'Raw Data'!V119),"\$([A-Z]+)\$[0-9]+"))))</f>
        <v/>
      </c>
      <c r="W119" s="7"/>
      <c r="X119" s="7"/>
    </row>
    <row r="120" spans="2:24" x14ac:dyDescent="0.25">
      <c r="B120" s="7"/>
      <c r="C120" s="7" t="str" cm="1">
        <f t="array" aca="1" ref="C120" ca="1">IF(OR('Raw Data'!C120="",LEN(TRIM('Raw Data'!C120))=0,Validate_Empty!C120&lt;&gt;"",Validate_Value!C120&lt;&gt;""),"",IF(OR(NOT(OR(LEN(TRIM('Raw Data'!B120:X120))&gt;0)),OR('Raw Data'!C120="",LEN(TRIM('Raw Data'!C120))=0)),"",IF(OR(AND('Raw Data'!B120="Main Contract", LEFT('Raw Data'!C120, LEN("Payment"))="Payment"),AND('Raw Data'!B120="Change Order", LEFT('Raw Data'!C120, LEN("CO Payment No."))="CO Payment No.")),"",_xlfn.REGEXEXTRACT(CELL("address",'Raw Data'!C120),"\$([A-Z]+)\$[0-9]+"))))</f>
        <v/>
      </c>
      <c r="D120" s="7"/>
      <c r="E120" s="7"/>
      <c r="F120" s="7"/>
      <c r="G120" s="7"/>
      <c r="H120" s="7"/>
      <c r="I120" s="7"/>
      <c r="J120" s="7"/>
      <c r="K120" s="7"/>
      <c r="L120" s="7"/>
      <c r="M120" s="7" t="str" cm="1">
        <f t="array" aca="1" ref="M120" ca="1">IF(OR('Raw Data'!M120="",LEN(TRIM('Raw Data'!M120))=0,Validate_Empty!M120&lt;&gt;"",Validate_Value!M120&lt;&gt;""),"",IF(OR(NOT(OR(LEN(TRIM('Raw Data'!B120:X120))&gt;0)),OR('Raw Data'!M120="",LEN(TRIM('Raw Data'!M120))=0)),"",IF('Raw Data'!M120 = SUM('Raw Data'!K120:L120),"",_xlfn.REGEXEXTRACT(CELL("address",'Raw Data'!M120),"\$([A-Z]+)\$[0-9]+"))))</f>
        <v/>
      </c>
      <c r="N120" s="7"/>
      <c r="O120" s="7"/>
      <c r="P120" s="7" t="str" cm="1">
        <f t="array" aca="1" ref="P120" ca="1">IF(OR('Raw Data'!P120="",LEN(TRIM('Raw Data'!P120))=0,Validate_Empty!P120&lt;&gt;"",Validate_Value!P120&lt;&gt;""),"",IF(OR(NOT(OR(LEN(TRIM('Raw Data'!B120:X120))&gt;0)),OR('Raw Data'!P120="",LEN(TRIM('Raw Data'!P120))=0)),"",IF(AND('Raw Data'!J120 + Configuration!$G$2 + 5 &gt;= 'Raw Data'!P120,'Raw Data'!J120 + Configuration!$G$2 - 5 &lt;= 'Raw Data'!P120),"",_xlfn.REGEXEXTRACT(CELL("address",'Raw Data'!P120),"\$([A-Z]+)\$[0-9]+"))))</f>
        <v/>
      </c>
      <c r="Q120" s="7"/>
      <c r="R120" s="7"/>
      <c r="S120" s="7"/>
      <c r="T120" s="7" t="str" cm="1">
        <f t="array" aca="1" ref="T120" ca="1">IF(OR('Raw Data'!T120="",LEN(TRIM('Raw Data'!T120))=0,Validate_Empty!T120&lt;&gt;"",Validate_Value!T120&lt;&gt;""),"",IF(OR(NOT(OR(LEN(TRIM('Raw Data'!B120:X120))&gt;0)),OR('Raw Data'!T120="",LEN(TRIM('Raw Data'!T120))=0)),"",IF('Raw Data'!T120 = SUM('Raw Data'!R120:S120),"",_xlfn.REGEXEXTRACT(CELL("address",'Raw Data'!T120),"\$([A-Z]+)\$[0-9]+"))))</f>
        <v/>
      </c>
      <c r="U120" s="7" t="str" cm="1">
        <f t="array" aca="1" ref="U120" ca="1">IF(OR('Raw Data'!U120="",LEN(TRIM('Raw Data'!U120))=0,Validate_Empty!U120&lt;&gt;"",Validate_Value!U120&lt;&gt;""),"",IF(OR(NOT(OR(LEN(TRIM('Raw Data'!B120:X120))&gt;0)),OR('Raw Data'!T120="",LEN(TRIM('Raw Data'!T120))=0)),"",IF(ISNUMBER(SEARCH('Raw Data'!U120, Configuration!$H$2)),"",_xlfn.REGEXEXTRACT(CELL("address",'Raw Data'!U120),"\$([A-Z]+)\$[0-9]+"))))</f>
        <v/>
      </c>
      <c r="V120" s="7" t="str" cm="1">
        <f t="array" aca="1" ref="V120" ca="1">IF(OR('Raw Data'!V120="",LEN(TRIM('Raw Data'!V120))=0,Validate_Empty!V120&lt;&gt;"",Validate_Value!V120&lt;&gt;""),"",IF(OR(NOT(OR(LEN(TRIM('Raw Data'!B120:X120))&gt;0)),OR('Raw Data'!V120="",LEN(TRIM('Raw Data'!V120))=0)),"",IF('Raw Data'!V120 = Configuration!$I$2,"",_xlfn.REGEXEXTRACT(CELL("address",'Raw Data'!V120),"\$([A-Z]+)\$[0-9]+"))))</f>
        <v/>
      </c>
      <c r="W120" s="7"/>
      <c r="X120" s="7"/>
    </row>
    <row r="121" spans="2:24" x14ac:dyDescent="0.25">
      <c r="B121" s="7"/>
      <c r="C121" s="7" t="str" cm="1">
        <f t="array" aca="1" ref="C121" ca="1">IF(OR('Raw Data'!C121="",LEN(TRIM('Raw Data'!C121))=0,Validate_Empty!C121&lt;&gt;"",Validate_Value!C121&lt;&gt;""),"",IF(OR(NOT(OR(LEN(TRIM('Raw Data'!B121:X121))&gt;0)),OR('Raw Data'!C121="",LEN(TRIM('Raw Data'!C121))=0)),"",IF(OR(AND('Raw Data'!B121="Main Contract", LEFT('Raw Data'!C121, LEN("Payment"))="Payment"),AND('Raw Data'!B121="Change Order", LEFT('Raw Data'!C121, LEN("CO Payment No."))="CO Payment No.")),"",_xlfn.REGEXEXTRACT(CELL("address",'Raw Data'!C121),"\$([A-Z]+)\$[0-9]+"))))</f>
        <v/>
      </c>
      <c r="D121" s="7"/>
      <c r="E121" s="7"/>
      <c r="F121" s="7"/>
      <c r="G121" s="7"/>
      <c r="H121" s="7"/>
      <c r="I121" s="7"/>
      <c r="J121" s="7"/>
      <c r="K121" s="7"/>
      <c r="L121" s="7"/>
      <c r="M121" s="7" t="str" cm="1">
        <f t="array" aca="1" ref="M121" ca="1">IF(OR('Raw Data'!M121="",LEN(TRIM('Raw Data'!M121))=0,Validate_Empty!M121&lt;&gt;"",Validate_Value!M121&lt;&gt;""),"",IF(OR(NOT(OR(LEN(TRIM('Raw Data'!B121:X121))&gt;0)),OR('Raw Data'!M121="",LEN(TRIM('Raw Data'!M121))=0)),"",IF('Raw Data'!M121 = SUM('Raw Data'!K121:L121),"",_xlfn.REGEXEXTRACT(CELL("address",'Raw Data'!M121),"\$([A-Z]+)\$[0-9]+"))))</f>
        <v/>
      </c>
      <c r="N121" s="7"/>
      <c r="O121" s="7"/>
      <c r="P121" s="7" t="str" cm="1">
        <f t="array" aca="1" ref="P121" ca="1">IF(OR('Raw Data'!P121="",LEN(TRIM('Raw Data'!P121))=0,Validate_Empty!P121&lt;&gt;"",Validate_Value!P121&lt;&gt;""),"",IF(OR(NOT(OR(LEN(TRIM('Raw Data'!B121:X121))&gt;0)),OR('Raw Data'!P121="",LEN(TRIM('Raw Data'!P121))=0)),"",IF(AND('Raw Data'!J121 + Configuration!$G$2 + 5 &gt;= 'Raw Data'!P121,'Raw Data'!J121 + Configuration!$G$2 - 5 &lt;= 'Raw Data'!P121),"",_xlfn.REGEXEXTRACT(CELL("address",'Raw Data'!P121),"\$([A-Z]+)\$[0-9]+"))))</f>
        <v/>
      </c>
      <c r="Q121" s="7"/>
      <c r="R121" s="7"/>
      <c r="S121" s="7"/>
      <c r="T121" s="7" t="str" cm="1">
        <f t="array" aca="1" ref="T121" ca="1">IF(OR('Raw Data'!T121="",LEN(TRIM('Raw Data'!T121))=0,Validate_Empty!T121&lt;&gt;"",Validate_Value!T121&lt;&gt;""),"",IF(OR(NOT(OR(LEN(TRIM('Raw Data'!B121:X121))&gt;0)),OR('Raw Data'!T121="",LEN(TRIM('Raw Data'!T121))=0)),"",IF('Raw Data'!T121 = SUM('Raw Data'!R121:S121),"",_xlfn.REGEXEXTRACT(CELL("address",'Raw Data'!T121),"\$([A-Z]+)\$[0-9]+"))))</f>
        <v/>
      </c>
      <c r="U121" s="7" t="str" cm="1">
        <f t="array" aca="1" ref="U121" ca="1">IF(OR('Raw Data'!U121="",LEN(TRIM('Raw Data'!U121))=0,Validate_Empty!U121&lt;&gt;"",Validate_Value!U121&lt;&gt;""),"",IF(OR(NOT(OR(LEN(TRIM('Raw Data'!B121:X121))&gt;0)),OR('Raw Data'!T121="",LEN(TRIM('Raw Data'!T121))=0)),"",IF(ISNUMBER(SEARCH('Raw Data'!U121, Configuration!$H$2)),"",_xlfn.REGEXEXTRACT(CELL("address",'Raw Data'!U121),"\$([A-Z]+)\$[0-9]+"))))</f>
        <v/>
      </c>
      <c r="V121" s="7" t="str" cm="1">
        <f t="array" aca="1" ref="V121" ca="1">IF(OR('Raw Data'!V121="",LEN(TRIM('Raw Data'!V121))=0,Validate_Empty!V121&lt;&gt;"",Validate_Value!V121&lt;&gt;""),"",IF(OR(NOT(OR(LEN(TRIM('Raw Data'!B121:X121))&gt;0)),OR('Raw Data'!V121="",LEN(TRIM('Raw Data'!V121))=0)),"",IF('Raw Data'!V121 = Configuration!$I$2,"",_xlfn.REGEXEXTRACT(CELL("address",'Raw Data'!V121),"\$([A-Z]+)\$[0-9]+"))))</f>
        <v/>
      </c>
      <c r="W121" s="7"/>
      <c r="X121" s="7"/>
    </row>
    <row r="122" spans="2:24" x14ac:dyDescent="0.25">
      <c r="B122" s="7"/>
      <c r="C122" s="7" t="str" cm="1">
        <f t="array" aca="1" ref="C122" ca="1">IF(OR('Raw Data'!C122="",LEN(TRIM('Raw Data'!C122))=0,Validate_Empty!C122&lt;&gt;"",Validate_Value!C122&lt;&gt;""),"",IF(OR(NOT(OR(LEN(TRIM('Raw Data'!B122:X122))&gt;0)),OR('Raw Data'!C122="",LEN(TRIM('Raw Data'!C122))=0)),"",IF(OR(AND('Raw Data'!B122="Main Contract", LEFT('Raw Data'!C122, LEN("Payment"))="Payment"),AND('Raw Data'!B122="Change Order", LEFT('Raw Data'!C122, LEN("CO Payment No."))="CO Payment No.")),"",_xlfn.REGEXEXTRACT(CELL("address",'Raw Data'!C122),"\$([A-Z]+)\$[0-9]+"))))</f>
        <v/>
      </c>
      <c r="D122" s="7"/>
      <c r="E122" s="7"/>
      <c r="F122" s="7"/>
      <c r="G122" s="7"/>
      <c r="H122" s="7"/>
      <c r="I122" s="7"/>
      <c r="J122" s="7"/>
      <c r="K122" s="7"/>
      <c r="L122" s="7"/>
      <c r="M122" s="7" t="str" cm="1">
        <f t="array" aca="1" ref="M122" ca="1">IF(OR('Raw Data'!M122="",LEN(TRIM('Raw Data'!M122))=0,Validate_Empty!M122&lt;&gt;"",Validate_Value!M122&lt;&gt;""),"",IF(OR(NOT(OR(LEN(TRIM('Raw Data'!B122:X122))&gt;0)),OR('Raw Data'!M122="",LEN(TRIM('Raw Data'!M122))=0)),"",IF('Raw Data'!M122 = SUM('Raw Data'!K122:L122),"",_xlfn.REGEXEXTRACT(CELL("address",'Raw Data'!M122),"\$([A-Z]+)\$[0-9]+"))))</f>
        <v/>
      </c>
      <c r="N122" s="7"/>
      <c r="O122" s="7"/>
      <c r="P122" s="7" t="str" cm="1">
        <f t="array" aca="1" ref="P122" ca="1">IF(OR('Raw Data'!P122="",LEN(TRIM('Raw Data'!P122))=0,Validate_Empty!P122&lt;&gt;"",Validate_Value!P122&lt;&gt;""),"",IF(OR(NOT(OR(LEN(TRIM('Raw Data'!B122:X122))&gt;0)),OR('Raw Data'!P122="",LEN(TRIM('Raw Data'!P122))=0)),"",IF(AND('Raw Data'!J122 + Configuration!$G$2 + 5 &gt;= 'Raw Data'!P122,'Raw Data'!J122 + Configuration!$G$2 - 5 &lt;= 'Raw Data'!P122),"",_xlfn.REGEXEXTRACT(CELL("address",'Raw Data'!P122),"\$([A-Z]+)\$[0-9]+"))))</f>
        <v/>
      </c>
      <c r="Q122" s="7"/>
      <c r="R122" s="7"/>
      <c r="S122" s="7"/>
      <c r="T122" s="7" t="str" cm="1">
        <f t="array" aca="1" ref="T122" ca="1">IF(OR('Raw Data'!T122="",LEN(TRIM('Raw Data'!T122))=0,Validate_Empty!T122&lt;&gt;"",Validate_Value!T122&lt;&gt;""),"",IF(OR(NOT(OR(LEN(TRIM('Raw Data'!B122:X122))&gt;0)),OR('Raw Data'!T122="",LEN(TRIM('Raw Data'!T122))=0)),"",IF('Raw Data'!T122 = SUM('Raw Data'!R122:S122),"",_xlfn.REGEXEXTRACT(CELL("address",'Raw Data'!T122),"\$([A-Z]+)\$[0-9]+"))))</f>
        <v/>
      </c>
      <c r="U122" s="7" t="str" cm="1">
        <f t="array" aca="1" ref="U122" ca="1">IF(OR('Raw Data'!U122="",LEN(TRIM('Raw Data'!U122))=0,Validate_Empty!U122&lt;&gt;"",Validate_Value!U122&lt;&gt;""),"",IF(OR(NOT(OR(LEN(TRIM('Raw Data'!B122:X122))&gt;0)),OR('Raw Data'!T122="",LEN(TRIM('Raw Data'!T122))=0)),"",IF(ISNUMBER(SEARCH('Raw Data'!U122, Configuration!$H$2)),"",_xlfn.REGEXEXTRACT(CELL("address",'Raw Data'!U122),"\$([A-Z]+)\$[0-9]+"))))</f>
        <v/>
      </c>
      <c r="V122" s="7" t="str" cm="1">
        <f t="array" aca="1" ref="V122" ca="1">IF(OR('Raw Data'!V122="",LEN(TRIM('Raw Data'!V122))=0,Validate_Empty!V122&lt;&gt;"",Validate_Value!V122&lt;&gt;""),"",IF(OR(NOT(OR(LEN(TRIM('Raw Data'!B122:X122))&gt;0)),OR('Raw Data'!V122="",LEN(TRIM('Raw Data'!V122))=0)),"",IF('Raw Data'!V122 = Configuration!$I$2,"",_xlfn.REGEXEXTRACT(CELL("address",'Raw Data'!V122),"\$([A-Z]+)\$[0-9]+"))))</f>
        <v/>
      </c>
      <c r="W122" s="7"/>
      <c r="X122" s="7"/>
    </row>
    <row r="123" spans="2:24" x14ac:dyDescent="0.25">
      <c r="B123" s="7"/>
      <c r="C123" s="7" t="str" cm="1">
        <f t="array" aca="1" ref="C123" ca="1">IF(OR('Raw Data'!C123="",LEN(TRIM('Raw Data'!C123))=0,Validate_Empty!C123&lt;&gt;"",Validate_Value!C123&lt;&gt;""),"",IF(OR(NOT(OR(LEN(TRIM('Raw Data'!B123:X123))&gt;0)),OR('Raw Data'!C123="",LEN(TRIM('Raw Data'!C123))=0)),"",IF(OR(AND('Raw Data'!B123="Main Contract", LEFT('Raw Data'!C123, LEN("Payment"))="Payment"),AND('Raw Data'!B123="Change Order", LEFT('Raw Data'!C123, LEN("CO Payment No."))="CO Payment No.")),"",_xlfn.REGEXEXTRACT(CELL("address",'Raw Data'!C123),"\$([A-Z]+)\$[0-9]+"))))</f>
        <v/>
      </c>
      <c r="D123" s="7"/>
      <c r="E123" s="7"/>
      <c r="F123" s="7"/>
      <c r="G123" s="7"/>
      <c r="H123" s="7"/>
      <c r="I123" s="7"/>
      <c r="J123" s="7"/>
      <c r="K123" s="7"/>
      <c r="L123" s="7"/>
      <c r="M123" s="7" t="str" cm="1">
        <f t="array" aca="1" ref="M123" ca="1">IF(OR('Raw Data'!M123="",LEN(TRIM('Raw Data'!M123))=0,Validate_Empty!M123&lt;&gt;"",Validate_Value!M123&lt;&gt;""),"",IF(OR(NOT(OR(LEN(TRIM('Raw Data'!B123:X123))&gt;0)),OR('Raw Data'!M123="",LEN(TRIM('Raw Data'!M123))=0)),"",IF('Raw Data'!M123 = SUM('Raw Data'!K123:L123),"",_xlfn.REGEXEXTRACT(CELL("address",'Raw Data'!M123),"\$([A-Z]+)\$[0-9]+"))))</f>
        <v/>
      </c>
      <c r="N123" s="7"/>
      <c r="O123" s="7"/>
      <c r="P123" s="7" t="str" cm="1">
        <f t="array" aca="1" ref="P123" ca="1">IF(OR('Raw Data'!P123="",LEN(TRIM('Raw Data'!P123))=0,Validate_Empty!P123&lt;&gt;"",Validate_Value!P123&lt;&gt;""),"",IF(OR(NOT(OR(LEN(TRIM('Raw Data'!B123:X123))&gt;0)),OR('Raw Data'!P123="",LEN(TRIM('Raw Data'!P123))=0)),"",IF(AND('Raw Data'!J123 + Configuration!$G$2 + 5 &gt;= 'Raw Data'!P123,'Raw Data'!J123 + Configuration!$G$2 - 5 &lt;= 'Raw Data'!P123),"",_xlfn.REGEXEXTRACT(CELL("address",'Raw Data'!P123),"\$([A-Z]+)\$[0-9]+"))))</f>
        <v/>
      </c>
      <c r="Q123" s="7"/>
      <c r="R123" s="7"/>
      <c r="S123" s="7"/>
      <c r="T123" s="7" t="str" cm="1">
        <f t="array" aca="1" ref="T123" ca="1">IF(OR('Raw Data'!T123="",LEN(TRIM('Raw Data'!T123))=0,Validate_Empty!T123&lt;&gt;"",Validate_Value!T123&lt;&gt;""),"",IF(OR(NOT(OR(LEN(TRIM('Raw Data'!B123:X123))&gt;0)),OR('Raw Data'!T123="",LEN(TRIM('Raw Data'!T123))=0)),"",IF('Raw Data'!T123 = SUM('Raw Data'!R123:S123),"",_xlfn.REGEXEXTRACT(CELL("address",'Raw Data'!T123),"\$([A-Z]+)\$[0-9]+"))))</f>
        <v/>
      </c>
      <c r="U123" s="7" t="str" cm="1">
        <f t="array" aca="1" ref="U123" ca="1">IF(OR('Raw Data'!U123="",LEN(TRIM('Raw Data'!U123))=0,Validate_Empty!U123&lt;&gt;"",Validate_Value!U123&lt;&gt;""),"",IF(OR(NOT(OR(LEN(TRIM('Raw Data'!B123:X123))&gt;0)),OR('Raw Data'!T123="",LEN(TRIM('Raw Data'!T123))=0)),"",IF(ISNUMBER(SEARCH('Raw Data'!U123, Configuration!$H$2)),"",_xlfn.REGEXEXTRACT(CELL("address",'Raw Data'!U123),"\$([A-Z]+)\$[0-9]+"))))</f>
        <v/>
      </c>
      <c r="V123" s="7" t="str" cm="1">
        <f t="array" aca="1" ref="V123" ca="1">IF(OR('Raw Data'!V123="",LEN(TRIM('Raw Data'!V123))=0,Validate_Empty!V123&lt;&gt;"",Validate_Value!V123&lt;&gt;""),"",IF(OR(NOT(OR(LEN(TRIM('Raw Data'!B123:X123))&gt;0)),OR('Raw Data'!V123="",LEN(TRIM('Raw Data'!V123))=0)),"",IF('Raw Data'!V123 = Configuration!$I$2,"",_xlfn.REGEXEXTRACT(CELL("address",'Raw Data'!V123),"\$([A-Z]+)\$[0-9]+"))))</f>
        <v/>
      </c>
      <c r="W123" s="7"/>
      <c r="X123" s="7"/>
    </row>
    <row r="124" spans="2:24" x14ac:dyDescent="0.25">
      <c r="B124" s="7"/>
      <c r="C124" s="7" t="str" cm="1">
        <f t="array" aca="1" ref="C124" ca="1">IF(OR('Raw Data'!C124="",LEN(TRIM('Raw Data'!C124))=0,Validate_Empty!C124&lt;&gt;"",Validate_Value!C124&lt;&gt;""),"",IF(OR(NOT(OR(LEN(TRIM('Raw Data'!B124:X124))&gt;0)),OR('Raw Data'!C124="",LEN(TRIM('Raw Data'!C124))=0)),"",IF(OR(AND('Raw Data'!B124="Main Contract", LEFT('Raw Data'!C124, LEN("Payment"))="Payment"),AND('Raw Data'!B124="Change Order", LEFT('Raw Data'!C124, LEN("CO Payment No."))="CO Payment No.")),"",_xlfn.REGEXEXTRACT(CELL("address",'Raw Data'!C124),"\$([A-Z]+)\$[0-9]+"))))</f>
        <v/>
      </c>
      <c r="D124" s="7"/>
      <c r="E124" s="7"/>
      <c r="F124" s="7"/>
      <c r="G124" s="7"/>
      <c r="H124" s="7"/>
      <c r="I124" s="7"/>
      <c r="J124" s="7"/>
      <c r="K124" s="7"/>
      <c r="L124" s="7"/>
      <c r="M124" s="7" t="str" cm="1">
        <f t="array" aca="1" ref="M124" ca="1">IF(OR('Raw Data'!M124="",LEN(TRIM('Raw Data'!M124))=0,Validate_Empty!M124&lt;&gt;"",Validate_Value!M124&lt;&gt;""),"",IF(OR(NOT(OR(LEN(TRIM('Raw Data'!B124:X124))&gt;0)),OR('Raw Data'!M124="",LEN(TRIM('Raw Data'!M124))=0)),"",IF('Raw Data'!M124 = SUM('Raw Data'!K124:L124),"",_xlfn.REGEXEXTRACT(CELL("address",'Raw Data'!M124),"\$([A-Z]+)\$[0-9]+"))))</f>
        <v/>
      </c>
      <c r="N124" s="7"/>
      <c r="O124" s="7"/>
      <c r="P124" s="7" t="str" cm="1">
        <f t="array" aca="1" ref="P124" ca="1">IF(OR('Raw Data'!P124="",LEN(TRIM('Raw Data'!P124))=0,Validate_Empty!P124&lt;&gt;"",Validate_Value!P124&lt;&gt;""),"",IF(OR(NOT(OR(LEN(TRIM('Raw Data'!B124:X124))&gt;0)),OR('Raw Data'!P124="",LEN(TRIM('Raw Data'!P124))=0)),"",IF(AND('Raw Data'!J124 + Configuration!$G$2 + 5 &gt;= 'Raw Data'!P124,'Raw Data'!J124 + Configuration!$G$2 - 5 &lt;= 'Raw Data'!P124),"",_xlfn.REGEXEXTRACT(CELL("address",'Raw Data'!P124),"\$([A-Z]+)\$[0-9]+"))))</f>
        <v/>
      </c>
      <c r="Q124" s="7"/>
      <c r="R124" s="7"/>
      <c r="S124" s="7"/>
      <c r="T124" s="7" t="str" cm="1">
        <f t="array" aca="1" ref="T124" ca="1">IF(OR('Raw Data'!T124="",LEN(TRIM('Raw Data'!T124))=0,Validate_Empty!T124&lt;&gt;"",Validate_Value!T124&lt;&gt;""),"",IF(OR(NOT(OR(LEN(TRIM('Raw Data'!B124:X124))&gt;0)),OR('Raw Data'!T124="",LEN(TRIM('Raw Data'!T124))=0)),"",IF('Raw Data'!T124 = SUM('Raw Data'!R124:S124),"",_xlfn.REGEXEXTRACT(CELL("address",'Raw Data'!T124),"\$([A-Z]+)\$[0-9]+"))))</f>
        <v/>
      </c>
      <c r="U124" s="7" t="str" cm="1">
        <f t="array" aca="1" ref="U124" ca="1">IF(OR('Raw Data'!U124="",LEN(TRIM('Raw Data'!U124))=0,Validate_Empty!U124&lt;&gt;"",Validate_Value!U124&lt;&gt;""),"",IF(OR(NOT(OR(LEN(TRIM('Raw Data'!B124:X124))&gt;0)),OR('Raw Data'!T124="",LEN(TRIM('Raw Data'!T124))=0)),"",IF(ISNUMBER(SEARCH('Raw Data'!U124, Configuration!$H$2)),"",_xlfn.REGEXEXTRACT(CELL("address",'Raw Data'!U124),"\$([A-Z]+)\$[0-9]+"))))</f>
        <v/>
      </c>
      <c r="V124" s="7" t="str" cm="1">
        <f t="array" aca="1" ref="V124" ca="1">IF(OR('Raw Data'!V124="",LEN(TRIM('Raw Data'!V124))=0,Validate_Empty!V124&lt;&gt;"",Validate_Value!V124&lt;&gt;""),"",IF(OR(NOT(OR(LEN(TRIM('Raw Data'!B124:X124))&gt;0)),OR('Raw Data'!V124="",LEN(TRIM('Raw Data'!V124))=0)),"",IF('Raw Data'!V124 = Configuration!$I$2,"",_xlfn.REGEXEXTRACT(CELL("address",'Raw Data'!V124),"\$([A-Z]+)\$[0-9]+"))))</f>
        <v/>
      </c>
      <c r="W124" s="7"/>
      <c r="X124" s="7"/>
    </row>
    <row r="125" spans="2:24" x14ac:dyDescent="0.25">
      <c r="B125" s="7"/>
      <c r="C125" s="7" t="str" cm="1">
        <f t="array" aca="1" ref="C125" ca="1">IF(OR('Raw Data'!C125="",LEN(TRIM('Raw Data'!C125))=0,Validate_Empty!C125&lt;&gt;"",Validate_Value!C125&lt;&gt;""),"",IF(OR(NOT(OR(LEN(TRIM('Raw Data'!B125:X125))&gt;0)),OR('Raw Data'!C125="",LEN(TRIM('Raw Data'!C125))=0)),"",IF(OR(AND('Raw Data'!B125="Main Contract", LEFT('Raw Data'!C125, LEN("Payment"))="Payment"),AND('Raw Data'!B125="Change Order", LEFT('Raw Data'!C125, LEN("CO Payment No."))="CO Payment No.")),"",_xlfn.REGEXEXTRACT(CELL("address",'Raw Data'!C125),"\$([A-Z]+)\$[0-9]+"))))</f>
        <v/>
      </c>
      <c r="D125" s="7"/>
      <c r="E125" s="7"/>
      <c r="F125" s="7"/>
      <c r="G125" s="7"/>
      <c r="H125" s="7"/>
      <c r="I125" s="7"/>
      <c r="J125" s="7"/>
      <c r="K125" s="7"/>
      <c r="L125" s="7"/>
      <c r="M125" s="7" t="str" cm="1">
        <f t="array" aca="1" ref="M125" ca="1">IF(OR('Raw Data'!M125="",LEN(TRIM('Raw Data'!M125))=0,Validate_Empty!M125&lt;&gt;"",Validate_Value!M125&lt;&gt;""),"",IF(OR(NOT(OR(LEN(TRIM('Raw Data'!B125:X125))&gt;0)),OR('Raw Data'!M125="",LEN(TRIM('Raw Data'!M125))=0)),"",IF('Raw Data'!M125 = SUM('Raw Data'!K125:L125),"",_xlfn.REGEXEXTRACT(CELL("address",'Raw Data'!M125),"\$([A-Z]+)\$[0-9]+"))))</f>
        <v/>
      </c>
      <c r="N125" s="7"/>
      <c r="O125" s="7"/>
      <c r="P125" s="7" t="str" cm="1">
        <f t="array" aca="1" ref="P125" ca="1">IF(OR('Raw Data'!P125="",LEN(TRIM('Raw Data'!P125))=0,Validate_Empty!P125&lt;&gt;"",Validate_Value!P125&lt;&gt;""),"",IF(OR(NOT(OR(LEN(TRIM('Raw Data'!B125:X125))&gt;0)),OR('Raw Data'!P125="",LEN(TRIM('Raw Data'!P125))=0)),"",IF(AND('Raw Data'!J125 + Configuration!$G$2 + 5 &gt;= 'Raw Data'!P125,'Raw Data'!J125 + Configuration!$G$2 - 5 &lt;= 'Raw Data'!P125),"",_xlfn.REGEXEXTRACT(CELL("address",'Raw Data'!P125),"\$([A-Z]+)\$[0-9]+"))))</f>
        <v/>
      </c>
      <c r="Q125" s="7"/>
      <c r="R125" s="7"/>
      <c r="S125" s="7"/>
      <c r="T125" s="7" t="str" cm="1">
        <f t="array" aca="1" ref="T125" ca="1">IF(OR('Raw Data'!T125="",LEN(TRIM('Raw Data'!T125))=0,Validate_Empty!T125&lt;&gt;"",Validate_Value!T125&lt;&gt;""),"",IF(OR(NOT(OR(LEN(TRIM('Raw Data'!B125:X125))&gt;0)),OR('Raw Data'!T125="",LEN(TRIM('Raw Data'!T125))=0)),"",IF('Raw Data'!T125 = SUM('Raw Data'!R125:S125),"",_xlfn.REGEXEXTRACT(CELL("address",'Raw Data'!T125),"\$([A-Z]+)\$[0-9]+"))))</f>
        <v/>
      </c>
      <c r="U125" s="7" t="str" cm="1">
        <f t="array" aca="1" ref="U125" ca="1">IF(OR('Raw Data'!U125="",LEN(TRIM('Raw Data'!U125))=0,Validate_Empty!U125&lt;&gt;"",Validate_Value!U125&lt;&gt;""),"",IF(OR(NOT(OR(LEN(TRIM('Raw Data'!B125:X125))&gt;0)),OR('Raw Data'!T125="",LEN(TRIM('Raw Data'!T125))=0)),"",IF(ISNUMBER(SEARCH('Raw Data'!U125, Configuration!$H$2)),"",_xlfn.REGEXEXTRACT(CELL("address",'Raw Data'!U125),"\$([A-Z]+)\$[0-9]+"))))</f>
        <v/>
      </c>
      <c r="V125" s="7" t="str" cm="1">
        <f t="array" aca="1" ref="V125" ca="1">IF(OR('Raw Data'!V125="",LEN(TRIM('Raw Data'!V125))=0,Validate_Empty!V125&lt;&gt;"",Validate_Value!V125&lt;&gt;""),"",IF(OR(NOT(OR(LEN(TRIM('Raw Data'!B125:X125))&gt;0)),OR('Raw Data'!V125="",LEN(TRIM('Raw Data'!V125))=0)),"",IF('Raw Data'!V125 = Configuration!$I$2,"",_xlfn.REGEXEXTRACT(CELL("address",'Raw Data'!V125),"\$([A-Z]+)\$[0-9]+"))))</f>
        <v/>
      </c>
      <c r="W125" s="7"/>
      <c r="X125" s="7"/>
    </row>
    <row r="126" spans="2:24" x14ac:dyDescent="0.25">
      <c r="B126" s="7"/>
      <c r="C126" s="7" t="str" cm="1">
        <f t="array" aca="1" ref="C126" ca="1">IF(OR('Raw Data'!C126="",LEN(TRIM('Raw Data'!C126))=0,Validate_Empty!C126&lt;&gt;"",Validate_Value!C126&lt;&gt;""),"",IF(OR(NOT(OR(LEN(TRIM('Raw Data'!B126:X126))&gt;0)),OR('Raw Data'!C126="",LEN(TRIM('Raw Data'!C126))=0)),"",IF(OR(AND('Raw Data'!B126="Main Contract", LEFT('Raw Data'!C126, LEN("Payment"))="Payment"),AND('Raw Data'!B126="Change Order", LEFT('Raw Data'!C126, LEN("CO Payment No."))="CO Payment No.")),"",_xlfn.REGEXEXTRACT(CELL("address",'Raw Data'!C126),"\$([A-Z]+)\$[0-9]+"))))</f>
        <v/>
      </c>
      <c r="D126" s="7"/>
      <c r="E126" s="7"/>
      <c r="F126" s="7"/>
      <c r="G126" s="7"/>
      <c r="H126" s="7"/>
      <c r="I126" s="7"/>
      <c r="J126" s="7"/>
      <c r="K126" s="7"/>
      <c r="L126" s="7"/>
      <c r="M126" s="7" t="str" cm="1">
        <f t="array" aca="1" ref="M126" ca="1">IF(OR('Raw Data'!M126="",LEN(TRIM('Raw Data'!M126))=0,Validate_Empty!M126&lt;&gt;"",Validate_Value!M126&lt;&gt;""),"",IF(OR(NOT(OR(LEN(TRIM('Raw Data'!B126:X126))&gt;0)),OR('Raw Data'!M126="",LEN(TRIM('Raw Data'!M126))=0)),"",IF('Raw Data'!M126 = SUM('Raw Data'!K126:L126),"",_xlfn.REGEXEXTRACT(CELL("address",'Raw Data'!M126),"\$([A-Z]+)\$[0-9]+"))))</f>
        <v/>
      </c>
      <c r="N126" s="7"/>
      <c r="O126" s="7"/>
      <c r="P126" s="7" t="str" cm="1">
        <f t="array" aca="1" ref="P126" ca="1">IF(OR('Raw Data'!P126="",LEN(TRIM('Raw Data'!P126))=0,Validate_Empty!P126&lt;&gt;"",Validate_Value!P126&lt;&gt;""),"",IF(OR(NOT(OR(LEN(TRIM('Raw Data'!B126:X126))&gt;0)),OR('Raw Data'!P126="",LEN(TRIM('Raw Data'!P126))=0)),"",IF(AND('Raw Data'!J126 + Configuration!$G$2 + 5 &gt;= 'Raw Data'!P126,'Raw Data'!J126 + Configuration!$G$2 - 5 &lt;= 'Raw Data'!P126),"",_xlfn.REGEXEXTRACT(CELL("address",'Raw Data'!P126),"\$([A-Z]+)\$[0-9]+"))))</f>
        <v/>
      </c>
      <c r="Q126" s="7"/>
      <c r="R126" s="7"/>
      <c r="S126" s="7"/>
      <c r="T126" s="7" t="str" cm="1">
        <f t="array" aca="1" ref="T126" ca="1">IF(OR('Raw Data'!T126="",LEN(TRIM('Raw Data'!T126))=0,Validate_Empty!T126&lt;&gt;"",Validate_Value!T126&lt;&gt;""),"",IF(OR(NOT(OR(LEN(TRIM('Raw Data'!B126:X126))&gt;0)),OR('Raw Data'!T126="",LEN(TRIM('Raw Data'!T126))=0)),"",IF('Raw Data'!T126 = SUM('Raw Data'!R126:S126),"",_xlfn.REGEXEXTRACT(CELL("address",'Raw Data'!T126),"\$([A-Z]+)\$[0-9]+"))))</f>
        <v/>
      </c>
      <c r="U126" s="7" t="str" cm="1">
        <f t="array" aca="1" ref="U126" ca="1">IF(OR('Raw Data'!U126="",LEN(TRIM('Raw Data'!U126))=0,Validate_Empty!U126&lt;&gt;"",Validate_Value!U126&lt;&gt;""),"",IF(OR(NOT(OR(LEN(TRIM('Raw Data'!B126:X126))&gt;0)),OR('Raw Data'!T126="",LEN(TRIM('Raw Data'!T126))=0)),"",IF(ISNUMBER(SEARCH('Raw Data'!U126, Configuration!$H$2)),"",_xlfn.REGEXEXTRACT(CELL("address",'Raw Data'!U126),"\$([A-Z]+)\$[0-9]+"))))</f>
        <v/>
      </c>
      <c r="V126" s="7" t="str" cm="1">
        <f t="array" aca="1" ref="V126" ca="1">IF(OR('Raw Data'!V126="",LEN(TRIM('Raw Data'!V126))=0,Validate_Empty!V126&lt;&gt;"",Validate_Value!V126&lt;&gt;""),"",IF(OR(NOT(OR(LEN(TRIM('Raw Data'!B126:X126))&gt;0)),OR('Raw Data'!V126="",LEN(TRIM('Raw Data'!V126))=0)),"",IF('Raw Data'!V126 = Configuration!$I$2,"",_xlfn.REGEXEXTRACT(CELL("address",'Raw Data'!V126),"\$([A-Z]+)\$[0-9]+"))))</f>
        <v/>
      </c>
      <c r="W126" s="7"/>
      <c r="X126" s="7"/>
    </row>
    <row r="127" spans="2:24" x14ac:dyDescent="0.25">
      <c r="B127" s="7"/>
      <c r="C127" s="7" t="str" cm="1">
        <f t="array" aca="1" ref="C127" ca="1">IF(OR('Raw Data'!C127="",LEN(TRIM('Raw Data'!C127))=0,Validate_Empty!C127&lt;&gt;"",Validate_Value!C127&lt;&gt;""),"",IF(OR(NOT(OR(LEN(TRIM('Raw Data'!B127:X127))&gt;0)),OR('Raw Data'!C127="",LEN(TRIM('Raw Data'!C127))=0)),"",IF(OR(AND('Raw Data'!B127="Main Contract", LEFT('Raw Data'!C127, LEN("Payment"))="Payment"),AND('Raw Data'!B127="Change Order", LEFT('Raw Data'!C127, LEN("CO Payment No."))="CO Payment No.")),"",_xlfn.REGEXEXTRACT(CELL("address",'Raw Data'!C127),"\$([A-Z]+)\$[0-9]+"))))</f>
        <v/>
      </c>
      <c r="D127" s="7"/>
      <c r="E127" s="7"/>
      <c r="F127" s="7"/>
      <c r="G127" s="7"/>
      <c r="H127" s="7"/>
      <c r="I127" s="7"/>
      <c r="J127" s="7"/>
      <c r="K127" s="7"/>
      <c r="L127" s="7"/>
      <c r="M127" s="7" t="str" cm="1">
        <f t="array" aca="1" ref="M127" ca="1">IF(OR('Raw Data'!M127="",LEN(TRIM('Raw Data'!M127))=0,Validate_Empty!M127&lt;&gt;"",Validate_Value!M127&lt;&gt;""),"",IF(OR(NOT(OR(LEN(TRIM('Raw Data'!B127:X127))&gt;0)),OR('Raw Data'!M127="",LEN(TRIM('Raw Data'!M127))=0)),"",IF('Raw Data'!M127 = SUM('Raw Data'!K127:L127),"",_xlfn.REGEXEXTRACT(CELL("address",'Raw Data'!M127),"\$([A-Z]+)\$[0-9]+"))))</f>
        <v/>
      </c>
      <c r="N127" s="7"/>
      <c r="O127" s="7"/>
      <c r="P127" s="7" t="str" cm="1">
        <f t="array" aca="1" ref="P127" ca="1">IF(OR('Raw Data'!P127="",LEN(TRIM('Raw Data'!P127))=0,Validate_Empty!P127&lt;&gt;"",Validate_Value!P127&lt;&gt;""),"",IF(OR(NOT(OR(LEN(TRIM('Raw Data'!B127:X127))&gt;0)),OR('Raw Data'!P127="",LEN(TRIM('Raw Data'!P127))=0)),"",IF(AND('Raw Data'!J127 + Configuration!$G$2 + 5 &gt;= 'Raw Data'!P127,'Raw Data'!J127 + Configuration!$G$2 - 5 &lt;= 'Raw Data'!P127),"",_xlfn.REGEXEXTRACT(CELL("address",'Raw Data'!P127),"\$([A-Z]+)\$[0-9]+"))))</f>
        <v/>
      </c>
      <c r="Q127" s="7"/>
      <c r="R127" s="7"/>
      <c r="S127" s="7"/>
      <c r="T127" s="7" t="str" cm="1">
        <f t="array" aca="1" ref="T127" ca="1">IF(OR('Raw Data'!T127="",LEN(TRIM('Raw Data'!T127))=0,Validate_Empty!T127&lt;&gt;"",Validate_Value!T127&lt;&gt;""),"",IF(OR(NOT(OR(LEN(TRIM('Raw Data'!B127:X127))&gt;0)),OR('Raw Data'!T127="",LEN(TRIM('Raw Data'!T127))=0)),"",IF('Raw Data'!T127 = SUM('Raw Data'!R127:S127),"",_xlfn.REGEXEXTRACT(CELL("address",'Raw Data'!T127),"\$([A-Z]+)\$[0-9]+"))))</f>
        <v/>
      </c>
      <c r="U127" s="7" t="str" cm="1">
        <f t="array" aca="1" ref="U127" ca="1">IF(OR('Raw Data'!U127="",LEN(TRIM('Raw Data'!U127))=0,Validate_Empty!U127&lt;&gt;"",Validate_Value!U127&lt;&gt;""),"",IF(OR(NOT(OR(LEN(TRIM('Raw Data'!B127:X127))&gt;0)),OR('Raw Data'!T127="",LEN(TRIM('Raw Data'!T127))=0)),"",IF(ISNUMBER(SEARCH('Raw Data'!U127, Configuration!$H$2)),"",_xlfn.REGEXEXTRACT(CELL("address",'Raw Data'!U127),"\$([A-Z]+)\$[0-9]+"))))</f>
        <v/>
      </c>
      <c r="V127" s="7" t="str" cm="1">
        <f t="array" aca="1" ref="V127" ca="1">IF(OR('Raw Data'!V127="",LEN(TRIM('Raw Data'!V127))=0,Validate_Empty!V127&lt;&gt;"",Validate_Value!V127&lt;&gt;""),"",IF(OR(NOT(OR(LEN(TRIM('Raw Data'!B127:X127))&gt;0)),OR('Raw Data'!V127="",LEN(TRIM('Raw Data'!V127))=0)),"",IF('Raw Data'!V127 = Configuration!$I$2,"",_xlfn.REGEXEXTRACT(CELL("address",'Raw Data'!V127),"\$([A-Z]+)\$[0-9]+"))))</f>
        <v/>
      </c>
      <c r="W127" s="7"/>
      <c r="X127" s="7"/>
    </row>
    <row r="128" spans="2:24" x14ac:dyDescent="0.25">
      <c r="B128" s="7"/>
      <c r="C128" s="7" t="str" cm="1">
        <f t="array" aca="1" ref="C128" ca="1">IF(OR('Raw Data'!C128="",LEN(TRIM('Raw Data'!C128))=0,Validate_Empty!C128&lt;&gt;"",Validate_Value!C128&lt;&gt;""),"",IF(OR(NOT(OR(LEN(TRIM('Raw Data'!B128:X128))&gt;0)),OR('Raw Data'!C128="",LEN(TRIM('Raw Data'!C128))=0)),"",IF(OR(AND('Raw Data'!B128="Main Contract", LEFT('Raw Data'!C128, LEN("Payment"))="Payment"),AND('Raw Data'!B128="Change Order", LEFT('Raw Data'!C128, LEN("CO Payment No."))="CO Payment No.")),"",_xlfn.REGEXEXTRACT(CELL("address",'Raw Data'!C128),"\$([A-Z]+)\$[0-9]+"))))</f>
        <v/>
      </c>
      <c r="D128" s="7"/>
      <c r="E128" s="7"/>
      <c r="F128" s="7"/>
      <c r="G128" s="7"/>
      <c r="H128" s="7"/>
      <c r="I128" s="7"/>
      <c r="J128" s="7"/>
      <c r="K128" s="7"/>
      <c r="L128" s="7"/>
      <c r="M128" s="7" t="str" cm="1">
        <f t="array" aca="1" ref="M128" ca="1">IF(OR('Raw Data'!M128="",LEN(TRIM('Raw Data'!M128))=0,Validate_Empty!M128&lt;&gt;"",Validate_Value!M128&lt;&gt;""),"",IF(OR(NOT(OR(LEN(TRIM('Raw Data'!B128:X128))&gt;0)),OR('Raw Data'!M128="",LEN(TRIM('Raw Data'!M128))=0)),"",IF('Raw Data'!M128 = SUM('Raw Data'!K128:L128),"",_xlfn.REGEXEXTRACT(CELL("address",'Raw Data'!M128),"\$([A-Z]+)\$[0-9]+"))))</f>
        <v/>
      </c>
      <c r="N128" s="7"/>
      <c r="O128" s="7"/>
      <c r="P128" s="7" t="str" cm="1">
        <f t="array" aca="1" ref="P128" ca="1">IF(OR('Raw Data'!P128="",LEN(TRIM('Raw Data'!P128))=0,Validate_Empty!P128&lt;&gt;"",Validate_Value!P128&lt;&gt;""),"",IF(OR(NOT(OR(LEN(TRIM('Raw Data'!B128:X128))&gt;0)),OR('Raw Data'!P128="",LEN(TRIM('Raw Data'!P128))=0)),"",IF(AND('Raw Data'!J128 + Configuration!$G$2 + 5 &gt;= 'Raw Data'!P128,'Raw Data'!J128 + Configuration!$G$2 - 5 &lt;= 'Raw Data'!P128),"",_xlfn.REGEXEXTRACT(CELL("address",'Raw Data'!P128),"\$([A-Z]+)\$[0-9]+"))))</f>
        <v/>
      </c>
      <c r="Q128" s="7"/>
      <c r="R128" s="7"/>
      <c r="S128" s="7"/>
      <c r="T128" s="7" t="str" cm="1">
        <f t="array" aca="1" ref="T128" ca="1">IF(OR('Raw Data'!T128="",LEN(TRIM('Raw Data'!T128))=0,Validate_Empty!T128&lt;&gt;"",Validate_Value!T128&lt;&gt;""),"",IF(OR(NOT(OR(LEN(TRIM('Raw Data'!B128:X128))&gt;0)),OR('Raw Data'!T128="",LEN(TRIM('Raw Data'!T128))=0)),"",IF('Raw Data'!T128 = SUM('Raw Data'!R128:S128),"",_xlfn.REGEXEXTRACT(CELL("address",'Raw Data'!T128),"\$([A-Z]+)\$[0-9]+"))))</f>
        <v/>
      </c>
      <c r="U128" s="7" t="str" cm="1">
        <f t="array" aca="1" ref="U128" ca="1">IF(OR('Raw Data'!U128="",LEN(TRIM('Raw Data'!U128))=0,Validate_Empty!U128&lt;&gt;"",Validate_Value!U128&lt;&gt;""),"",IF(OR(NOT(OR(LEN(TRIM('Raw Data'!B128:X128))&gt;0)),OR('Raw Data'!T128="",LEN(TRIM('Raw Data'!T128))=0)),"",IF(ISNUMBER(SEARCH('Raw Data'!U128, Configuration!$H$2)),"",_xlfn.REGEXEXTRACT(CELL("address",'Raw Data'!U128),"\$([A-Z]+)\$[0-9]+"))))</f>
        <v/>
      </c>
      <c r="V128" s="7" t="str" cm="1">
        <f t="array" aca="1" ref="V128" ca="1">IF(OR('Raw Data'!V128="",LEN(TRIM('Raw Data'!V128))=0,Validate_Empty!V128&lt;&gt;"",Validate_Value!V128&lt;&gt;""),"",IF(OR(NOT(OR(LEN(TRIM('Raw Data'!B128:X128))&gt;0)),OR('Raw Data'!V128="",LEN(TRIM('Raw Data'!V128))=0)),"",IF('Raw Data'!V128 = Configuration!$I$2,"",_xlfn.REGEXEXTRACT(CELL("address",'Raw Data'!V128),"\$([A-Z]+)\$[0-9]+"))))</f>
        <v/>
      </c>
      <c r="W128" s="7"/>
      <c r="X128" s="7"/>
    </row>
    <row r="129" spans="2:24" x14ac:dyDescent="0.25">
      <c r="B129" s="7"/>
      <c r="C129" s="7" t="str" cm="1">
        <f t="array" aca="1" ref="C129" ca="1">IF(OR('Raw Data'!C129="",LEN(TRIM('Raw Data'!C129))=0,Validate_Empty!C129&lt;&gt;"",Validate_Value!C129&lt;&gt;""),"",IF(OR(NOT(OR(LEN(TRIM('Raw Data'!B129:X129))&gt;0)),OR('Raw Data'!C129="",LEN(TRIM('Raw Data'!C129))=0)),"",IF(OR(AND('Raw Data'!B129="Main Contract", LEFT('Raw Data'!C129, LEN("Payment"))="Payment"),AND('Raw Data'!B129="Change Order", LEFT('Raw Data'!C129, LEN("CO Payment No."))="CO Payment No.")),"",_xlfn.REGEXEXTRACT(CELL("address",'Raw Data'!C129),"\$([A-Z]+)\$[0-9]+"))))</f>
        <v/>
      </c>
      <c r="D129" s="7"/>
      <c r="E129" s="7"/>
      <c r="F129" s="7"/>
      <c r="G129" s="7"/>
      <c r="H129" s="7"/>
      <c r="I129" s="7"/>
      <c r="J129" s="7"/>
      <c r="K129" s="7"/>
      <c r="L129" s="7"/>
      <c r="M129" s="7" t="str" cm="1">
        <f t="array" aca="1" ref="M129" ca="1">IF(OR('Raw Data'!M129="",LEN(TRIM('Raw Data'!M129))=0,Validate_Empty!M129&lt;&gt;"",Validate_Value!M129&lt;&gt;""),"",IF(OR(NOT(OR(LEN(TRIM('Raw Data'!B129:X129))&gt;0)),OR('Raw Data'!M129="",LEN(TRIM('Raw Data'!M129))=0)),"",IF('Raw Data'!M129 = SUM('Raw Data'!K129:L129),"",_xlfn.REGEXEXTRACT(CELL("address",'Raw Data'!M129),"\$([A-Z]+)\$[0-9]+"))))</f>
        <v/>
      </c>
      <c r="N129" s="7"/>
      <c r="O129" s="7"/>
      <c r="P129" s="7" t="str" cm="1">
        <f t="array" aca="1" ref="P129" ca="1">IF(OR('Raw Data'!P129="",LEN(TRIM('Raw Data'!P129))=0,Validate_Empty!P129&lt;&gt;"",Validate_Value!P129&lt;&gt;""),"",IF(OR(NOT(OR(LEN(TRIM('Raw Data'!B129:X129))&gt;0)),OR('Raw Data'!P129="",LEN(TRIM('Raw Data'!P129))=0)),"",IF(AND('Raw Data'!J129 + Configuration!$G$2 + 5 &gt;= 'Raw Data'!P129,'Raw Data'!J129 + Configuration!$G$2 - 5 &lt;= 'Raw Data'!P129),"",_xlfn.REGEXEXTRACT(CELL("address",'Raw Data'!P129),"\$([A-Z]+)\$[0-9]+"))))</f>
        <v/>
      </c>
      <c r="Q129" s="7"/>
      <c r="R129" s="7"/>
      <c r="S129" s="7"/>
      <c r="T129" s="7" t="str" cm="1">
        <f t="array" aca="1" ref="T129" ca="1">IF(OR('Raw Data'!T129="",LEN(TRIM('Raw Data'!T129))=0,Validate_Empty!T129&lt;&gt;"",Validate_Value!T129&lt;&gt;""),"",IF(OR(NOT(OR(LEN(TRIM('Raw Data'!B129:X129))&gt;0)),OR('Raw Data'!T129="",LEN(TRIM('Raw Data'!T129))=0)),"",IF('Raw Data'!T129 = SUM('Raw Data'!R129:S129),"",_xlfn.REGEXEXTRACT(CELL("address",'Raw Data'!T129),"\$([A-Z]+)\$[0-9]+"))))</f>
        <v/>
      </c>
      <c r="U129" s="7" t="str" cm="1">
        <f t="array" aca="1" ref="U129" ca="1">IF(OR('Raw Data'!U129="",LEN(TRIM('Raw Data'!U129))=0,Validate_Empty!U129&lt;&gt;"",Validate_Value!U129&lt;&gt;""),"",IF(OR(NOT(OR(LEN(TRIM('Raw Data'!B129:X129))&gt;0)),OR('Raw Data'!T129="",LEN(TRIM('Raw Data'!T129))=0)),"",IF(ISNUMBER(SEARCH('Raw Data'!U129, Configuration!$H$2)),"",_xlfn.REGEXEXTRACT(CELL("address",'Raw Data'!U129),"\$([A-Z]+)\$[0-9]+"))))</f>
        <v/>
      </c>
      <c r="V129" s="7" t="str" cm="1">
        <f t="array" aca="1" ref="V129" ca="1">IF(OR('Raw Data'!V129="",LEN(TRIM('Raw Data'!V129))=0,Validate_Empty!V129&lt;&gt;"",Validate_Value!V129&lt;&gt;""),"",IF(OR(NOT(OR(LEN(TRIM('Raw Data'!B129:X129))&gt;0)),OR('Raw Data'!V129="",LEN(TRIM('Raw Data'!V129))=0)),"",IF('Raw Data'!V129 = Configuration!$I$2,"",_xlfn.REGEXEXTRACT(CELL("address",'Raw Data'!V129),"\$([A-Z]+)\$[0-9]+"))))</f>
        <v/>
      </c>
      <c r="W129" s="7"/>
      <c r="X129" s="7"/>
    </row>
    <row r="130" spans="2:24" x14ac:dyDescent="0.25">
      <c r="B130" s="7"/>
      <c r="C130" s="7" t="str" cm="1">
        <f t="array" aca="1" ref="C130" ca="1">IF(OR('Raw Data'!C130="",LEN(TRIM('Raw Data'!C130))=0,Validate_Empty!C130&lt;&gt;"",Validate_Value!C130&lt;&gt;""),"",IF(OR(NOT(OR(LEN(TRIM('Raw Data'!B130:X130))&gt;0)),OR('Raw Data'!C130="",LEN(TRIM('Raw Data'!C130))=0)),"",IF(OR(AND('Raw Data'!B130="Main Contract", LEFT('Raw Data'!C130, LEN("Payment"))="Payment"),AND('Raw Data'!B130="Change Order", LEFT('Raw Data'!C130, LEN("CO Payment No."))="CO Payment No.")),"",_xlfn.REGEXEXTRACT(CELL("address",'Raw Data'!C130),"\$([A-Z]+)\$[0-9]+"))))</f>
        <v/>
      </c>
      <c r="D130" s="7"/>
      <c r="E130" s="7"/>
      <c r="F130" s="7"/>
      <c r="G130" s="7"/>
      <c r="H130" s="7"/>
      <c r="I130" s="7"/>
      <c r="J130" s="7"/>
      <c r="K130" s="7"/>
      <c r="L130" s="7"/>
      <c r="M130" s="7" t="str" cm="1">
        <f t="array" aca="1" ref="M130" ca="1">IF(OR('Raw Data'!M130="",LEN(TRIM('Raw Data'!M130))=0,Validate_Empty!M130&lt;&gt;"",Validate_Value!M130&lt;&gt;""),"",IF(OR(NOT(OR(LEN(TRIM('Raw Data'!B130:X130))&gt;0)),OR('Raw Data'!M130="",LEN(TRIM('Raw Data'!M130))=0)),"",IF('Raw Data'!M130 = SUM('Raw Data'!K130:L130),"",_xlfn.REGEXEXTRACT(CELL("address",'Raw Data'!M130),"\$([A-Z]+)\$[0-9]+"))))</f>
        <v/>
      </c>
      <c r="N130" s="7"/>
      <c r="O130" s="7"/>
      <c r="P130" s="7" t="str" cm="1">
        <f t="array" aca="1" ref="P130" ca="1">IF(OR('Raw Data'!P130="",LEN(TRIM('Raw Data'!P130))=0,Validate_Empty!P130&lt;&gt;"",Validate_Value!P130&lt;&gt;""),"",IF(OR(NOT(OR(LEN(TRIM('Raw Data'!B130:X130))&gt;0)),OR('Raw Data'!P130="",LEN(TRIM('Raw Data'!P130))=0)),"",IF(AND('Raw Data'!J130 + Configuration!$G$2 + 5 &gt;= 'Raw Data'!P130,'Raw Data'!J130 + Configuration!$G$2 - 5 &lt;= 'Raw Data'!P130),"",_xlfn.REGEXEXTRACT(CELL("address",'Raw Data'!P130),"\$([A-Z]+)\$[0-9]+"))))</f>
        <v/>
      </c>
      <c r="Q130" s="7"/>
      <c r="R130" s="7"/>
      <c r="S130" s="7"/>
      <c r="T130" s="7" t="str" cm="1">
        <f t="array" aca="1" ref="T130" ca="1">IF(OR('Raw Data'!T130="",LEN(TRIM('Raw Data'!T130))=0,Validate_Empty!T130&lt;&gt;"",Validate_Value!T130&lt;&gt;""),"",IF(OR(NOT(OR(LEN(TRIM('Raw Data'!B130:X130))&gt;0)),OR('Raw Data'!T130="",LEN(TRIM('Raw Data'!T130))=0)),"",IF('Raw Data'!T130 = SUM('Raw Data'!R130:S130),"",_xlfn.REGEXEXTRACT(CELL("address",'Raw Data'!T130),"\$([A-Z]+)\$[0-9]+"))))</f>
        <v/>
      </c>
      <c r="U130" s="7" t="str" cm="1">
        <f t="array" aca="1" ref="U130" ca="1">IF(OR('Raw Data'!U130="",LEN(TRIM('Raw Data'!U130))=0,Validate_Empty!U130&lt;&gt;"",Validate_Value!U130&lt;&gt;""),"",IF(OR(NOT(OR(LEN(TRIM('Raw Data'!B130:X130))&gt;0)),OR('Raw Data'!T130="",LEN(TRIM('Raw Data'!T130))=0)),"",IF(ISNUMBER(SEARCH('Raw Data'!U130, Configuration!$H$2)),"",_xlfn.REGEXEXTRACT(CELL("address",'Raw Data'!U130),"\$([A-Z]+)\$[0-9]+"))))</f>
        <v/>
      </c>
      <c r="V130" s="7" t="str" cm="1">
        <f t="array" aca="1" ref="V130" ca="1">IF(OR('Raw Data'!V130="",LEN(TRIM('Raw Data'!V130))=0,Validate_Empty!V130&lt;&gt;"",Validate_Value!V130&lt;&gt;""),"",IF(OR(NOT(OR(LEN(TRIM('Raw Data'!B130:X130))&gt;0)),OR('Raw Data'!V130="",LEN(TRIM('Raw Data'!V130))=0)),"",IF('Raw Data'!V130 = Configuration!$I$2,"",_xlfn.REGEXEXTRACT(CELL("address",'Raw Data'!V130),"\$([A-Z]+)\$[0-9]+"))))</f>
        <v/>
      </c>
      <c r="W130" s="7"/>
      <c r="X130" s="7"/>
    </row>
    <row r="131" spans="2:24" x14ac:dyDescent="0.25">
      <c r="B131" s="7"/>
      <c r="C131" s="7" t="str" cm="1">
        <f t="array" aca="1" ref="C131" ca="1">IF(OR('Raw Data'!C131="",LEN(TRIM('Raw Data'!C131))=0,Validate_Empty!C131&lt;&gt;"",Validate_Value!C131&lt;&gt;""),"",IF(OR(NOT(OR(LEN(TRIM('Raw Data'!B131:X131))&gt;0)),OR('Raw Data'!C131="",LEN(TRIM('Raw Data'!C131))=0)),"",IF(OR(AND('Raw Data'!B131="Main Contract", LEFT('Raw Data'!C131, LEN("Payment"))="Payment"),AND('Raw Data'!B131="Change Order", LEFT('Raw Data'!C131, LEN("CO Payment No."))="CO Payment No.")),"",_xlfn.REGEXEXTRACT(CELL("address",'Raw Data'!C131),"\$([A-Z]+)\$[0-9]+"))))</f>
        <v/>
      </c>
      <c r="D131" s="7"/>
      <c r="E131" s="7"/>
      <c r="F131" s="7"/>
      <c r="G131" s="7"/>
      <c r="H131" s="7"/>
      <c r="I131" s="7"/>
      <c r="J131" s="7"/>
      <c r="K131" s="7"/>
      <c r="L131" s="7"/>
      <c r="M131" s="7" t="str" cm="1">
        <f t="array" aca="1" ref="M131" ca="1">IF(OR('Raw Data'!M131="",LEN(TRIM('Raw Data'!M131))=0,Validate_Empty!M131&lt;&gt;"",Validate_Value!M131&lt;&gt;""),"",IF(OR(NOT(OR(LEN(TRIM('Raw Data'!B131:X131))&gt;0)),OR('Raw Data'!M131="",LEN(TRIM('Raw Data'!M131))=0)),"",IF('Raw Data'!M131 = SUM('Raw Data'!K131:L131),"",_xlfn.REGEXEXTRACT(CELL("address",'Raw Data'!M131),"\$([A-Z]+)\$[0-9]+"))))</f>
        <v/>
      </c>
      <c r="N131" s="7"/>
      <c r="O131" s="7"/>
      <c r="P131" s="7" t="str" cm="1">
        <f t="array" aca="1" ref="P131" ca="1">IF(OR('Raw Data'!P131="",LEN(TRIM('Raw Data'!P131))=0,Validate_Empty!P131&lt;&gt;"",Validate_Value!P131&lt;&gt;""),"",IF(OR(NOT(OR(LEN(TRIM('Raw Data'!B131:X131))&gt;0)),OR('Raw Data'!P131="",LEN(TRIM('Raw Data'!P131))=0)),"",IF(AND('Raw Data'!J131 + Configuration!$G$2 + 5 &gt;= 'Raw Data'!P131,'Raw Data'!J131 + Configuration!$G$2 - 5 &lt;= 'Raw Data'!P131),"",_xlfn.REGEXEXTRACT(CELL("address",'Raw Data'!P131),"\$([A-Z]+)\$[0-9]+"))))</f>
        <v/>
      </c>
      <c r="Q131" s="7"/>
      <c r="R131" s="7"/>
      <c r="S131" s="7"/>
      <c r="T131" s="7" t="str" cm="1">
        <f t="array" aca="1" ref="T131" ca="1">IF(OR('Raw Data'!T131="",LEN(TRIM('Raw Data'!T131))=0,Validate_Empty!T131&lt;&gt;"",Validate_Value!T131&lt;&gt;""),"",IF(OR(NOT(OR(LEN(TRIM('Raw Data'!B131:X131))&gt;0)),OR('Raw Data'!T131="",LEN(TRIM('Raw Data'!T131))=0)),"",IF('Raw Data'!T131 = SUM('Raw Data'!R131:S131),"",_xlfn.REGEXEXTRACT(CELL("address",'Raw Data'!T131),"\$([A-Z]+)\$[0-9]+"))))</f>
        <v/>
      </c>
      <c r="U131" s="7" t="str" cm="1">
        <f t="array" aca="1" ref="U131" ca="1">IF(OR('Raw Data'!U131="",LEN(TRIM('Raw Data'!U131))=0,Validate_Empty!U131&lt;&gt;"",Validate_Value!U131&lt;&gt;""),"",IF(OR(NOT(OR(LEN(TRIM('Raw Data'!B131:X131))&gt;0)),OR('Raw Data'!T131="",LEN(TRIM('Raw Data'!T131))=0)),"",IF(ISNUMBER(SEARCH('Raw Data'!U131, Configuration!$H$2)),"",_xlfn.REGEXEXTRACT(CELL("address",'Raw Data'!U131),"\$([A-Z]+)\$[0-9]+"))))</f>
        <v/>
      </c>
      <c r="V131" s="7" t="str" cm="1">
        <f t="array" aca="1" ref="V131" ca="1">IF(OR('Raw Data'!V131="",LEN(TRIM('Raw Data'!V131))=0,Validate_Empty!V131&lt;&gt;"",Validate_Value!V131&lt;&gt;""),"",IF(OR(NOT(OR(LEN(TRIM('Raw Data'!B131:X131))&gt;0)),OR('Raw Data'!V131="",LEN(TRIM('Raw Data'!V131))=0)),"",IF('Raw Data'!V131 = Configuration!$I$2,"",_xlfn.REGEXEXTRACT(CELL("address",'Raw Data'!V131),"\$([A-Z]+)\$[0-9]+"))))</f>
        <v/>
      </c>
      <c r="W131" s="7"/>
      <c r="X131" s="7"/>
    </row>
    <row r="132" spans="2:24" x14ac:dyDescent="0.25">
      <c r="B132" s="7"/>
      <c r="C132" s="7" t="str" cm="1">
        <f t="array" aca="1" ref="C132" ca="1">IF(OR('Raw Data'!C132="",LEN(TRIM('Raw Data'!C132))=0,Validate_Empty!C132&lt;&gt;"",Validate_Value!C132&lt;&gt;""),"",IF(OR(NOT(OR(LEN(TRIM('Raw Data'!B132:X132))&gt;0)),OR('Raw Data'!C132="",LEN(TRIM('Raw Data'!C132))=0)),"",IF(OR(AND('Raw Data'!B132="Main Contract", LEFT('Raw Data'!C132, LEN("Payment"))="Payment"),AND('Raw Data'!B132="Change Order", LEFT('Raw Data'!C132, LEN("CO Payment No."))="CO Payment No.")),"",_xlfn.REGEXEXTRACT(CELL("address",'Raw Data'!C132),"\$([A-Z]+)\$[0-9]+"))))</f>
        <v/>
      </c>
      <c r="D132" s="7"/>
      <c r="E132" s="7"/>
      <c r="F132" s="7"/>
      <c r="G132" s="7"/>
      <c r="H132" s="7"/>
      <c r="I132" s="7"/>
      <c r="J132" s="7"/>
      <c r="K132" s="7"/>
      <c r="L132" s="7"/>
      <c r="M132" s="7" t="str" cm="1">
        <f t="array" aca="1" ref="M132" ca="1">IF(OR('Raw Data'!M132="",LEN(TRIM('Raw Data'!M132))=0,Validate_Empty!M132&lt;&gt;"",Validate_Value!M132&lt;&gt;""),"",IF(OR(NOT(OR(LEN(TRIM('Raw Data'!B132:X132))&gt;0)),OR('Raw Data'!M132="",LEN(TRIM('Raw Data'!M132))=0)),"",IF('Raw Data'!M132 = SUM('Raw Data'!K132:L132),"",_xlfn.REGEXEXTRACT(CELL("address",'Raw Data'!M132),"\$([A-Z]+)\$[0-9]+"))))</f>
        <v/>
      </c>
      <c r="N132" s="7"/>
      <c r="O132" s="7"/>
      <c r="P132" s="7" t="str" cm="1">
        <f t="array" aca="1" ref="P132" ca="1">IF(OR('Raw Data'!P132="",LEN(TRIM('Raw Data'!P132))=0,Validate_Empty!P132&lt;&gt;"",Validate_Value!P132&lt;&gt;""),"",IF(OR(NOT(OR(LEN(TRIM('Raw Data'!B132:X132))&gt;0)),OR('Raw Data'!P132="",LEN(TRIM('Raw Data'!P132))=0)),"",IF(AND('Raw Data'!J132 + Configuration!$G$2 + 5 &gt;= 'Raw Data'!P132,'Raw Data'!J132 + Configuration!$G$2 - 5 &lt;= 'Raw Data'!P132),"",_xlfn.REGEXEXTRACT(CELL("address",'Raw Data'!P132),"\$([A-Z]+)\$[0-9]+"))))</f>
        <v/>
      </c>
      <c r="Q132" s="7"/>
      <c r="R132" s="7"/>
      <c r="S132" s="7"/>
      <c r="T132" s="7" t="str" cm="1">
        <f t="array" aca="1" ref="T132" ca="1">IF(OR('Raw Data'!T132="",LEN(TRIM('Raw Data'!T132))=0,Validate_Empty!T132&lt;&gt;"",Validate_Value!T132&lt;&gt;""),"",IF(OR(NOT(OR(LEN(TRIM('Raw Data'!B132:X132))&gt;0)),OR('Raw Data'!T132="",LEN(TRIM('Raw Data'!T132))=0)),"",IF('Raw Data'!T132 = SUM('Raw Data'!R132:S132),"",_xlfn.REGEXEXTRACT(CELL("address",'Raw Data'!T132),"\$([A-Z]+)\$[0-9]+"))))</f>
        <v/>
      </c>
      <c r="U132" s="7" t="str" cm="1">
        <f t="array" aca="1" ref="U132" ca="1">IF(OR('Raw Data'!U132="",LEN(TRIM('Raw Data'!U132))=0,Validate_Empty!U132&lt;&gt;"",Validate_Value!U132&lt;&gt;""),"",IF(OR(NOT(OR(LEN(TRIM('Raw Data'!B132:X132))&gt;0)),OR('Raw Data'!T132="",LEN(TRIM('Raw Data'!T132))=0)),"",IF(ISNUMBER(SEARCH('Raw Data'!U132, Configuration!$H$2)),"",_xlfn.REGEXEXTRACT(CELL("address",'Raw Data'!U132),"\$([A-Z]+)\$[0-9]+"))))</f>
        <v/>
      </c>
      <c r="V132" s="7" t="str" cm="1">
        <f t="array" aca="1" ref="V132" ca="1">IF(OR('Raw Data'!V132="",LEN(TRIM('Raw Data'!V132))=0,Validate_Empty!V132&lt;&gt;"",Validate_Value!V132&lt;&gt;""),"",IF(OR(NOT(OR(LEN(TRIM('Raw Data'!B132:X132))&gt;0)),OR('Raw Data'!V132="",LEN(TRIM('Raw Data'!V132))=0)),"",IF('Raw Data'!V132 = Configuration!$I$2,"",_xlfn.REGEXEXTRACT(CELL("address",'Raw Data'!V132),"\$([A-Z]+)\$[0-9]+"))))</f>
        <v/>
      </c>
      <c r="W132" s="7"/>
      <c r="X132" s="7"/>
    </row>
    <row r="133" spans="2:24" x14ac:dyDescent="0.25">
      <c r="B133" s="7"/>
      <c r="C133" s="7" t="str" cm="1">
        <f t="array" aca="1" ref="C133" ca="1">IF(OR('Raw Data'!C133="",LEN(TRIM('Raw Data'!C133))=0,Validate_Empty!C133&lt;&gt;"",Validate_Value!C133&lt;&gt;""),"",IF(OR(NOT(OR(LEN(TRIM('Raw Data'!B133:X133))&gt;0)),OR('Raw Data'!C133="",LEN(TRIM('Raw Data'!C133))=0)),"",IF(OR(AND('Raw Data'!B133="Main Contract", LEFT('Raw Data'!C133, LEN("Payment"))="Payment"),AND('Raw Data'!B133="Change Order", LEFT('Raw Data'!C133, LEN("CO Payment No."))="CO Payment No.")),"",_xlfn.REGEXEXTRACT(CELL("address",'Raw Data'!C133),"\$([A-Z]+)\$[0-9]+"))))</f>
        <v/>
      </c>
      <c r="D133" s="7"/>
      <c r="E133" s="7"/>
      <c r="F133" s="7"/>
      <c r="G133" s="7"/>
      <c r="H133" s="7"/>
      <c r="I133" s="7"/>
      <c r="J133" s="7"/>
      <c r="K133" s="7"/>
      <c r="L133" s="7"/>
      <c r="M133" s="7" t="str" cm="1">
        <f t="array" aca="1" ref="M133" ca="1">IF(OR('Raw Data'!M133="",LEN(TRIM('Raw Data'!M133))=0,Validate_Empty!M133&lt;&gt;"",Validate_Value!M133&lt;&gt;""),"",IF(OR(NOT(OR(LEN(TRIM('Raw Data'!B133:X133))&gt;0)),OR('Raw Data'!M133="",LEN(TRIM('Raw Data'!M133))=0)),"",IF('Raw Data'!M133 = SUM('Raw Data'!K133:L133),"",_xlfn.REGEXEXTRACT(CELL("address",'Raw Data'!M133),"\$([A-Z]+)\$[0-9]+"))))</f>
        <v/>
      </c>
      <c r="N133" s="7"/>
      <c r="O133" s="7"/>
      <c r="P133" s="7" t="str" cm="1">
        <f t="array" aca="1" ref="P133" ca="1">IF(OR('Raw Data'!P133="",LEN(TRIM('Raw Data'!P133))=0,Validate_Empty!P133&lt;&gt;"",Validate_Value!P133&lt;&gt;""),"",IF(OR(NOT(OR(LEN(TRIM('Raw Data'!B133:X133))&gt;0)),OR('Raw Data'!P133="",LEN(TRIM('Raw Data'!P133))=0)),"",IF(AND('Raw Data'!J133 + Configuration!$G$2 + 5 &gt;= 'Raw Data'!P133,'Raw Data'!J133 + Configuration!$G$2 - 5 &lt;= 'Raw Data'!P133),"",_xlfn.REGEXEXTRACT(CELL("address",'Raw Data'!P133),"\$([A-Z]+)\$[0-9]+"))))</f>
        <v/>
      </c>
      <c r="Q133" s="7"/>
      <c r="R133" s="7"/>
      <c r="S133" s="7"/>
      <c r="T133" s="7" t="str" cm="1">
        <f t="array" aca="1" ref="T133" ca="1">IF(OR('Raw Data'!T133="",LEN(TRIM('Raw Data'!T133))=0,Validate_Empty!T133&lt;&gt;"",Validate_Value!T133&lt;&gt;""),"",IF(OR(NOT(OR(LEN(TRIM('Raw Data'!B133:X133))&gt;0)),OR('Raw Data'!T133="",LEN(TRIM('Raw Data'!T133))=0)),"",IF('Raw Data'!T133 = SUM('Raw Data'!R133:S133),"",_xlfn.REGEXEXTRACT(CELL("address",'Raw Data'!T133),"\$([A-Z]+)\$[0-9]+"))))</f>
        <v/>
      </c>
      <c r="U133" s="7" t="str" cm="1">
        <f t="array" aca="1" ref="U133" ca="1">IF(OR('Raw Data'!U133="",LEN(TRIM('Raw Data'!U133))=0,Validate_Empty!U133&lt;&gt;"",Validate_Value!U133&lt;&gt;""),"",IF(OR(NOT(OR(LEN(TRIM('Raw Data'!B133:X133))&gt;0)),OR('Raw Data'!T133="",LEN(TRIM('Raw Data'!T133))=0)),"",IF(ISNUMBER(SEARCH('Raw Data'!U133, Configuration!$H$2)),"",_xlfn.REGEXEXTRACT(CELL("address",'Raw Data'!U133),"\$([A-Z]+)\$[0-9]+"))))</f>
        <v/>
      </c>
      <c r="V133" s="7" t="str" cm="1">
        <f t="array" aca="1" ref="V133" ca="1">IF(OR('Raw Data'!V133="",LEN(TRIM('Raw Data'!V133))=0,Validate_Empty!V133&lt;&gt;"",Validate_Value!V133&lt;&gt;""),"",IF(OR(NOT(OR(LEN(TRIM('Raw Data'!B133:X133))&gt;0)),OR('Raw Data'!V133="",LEN(TRIM('Raw Data'!V133))=0)),"",IF('Raw Data'!V133 = Configuration!$I$2,"",_xlfn.REGEXEXTRACT(CELL("address",'Raw Data'!V133),"\$([A-Z]+)\$[0-9]+"))))</f>
        <v/>
      </c>
      <c r="W133" s="7"/>
      <c r="X133" s="7"/>
    </row>
    <row r="134" spans="2:24" x14ac:dyDescent="0.25">
      <c r="B134" s="7"/>
      <c r="C134" s="7" t="str" cm="1">
        <f t="array" aca="1" ref="C134" ca="1">IF(OR('Raw Data'!C134="",LEN(TRIM('Raw Data'!C134))=0,Validate_Empty!C134&lt;&gt;"",Validate_Value!C134&lt;&gt;""),"",IF(OR(NOT(OR(LEN(TRIM('Raw Data'!B134:X134))&gt;0)),OR('Raw Data'!C134="",LEN(TRIM('Raw Data'!C134))=0)),"",IF(OR(AND('Raw Data'!B134="Main Contract", LEFT('Raw Data'!C134, LEN("Payment"))="Payment"),AND('Raw Data'!B134="Change Order", LEFT('Raw Data'!C134, LEN("CO Payment No."))="CO Payment No.")),"",_xlfn.REGEXEXTRACT(CELL("address",'Raw Data'!C134),"\$([A-Z]+)\$[0-9]+"))))</f>
        <v/>
      </c>
      <c r="D134" s="7"/>
      <c r="E134" s="7"/>
      <c r="F134" s="7"/>
      <c r="G134" s="7"/>
      <c r="H134" s="7"/>
      <c r="I134" s="7"/>
      <c r="J134" s="7"/>
      <c r="K134" s="7"/>
      <c r="L134" s="7"/>
      <c r="M134" s="7" t="str" cm="1">
        <f t="array" aca="1" ref="M134" ca="1">IF(OR('Raw Data'!M134="",LEN(TRIM('Raw Data'!M134))=0,Validate_Empty!M134&lt;&gt;"",Validate_Value!M134&lt;&gt;""),"",IF(OR(NOT(OR(LEN(TRIM('Raw Data'!B134:X134))&gt;0)),OR('Raw Data'!M134="",LEN(TRIM('Raw Data'!M134))=0)),"",IF('Raw Data'!M134 = SUM('Raw Data'!K134:L134),"",_xlfn.REGEXEXTRACT(CELL("address",'Raw Data'!M134),"\$([A-Z]+)\$[0-9]+"))))</f>
        <v/>
      </c>
      <c r="N134" s="7"/>
      <c r="O134" s="7"/>
      <c r="P134" s="7" t="str" cm="1">
        <f t="array" aca="1" ref="P134" ca="1">IF(OR('Raw Data'!P134="",LEN(TRIM('Raw Data'!P134))=0,Validate_Empty!P134&lt;&gt;"",Validate_Value!P134&lt;&gt;""),"",IF(OR(NOT(OR(LEN(TRIM('Raw Data'!B134:X134))&gt;0)),OR('Raw Data'!P134="",LEN(TRIM('Raw Data'!P134))=0)),"",IF(AND('Raw Data'!J134 + Configuration!$G$2 + 5 &gt;= 'Raw Data'!P134,'Raw Data'!J134 + Configuration!$G$2 - 5 &lt;= 'Raw Data'!P134),"",_xlfn.REGEXEXTRACT(CELL("address",'Raw Data'!P134),"\$([A-Z]+)\$[0-9]+"))))</f>
        <v/>
      </c>
      <c r="Q134" s="7"/>
      <c r="R134" s="7"/>
      <c r="S134" s="7"/>
      <c r="T134" s="7" t="str" cm="1">
        <f t="array" aca="1" ref="T134" ca="1">IF(OR('Raw Data'!T134="",LEN(TRIM('Raw Data'!T134))=0,Validate_Empty!T134&lt;&gt;"",Validate_Value!T134&lt;&gt;""),"",IF(OR(NOT(OR(LEN(TRIM('Raw Data'!B134:X134))&gt;0)),OR('Raw Data'!T134="",LEN(TRIM('Raw Data'!T134))=0)),"",IF('Raw Data'!T134 = SUM('Raw Data'!R134:S134),"",_xlfn.REGEXEXTRACT(CELL("address",'Raw Data'!T134),"\$([A-Z]+)\$[0-9]+"))))</f>
        <v/>
      </c>
      <c r="U134" s="7" t="str" cm="1">
        <f t="array" aca="1" ref="U134" ca="1">IF(OR('Raw Data'!U134="",LEN(TRIM('Raw Data'!U134))=0,Validate_Empty!U134&lt;&gt;"",Validate_Value!U134&lt;&gt;""),"",IF(OR(NOT(OR(LEN(TRIM('Raw Data'!B134:X134))&gt;0)),OR('Raw Data'!T134="",LEN(TRIM('Raw Data'!T134))=0)),"",IF(ISNUMBER(SEARCH('Raw Data'!U134, Configuration!$H$2)),"",_xlfn.REGEXEXTRACT(CELL("address",'Raw Data'!U134),"\$([A-Z]+)\$[0-9]+"))))</f>
        <v/>
      </c>
      <c r="V134" s="7" t="str" cm="1">
        <f t="array" aca="1" ref="V134" ca="1">IF(OR('Raw Data'!V134="",LEN(TRIM('Raw Data'!V134))=0,Validate_Empty!V134&lt;&gt;"",Validate_Value!V134&lt;&gt;""),"",IF(OR(NOT(OR(LEN(TRIM('Raw Data'!B134:X134))&gt;0)),OR('Raw Data'!V134="",LEN(TRIM('Raw Data'!V134))=0)),"",IF('Raw Data'!V134 = Configuration!$I$2,"",_xlfn.REGEXEXTRACT(CELL("address",'Raw Data'!V134),"\$([A-Z]+)\$[0-9]+"))))</f>
        <v/>
      </c>
      <c r="W134" s="7"/>
      <c r="X134" s="7"/>
    </row>
    <row r="135" spans="2:24" x14ac:dyDescent="0.25">
      <c r="B135" s="7"/>
      <c r="C135" s="7" t="str" cm="1">
        <f t="array" aca="1" ref="C135" ca="1">IF(OR('Raw Data'!C135="",LEN(TRIM('Raw Data'!C135))=0,Validate_Empty!C135&lt;&gt;"",Validate_Value!C135&lt;&gt;""),"",IF(OR(NOT(OR(LEN(TRIM('Raw Data'!B135:X135))&gt;0)),OR('Raw Data'!C135="",LEN(TRIM('Raw Data'!C135))=0)),"",IF(OR(AND('Raw Data'!B135="Main Contract", LEFT('Raw Data'!C135, LEN("Payment"))="Payment"),AND('Raw Data'!B135="Change Order", LEFT('Raw Data'!C135, LEN("CO Payment No."))="CO Payment No.")),"",_xlfn.REGEXEXTRACT(CELL("address",'Raw Data'!C135),"\$([A-Z]+)\$[0-9]+"))))</f>
        <v/>
      </c>
      <c r="D135" s="7"/>
      <c r="E135" s="7"/>
      <c r="F135" s="7"/>
      <c r="G135" s="7"/>
      <c r="H135" s="7"/>
      <c r="I135" s="7"/>
      <c r="J135" s="7"/>
      <c r="K135" s="7"/>
      <c r="L135" s="7"/>
      <c r="M135" s="7" t="str" cm="1">
        <f t="array" aca="1" ref="M135" ca="1">IF(OR('Raw Data'!M135="",LEN(TRIM('Raw Data'!M135))=0,Validate_Empty!M135&lt;&gt;"",Validate_Value!M135&lt;&gt;""),"",IF(OR(NOT(OR(LEN(TRIM('Raw Data'!B135:X135))&gt;0)),OR('Raw Data'!M135="",LEN(TRIM('Raw Data'!M135))=0)),"",IF('Raw Data'!M135 = SUM('Raw Data'!K135:L135),"",_xlfn.REGEXEXTRACT(CELL("address",'Raw Data'!M135),"\$([A-Z]+)\$[0-9]+"))))</f>
        <v/>
      </c>
      <c r="N135" s="7"/>
      <c r="O135" s="7"/>
      <c r="P135" s="7" t="str" cm="1">
        <f t="array" aca="1" ref="P135" ca="1">IF(OR('Raw Data'!P135="",LEN(TRIM('Raw Data'!P135))=0,Validate_Empty!P135&lt;&gt;"",Validate_Value!P135&lt;&gt;""),"",IF(OR(NOT(OR(LEN(TRIM('Raw Data'!B135:X135))&gt;0)),OR('Raw Data'!P135="",LEN(TRIM('Raw Data'!P135))=0)),"",IF(AND('Raw Data'!J135 + Configuration!$G$2 + 5 &gt;= 'Raw Data'!P135,'Raw Data'!J135 + Configuration!$G$2 - 5 &lt;= 'Raw Data'!P135),"",_xlfn.REGEXEXTRACT(CELL("address",'Raw Data'!P135),"\$([A-Z]+)\$[0-9]+"))))</f>
        <v/>
      </c>
      <c r="Q135" s="7"/>
      <c r="R135" s="7"/>
      <c r="S135" s="7"/>
      <c r="T135" s="7" t="str" cm="1">
        <f t="array" aca="1" ref="T135" ca="1">IF(OR('Raw Data'!T135="",LEN(TRIM('Raw Data'!T135))=0,Validate_Empty!T135&lt;&gt;"",Validate_Value!T135&lt;&gt;""),"",IF(OR(NOT(OR(LEN(TRIM('Raw Data'!B135:X135))&gt;0)),OR('Raw Data'!T135="",LEN(TRIM('Raw Data'!T135))=0)),"",IF('Raw Data'!T135 = SUM('Raw Data'!R135:S135),"",_xlfn.REGEXEXTRACT(CELL("address",'Raw Data'!T135),"\$([A-Z]+)\$[0-9]+"))))</f>
        <v/>
      </c>
      <c r="U135" s="7" t="str" cm="1">
        <f t="array" aca="1" ref="U135" ca="1">IF(OR('Raw Data'!U135="",LEN(TRIM('Raw Data'!U135))=0,Validate_Empty!U135&lt;&gt;"",Validate_Value!U135&lt;&gt;""),"",IF(OR(NOT(OR(LEN(TRIM('Raw Data'!B135:X135))&gt;0)),OR('Raw Data'!T135="",LEN(TRIM('Raw Data'!T135))=0)),"",IF(ISNUMBER(SEARCH('Raw Data'!U135, Configuration!$H$2)),"",_xlfn.REGEXEXTRACT(CELL("address",'Raw Data'!U135),"\$([A-Z]+)\$[0-9]+"))))</f>
        <v/>
      </c>
      <c r="V135" s="7" t="str" cm="1">
        <f t="array" aca="1" ref="V135" ca="1">IF(OR('Raw Data'!V135="",LEN(TRIM('Raw Data'!V135))=0,Validate_Empty!V135&lt;&gt;"",Validate_Value!V135&lt;&gt;""),"",IF(OR(NOT(OR(LEN(TRIM('Raw Data'!B135:X135))&gt;0)),OR('Raw Data'!V135="",LEN(TRIM('Raw Data'!V135))=0)),"",IF('Raw Data'!V135 = Configuration!$I$2,"",_xlfn.REGEXEXTRACT(CELL("address",'Raw Data'!V135),"\$([A-Z]+)\$[0-9]+"))))</f>
        <v/>
      </c>
      <c r="W135" s="7"/>
      <c r="X135" s="7"/>
    </row>
    <row r="136" spans="2:24" x14ac:dyDescent="0.25">
      <c r="B136" s="7"/>
      <c r="C136" s="7" t="str" cm="1">
        <f t="array" aca="1" ref="C136" ca="1">IF(OR('Raw Data'!C136="",LEN(TRIM('Raw Data'!C136))=0,Validate_Empty!C136&lt;&gt;"",Validate_Value!C136&lt;&gt;""),"",IF(OR(NOT(OR(LEN(TRIM('Raw Data'!B136:X136))&gt;0)),OR('Raw Data'!C136="",LEN(TRIM('Raw Data'!C136))=0)),"",IF(OR(AND('Raw Data'!B136="Main Contract", LEFT('Raw Data'!C136, LEN("Payment"))="Payment"),AND('Raw Data'!B136="Change Order", LEFT('Raw Data'!C136, LEN("CO Payment No."))="CO Payment No.")),"",_xlfn.REGEXEXTRACT(CELL("address",'Raw Data'!C136),"\$([A-Z]+)\$[0-9]+"))))</f>
        <v/>
      </c>
      <c r="D136" s="7"/>
      <c r="E136" s="7"/>
      <c r="F136" s="7"/>
      <c r="G136" s="7"/>
      <c r="H136" s="7"/>
      <c r="I136" s="7"/>
      <c r="J136" s="7"/>
      <c r="K136" s="7"/>
      <c r="L136" s="7"/>
      <c r="M136" s="7" t="str" cm="1">
        <f t="array" aca="1" ref="M136" ca="1">IF(OR('Raw Data'!M136="",LEN(TRIM('Raw Data'!M136))=0,Validate_Empty!M136&lt;&gt;"",Validate_Value!M136&lt;&gt;""),"",IF(OR(NOT(OR(LEN(TRIM('Raw Data'!B136:X136))&gt;0)),OR('Raw Data'!M136="",LEN(TRIM('Raw Data'!M136))=0)),"",IF('Raw Data'!M136 = SUM('Raw Data'!K136:L136),"",_xlfn.REGEXEXTRACT(CELL("address",'Raw Data'!M136),"\$([A-Z]+)\$[0-9]+"))))</f>
        <v/>
      </c>
      <c r="N136" s="7"/>
      <c r="O136" s="7"/>
      <c r="P136" s="7" t="str" cm="1">
        <f t="array" aca="1" ref="P136" ca="1">IF(OR('Raw Data'!P136="",LEN(TRIM('Raw Data'!P136))=0,Validate_Empty!P136&lt;&gt;"",Validate_Value!P136&lt;&gt;""),"",IF(OR(NOT(OR(LEN(TRIM('Raw Data'!B136:X136))&gt;0)),OR('Raw Data'!P136="",LEN(TRIM('Raw Data'!P136))=0)),"",IF(AND('Raw Data'!J136 + Configuration!$G$2 + 5 &gt;= 'Raw Data'!P136,'Raw Data'!J136 + Configuration!$G$2 - 5 &lt;= 'Raw Data'!P136),"",_xlfn.REGEXEXTRACT(CELL("address",'Raw Data'!P136),"\$([A-Z]+)\$[0-9]+"))))</f>
        <v/>
      </c>
      <c r="Q136" s="7"/>
      <c r="R136" s="7"/>
      <c r="S136" s="7"/>
      <c r="T136" s="7" t="str" cm="1">
        <f t="array" aca="1" ref="T136" ca="1">IF(OR('Raw Data'!T136="",LEN(TRIM('Raw Data'!T136))=0,Validate_Empty!T136&lt;&gt;"",Validate_Value!T136&lt;&gt;""),"",IF(OR(NOT(OR(LEN(TRIM('Raw Data'!B136:X136))&gt;0)),OR('Raw Data'!T136="",LEN(TRIM('Raw Data'!T136))=0)),"",IF('Raw Data'!T136 = SUM('Raw Data'!R136:S136),"",_xlfn.REGEXEXTRACT(CELL("address",'Raw Data'!T136),"\$([A-Z]+)\$[0-9]+"))))</f>
        <v/>
      </c>
      <c r="U136" s="7" t="str" cm="1">
        <f t="array" aca="1" ref="U136" ca="1">IF(OR('Raw Data'!U136="",LEN(TRIM('Raw Data'!U136))=0,Validate_Empty!U136&lt;&gt;"",Validate_Value!U136&lt;&gt;""),"",IF(OR(NOT(OR(LEN(TRIM('Raw Data'!B136:X136))&gt;0)),OR('Raw Data'!T136="",LEN(TRIM('Raw Data'!T136))=0)),"",IF(ISNUMBER(SEARCH('Raw Data'!U136, Configuration!$H$2)),"",_xlfn.REGEXEXTRACT(CELL("address",'Raw Data'!U136),"\$([A-Z]+)\$[0-9]+"))))</f>
        <v/>
      </c>
      <c r="V136" s="7" t="str" cm="1">
        <f t="array" aca="1" ref="V136" ca="1">IF(OR('Raw Data'!V136="",LEN(TRIM('Raw Data'!V136))=0,Validate_Empty!V136&lt;&gt;"",Validate_Value!V136&lt;&gt;""),"",IF(OR(NOT(OR(LEN(TRIM('Raw Data'!B136:X136))&gt;0)),OR('Raw Data'!V136="",LEN(TRIM('Raw Data'!V136))=0)),"",IF('Raw Data'!V136 = Configuration!$I$2,"",_xlfn.REGEXEXTRACT(CELL("address",'Raw Data'!V136),"\$([A-Z]+)\$[0-9]+"))))</f>
        <v/>
      </c>
      <c r="W136" s="7"/>
      <c r="X136" s="7"/>
    </row>
    <row r="137" spans="2:24" x14ac:dyDescent="0.25">
      <c r="B137" s="7"/>
      <c r="C137" s="7" t="str" cm="1">
        <f t="array" aca="1" ref="C137" ca="1">IF(OR('Raw Data'!C137="",LEN(TRIM('Raw Data'!C137))=0,Validate_Empty!C137&lt;&gt;"",Validate_Value!C137&lt;&gt;""),"",IF(OR(NOT(OR(LEN(TRIM('Raw Data'!B137:X137))&gt;0)),OR('Raw Data'!C137="",LEN(TRIM('Raw Data'!C137))=0)),"",IF(OR(AND('Raw Data'!B137="Main Contract", LEFT('Raw Data'!C137, LEN("Payment"))="Payment"),AND('Raw Data'!B137="Change Order", LEFT('Raw Data'!C137, LEN("CO Payment No."))="CO Payment No.")),"",_xlfn.REGEXEXTRACT(CELL("address",'Raw Data'!C137),"\$([A-Z]+)\$[0-9]+"))))</f>
        <v/>
      </c>
      <c r="D137" s="7"/>
      <c r="E137" s="7"/>
      <c r="F137" s="7"/>
      <c r="G137" s="7"/>
      <c r="H137" s="7"/>
      <c r="I137" s="7"/>
      <c r="J137" s="7"/>
      <c r="K137" s="7"/>
      <c r="L137" s="7"/>
      <c r="M137" s="7" t="str" cm="1">
        <f t="array" aca="1" ref="M137" ca="1">IF(OR('Raw Data'!M137="",LEN(TRIM('Raw Data'!M137))=0,Validate_Empty!M137&lt;&gt;"",Validate_Value!M137&lt;&gt;""),"",IF(OR(NOT(OR(LEN(TRIM('Raw Data'!B137:X137))&gt;0)),OR('Raw Data'!M137="",LEN(TRIM('Raw Data'!M137))=0)),"",IF('Raw Data'!M137 = SUM('Raw Data'!K137:L137),"",_xlfn.REGEXEXTRACT(CELL("address",'Raw Data'!M137),"\$([A-Z]+)\$[0-9]+"))))</f>
        <v/>
      </c>
      <c r="N137" s="7"/>
      <c r="O137" s="7"/>
      <c r="P137" s="7" t="str" cm="1">
        <f t="array" aca="1" ref="P137" ca="1">IF(OR('Raw Data'!P137="",LEN(TRIM('Raw Data'!P137))=0,Validate_Empty!P137&lt;&gt;"",Validate_Value!P137&lt;&gt;""),"",IF(OR(NOT(OR(LEN(TRIM('Raw Data'!B137:X137))&gt;0)),OR('Raw Data'!P137="",LEN(TRIM('Raw Data'!P137))=0)),"",IF(AND('Raw Data'!J137 + Configuration!$G$2 + 5 &gt;= 'Raw Data'!P137,'Raw Data'!J137 + Configuration!$G$2 - 5 &lt;= 'Raw Data'!P137),"",_xlfn.REGEXEXTRACT(CELL("address",'Raw Data'!P137),"\$([A-Z]+)\$[0-9]+"))))</f>
        <v/>
      </c>
      <c r="Q137" s="7"/>
      <c r="R137" s="7"/>
      <c r="S137" s="7"/>
      <c r="T137" s="7" t="str" cm="1">
        <f t="array" aca="1" ref="T137" ca="1">IF(OR('Raw Data'!T137="",LEN(TRIM('Raw Data'!T137))=0,Validate_Empty!T137&lt;&gt;"",Validate_Value!T137&lt;&gt;""),"",IF(OR(NOT(OR(LEN(TRIM('Raw Data'!B137:X137))&gt;0)),OR('Raw Data'!T137="",LEN(TRIM('Raw Data'!T137))=0)),"",IF('Raw Data'!T137 = SUM('Raw Data'!R137:S137),"",_xlfn.REGEXEXTRACT(CELL("address",'Raw Data'!T137),"\$([A-Z]+)\$[0-9]+"))))</f>
        <v/>
      </c>
      <c r="U137" s="7" t="str" cm="1">
        <f t="array" aca="1" ref="U137" ca="1">IF(OR('Raw Data'!U137="",LEN(TRIM('Raw Data'!U137))=0,Validate_Empty!U137&lt;&gt;"",Validate_Value!U137&lt;&gt;""),"",IF(OR(NOT(OR(LEN(TRIM('Raw Data'!B137:X137))&gt;0)),OR('Raw Data'!T137="",LEN(TRIM('Raw Data'!T137))=0)),"",IF(ISNUMBER(SEARCH('Raw Data'!U137, Configuration!$H$2)),"",_xlfn.REGEXEXTRACT(CELL("address",'Raw Data'!U137),"\$([A-Z]+)\$[0-9]+"))))</f>
        <v/>
      </c>
      <c r="V137" s="7" t="str" cm="1">
        <f t="array" aca="1" ref="V137" ca="1">IF(OR('Raw Data'!V137="",LEN(TRIM('Raw Data'!V137))=0,Validate_Empty!V137&lt;&gt;"",Validate_Value!V137&lt;&gt;""),"",IF(OR(NOT(OR(LEN(TRIM('Raw Data'!B137:X137))&gt;0)),OR('Raw Data'!V137="",LEN(TRIM('Raw Data'!V137))=0)),"",IF('Raw Data'!V137 = Configuration!$I$2,"",_xlfn.REGEXEXTRACT(CELL("address",'Raw Data'!V137),"\$([A-Z]+)\$[0-9]+"))))</f>
        <v/>
      </c>
      <c r="W137" s="7"/>
      <c r="X137" s="7"/>
    </row>
    <row r="138" spans="2:24" x14ac:dyDescent="0.25">
      <c r="B138" s="7"/>
      <c r="C138" s="7" t="str" cm="1">
        <f t="array" aca="1" ref="C138" ca="1">IF(OR('Raw Data'!C138="",LEN(TRIM('Raw Data'!C138))=0,Validate_Empty!C138&lt;&gt;"",Validate_Value!C138&lt;&gt;""),"",IF(OR(NOT(OR(LEN(TRIM('Raw Data'!B138:X138))&gt;0)),OR('Raw Data'!C138="",LEN(TRIM('Raw Data'!C138))=0)),"",IF(OR(AND('Raw Data'!B138="Main Contract", LEFT('Raw Data'!C138, LEN("Payment"))="Payment"),AND('Raw Data'!B138="Change Order", LEFT('Raw Data'!C138, LEN("CO Payment No."))="CO Payment No.")),"",_xlfn.REGEXEXTRACT(CELL("address",'Raw Data'!C138),"\$([A-Z]+)\$[0-9]+"))))</f>
        <v/>
      </c>
      <c r="D138" s="7"/>
      <c r="E138" s="7"/>
      <c r="F138" s="7"/>
      <c r="G138" s="7"/>
      <c r="H138" s="7"/>
      <c r="I138" s="7"/>
      <c r="J138" s="7"/>
      <c r="K138" s="7"/>
      <c r="L138" s="7"/>
      <c r="M138" s="7" t="str" cm="1">
        <f t="array" aca="1" ref="M138" ca="1">IF(OR('Raw Data'!M138="",LEN(TRIM('Raw Data'!M138))=0,Validate_Empty!M138&lt;&gt;"",Validate_Value!M138&lt;&gt;""),"",IF(OR(NOT(OR(LEN(TRIM('Raw Data'!B138:X138))&gt;0)),OR('Raw Data'!M138="",LEN(TRIM('Raw Data'!M138))=0)),"",IF('Raw Data'!M138 = SUM('Raw Data'!K138:L138),"",_xlfn.REGEXEXTRACT(CELL("address",'Raw Data'!M138),"\$([A-Z]+)\$[0-9]+"))))</f>
        <v/>
      </c>
      <c r="N138" s="7"/>
      <c r="O138" s="7"/>
      <c r="P138" s="7" t="str" cm="1">
        <f t="array" aca="1" ref="P138" ca="1">IF(OR('Raw Data'!P138="",LEN(TRIM('Raw Data'!P138))=0,Validate_Empty!P138&lt;&gt;"",Validate_Value!P138&lt;&gt;""),"",IF(OR(NOT(OR(LEN(TRIM('Raw Data'!B138:X138))&gt;0)),OR('Raw Data'!P138="",LEN(TRIM('Raw Data'!P138))=0)),"",IF(AND('Raw Data'!J138 + Configuration!$G$2 + 5 &gt;= 'Raw Data'!P138,'Raw Data'!J138 + Configuration!$G$2 - 5 &lt;= 'Raw Data'!P138),"",_xlfn.REGEXEXTRACT(CELL("address",'Raw Data'!P138),"\$([A-Z]+)\$[0-9]+"))))</f>
        <v/>
      </c>
      <c r="Q138" s="7"/>
      <c r="R138" s="7"/>
      <c r="S138" s="7"/>
      <c r="T138" s="7" t="str" cm="1">
        <f t="array" aca="1" ref="T138" ca="1">IF(OR('Raw Data'!T138="",LEN(TRIM('Raw Data'!T138))=0,Validate_Empty!T138&lt;&gt;"",Validate_Value!T138&lt;&gt;""),"",IF(OR(NOT(OR(LEN(TRIM('Raw Data'!B138:X138))&gt;0)),OR('Raw Data'!T138="",LEN(TRIM('Raw Data'!T138))=0)),"",IF('Raw Data'!T138 = SUM('Raw Data'!R138:S138),"",_xlfn.REGEXEXTRACT(CELL("address",'Raw Data'!T138),"\$([A-Z]+)\$[0-9]+"))))</f>
        <v/>
      </c>
      <c r="U138" s="7" t="str" cm="1">
        <f t="array" aca="1" ref="U138" ca="1">IF(OR('Raw Data'!U138="",LEN(TRIM('Raw Data'!U138))=0,Validate_Empty!U138&lt;&gt;"",Validate_Value!U138&lt;&gt;""),"",IF(OR(NOT(OR(LEN(TRIM('Raw Data'!B138:X138))&gt;0)),OR('Raw Data'!T138="",LEN(TRIM('Raw Data'!T138))=0)),"",IF(ISNUMBER(SEARCH('Raw Data'!U138, Configuration!$H$2)),"",_xlfn.REGEXEXTRACT(CELL("address",'Raw Data'!U138),"\$([A-Z]+)\$[0-9]+"))))</f>
        <v/>
      </c>
      <c r="V138" s="7" t="str" cm="1">
        <f t="array" aca="1" ref="V138" ca="1">IF(OR('Raw Data'!V138="",LEN(TRIM('Raw Data'!V138))=0,Validate_Empty!V138&lt;&gt;"",Validate_Value!V138&lt;&gt;""),"",IF(OR(NOT(OR(LEN(TRIM('Raw Data'!B138:X138))&gt;0)),OR('Raw Data'!V138="",LEN(TRIM('Raw Data'!V138))=0)),"",IF('Raw Data'!V138 = Configuration!$I$2,"",_xlfn.REGEXEXTRACT(CELL("address",'Raw Data'!V138),"\$([A-Z]+)\$[0-9]+"))))</f>
        <v/>
      </c>
      <c r="W138" s="7"/>
      <c r="X138" s="7"/>
    </row>
    <row r="139" spans="2:24" x14ac:dyDescent="0.25">
      <c r="B139" s="7"/>
      <c r="C139" s="7" t="str" cm="1">
        <f t="array" aca="1" ref="C139" ca="1">IF(OR('Raw Data'!C139="",LEN(TRIM('Raw Data'!C139))=0,Validate_Empty!C139&lt;&gt;"",Validate_Value!C139&lt;&gt;""),"",IF(OR(NOT(OR(LEN(TRIM('Raw Data'!B139:X139))&gt;0)),OR('Raw Data'!C139="",LEN(TRIM('Raw Data'!C139))=0)),"",IF(OR(AND('Raw Data'!B139="Main Contract", LEFT('Raw Data'!C139, LEN("Payment"))="Payment"),AND('Raw Data'!B139="Change Order", LEFT('Raw Data'!C139, LEN("CO Payment No."))="CO Payment No.")),"",_xlfn.REGEXEXTRACT(CELL("address",'Raw Data'!C139),"\$([A-Z]+)\$[0-9]+"))))</f>
        <v/>
      </c>
      <c r="D139" s="7"/>
      <c r="E139" s="7"/>
      <c r="F139" s="7"/>
      <c r="G139" s="7"/>
      <c r="H139" s="7"/>
      <c r="I139" s="7"/>
      <c r="J139" s="7"/>
      <c r="K139" s="7"/>
      <c r="L139" s="7"/>
      <c r="M139" s="7" t="str" cm="1">
        <f t="array" aca="1" ref="M139" ca="1">IF(OR('Raw Data'!M139="",LEN(TRIM('Raw Data'!M139))=0,Validate_Empty!M139&lt;&gt;"",Validate_Value!M139&lt;&gt;""),"",IF(OR(NOT(OR(LEN(TRIM('Raw Data'!B139:X139))&gt;0)),OR('Raw Data'!M139="",LEN(TRIM('Raw Data'!M139))=0)),"",IF('Raw Data'!M139 = SUM('Raw Data'!K139:L139),"",_xlfn.REGEXEXTRACT(CELL("address",'Raw Data'!M139),"\$([A-Z]+)\$[0-9]+"))))</f>
        <v/>
      </c>
      <c r="N139" s="7"/>
      <c r="O139" s="7"/>
      <c r="P139" s="7" t="str" cm="1">
        <f t="array" aca="1" ref="P139" ca="1">IF(OR('Raw Data'!P139="",LEN(TRIM('Raw Data'!P139))=0,Validate_Empty!P139&lt;&gt;"",Validate_Value!P139&lt;&gt;""),"",IF(OR(NOT(OR(LEN(TRIM('Raw Data'!B139:X139))&gt;0)),OR('Raw Data'!P139="",LEN(TRIM('Raw Data'!P139))=0)),"",IF(AND('Raw Data'!J139 + Configuration!$G$2 + 5 &gt;= 'Raw Data'!P139,'Raw Data'!J139 + Configuration!$G$2 - 5 &lt;= 'Raw Data'!P139),"",_xlfn.REGEXEXTRACT(CELL("address",'Raw Data'!P139),"\$([A-Z]+)\$[0-9]+"))))</f>
        <v/>
      </c>
      <c r="Q139" s="7"/>
      <c r="R139" s="7"/>
      <c r="S139" s="7"/>
      <c r="T139" s="7" t="str" cm="1">
        <f t="array" aca="1" ref="T139" ca="1">IF(OR('Raw Data'!T139="",LEN(TRIM('Raw Data'!T139))=0,Validate_Empty!T139&lt;&gt;"",Validate_Value!T139&lt;&gt;""),"",IF(OR(NOT(OR(LEN(TRIM('Raw Data'!B139:X139))&gt;0)),OR('Raw Data'!T139="",LEN(TRIM('Raw Data'!T139))=0)),"",IF('Raw Data'!T139 = SUM('Raw Data'!R139:S139),"",_xlfn.REGEXEXTRACT(CELL("address",'Raw Data'!T139),"\$([A-Z]+)\$[0-9]+"))))</f>
        <v/>
      </c>
      <c r="U139" s="7" t="str" cm="1">
        <f t="array" aca="1" ref="U139" ca="1">IF(OR('Raw Data'!U139="",LEN(TRIM('Raw Data'!U139))=0,Validate_Empty!U139&lt;&gt;"",Validate_Value!U139&lt;&gt;""),"",IF(OR(NOT(OR(LEN(TRIM('Raw Data'!B139:X139))&gt;0)),OR('Raw Data'!T139="",LEN(TRIM('Raw Data'!T139))=0)),"",IF(ISNUMBER(SEARCH('Raw Data'!U139, Configuration!$H$2)),"",_xlfn.REGEXEXTRACT(CELL("address",'Raw Data'!U139),"\$([A-Z]+)\$[0-9]+"))))</f>
        <v/>
      </c>
      <c r="V139" s="7" t="str" cm="1">
        <f t="array" aca="1" ref="V139" ca="1">IF(OR('Raw Data'!V139="",LEN(TRIM('Raw Data'!V139))=0,Validate_Empty!V139&lt;&gt;"",Validate_Value!V139&lt;&gt;""),"",IF(OR(NOT(OR(LEN(TRIM('Raw Data'!B139:X139))&gt;0)),OR('Raw Data'!V139="",LEN(TRIM('Raw Data'!V139))=0)),"",IF('Raw Data'!V139 = Configuration!$I$2,"",_xlfn.REGEXEXTRACT(CELL("address",'Raw Data'!V139),"\$([A-Z]+)\$[0-9]+"))))</f>
        <v/>
      </c>
      <c r="W139" s="7"/>
      <c r="X139" s="7"/>
    </row>
    <row r="140" spans="2:24" x14ac:dyDescent="0.25">
      <c r="B140" s="7"/>
      <c r="C140" s="7" t="str" cm="1">
        <f t="array" aca="1" ref="C140" ca="1">IF(OR('Raw Data'!C140="",LEN(TRIM('Raw Data'!C140))=0,Validate_Empty!C140&lt;&gt;"",Validate_Value!C140&lt;&gt;""),"",IF(OR(NOT(OR(LEN(TRIM('Raw Data'!B140:X140))&gt;0)),OR('Raw Data'!C140="",LEN(TRIM('Raw Data'!C140))=0)),"",IF(OR(AND('Raw Data'!B140="Main Contract", LEFT('Raw Data'!C140, LEN("Payment"))="Payment"),AND('Raw Data'!B140="Change Order", LEFT('Raw Data'!C140, LEN("CO Payment No."))="CO Payment No.")),"",_xlfn.REGEXEXTRACT(CELL("address",'Raw Data'!C140),"\$([A-Z]+)\$[0-9]+"))))</f>
        <v/>
      </c>
      <c r="D140" s="7"/>
      <c r="E140" s="7"/>
      <c r="F140" s="7"/>
      <c r="G140" s="7"/>
      <c r="H140" s="7"/>
      <c r="I140" s="7"/>
      <c r="J140" s="7"/>
      <c r="K140" s="7"/>
      <c r="L140" s="7"/>
      <c r="M140" s="7" t="str" cm="1">
        <f t="array" aca="1" ref="M140" ca="1">IF(OR('Raw Data'!M140="",LEN(TRIM('Raw Data'!M140))=0,Validate_Empty!M140&lt;&gt;"",Validate_Value!M140&lt;&gt;""),"",IF(OR(NOT(OR(LEN(TRIM('Raw Data'!B140:X140))&gt;0)),OR('Raw Data'!M140="",LEN(TRIM('Raw Data'!M140))=0)),"",IF('Raw Data'!M140 = SUM('Raw Data'!K140:L140),"",_xlfn.REGEXEXTRACT(CELL("address",'Raw Data'!M140),"\$([A-Z]+)\$[0-9]+"))))</f>
        <v/>
      </c>
      <c r="N140" s="7"/>
      <c r="O140" s="7"/>
      <c r="P140" s="7" t="str" cm="1">
        <f t="array" aca="1" ref="P140" ca="1">IF(OR('Raw Data'!P140="",LEN(TRIM('Raw Data'!P140))=0,Validate_Empty!P140&lt;&gt;"",Validate_Value!P140&lt;&gt;""),"",IF(OR(NOT(OR(LEN(TRIM('Raw Data'!B140:X140))&gt;0)),OR('Raw Data'!P140="",LEN(TRIM('Raw Data'!P140))=0)),"",IF(AND('Raw Data'!J140 + Configuration!$G$2 + 5 &gt;= 'Raw Data'!P140,'Raw Data'!J140 + Configuration!$G$2 - 5 &lt;= 'Raw Data'!P140),"",_xlfn.REGEXEXTRACT(CELL("address",'Raw Data'!P140),"\$([A-Z]+)\$[0-9]+"))))</f>
        <v/>
      </c>
      <c r="Q140" s="7"/>
      <c r="R140" s="7"/>
      <c r="S140" s="7"/>
      <c r="T140" s="7" t="str" cm="1">
        <f t="array" aca="1" ref="T140" ca="1">IF(OR('Raw Data'!T140="",LEN(TRIM('Raw Data'!T140))=0,Validate_Empty!T140&lt;&gt;"",Validate_Value!T140&lt;&gt;""),"",IF(OR(NOT(OR(LEN(TRIM('Raw Data'!B140:X140))&gt;0)),OR('Raw Data'!T140="",LEN(TRIM('Raw Data'!T140))=0)),"",IF('Raw Data'!T140 = SUM('Raw Data'!R140:S140),"",_xlfn.REGEXEXTRACT(CELL("address",'Raw Data'!T140),"\$([A-Z]+)\$[0-9]+"))))</f>
        <v/>
      </c>
      <c r="U140" s="7" t="str" cm="1">
        <f t="array" aca="1" ref="U140" ca="1">IF(OR('Raw Data'!U140="",LEN(TRIM('Raw Data'!U140))=0,Validate_Empty!U140&lt;&gt;"",Validate_Value!U140&lt;&gt;""),"",IF(OR(NOT(OR(LEN(TRIM('Raw Data'!B140:X140))&gt;0)),OR('Raw Data'!T140="",LEN(TRIM('Raw Data'!T140))=0)),"",IF(ISNUMBER(SEARCH('Raw Data'!U140, Configuration!$H$2)),"",_xlfn.REGEXEXTRACT(CELL("address",'Raw Data'!U140),"\$([A-Z]+)\$[0-9]+"))))</f>
        <v/>
      </c>
      <c r="V140" s="7" t="str" cm="1">
        <f t="array" aca="1" ref="V140" ca="1">IF(OR('Raw Data'!V140="",LEN(TRIM('Raw Data'!V140))=0,Validate_Empty!V140&lt;&gt;"",Validate_Value!V140&lt;&gt;""),"",IF(OR(NOT(OR(LEN(TRIM('Raw Data'!B140:X140))&gt;0)),OR('Raw Data'!V140="",LEN(TRIM('Raw Data'!V140))=0)),"",IF('Raw Data'!V140 = Configuration!$I$2,"",_xlfn.REGEXEXTRACT(CELL("address",'Raw Data'!V140),"\$([A-Z]+)\$[0-9]+"))))</f>
        <v/>
      </c>
      <c r="W140" s="7"/>
      <c r="X140" s="7"/>
    </row>
    <row r="141" spans="2:24" x14ac:dyDescent="0.25">
      <c r="B141" s="7"/>
      <c r="C141" s="7" t="str" cm="1">
        <f t="array" aca="1" ref="C141" ca="1">IF(OR('Raw Data'!C141="",LEN(TRIM('Raw Data'!C141))=0,Validate_Empty!C141&lt;&gt;"",Validate_Value!C141&lt;&gt;""),"",IF(OR(NOT(OR(LEN(TRIM('Raw Data'!B141:X141))&gt;0)),OR('Raw Data'!C141="",LEN(TRIM('Raw Data'!C141))=0)),"",IF(OR(AND('Raw Data'!B141="Main Contract", LEFT('Raw Data'!C141, LEN("Payment"))="Payment"),AND('Raw Data'!B141="Change Order", LEFT('Raw Data'!C141, LEN("CO Payment No."))="CO Payment No.")),"",_xlfn.REGEXEXTRACT(CELL("address",'Raw Data'!C141),"\$([A-Z]+)\$[0-9]+"))))</f>
        <v/>
      </c>
      <c r="D141" s="7"/>
      <c r="E141" s="7"/>
      <c r="F141" s="7"/>
      <c r="G141" s="7"/>
      <c r="H141" s="7"/>
      <c r="I141" s="7"/>
      <c r="J141" s="7"/>
      <c r="K141" s="7"/>
      <c r="L141" s="7"/>
      <c r="M141" s="7" t="str" cm="1">
        <f t="array" aca="1" ref="M141" ca="1">IF(OR('Raw Data'!M141="",LEN(TRIM('Raw Data'!M141))=0,Validate_Empty!M141&lt;&gt;"",Validate_Value!M141&lt;&gt;""),"",IF(OR(NOT(OR(LEN(TRIM('Raw Data'!B141:X141))&gt;0)),OR('Raw Data'!M141="",LEN(TRIM('Raw Data'!M141))=0)),"",IF('Raw Data'!M141 = SUM('Raw Data'!K141:L141),"",_xlfn.REGEXEXTRACT(CELL("address",'Raw Data'!M141),"\$([A-Z]+)\$[0-9]+"))))</f>
        <v/>
      </c>
      <c r="N141" s="7"/>
      <c r="O141" s="7"/>
      <c r="P141" s="7" t="str" cm="1">
        <f t="array" aca="1" ref="P141" ca="1">IF(OR('Raw Data'!P141="",LEN(TRIM('Raw Data'!P141))=0,Validate_Empty!P141&lt;&gt;"",Validate_Value!P141&lt;&gt;""),"",IF(OR(NOT(OR(LEN(TRIM('Raw Data'!B141:X141))&gt;0)),OR('Raw Data'!P141="",LEN(TRIM('Raw Data'!P141))=0)),"",IF(AND('Raw Data'!J141 + Configuration!$G$2 + 5 &gt;= 'Raw Data'!P141,'Raw Data'!J141 + Configuration!$G$2 - 5 &lt;= 'Raw Data'!P141),"",_xlfn.REGEXEXTRACT(CELL("address",'Raw Data'!P141),"\$([A-Z]+)\$[0-9]+"))))</f>
        <v/>
      </c>
      <c r="Q141" s="7"/>
      <c r="R141" s="7"/>
      <c r="S141" s="7"/>
      <c r="T141" s="7" t="str" cm="1">
        <f t="array" aca="1" ref="T141" ca="1">IF(OR('Raw Data'!T141="",LEN(TRIM('Raw Data'!T141))=0,Validate_Empty!T141&lt;&gt;"",Validate_Value!T141&lt;&gt;""),"",IF(OR(NOT(OR(LEN(TRIM('Raw Data'!B141:X141))&gt;0)),OR('Raw Data'!T141="",LEN(TRIM('Raw Data'!T141))=0)),"",IF('Raw Data'!T141 = SUM('Raw Data'!R141:S141),"",_xlfn.REGEXEXTRACT(CELL("address",'Raw Data'!T141),"\$([A-Z]+)\$[0-9]+"))))</f>
        <v/>
      </c>
      <c r="U141" s="7" t="str" cm="1">
        <f t="array" aca="1" ref="U141" ca="1">IF(OR('Raw Data'!U141="",LEN(TRIM('Raw Data'!U141))=0,Validate_Empty!U141&lt;&gt;"",Validate_Value!U141&lt;&gt;""),"",IF(OR(NOT(OR(LEN(TRIM('Raw Data'!B141:X141))&gt;0)),OR('Raw Data'!T141="",LEN(TRIM('Raw Data'!T141))=0)),"",IF(ISNUMBER(SEARCH('Raw Data'!U141, Configuration!$H$2)),"",_xlfn.REGEXEXTRACT(CELL("address",'Raw Data'!U141),"\$([A-Z]+)\$[0-9]+"))))</f>
        <v/>
      </c>
      <c r="V141" s="7" t="str" cm="1">
        <f t="array" aca="1" ref="V141" ca="1">IF(OR('Raw Data'!V141="",LEN(TRIM('Raw Data'!V141))=0,Validate_Empty!V141&lt;&gt;"",Validate_Value!V141&lt;&gt;""),"",IF(OR(NOT(OR(LEN(TRIM('Raw Data'!B141:X141))&gt;0)),OR('Raw Data'!V141="",LEN(TRIM('Raw Data'!V141))=0)),"",IF('Raw Data'!V141 = Configuration!$I$2,"",_xlfn.REGEXEXTRACT(CELL("address",'Raw Data'!V141),"\$([A-Z]+)\$[0-9]+"))))</f>
        <v/>
      </c>
      <c r="W141" s="7"/>
      <c r="X141" s="7"/>
    </row>
    <row r="142" spans="2:24" x14ac:dyDescent="0.25">
      <c r="B142" s="7"/>
      <c r="C142" s="7" t="str" cm="1">
        <f t="array" aca="1" ref="C142" ca="1">IF(OR('Raw Data'!C142="",LEN(TRIM('Raw Data'!C142))=0,Validate_Empty!C142&lt;&gt;"",Validate_Value!C142&lt;&gt;""),"",IF(OR(NOT(OR(LEN(TRIM('Raw Data'!B142:X142))&gt;0)),OR('Raw Data'!C142="",LEN(TRIM('Raw Data'!C142))=0)),"",IF(OR(AND('Raw Data'!B142="Main Contract", LEFT('Raw Data'!C142, LEN("Payment"))="Payment"),AND('Raw Data'!B142="Change Order", LEFT('Raw Data'!C142, LEN("CO Payment No."))="CO Payment No.")),"",_xlfn.REGEXEXTRACT(CELL("address",'Raw Data'!C142),"\$([A-Z]+)\$[0-9]+"))))</f>
        <v/>
      </c>
      <c r="D142" s="7"/>
      <c r="E142" s="7"/>
      <c r="F142" s="7"/>
      <c r="G142" s="7"/>
      <c r="H142" s="7"/>
      <c r="I142" s="7"/>
      <c r="J142" s="7"/>
      <c r="K142" s="7"/>
      <c r="L142" s="7"/>
      <c r="M142" s="7" t="str" cm="1">
        <f t="array" aca="1" ref="M142" ca="1">IF(OR('Raw Data'!M142="",LEN(TRIM('Raw Data'!M142))=0,Validate_Empty!M142&lt;&gt;"",Validate_Value!M142&lt;&gt;""),"",IF(OR(NOT(OR(LEN(TRIM('Raw Data'!B142:X142))&gt;0)),OR('Raw Data'!M142="",LEN(TRIM('Raw Data'!M142))=0)),"",IF('Raw Data'!M142 = SUM('Raw Data'!K142:L142),"",_xlfn.REGEXEXTRACT(CELL("address",'Raw Data'!M142),"\$([A-Z]+)\$[0-9]+"))))</f>
        <v/>
      </c>
      <c r="N142" s="7"/>
      <c r="O142" s="7"/>
      <c r="P142" s="7" t="str" cm="1">
        <f t="array" aca="1" ref="P142" ca="1">IF(OR('Raw Data'!P142="",LEN(TRIM('Raw Data'!P142))=0,Validate_Empty!P142&lt;&gt;"",Validate_Value!P142&lt;&gt;""),"",IF(OR(NOT(OR(LEN(TRIM('Raw Data'!B142:X142))&gt;0)),OR('Raw Data'!P142="",LEN(TRIM('Raw Data'!P142))=0)),"",IF(AND('Raw Data'!J142 + Configuration!$G$2 + 5 &gt;= 'Raw Data'!P142,'Raw Data'!J142 + Configuration!$G$2 - 5 &lt;= 'Raw Data'!P142),"",_xlfn.REGEXEXTRACT(CELL("address",'Raw Data'!P142),"\$([A-Z]+)\$[0-9]+"))))</f>
        <v/>
      </c>
      <c r="Q142" s="7"/>
      <c r="R142" s="7"/>
      <c r="S142" s="7"/>
      <c r="T142" s="7" t="str" cm="1">
        <f t="array" aca="1" ref="T142" ca="1">IF(OR('Raw Data'!T142="",LEN(TRIM('Raw Data'!T142))=0,Validate_Empty!T142&lt;&gt;"",Validate_Value!T142&lt;&gt;""),"",IF(OR(NOT(OR(LEN(TRIM('Raw Data'!B142:X142))&gt;0)),OR('Raw Data'!T142="",LEN(TRIM('Raw Data'!T142))=0)),"",IF('Raw Data'!T142 = SUM('Raw Data'!R142:S142),"",_xlfn.REGEXEXTRACT(CELL("address",'Raw Data'!T142),"\$([A-Z]+)\$[0-9]+"))))</f>
        <v/>
      </c>
      <c r="U142" s="7" t="str" cm="1">
        <f t="array" aca="1" ref="U142" ca="1">IF(OR('Raw Data'!U142="",LEN(TRIM('Raw Data'!U142))=0,Validate_Empty!U142&lt;&gt;"",Validate_Value!U142&lt;&gt;""),"",IF(OR(NOT(OR(LEN(TRIM('Raw Data'!B142:X142))&gt;0)),OR('Raw Data'!T142="",LEN(TRIM('Raw Data'!T142))=0)),"",IF(ISNUMBER(SEARCH('Raw Data'!U142, Configuration!$H$2)),"",_xlfn.REGEXEXTRACT(CELL("address",'Raw Data'!U142),"\$([A-Z]+)\$[0-9]+"))))</f>
        <v/>
      </c>
      <c r="V142" s="7" t="str" cm="1">
        <f t="array" aca="1" ref="V142" ca="1">IF(OR('Raw Data'!V142="",LEN(TRIM('Raw Data'!V142))=0,Validate_Empty!V142&lt;&gt;"",Validate_Value!V142&lt;&gt;""),"",IF(OR(NOT(OR(LEN(TRIM('Raw Data'!B142:X142))&gt;0)),OR('Raw Data'!V142="",LEN(TRIM('Raw Data'!V142))=0)),"",IF('Raw Data'!V142 = Configuration!$I$2,"",_xlfn.REGEXEXTRACT(CELL("address",'Raw Data'!V142),"\$([A-Z]+)\$[0-9]+"))))</f>
        <v/>
      </c>
      <c r="W142" s="7"/>
      <c r="X142" s="7"/>
    </row>
    <row r="143" spans="2:24" x14ac:dyDescent="0.25">
      <c r="B143" s="7"/>
      <c r="C143" s="7" t="str" cm="1">
        <f t="array" aca="1" ref="C143" ca="1">IF(OR('Raw Data'!C143="",LEN(TRIM('Raw Data'!C143))=0,Validate_Empty!C143&lt;&gt;"",Validate_Value!C143&lt;&gt;""),"",IF(OR(NOT(OR(LEN(TRIM('Raw Data'!B143:X143))&gt;0)),OR('Raw Data'!C143="",LEN(TRIM('Raw Data'!C143))=0)),"",IF(OR(AND('Raw Data'!B143="Main Contract", LEFT('Raw Data'!C143, LEN("Payment"))="Payment"),AND('Raw Data'!B143="Change Order", LEFT('Raw Data'!C143, LEN("CO Payment No."))="CO Payment No.")),"",_xlfn.REGEXEXTRACT(CELL("address",'Raw Data'!C143),"\$([A-Z]+)\$[0-9]+"))))</f>
        <v/>
      </c>
      <c r="D143" s="7"/>
      <c r="E143" s="7"/>
      <c r="F143" s="7"/>
      <c r="G143" s="7"/>
      <c r="H143" s="7"/>
      <c r="I143" s="7"/>
      <c r="J143" s="7"/>
      <c r="K143" s="7"/>
      <c r="L143" s="7"/>
      <c r="M143" s="7" t="str" cm="1">
        <f t="array" aca="1" ref="M143" ca="1">IF(OR('Raw Data'!M143="",LEN(TRIM('Raw Data'!M143))=0,Validate_Empty!M143&lt;&gt;"",Validate_Value!M143&lt;&gt;""),"",IF(OR(NOT(OR(LEN(TRIM('Raw Data'!B143:X143))&gt;0)),OR('Raw Data'!M143="",LEN(TRIM('Raw Data'!M143))=0)),"",IF('Raw Data'!M143 = SUM('Raw Data'!K143:L143),"",_xlfn.REGEXEXTRACT(CELL("address",'Raw Data'!M143),"\$([A-Z]+)\$[0-9]+"))))</f>
        <v/>
      </c>
      <c r="N143" s="7"/>
      <c r="O143" s="7"/>
      <c r="P143" s="7" t="str" cm="1">
        <f t="array" aca="1" ref="P143" ca="1">IF(OR('Raw Data'!P143="",LEN(TRIM('Raw Data'!P143))=0,Validate_Empty!P143&lt;&gt;"",Validate_Value!P143&lt;&gt;""),"",IF(OR(NOT(OR(LEN(TRIM('Raw Data'!B143:X143))&gt;0)),OR('Raw Data'!P143="",LEN(TRIM('Raw Data'!P143))=0)),"",IF(AND('Raw Data'!J143 + Configuration!$G$2 + 5 &gt;= 'Raw Data'!P143,'Raw Data'!J143 + Configuration!$G$2 - 5 &lt;= 'Raw Data'!P143),"",_xlfn.REGEXEXTRACT(CELL("address",'Raw Data'!P143),"\$([A-Z]+)\$[0-9]+"))))</f>
        <v/>
      </c>
      <c r="Q143" s="7"/>
      <c r="R143" s="7"/>
      <c r="S143" s="7"/>
      <c r="T143" s="7" t="str" cm="1">
        <f t="array" aca="1" ref="T143" ca="1">IF(OR('Raw Data'!T143="",LEN(TRIM('Raw Data'!T143))=0,Validate_Empty!T143&lt;&gt;"",Validate_Value!T143&lt;&gt;""),"",IF(OR(NOT(OR(LEN(TRIM('Raw Data'!B143:X143))&gt;0)),OR('Raw Data'!T143="",LEN(TRIM('Raw Data'!T143))=0)),"",IF('Raw Data'!T143 = SUM('Raw Data'!R143:S143),"",_xlfn.REGEXEXTRACT(CELL("address",'Raw Data'!T143),"\$([A-Z]+)\$[0-9]+"))))</f>
        <v/>
      </c>
      <c r="U143" s="7" t="str" cm="1">
        <f t="array" aca="1" ref="U143" ca="1">IF(OR('Raw Data'!U143="",LEN(TRIM('Raw Data'!U143))=0,Validate_Empty!U143&lt;&gt;"",Validate_Value!U143&lt;&gt;""),"",IF(OR(NOT(OR(LEN(TRIM('Raw Data'!B143:X143))&gt;0)),OR('Raw Data'!T143="",LEN(TRIM('Raw Data'!T143))=0)),"",IF(ISNUMBER(SEARCH('Raw Data'!U143, Configuration!$H$2)),"",_xlfn.REGEXEXTRACT(CELL("address",'Raw Data'!U143),"\$([A-Z]+)\$[0-9]+"))))</f>
        <v/>
      </c>
      <c r="V143" s="7" t="str" cm="1">
        <f t="array" aca="1" ref="V143" ca="1">IF(OR('Raw Data'!V143="",LEN(TRIM('Raw Data'!V143))=0,Validate_Empty!V143&lt;&gt;"",Validate_Value!V143&lt;&gt;""),"",IF(OR(NOT(OR(LEN(TRIM('Raw Data'!B143:X143))&gt;0)),OR('Raw Data'!V143="",LEN(TRIM('Raw Data'!V143))=0)),"",IF('Raw Data'!V143 = Configuration!$I$2,"",_xlfn.REGEXEXTRACT(CELL("address",'Raw Data'!V143),"\$([A-Z]+)\$[0-9]+"))))</f>
        <v/>
      </c>
      <c r="W143" s="7"/>
      <c r="X143" s="7"/>
    </row>
    <row r="144" spans="2:24" x14ac:dyDescent="0.25">
      <c r="B144" s="7"/>
      <c r="C144" s="7" t="str" cm="1">
        <f t="array" aca="1" ref="C144" ca="1">IF(OR('Raw Data'!C144="",LEN(TRIM('Raw Data'!C144))=0,Validate_Empty!C144&lt;&gt;"",Validate_Value!C144&lt;&gt;""),"",IF(OR(NOT(OR(LEN(TRIM('Raw Data'!B144:X144))&gt;0)),OR('Raw Data'!C144="",LEN(TRIM('Raw Data'!C144))=0)),"",IF(OR(AND('Raw Data'!B144="Main Contract", LEFT('Raw Data'!C144, LEN("Payment"))="Payment"),AND('Raw Data'!B144="Change Order", LEFT('Raw Data'!C144, LEN("CO Payment No."))="CO Payment No.")),"",_xlfn.REGEXEXTRACT(CELL("address",'Raw Data'!C144),"\$([A-Z]+)\$[0-9]+"))))</f>
        <v/>
      </c>
      <c r="D144" s="7"/>
      <c r="E144" s="7"/>
      <c r="F144" s="7"/>
      <c r="G144" s="7"/>
      <c r="H144" s="7"/>
      <c r="I144" s="7"/>
      <c r="J144" s="7"/>
      <c r="K144" s="7"/>
      <c r="L144" s="7"/>
      <c r="M144" s="7" t="str" cm="1">
        <f t="array" aca="1" ref="M144" ca="1">IF(OR('Raw Data'!M144="",LEN(TRIM('Raw Data'!M144))=0,Validate_Empty!M144&lt;&gt;"",Validate_Value!M144&lt;&gt;""),"",IF(OR(NOT(OR(LEN(TRIM('Raw Data'!B144:X144))&gt;0)),OR('Raw Data'!M144="",LEN(TRIM('Raw Data'!M144))=0)),"",IF('Raw Data'!M144 = SUM('Raw Data'!K144:L144),"",_xlfn.REGEXEXTRACT(CELL("address",'Raw Data'!M144),"\$([A-Z]+)\$[0-9]+"))))</f>
        <v/>
      </c>
      <c r="N144" s="7"/>
      <c r="O144" s="7"/>
      <c r="P144" s="7" t="str" cm="1">
        <f t="array" aca="1" ref="P144" ca="1">IF(OR('Raw Data'!P144="",LEN(TRIM('Raw Data'!P144))=0,Validate_Empty!P144&lt;&gt;"",Validate_Value!P144&lt;&gt;""),"",IF(OR(NOT(OR(LEN(TRIM('Raw Data'!B144:X144))&gt;0)),OR('Raw Data'!P144="",LEN(TRIM('Raw Data'!P144))=0)),"",IF(AND('Raw Data'!J144 + Configuration!$G$2 + 5 &gt;= 'Raw Data'!P144,'Raw Data'!J144 + Configuration!$G$2 - 5 &lt;= 'Raw Data'!P144),"",_xlfn.REGEXEXTRACT(CELL("address",'Raw Data'!P144),"\$([A-Z]+)\$[0-9]+"))))</f>
        <v/>
      </c>
      <c r="Q144" s="7"/>
      <c r="R144" s="7"/>
      <c r="S144" s="7"/>
      <c r="T144" s="7" t="str" cm="1">
        <f t="array" aca="1" ref="T144" ca="1">IF(OR('Raw Data'!T144="",LEN(TRIM('Raw Data'!T144))=0,Validate_Empty!T144&lt;&gt;"",Validate_Value!T144&lt;&gt;""),"",IF(OR(NOT(OR(LEN(TRIM('Raw Data'!B144:X144))&gt;0)),OR('Raw Data'!T144="",LEN(TRIM('Raw Data'!T144))=0)),"",IF('Raw Data'!T144 = SUM('Raw Data'!R144:S144),"",_xlfn.REGEXEXTRACT(CELL("address",'Raw Data'!T144),"\$([A-Z]+)\$[0-9]+"))))</f>
        <v/>
      </c>
      <c r="U144" s="7" t="str" cm="1">
        <f t="array" aca="1" ref="U144" ca="1">IF(OR('Raw Data'!U144="",LEN(TRIM('Raw Data'!U144))=0,Validate_Empty!U144&lt;&gt;"",Validate_Value!U144&lt;&gt;""),"",IF(OR(NOT(OR(LEN(TRIM('Raw Data'!B144:X144))&gt;0)),OR('Raw Data'!T144="",LEN(TRIM('Raw Data'!T144))=0)),"",IF(ISNUMBER(SEARCH('Raw Data'!U144, Configuration!$H$2)),"",_xlfn.REGEXEXTRACT(CELL("address",'Raw Data'!U144),"\$([A-Z]+)\$[0-9]+"))))</f>
        <v/>
      </c>
      <c r="V144" s="7" t="str" cm="1">
        <f t="array" aca="1" ref="V144" ca="1">IF(OR('Raw Data'!V144="",LEN(TRIM('Raw Data'!V144))=0,Validate_Empty!V144&lt;&gt;"",Validate_Value!V144&lt;&gt;""),"",IF(OR(NOT(OR(LEN(TRIM('Raw Data'!B144:X144))&gt;0)),OR('Raw Data'!V144="",LEN(TRIM('Raw Data'!V144))=0)),"",IF('Raw Data'!V144 = Configuration!$I$2,"",_xlfn.REGEXEXTRACT(CELL("address",'Raw Data'!V144),"\$([A-Z]+)\$[0-9]+"))))</f>
        <v/>
      </c>
      <c r="W144" s="7"/>
      <c r="X144" s="7"/>
    </row>
    <row r="145" spans="2:24" x14ac:dyDescent="0.25">
      <c r="B145" s="7"/>
      <c r="C145" s="7" t="str" cm="1">
        <f t="array" aca="1" ref="C145" ca="1">IF(OR('Raw Data'!C145="",LEN(TRIM('Raw Data'!C145))=0,Validate_Empty!C145&lt;&gt;"",Validate_Value!C145&lt;&gt;""),"",IF(OR(NOT(OR(LEN(TRIM('Raw Data'!B145:X145))&gt;0)),OR('Raw Data'!C145="",LEN(TRIM('Raw Data'!C145))=0)),"",IF(OR(AND('Raw Data'!B145="Main Contract", LEFT('Raw Data'!C145, LEN("Payment"))="Payment"),AND('Raw Data'!B145="Change Order", LEFT('Raw Data'!C145, LEN("CO Payment No."))="CO Payment No.")),"",_xlfn.REGEXEXTRACT(CELL("address",'Raw Data'!C145),"\$([A-Z]+)\$[0-9]+"))))</f>
        <v/>
      </c>
      <c r="D145" s="7"/>
      <c r="E145" s="7"/>
      <c r="F145" s="7"/>
      <c r="G145" s="7"/>
      <c r="H145" s="7"/>
      <c r="I145" s="7"/>
      <c r="J145" s="7"/>
      <c r="K145" s="7"/>
      <c r="L145" s="7"/>
      <c r="M145" s="7" t="str" cm="1">
        <f t="array" aca="1" ref="M145" ca="1">IF(OR('Raw Data'!M145="",LEN(TRIM('Raw Data'!M145))=0,Validate_Empty!M145&lt;&gt;"",Validate_Value!M145&lt;&gt;""),"",IF(OR(NOT(OR(LEN(TRIM('Raw Data'!B145:X145))&gt;0)),OR('Raw Data'!M145="",LEN(TRIM('Raw Data'!M145))=0)),"",IF('Raw Data'!M145 = SUM('Raw Data'!K145:L145),"",_xlfn.REGEXEXTRACT(CELL("address",'Raw Data'!M145),"\$([A-Z]+)\$[0-9]+"))))</f>
        <v/>
      </c>
      <c r="N145" s="7"/>
      <c r="O145" s="7"/>
      <c r="P145" s="7" t="str" cm="1">
        <f t="array" aca="1" ref="P145" ca="1">IF(OR('Raw Data'!P145="",LEN(TRIM('Raw Data'!P145))=0,Validate_Empty!P145&lt;&gt;"",Validate_Value!P145&lt;&gt;""),"",IF(OR(NOT(OR(LEN(TRIM('Raw Data'!B145:X145))&gt;0)),OR('Raw Data'!P145="",LEN(TRIM('Raw Data'!P145))=0)),"",IF(AND('Raw Data'!J145 + Configuration!$G$2 + 5 &gt;= 'Raw Data'!P145,'Raw Data'!J145 + Configuration!$G$2 - 5 &lt;= 'Raw Data'!P145),"",_xlfn.REGEXEXTRACT(CELL("address",'Raw Data'!P145),"\$([A-Z]+)\$[0-9]+"))))</f>
        <v/>
      </c>
      <c r="Q145" s="7"/>
      <c r="R145" s="7"/>
      <c r="S145" s="7"/>
      <c r="T145" s="7" t="str" cm="1">
        <f t="array" aca="1" ref="T145" ca="1">IF(OR('Raw Data'!T145="",LEN(TRIM('Raw Data'!T145))=0,Validate_Empty!T145&lt;&gt;"",Validate_Value!T145&lt;&gt;""),"",IF(OR(NOT(OR(LEN(TRIM('Raw Data'!B145:X145))&gt;0)),OR('Raw Data'!T145="",LEN(TRIM('Raw Data'!T145))=0)),"",IF('Raw Data'!T145 = SUM('Raw Data'!R145:S145),"",_xlfn.REGEXEXTRACT(CELL("address",'Raw Data'!T145),"\$([A-Z]+)\$[0-9]+"))))</f>
        <v/>
      </c>
      <c r="U145" s="7" t="str" cm="1">
        <f t="array" aca="1" ref="U145" ca="1">IF(OR('Raw Data'!U145="",LEN(TRIM('Raw Data'!U145))=0,Validate_Empty!U145&lt;&gt;"",Validate_Value!U145&lt;&gt;""),"",IF(OR(NOT(OR(LEN(TRIM('Raw Data'!B145:X145))&gt;0)),OR('Raw Data'!T145="",LEN(TRIM('Raw Data'!T145))=0)),"",IF(ISNUMBER(SEARCH('Raw Data'!U145, Configuration!$H$2)),"",_xlfn.REGEXEXTRACT(CELL("address",'Raw Data'!U145),"\$([A-Z]+)\$[0-9]+"))))</f>
        <v/>
      </c>
      <c r="V145" s="7" t="str" cm="1">
        <f t="array" aca="1" ref="V145" ca="1">IF(OR('Raw Data'!V145="",LEN(TRIM('Raw Data'!V145))=0,Validate_Empty!V145&lt;&gt;"",Validate_Value!V145&lt;&gt;""),"",IF(OR(NOT(OR(LEN(TRIM('Raw Data'!B145:X145))&gt;0)),OR('Raw Data'!V145="",LEN(TRIM('Raw Data'!V145))=0)),"",IF('Raw Data'!V145 = Configuration!$I$2,"",_xlfn.REGEXEXTRACT(CELL("address",'Raw Data'!V145),"\$([A-Z]+)\$[0-9]+"))))</f>
        <v/>
      </c>
      <c r="W145" s="7"/>
      <c r="X145" s="7"/>
    </row>
    <row r="146" spans="2:24" x14ac:dyDescent="0.25">
      <c r="B146" s="7"/>
      <c r="C146" s="7" t="str" cm="1">
        <f t="array" aca="1" ref="C146" ca="1">IF(OR('Raw Data'!C146="",LEN(TRIM('Raw Data'!C146))=0,Validate_Empty!C146&lt;&gt;"",Validate_Value!C146&lt;&gt;""),"",IF(OR(NOT(OR(LEN(TRIM('Raw Data'!B146:X146))&gt;0)),OR('Raw Data'!C146="",LEN(TRIM('Raw Data'!C146))=0)),"",IF(OR(AND('Raw Data'!B146="Main Contract", LEFT('Raw Data'!C146, LEN("Payment"))="Payment"),AND('Raw Data'!B146="Change Order", LEFT('Raw Data'!C146, LEN("CO Payment No."))="CO Payment No.")),"",_xlfn.REGEXEXTRACT(CELL("address",'Raw Data'!C146),"\$([A-Z]+)\$[0-9]+"))))</f>
        <v/>
      </c>
      <c r="D146" s="7"/>
      <c r="E146" s="7"/>
      <c r="F146" s="7"/>
      <c r="G146" s="7"/>
      <c r="H146" s="7"/>
      <c r="I146" s="7"/>
      <c r="J146" s="7"/>
      <c r="K146" s="7"/>
      <c r="L146" s="7"/>
      <c r="M146" s="7" t="str" cm="1">
        <f t="array" aca="1" ref="M146" ca="1">IF(OR('Raw Data'!M146="",LEN(TRIM('Raw Data'!M146))=0,Validate_Empty!M146&lt;&gt;"",Validate_Value!M146&lt;&gt;""),"",IF(OR(NOT(OR(LEN(TRIM('Raw Data'!B146:X146))&gt;0)),OR('Raw Data'!M146="",LEN(TRIM('Raw Data'!M146))=0)),"",IF('Raw Data'!M146 = SUM('Raw Data'!K146:L146),"",_xlfn.REGEXEXTRACT(CELL("address",'Raw Data'!M146),"\$([A-Z]+)\$[0-9]+"))))</f>
        <v/>
      </c>
      <c r="N146" s="7"/>
      <c r="O146" s="7"/>
      <c r="P146" s="7" t="str" cm="1">
        <f t="array" aca="1" ref="P146" ca="1">IF(OR('Raw Data'!P146="",LEN(TRIM('Raw Data'!P146))=0,Validate_Empty!P146&lt;&gt;"",Validate_Value!P146&lt;&gt;""),"",IF(OR(NOT(OR(LEN(TRIM('Raw Data'!B146:X146))&gt;0)),OR('Raw Data'!P146="",LEN(TRIM('Raw Data'!P146))=0)),"",IF(AND('Raw Data'!J146 + Configuration!$G$2 + 5 &gt;= 'Raw Data'!P146,'Raw Data'!J146 + Configuration!$G$2 - 5 &lt;= 'Raw Data'!P146),"",_xlfn.REGEXEXTRACT(CELL("address",'Raw Data'!P146),"\$([A-Z]+)\$[0-9]+"))))</f>
        <v/>
      </c>
      <c r="Q146" s="7"/>
      <c r="R146" s="7"/>
      <c r="S146" s="7"/>
      <c r="T146" s="7" t="str" cm="1">
        <f t="array" aca="1" ref="T146" ca="1">IF(OR('Raw Data'!T146="",LEN(TRIM('Raw Data'!T146))=0,Validate_Empty!T146&lt;&gt;"",Validate_Value!T146&lt;&gt;""),"",IF(OR(NOT(OR(LEN(TRIM('Raw Data'!B146:X146))&gt;0)),OR('Raw Data'!T146="",LEN(TRIM('Raw Data'!T146))=0)),"",IF('Raw Data'!T146 = SUM('Raw Data'!R146:S146),"",_xlfn.REGEXEXTRACT(CELL("address",'Raw Data'!T146),"\$([A-Z]+)\$[0-9]+"))))</f>
        <v/>
      </c>
      <c r="U146" s="7" t="str" cm="1">
        <f t="array" aca="1" ref="U146" ca="1">IF(OR('Raw Data'!U146="",LEN(TRIM('Raw Data'!U146))=0,Validate_Empty!U146&lt;&gt;"",Validate_Value!U146&lt;&gt;""),"",IF(OR(NOT(OR(LEN(TRIM('Raw Data'!B146:X146))&gt;0)),OR('Raw Data'!T146="",LEN(TRIM('Raw Data'!T146))=0)),"",IF(ISNUMBER(SEARCH('Raw Data'!U146, Configuration!$H$2)),"",_xlfn.REGEXEXTRACT(CELL("address",'Raw Data'!U146),"\$([A-Z]+)\$[0-9]+"))))</f>
        <v/>
      </c>
      <c r="V146" s="7" t="str" cm="1">
        <f t="array" aca="1" ref="V146" ca="1">IF(OR('Raw Data'!V146="",LEN(TRIM('Raw Data'!V146))=0,Validate_Empty!V146&lt;&gt;"",Validate_Value!V146&lt;&gt;""),"",IF(OR(NOT(OR(LEN(TRIM('Raw Data'!B146:X146))&gt;0)),OR('Raw Data'!V146="",LEN(TRIM('Raw Data'!V146))=0)),"",IF('Raw Data'!V146 = Configuration!$I$2,"",_xlfn.REGEXEXTRACT(CELL("address",'Raw Data'!V146),"\$([A-Z]+)\$[0-9]+"))))</f>
        <v/>
      </c>
      <c r="W146" s="7"/>
      <c r="X146" s="7"/>
    </row>
    <row r="147" spans="2:24" x14ac:dyDescent="0.25">
      <c r="B147" s="7"/>
      <c r="C147" s="7" t="str" cm="1">
        <f t="array" aca="1" ref="C147" ca="1">IF(OR('Raw Data'!C147="",LEN(TRIM('Raw Data'!C147))=0,Validate_Empty!C147&lt;&gt;"",Validate_Value!C147&lt;&gt;""),"",IF(OR(NOT(OR(LEN(TRIM('Raw Data'!B147:X147))&gt;0)),OR('Raw Data'!C147="",LEN(TRIM('Raw Data'!C147))=0)),"",IF(OR(AND('Raw Data'!B147="Main Contract", LEFT('Raw Data'!C147, LEN("Payment"))="Payment"),AND('Raw Data'!B147="Change Order", LEFT('Raw Data'!C147, LEN("CO Payment No."))="CO Payment No.")),"",_xlfn.REGEXEXTRACT(CELL("address",'Raw Data'!C147),"\$([A-Z]+)\$[0-9]+"))))</f>
        <v/>
      </c>
      <c r="D147" s="7"/>
      <c r="E147" s="7"/>
      <c r="F147" s="7"/>
      <c r="G147" s="7"/>
      <c r="H147" s="7"/>
      <c r="I147" s="7"/>
      <c r="J147" s="7"/>
      <c r="K147" s="7"/>
      <c r="L147" s="7"/>
      <c r="M147" s="7" t="str" cm="1">
        <f t="array" aca="1" ref="M147" ca="1">IF(OR('Raw Data'!M147="",LEN(TRIM('Raw Data'!M147))=0,Validate_Empty!M147&lt;&gt;"",Validate_Value!M147&lt;&gt;""),"",IF(OR(NOT(OR(LEN(TRIM('Raw Data'!B147:X147))&gt;0)),OR('Raw Data'!M147="",LEN(TRIM('Raw Data'!M147))=0)),"",IF('Raw Data'!M147 = SUM('Raw Data'!K147:L147),"",_xlfn.REGEXEXTRACT(CELL("address",'Raw Data'!M147),"\$([A-Z]+)\$[0-9]+"))))</f>
        <v/>
      </c>
      <c r="N147" s="7"/>
      <c r="O147" s="7"/>
      <c r="P147" s="7" t="str" cm="1">
        <f t="array" aca="1" ref="P147" ca="1">IF(OR('Raw Data'!P147="",LEN(TRIM('Raw Data'!P147))=0,Validate_Empty!P147&lt;&gt;"",Validate_Value!P147&lt;&gt;""),"",IF(OR(NOT(OR(LEN(TRIM('Raw Data'!B147:X147))&gt;0)),OR('Raw Data'!P147="",LEN(TRIM('Raw Data'!P147))=0)),"",IF(AND('Raw Data'!J147 + Configuration!$G$2 + 5 &gt;= 'Raw Data'!P147,'Raw Data'!J147 + Configuration!$G$2 - 5 &lt;= 'Raw Data'!P147),"",_xlfn.REGEXEXTRACT(CELL("address",'Raw Data'!P147),"\$([A-Z]+)\$[0-9]+"))))</f>
        <v/>
      </c>
      <c r="Q147" s="7"/>
      <c r="R147" s="7"/>
      <c r="S147" s="7"/>
      <c r="T147" s="7" t="str" cm="1">
        <f t="array" aca="1" ref="T147" ca="1">IF(OR('Raw Data'!T147="",LEN(TRIM('Raw Data'!T147))=0,Validate_Empty!T147&lt;&gt;"",Validate_Value!T147&lt;&gt;""),"",IF(OR(NOT(OR(LEN(TRIM('Raw Data'!B147:X147))&gt;0)),OR('Raw Data'!T147="",LEN(TRIM('Raw Data'!T147))=0)),"",IF('Raw Data'!T147 = SUM('Raw Data'!R147:S147),"",_xlfn.REGEXEXTRACT(CELL("address",'Raw Data'!T147),"\$([A-Z]+)\$[0-9]+"))))</f>
        <v/>
      </c>
      <c r="U147" s="7" t="str" cm="1">
        <f t="array" aca="1" ref="U147" ca="1">IF(OR('Raw Data'!U147="",LEN(TRIM('Raw Data'!U147))=0,Validate_Empty!U147&lt;&gt;"",Validate_Value!U147&lt;&gt;""),"",IF(OR(NOT(OR(LEN(TRIM('Raw Data'!B147:X147))&gt;0)),OR('Raw Data'!T147="",LEN(TRIM('Raw Data'!T147))=0)),"",IF(ISNUMBER(SEARCH('Raw Data'!U147, Configuration!$H$2)),"",_xlfn.REGEXEXTRACT(CELL("address",'Raw Data'!U147),"\$([A-Z]+)\$[0-9]+"))))</f>
        <v/>
      </c>
      <c r="V147" s="7" t="str" cm="1">
        <f t="array" aca="1" ref="V147" ca="1">IF(OR('Raw Data'!V147="",LEN(TRIM('Raw Data'!V147))=0,Validate_Empty!V147&lt;&gt;"",Validate_Value!V147&lt;&gt;""),"",IF(OR(NOT(OR(LEN(TRIM('Raw Data'!B147:X147))&gt;0)),OR('Raw Data'!V147="",LEN(TRIM('Raw Data'!V147))=0)),"",IF('Raw Data'!V147 = Configuration!$I$2,"",_xlfn.REGEXEXTRACT(CELL("address",'Raw Data'!V147),"\$([A-Z]+)\$[0-9]+"))))</f>
        <v/>
      </c>
      <c r="W147" s="7"/>
      <c r="X147" s="7"/>
    </row>
    <row r="148" spans="2:24" x14ac:dyDescent="0.25">
      <c r="B148" s="7"/>
      <c r="C148" s="7" t="str" cm="1">
        <f t="array" aca="1" ref="C148" ca="1">IF(OR('Raw Data'!C148="",LEN(TRIM('Raw Data'!C148))=0,Validate_Empty!C148&lt;&gt;"",Validate_Value!C148&lt;&gt;""),"",IF(OR(NOT(OR(LEN(TRIM('Raw Data'!B148:X148))&gt;0)),OR('Raw Data'!C148="",LEN(TRIM('Raw Data'!C148))=0)),"",IF(OR(AND('Raw Data'!B148="Main Contract", LEFT('Raw Data'!C148, LEN("Payment"))="Payment"),AND('Raw Data'!B148="Change Order", LEFT('Raw Data'!C148, LEN("CO Payment No."))="CO Payment No.")),"",_xlfn.REGEXEXTRACT(CELL("address",'Raw Data'!C148),"\$([A-Z]+)\$[0-9]+"))))</f>
        <v/>
      </c>
      <c r="D148" s="7"/>
      <c r="E148" s="7"/>
      <c r="F148" s="7"/>
      <c r="G148" s="7"/>
      <c r="H148" s="7"/>
      <c r="I148" s="7"/>
      <c r="J148" s="7"/>
      <c r="K148" s="7"/>
      <c r="L148" s="7"/>
      <c r="M148" s="7" t="str" cm="1">
        <f t="array" aca="1" ref="M148" ca="1">IF(OR('Raw Data'!M148="",LEN(TRIM('Raw Data'!M148))=0,Validate_Empty!M148&lt;&gt;"",Validate_Value!M148&lt;&gt;""),"",IF(OR(NOT(OR(LEN(TRIM('Raw Data'!B148:X148))&gt;0)),OR('Raw Data'!M148="",LEN(TRIM('Raw Data'!M148))=0)),"",IF('Raw Data'!M148 = SUM('Raw Data'!K148:L148),"",_xlfn.REGEXEXTRACT(CELL("address",'Raw Data'!M148),"\$([A-Z]+)\$[0-9]+"))))</f>
        <v/>
      </c>
      <c r="N148" s="7"/>
      <c r="O148" s="7"/>
      <c r="P148" s="7" t="str" cm="1">
        <f t="array" aca="1" ref="P148" ca="1">IF(OR('Raw Data'!P148="",LEN(TRIM('Raw Data'!P148))=0,Validate_Empty!P148&lt;&gt;"",Validate_Value!P148&lt;&gt;""),"",IF(OR(NOT(OR(LEN(TRIM('Raw Data'!B148:X148))&gt;0)),OR('Raw Data'!P148="",LEN(TRIM('Raw Data'!P148))=0)),"",IF(AND('Raw Data'!J148 + Configuration!$G$2 + 5 &gt;= 'Raw Data'!P148,'Raw Data'!J148 + Configuration!$G$2 - 5 &lt;= 'Raw Data'!P148),"",_xlfn.REGEXEXTRACT(CELL("address",'Raw Data'!P148),"\$([A-Z]+)\$[0-9]+"))))</f>
        <v/>
      </c>
      <c r="Q148" s="7"/>
      <c r="R148" s="7"/>
      <c r="S148" s="7"/>
      <c r="T148" s="7" t="str" cm="1">
        <f t="array" aca="1" ref="T148" ca="1">IF(OR('Raw Data'!T148="",LEN(TRIM('Raw Data'!T148))=0,Validate_Empty!T148&lt;&gt;"",Validate_Value!T148&lt;&gt;""),"",IF(OR(NOT(OR(LEN(TRIM('Raw Data'!B148:X148))&gt;0)),OR('Raw Data'!T148="",LEN(TRIM('Raw Data'!T148))=0)),"",IF('Raw Data'!T148 = SUM('Raw Data'!R148:S148),"",_xlfn.REGEXEXTRACT(CELL("address",'Raw Data'!T148),"\$([A-Z]+)\$[0-9]+"))))</f>
        <v/>
      </c>
      <c r="U148" s="7" t="str" cm="1">
        <f t="array" aca="1" ref="U148" ca="1">IF(OR('Raw Data'!U148="",LEN(TRIM('Raw Data'!U148))=0,Validate_Empty!U148&lt;&gt;"",Validate_Value!U148&lt;&gt;""),"",IF(OR(NOT(OR(LEN(TRIM('Raw Data'!B148:X148))&gt;0)),OR('Raw Data'!T148="",LEN(TRIM('Raw Data'!T148))=0)),"",IF(ISNUMBER(SEARCH('Raw Data'!U148, Configuration!$H$2)),"",_xlfn.REGEXEXTRACT(CELL("address",'Raw Data'!U148),"\$([A-Z]+)\$[0-9]+"))))</f>
        <v/>
      </c>
      <c r="V148" s="7" t="str" cm="1">
        <f t="array" aca="1" ref="V148" ca="1">IF(OR('Raw Data'!V148="",LEN(TRIM('Raw Data'!V148))=0,Validate_Empty!V148&lt;&gt;"",Validate_Value!V148&lt;&gt;""),"",IF(OR(NOT(OR(LEN(TRIM('Raw Data'!B148:X148))&gt;0)),OR('Raw Data'!V148="",LEN(TRIM('Raw Data'!V148))=0)),"",IF('Raw Data'!V148 = Configuration!$I$2,"",_xlfn.REGEXEXTRACT(CELL("address",'Raw Data'!V148),"\$([A-Z]+)\$[0-9]+"))))</f>
        <v/>
      </c>
      <c r="W148" s="7"/>
      <c r="X148" s="7"/>
    </row>
    <row r="149" spans="2:24" x14ac:dyDescent="0.25">
      <c r="B149" s="7"/>
      <c r="C149" s="7" t="str" cm="1">
        <f t="array" aca="1" ref="C149" ca="1">IF(OR('Raw Data'!C149="",LEN(TRIM('Raw Data'!C149))=0,Validate_Empty!C149&lt;&gt;"",Validate_Value!C149&lt;&gt;""),"",IF(OR(NOT(OR(LEN(TRIM('Raw Data'!B149:X149))&gt;0)),OR('Raw Data'!C149="",LEN(TRIM('Raw Data'!C149))=0)),"",IF(OR(AND('Raw Data'!B149="Main Contract", LEFT('Raw Data'!C149, LEN("Payment"))="Payment"),AND('Raw Data'!B149="Change Order", LEFT('Raw Data'!C149, LEN("CO Payment No."))="CO Payment No.")),"",_xlfn.REGEXEXTRACT(CELL("address",'Raw Data'!C149),"\$([A-Z]+)\$[0-9]+"))))</f>
        <v/>
      </c>
      <c r="D149" s="7"/>
      <c r="E149" s="7"/>
      <c r="F149" s="7"/>
      <c r="G149" s="7"/>
      <c r="H149" s="7"/>
      <c r="I149" s="7"/>
      <c r="J149" s="7"/>
      <c r="K149" s="7"/>
      <c r="L149" s="7"/>
      <c r="M149" s="7" t="str" cm="1">
        <f t="array" aca="1" ref="M149" ca="1">IF(OR('Raw Data'!M149="",LEN(TRIM('Raw Data'!M149))=0,Validate_Empty!M149&lt;&gt;"",Validate_Value!M149&lt;&gt;""),"",IF(OR(NOT(OR(LEN(TRIM('Raw Data'!B149:X149))&gt;0)),OR('Raw Data'!M149="",LEN(TRIM('Raw Data'!M149))=0)),"",IF('Raw Data'!M149 = SUM('Raw Data'!K149:L149),"",_xlfn.REGEXEXTRACT(CELL("address",'Raw Data'!M149),"\$([A-Z]+)\$[0-9]+"))))</f>
        <v/>
      </c>
      <c r="N149" s="7"/>
      <c r="O149" s="7"/>
      <c r="P149" s="7" t="str" cm="1">
        <f t="array" aca="1" ref="P149" ca="1">IF(OR('Raw Data'!P149="",LEN(TRIM('Raw Data'!P149))=0,Validate_Empty!P149&lt;&gt;"",Validate_Value!P149&lt;&gt;""),"",IF(OR(NOT(OR(LEN(TRIM('Raw Data'!B149:X149))&gt;0)),OR('Raw Data'!P149="",LEN(TRIM('Raw Data'!P149))=0)),"",IF(AND('Raw Data'!J149 + Configuration!$G$2 + 5 &gt;= 'Raw Data'!P149,'Raw Data'!J149 + Configuration!$G$2 - 5 &lt;= 'Raw Data'!P149),"",_xlfn.REGEXEXTRACT(CELL("address",'Raw Data'!P149),"\$([A-Z]+)\$[0-9]+"))))</f>
        <v/>
      </c>
      <c r="Q149" s="7"/>
      <c r="R149" s="7"/>
      <c r="S149" s="7"/>
      <c r="T149" s="7" t="str" cm="1">
        <f t="array" aca="1" ref="T149" ca="1">IF(OR('Raw Data'!T149="",LEN(TRIM('Raw Data'!T149))=0,Validate_Empty!T149&lt;&gt;"",Validate_Value!T149&lt;&gt;""),"",IF(OR(NOT(OR(LEN(TRIM('Raw Data'!B149:X149))&gt;0)),OR('Raw Data'!T149="",LEN(TRIM('Raw Data'!T149))=0)),"",IF('Raw Data'!T149 = SUM('Raw Data'!R149:S149),"",_xlfn.REGEXEXTRACT(CELL("address",'Raw Data'!T149),"\$([A-Z]+)\$[0-9]+"))))</f>
        <v/>
      </c>
      <c r="U149" s="7" t="str" cm="1">
        <f t="array" aca="1" ref="U149" ca="1">IF(OR('Raw Data'!U149="",LEN(TRIM('Raw Data'!U149))=0,Validate_Empty!U149&lt;&gt;"",Validate_Value!U149&lt;&gt;""),"",IF(OR(NOT(OR(LEN(TRIM('Raw Data'!B149:X149))&gt;0)),OR('Raw Data'!T149="",LEN(TRIM('Raw Data'!T149))=0)),"",IF(ISNUMBER(SEARCH('Raw Data'!U149, Configuration!$H$2)),"",_xlfn.REGEXEXTRACT(CELL("address",'Raw Data'!U149),"\$([A-Z]+)\$[0-9]+"))))</f>
        <v/>
      </c>
      <c r="V149" s="7" t="str" cm="1">
        <f t="array" aca="1" ref="V149" ca="1">IF(OR('Raw Data'!V149="",LEN(TRIM('Raw Data'!V149))=0,Validate_Empty!V149&lt;&gt;"",Validate_Value!V149&lt;&gt;""),"",IF(OR(NOT(OR(LEN(TRIM('Raw Data'!B149:X149))&gt;0)),OR('Raw Data'!V149="",LEN(TRIM('Raw Data'!V149))=0)),"",IF('Raw Data'!V149 = Configuration!$I$2,"",_xlfn.REGEXEXTRACT(CELL("address",'Raw Data'!V149),"\$([A-Z]+)\$[0-9]+"))))</f>
        <v/>
      </c>
      <c r="W149" s="7"/>
      <c r="X149" s="7"/>
    </row>
    <row r="150" spans="2:24" x14ac:dyDescent="0.25">
      <c r="B150" s="7"/>
      <c r="C150" s="7" t="str" cm="1">
        <f t="array" aca="1" ref="C150" ca="1">IF(OR('Raw Data'!C150="",LEN(TRIM('Raw Data'!C150))=0,Validate_Empty!C150&lt;&gt;"",Validate_Value!C150&lt;&gt;""),"",IF(OR(NOT(OR(LEN(TRIM('Raw Data'!B150:X150))&gt;0)),OR('Raw Data'!C150="",LEN(TRIM('Raw Data'!C150))=0)),"",IF(OR(AND('Raw Data'!B150="Main Contract", LEFT('Raw Data'!C150, LEN("Payment"))="Payment"),AND('Raw Data'!B150="Change Order", LEFT('Raw Data'!C150, LEN("CO Payment No."))="CO Payment No.")),"",_xlfn.REGEXEXTRACT(CELL("address",'Raw Data'!C150),"\$([A-Z]+)\$[0-9]+"))))</f>
        <v/>
      </c>
      <c r="D150" s="7"/>
      <c r="E150" s="7"/>
      <c r="F150" s="7"/>
      <c r="G150" s="7"/>
      <c r="H150" s="7"/>
      <c r="I150" s="7"/>
      <c r="J150" s="7"/>
      <c r="K150" s="7"/>
      <c r="L150" s="7"/>
      <c r="M150" s="7" t="str" cm="1">
        <f t="array" aca="1" ref="M150" ca="1">IF(OR('Raw Data'!M150="",LEN(TRIM('Raw Data'!M150))=0,Validate_Empty!M150&lt;&gt;"",Validate_Value!M150&lt;&gt;""),"",IF(OR(NOT(OR(LEN(TRIM('Raw Data'!B150:X150))&gt;0)),OR('Raw Data'!M150="",LEN(TRIM('Raw Data'!M150))=0)),"",IF('Raw Data'!M150 = SUM('Raw Data'!K150:L150),"",_xlfn.REGEXEXTRACT(CELL("address",'Raw Data'!M150),"\$([A-Z]+)\$[0-9]+"))))</f>
        <v/>
      </c>
      <c r="N150" s="7"/>
      <c r="O150" s="7"/>
      <c r="P150" s="7" t="str" cm="1">
        <f t="array" aca="1" ref="P150" ca="1">IF(OR('Raw Data'!P150="",LEN(TRIM('Raw Data'!P150))=0,Validate_Empty!P150&lt;&gt;"",Validate_Value!P150&lt;&gt;""),"",IF(OR(NOT(OR(LEN(TRIM('Raw Data'!B150:X150))&gt;0)),OR('Raw Data'!P150="",LEN(TRIM('Raw Data'!P150))=0)),"",IF(AND('Raw Data'!J150 + Configuration!$G$2 + 5 &gt;= 'Raw Data'!P150,'Raw Data'!J150 + Configuration!$G$2 - 5 &lt;= 'Raw Data'!P150),"",_xlfn.REGEXEXTRACT(CELL("address",'Raw Data'!P150),"\$([A-Z]+)\$[0-9]+"))))</f>
        <v/>
      </c>
      <c r="Q150" s="7"/>
      <c r="R150" s="7"/>
      <c r="S150" s="7"/>
      <c r="T150" s="7" t="str" cm="1">
        <f t="array" aca="1" ref="T150" ca="1">IF(OR('Raw Data'!T150="",LEN(TRIM('Raw Data'!T150))=0,Validate_Empty!T150&lt;&gt;"",Validate_Value!T150&lt;&gt;""),"",IF(OR(NOT(OR(LEN(TRIM('Raw Data'!B150:X150))&gt;0)),OR('Raw Data'!T150="",LEN(TRIM('Raw Data'!T150))=0)),"",IF('Raw Data'!T150 = SUM('Raw Data'!R150:S150),"",_xlfn.REGEXEXTRACT(CELL("address",'Raw Data'!T150),"\$([A-Z]+)\$[0-9]+"))))</f>
        <v/>
      </c>
      <c r="U150" s="7" t="str" cm="1">
        <f t="array" aca="1" ref="U150" ca="1">IF(OR('Raw Data'!U150="",LEN(TRIM('Raw Data'!U150))=0,Validate_Empty!U150&lt;&gt;"",Validate_Value!U150&lt;&gt;""),"",IF(OR(NOT(OR(LEN(TRIM('Raw Data'!B150:X150))&gt;0)),OR('Raw Data'!T150="",LEN(TRIM('Raw Data'!T150))=0)),"",IF(ISNUMBER(SEARCH('Raw Data'!U150, Configuration!$H$2)),"",_xlfn.REGEXEXTRACT(CELL("address",'Raw Data'!U150),"\$([A-Z]+)\$[0-9]+"))))</f>
        <v/>
      </c>
      <c r="V150" s="7" t="str" cm="1">
        <f t="array" aca="1" ref="V150" ca="1">IF(OR('Raw Data'!V150="",LEN(TRIM('Raw Data'!V150))=0,Validate_Empty!V150&lt;&gt;"",Validate_Value!V150&lt;&gt;""),"",IF(OR(NOT(OR(LEN(TRIM('Raw Data'!B150:X150))&gt;0)),OR('Raw Data'!V150="",LEN(TRIM('Raw Data'!V150))=0)),"",IF('Raw Data'!V150 = Configuration!$I$2,"",_xlfn.REGEXEXTRACT(CELL("address",'Raw Data'!V150),"\$([A-Z]+)\$[0-9]+"))))</f>
        <v/>
      </c>
      <c r="W150" s="7"/>
      <c r="X150" s="7"/>
    </row>
    <row r="151" spans="2:24" x14ac:dyDescent="0.25">
      <c r="B151" s="7"/>
      <c r="C151" s="7" t="str" cm="1">
        <f t="array" aca="1" ref="C151" ca="1">IF(OR('Raw Data'!C151="",LEN(TRIM('Raw Data'!C151))=0,Validate_Empty!C151&lt;&gt;"",Validate_Value!C151&lt;&gt;""),"",IF(OR(NOT(OR(LEN(TRIM('Raw Data'!B151:X151))&gt;0)),OR('Raw Data'!C151="",LEN(TRIM('Raw Data'!C151))=0)),"",IF(OR(AND('Raw Data'!B151="Main Contract", LEFT('Raw Data'!C151, LEN("Payment"))="Payment"),AND('Raw Data'!B151="Change Order", LEFT('Raw Data'!C151, LEN("CO Payment No."))="CO Payment No.")),"",_xlfn.REGEXEXTRACT(CELL("address",'Raw Data'!C151),"\$([A-Z]+)\$[0-9]+"))))</f>
        <v/>
      </c>
      <c r="D151" s="7"/>
      <c r="E151" s="7"/>
      <c r="F151" s="7"/>
      <c r="G151" s="7"/>
      <c r="H151" s="7"/>
      <c r="I151" s="7"/>
      <c r="J151" s="7"/>
      <c r="K151" s="7"/>
      <c r="L151" s="7"/>
      <c r="M151" s="7" t="str" cm="1">
        <f t="array" aca="1" ref="M151" ca="1">IF(OR('Raw Data'!M151="",LEN(TRIM('Raw Data'!M151))=0,Validate_Empty!M151&lt;&gt;"",Validate_Value!M151&lt;&gt;""),"",IF(OR(NOT(OR(LEN(TRIM('Raw Data'!B151:X151))&gt;0)),OR('Raw Data'!M151="",LEN(TRIM('Raw Data'!M151))=0)),"",IF('Raw Data'!M151 = SUM('Raw Data'!K151:L151),"",_xlfn.REGEXEXTRACT(CELL("address",'Raw Data'!M151),"\$([A-Z]+)\$[0-9]+"))))</f>
        <v/>
      </c>
      <c r="N151" s="7"/>
      <c r="O151" s="7"/>
      <c r="P151" s="7" t="str" cm="1">
        <f t="array" aca="1" ref="P151" ca="1">IF(OR('Raw Data'!P151="",LEN(TRIM('Raw Data'!P151))=0,Validate_Empty!P151&lt;&gt;"",Validate_Value!P151&lt;&gt;""),"",IF(OR(NOT(OR(LEN(TRIM('Raw Data'!B151:X151))&gt;0)),OR('Raw Data'!P151="",LEN(TRIM('Raw Data'!P151))=0)),"",IF(AND('Raw Data'!J151 + Configuration!$G$2 + 5 &gt;= 'Raw Data'!P151,'Raw Data'!J151 + Configuration!$G$2 - 5 &lt;= 'Raw Data'!P151),"",_xlfn.REGEXEXTRACT(CELL("address",'Raw Data'!P151),"\$([A-Z]+)\$[0-9]+"))))</f>
        <v/>
      </c>
      <c r="Q151" s="7"/>
      <c r="R151" s="7"/>
      <c r="S151" s="7"/>
      <c r="T151" s="7" t="str" cm="1">
        <f t="array" aca="1" ref="T151" ca="1">IF(OR('Raw Data'!T151="",LEN(TRIM('Raw Data'!T151))=0,Validate_Empty!T151&lt;&gt;"",Validate_Value!T151&lt;&gt;""),"",IF(OR(NOT(OR(LEN(TRIM('Raw Data'!B151:X151))&gt;0)),OR('Raw Data'!T151="",LEN(TRIM('Raw Data'!T151))=0)),"",IF('Raw Data'!T151 = SUM('Raw Data'!R151:S151),"",_xlfn.REGEXEXTRACT(CELL("address",'Raw Data'!T151),"\$([A-Z]+)\$[0-9]+"))))</f>
        <v/>
      </c>
      <c r="U151" s="7" t="str" cm="1">
        <f t="array" aca="1" ref="U151" ca="1">IF(OR('Raw Data'!U151="",LEN(TRIM('Raw Data'!U151))=0,Validate_Empty!U151&lt;&gt;"",Validate_Value!U151&lt;&gt;""),"",IF(OR(NOT(OR(LEN(TRIM('Raw Data'!B151:X151))&gt;0)),OR('Raw Data'!T151="",LEN(TRIM('Raw Data'!T151))=0)),"",IF(ISNUMBER(SEARCH('Raw Data'!U151, Configuration!$H$2)),"",_xlfn.REGEXEXTRACT(CELL("address",'Raw Data'!U151),"\$([A-Z]+)\$[0-9]+"))))</f>
        <v/>
      </c>
      <c r="V151" s="7" t="str" cm="1">
        <f t="array" aca="1" ref="V151" ca="1">IF(OR('Raw Data'!V151="",LEN(TRIM('Raw Data'!V151))=0,Validate_Empty!V151&lt;&gt;"",Validate_Value!V151&lt;&gt;""),"",IF(OR(NOT(OR(LEN(TRIM('Raw Data'!B151:X151))&gt;0)),OR('Raw Data'!V151="",LEN(TRIM('Raw Data'!V151))=0)),"",IF('Raw Data'!V151 = Configuration!$I$2,"",_xlfn.REGEXEXTRACT(CELL("address",'Raw Data'!V151),"\$([A-Z]+)\$[0-9]+"))))</f>
        <v/>
      </c>
      <c r="W151" s="7"/>
      <c r="X151" s="7"/>
    </row>
    <row r="152" spans="2:24" x14ac:dyDescent="0.25">
      <c r="B152" s="7"/>
      <c r="C152" s="7" t="str" cm="1">
        <f t="array" aca="1" ref="C152" ca="1">IF(OR('Raw Data'!C152="",LEN(TRIM('Raw Data'!C152))=0,Validate_Empty!C152&lt;&gt;"",Validate_Value!C152&lt;&gt;""),"",IF(OR(NOT(OR(LEN(TRIM('Raw Data'!B152:X152))&gt;0)),OR('Raw Data'!C152="",LEN(TRIM('Raw Data'!C152))=0)),"",IF(OR(AND('Raw Data'!B152="Main Contract", LEFT('Raw Data'!C152, LEN("Payment"))="Payment"),AND('Raw Data'!B152="Change Order", LEFT('Raw Data'!C152, LEN("CO Payment No."))="CO Payment No.")),"",_xlfn.REGEXEXTRACT(CELL("address",'Raw Data'!C152),"\$([A-Z]+)\$[0-9]+"))))</f>
        <v/>
      </c>
      <c r="D152" s="7"/>
      <c r="E152" s="7"/>
      <c r="F152" s="7"/>
      <c r="G152" s="7"/>
      <c r="H152" s="7"/>
      <c r="I152" s="7"/>
      <c r="J152" s="7"/>
      <c r="K152" s="7"/>
      <c r="L152" s="7"/>
      <c r="M152" s="7" t="str" cm="1">
        <f t="array" aca="1" ref="M152" ca="1">IF(OR('Raw Data'!M152="",LEN(TRIM('Raw Data'!M152))=0,Validate_Empty!M152&lt;&gt;"",Validate_Value!M152&lt;&gt;""),"",IF(OR(NOT(OR(LEN(TRIM('Raw Data'!B152:X152))&gt;0)),OR('Raw Data'!M152="",LEN(TRIM('Raw Data'!M152))=0)),"",IF('Raw Data'!M152 = SUM('Raw Data'!K152:L152),"",_xlfn.REGEXEXTRACT(CELL("address",'Raw Data'!M152),"\$([A-Z]+)\$[0-9]+"))))</f>
        <v/>
      </c>
      <c r="N152" s="7"/>
      <c r="O152" s="7"/>
      <c r="P152" s="7" t="str" cm="1">
        <f t="array" aca="1" ref="P152" ca="1">IF(OR('Raw Data'!P152="",LEN(TRIM('Raw Data'!P152))=0,Validate_Empty!P152&lt;&gt;"",Validate_Value!P152&lt;&gt;""),"",IF(OR(NOT(OR(LEN(TRIM('Raw Data'!B152:X152))&gt;0)),OR('Raw Data'!P152="",LEN(TRIM('Raw Data'!P152))=0)),"",IF(AND('Raw Data'!J152 + Configuration!$G$2 + 5 &gt;= 'Raw Data'!P152,'Raw Data'!J152 + Configuration!$G$2 - 5 &lt;= 'Raw Data'!P152),"",_xlfn.REGEXEXTRACT(CELL("address",'Raw Data'!P152),"\$([A-Z]+)\$[0-9]+"))))</f>
        <v/>
      </c>
      <c r="Q152" s="7"/>
      <c r="R152" s="7"/>
      <c r="S152" s="7"/>
      <c r="T152" s="7" t="str" cm="1">
        <f t="array" aca="1" ref="T152" ca="1">IF(OR('Raw Data'!T152="",LEN(TRIM('Raw Data'!T152))=0,Validate_Empty!T152&lt;&gt;"",Validate_Value!T152&lt;&gt;""),"",IF(OR(NOT(OR(LEN(TRIM('Raw Data'!B152:X152))&gt;0)),OR('Raw Data'!T152="",LEN(TRIM('Raw Data'!T152))=0)),"",IF('Raw Data'!T152 = SUM('Raw Data'!R152:S152),"",_xlfn.REGEXEXTRACT(CELL("address",'Raw Data'!T152),"\$([A-Z]+)\$[0-9]+"))))</f>
        <v/>
      </c>
      <c r="U152" s="7" t="str" cm="1">
        <f t="array" aca="1" ref="U152" ca="1">IF(OR('Raw Data'!U152="",LEN(TRIM('Raw Data'!U152))=0,Validate_Empty!U152&lt;&gt;"",Validate_Value!U152&lt;&gt;""),"",IF(OR(NOT(OR(LEN(TRIM('Raw Data'!B152:X152))&gt;0)),OR('Raw Data'!T152="",LEN(TRIM('Raw Data'!T152))=0)),"",IF(ISNUMBER(SEARCH('Raw Data'!U152, Configuration!$H$2)),"",_xlfn.REGEXEXTRACT(CELL("address",'Raw Data'!U152),"\$([A-Z]+)\$[0-9]+"))))</f>
        <v/>
      </c>
      <c r="V152" s="7" t="str" cm="1">
        <f t="array" aca="1" ref="V152" ca="1">IF(OR('Raw Data'!V152="",LEN(TRIM('Raw Data'!V152))=0,Validate_Empty!V152&lt;&gt;"",Validate_Value!V152&lt;&gt;""),"",IF(OR(NOT(OR(LEN(TRIM('Raw Data'!B152:X152))&gt;0)),OR('Raw Data'!V152="",LEN(TRIM('Raw Data'!V152))=0)),"",IF('Raw Data'!V152 = Configuration!$I$2,"",_xlfn.REGEXEXTRACT(CELL("address",'Raw Data'!V152),"\$([A-Z]+)\$[0-9]+"))))</f>
        <v/>
      </c>
      <c r="W152" s="7"/>
      <c r="X152" s="7"/>
    </row>
    <row r="153" spans="2:24" x14ac:dyDescent="0.25">
      <c r="B153" s="7"/>
      <c r="C153" s="7" t="str" cm="1">
        <f t="array" aca="1" ref="C153" ca="1">IF(OR('Raw Data'!C153="",LEN(TRIM('Raw Data'!C153))=0,Validate_Empty!C153&lt;&gt;"",Validate_Value!C153&lt;&gt;""),"",IF(OR(NOT(OR(LEN(TRIM('Raw Data'!B153:X153))&gt;0)),OR('Raw Data'!C153="",LEN(TRIM('Raw Data'!C153))=0)),"",IF(OR(AND('Raw Data'!B153="Main Contract", LEFT('Raw Data'!C153, LEN("Payment"))="Payment"),AND('Raw Data'!B153="Change Order", LEFT('Raw Data'!C153, LEN("CO Payment No."))="CO Payment No.")),"",_xlfn.REGEXEXTRACT(CELL("address",'Raw Data'!C153),"\$([A-Z]+)\$[0-9]+"))))</f>
        <v/>
      </c>
      <c r="D153" s="7"/>
      <c r="E153" s="7"/>
      <c r="F153" s="7"/>
      <c r="G153" s="7"/>
      <c r="H153" s="7"/>
      <c r="I153" s="7"/>
      <c r="J153" s="7"/>
      <c r="K153" s="7"/>
      <c r="L153" s="7"/>
      <c r="M153" s="7" t="str" cm="1">
        <f t="array" aca="1" ref="M153" ca="1">IF(OR('Raw Data'!M153="",LEN(TRIM('Raw Data'!M153))=0,Validate_Empty!M153&lt;&gt;"",Validate_Value!M153&lt;&gt;""),"",IF(OR(NOT(OR(LEN(TRIM('Raw Data'!B153:X153))&gt;0)),OR('Raw Data'!M153="",LEN(TRIM('Raw Data'!M153))=0)),"",IF('Raw Data'!M153 = SUM('Raw Data'!K153:L153),"",_xlfn.REGEXEXTRACT(CELL("address",'Raw Data'!M153),"\$([A-Z]+)\$[0-9]+"))))</f>
        <v/>
      </c>
      <c r="N153" s="7"/>
      <c r="O153" s="7"/>
      <c r="P153" s="7" t="str" cm="1">
        <f t="array" aca="1" ref="P153" ca="1">IF(OR('Raw Data'!P153="",LEN(TRIM('Raw Data'!P153))=0,Validate_Empty!P153&lt;&gt;"",Validate_Value!P153&lt;&gt;""),"",IF(OR(NOT(OR(LEN(TRIM('Raw Data'!B153:X153))&gt;0)),OR('Raw Data'!P153="",LEN(TRIM('Raw Data'!P153))=0)),"",IF(AND('Raw Data'!J153 + Configuration!$G$2 + 5 &gt;= 'Raw Data'!P153,'Raw Data'!J153 + Configuration!$G$2 - 5 &lt;= 'Raw Data'!P153),"",_xlfn.REGEXEXTRACT(CELL("address",'Raw Data'!P153),"\$([A-Z]+)\$[0-9]+"))))</f>
        <v/>
      </c>
      <c r="Q153" s="7"/>
      <c r="R153" s="7"/>
      <c r="S153" s="7"/>
      <c r="T153" s="7" t="str" cm="1">
        <f t="array" aca="1" ref="T153" ca="1">IF(OR('Raw Data'!T153="",LEN(TRIM('Raw Data'!T153))=0,Validate_Empty!T153&lt;&gt;"",Validate_Value!T153&lt;&gt;""),"",IF(OR(NOT(OR(LEN(TRIM('Raw Data'!B153:X153))&gt;0)),OR('Raw Data'!T153="",LEN(TRIM('Raw Data'!T153))=0)),"",IF('Raw Data'!T153 = SUM('Raw Data'!R153:S153),"",_xlfn.REGEXEXTRACT(CELL("address",'Raw Data'!T153),"\$([A-Z]+)\$[0-9]+"))))</f>
        <v/>
      </c>
      <c r="U153" s="7" t="str" cm="1">
        <f t="array" aca="1" ref="U153" ca="1">IF(OR('Raw Data'!U153="",LEN(TRIM('Raw Data'!U153))=0,Validate_Empty!U153&lt;&gt;"",Validate_Value!U153&lt;&gt;""),"",IF(OR(NOT(OR(LEN(TRIM('Raw Data'!B153:X153))&gt;0)),OR('Raw Data'!T153="",LEN(TRIM('Raw Data'!T153))=0)),"",IF(ISNUMBER(SEARCH('Raw Data'!U153, Configuration!$H$2)),"",_xlfn.REGEXEXTRACT(CELL("address",'Raw Data'!U153),"\$([A-Z]+)\$[0-9]+"))))</f>
        <v/>
      </c>
      <c r="V153" s="7" t="str" cm="1">
        <f t="array" aca="1" ref="V153" ca="1">IF(OR('Raw Data'!V153="",LEN(TRIM('Raw Data'!V153))=0,Validate_Empty!V153&lt;&gt;"",Validate_Value!V153&lt;&gt;""),"",IF(OR(NOT(OR(LEN(TRIM('Raw Data'!B153:X153))&gt;0)),OR('Raw Data'!V153="",LEN(TRIM('Raw Data'!V153))=0)),"",IF('Raw Data'!V153 = Configuration!$I$2,"",_xlfn.REGEXEXTRACT(CELL("address",'Raw Data'!V153),"\$([A-Z]+)\$[0-9]+"))))</f>
        <v/>
      </c>
      <c r="W153" s="7"/>
      <c r="X153" s="7"/>
    </row>
    <row r="154" spans="2:24" x14ac:dyDescent="0.25">
      <c r="B154" s="7"/>
      <c r="C154" s="7" t="str" cm="1">
        <f t="array" aca="1" ref="C154" ca="1">IF(OR('Raw Data'!C154="",LEN(TRIM('Raw Data'!C154))=0,Validate_Empty!C154&lt;&gt;"",Validate_Value!C154&lt;&gt;""),"",IF(OR(NOT(OR(LEN(TRIM('Raw Data'!B154:X154))&gt;0)),OR('Raw Data'!C154="",LEN(TRIM('Raw Data'!C154))=0)),"",IF(OR(AND('Raw Data'!B154="Main Contract", LEFT('Raw Data'!C154, LEN("Payment"))="Payment"),AND('Raw Data'!B154="Change Order", LEFT('Raw Data'!C154, LEN("CO Payment No."))="CO Payment No.")),"",_xlfn.REGEXEXTRACT(CELL("address",'Raw Data'!C154),"\$([A-Z]+)\$[0-9]+"))))</f>
        <v/>
      </c>
      <c r="D154" s="7"/>
      <c r="E154" s="7"/>
      <c r="F154" s="7"/>
      <c r="G154" s="7"/>
      <c r="H154" s="7"/>
      <c r="I154" s="7"/>
      <c r="J154" s="7"/>
      <c r="K154" s="7"/>
      <c r="L154" s="7"/>
      <c r="M154" s="7" t="str" cm="1">
        <f t="array" aca="1" ref="M154" ca="1">IF(OR('Raw Data'!M154="",LEN(TRIM('Raw Data'!M154))=0,Validate_Empty!M154&lt;&gt;"",Validate_Value!M154&lt;&gt;""),"",IF(OR(NOT(OR(LEN(TRIM('Raw Data'!B154:X154))&gt;0)),OR('Raw Data'!M154="",LEN(TRIM('Raw Data'!M154))=0)),"",IF('Raw Data'!M154 = SUM('Raw Data'!K154:L154),"",_xlfn.REGEXEXTRACT(CELL("address",'Raw Data'!M154),"\$([A-Z]+)\$[0-9]+"))))</f>
        <v/>
      </c>
      <c r="N154" s="7"/>
      <c r="O154" s="7"/>
      <c r="P154" s="7" t="str" cm="1">
        <f t="array" aca="1" ref="P154" ca="1">IF(OR('Raw Data'!P154="",LEN(TRIM('Raw Data'!P154))=0,Validate_Empty!P154&lt;&gt;"",Validate_Value!P154&lt;&gt;""),"",IF(OR(NOT(OR(LEN(TRIM('Raw Data'!B154:X154))&gt;0)),OR('Raw Data'!P154="",LEN(TRIM('Raw Data'!P154))=0)),"",IF(AND('Raw Data'!J154 + Configuration!$G$2 + 5 &gt;= 'Raw Data'!P154,'Raw Data'!J154 + Configuration!$G$2 - 5 &lt;= 'Raw Data'!P154),"",_xlfn.REGEXEXTRACT(CELL("address",'Raw Data'!P154),"\$([A-Z]+)\$[0-9]+"))))</f>
        <v/>
      </c>
      <c r="Q154" s="7"/>
      <c r="R154" s="7"/>
      <c r="S154" s="7"/>
      <c r="T154" s="7" t="str" cm="1">
        <f t="array" aca="1" ref="T154" ca="1">IF(OR('Raw Data'!T154="",LEN(TRIM('Raw Data'!T154))=0,Validate_Empty!T154&lt;&gt;"",Validate_Value!T154&lt;&gt;""),"",IF(OR(NOT(OR(LEN(TRIM('Raw Data'!B154:X154))&gt;0)),OR('Raw Data'!T154="",LEN(TRIM('Raw Data'!T154))=0)),"",IF('Raw Data'!T154 = SUM('Raw Data'!R154:S154),"",_xlfn.REGEXEXTRACT(CELL("address",'Raw Data'!T154),"\$([A-Z]+)\$[0-9]+"))))</f>
        <v/>
      </c>
      <c r="U154" s="7" t="str" cm="1">
        <f t="array" aca="1" ref="U154" ca="1">IF(OR('Raw Data'!U154="",LEN(TRIM('Raw Data'!U154))=0,Validate_Empty!U154&lt;&gt;"",Validate_Value!U154&lt;&gt;""),"",IF(OR(NOT(OR(LEN(TRIM('Raw Data'!B154:X154))&gt;0)),OR('Raw Data'!T154="",LEN(TRIM('Raw Data'!T154))=0)),"",IF(ISNUMBER(SEARCH('Raw Data'!U154, Configuration!$H$2)),"",_xlfn.REGEXEXTRACT(CELL("address",'Raw Data'!U154),"\$([A-Z]+)\$[0-9]+"))))</f>
        <v/>
      </c>
      <c r="V154" s="7" t="str" cm="1">
        <f t="array" aca="1" ref="V154" ca="1">IF(OR('Raw Data'!V154="",LEN(TRIM('Raw Data'!V154))=0,Validate_Empty!V154&lt;&gt;"",Validate_Value!V154&lt;&gt;""),"",IF(OR(NOT(OR(LEN(TRIM('Raw Data'!B154:X154))&gt;0)),OR('Raw Data'!V154="",LEN(TRIM('Raw Data'!V154))=0)),"",IF('Raw Data'!V154 = Configuration!$I$2,"",_xlfn.REGEXEXTRACT(CELL("address",'Raw Data'!V154),"\$([A-Z]+)\$[0-9]+"))))</f>
        <v/>
      </c>
      <c r="W154" s="7"/>
      <c r="X154" s="7"/>
    </row>
    <row r="155" spans="2:24" x14ac:dyDescent="0.25">
      <c r="B155" s="7"/>
      <c r="C155" s="7" t="str" cm="1">
        <f t="array" aca="1" ref="C155" ca="1">IF(OR('Raw Data'!C155="",LEN(TRIM('Raw Data'!C155))=0,Validate_Empty!C155&lt;&gt;"",Validate_Value!C155&lt;&gt;""),"",IF(OR(NOT(OR(LEN(TRIM('Raw Data'!B155:X155))&gt;0)),OR('Raw Data'!C155="",LEN(TRIM('Raw Data'!C155))=0)),"",IF(OR(AND('Raw Data'!B155="Main Contract", LEFT('Raw Data'!C155, LEN("Payment"))="Payment"),AND('Raw Data'!B155="Change Order", LEFT('Raw Data'!C155, LEN("CO Payment No."))="CO Payment No.")),"",_xlfn.REGEXEXTRACT(CELL("address",'Raw Data'!C155),"\$([A-Z]+)\$[0-9]+"))))</f>
        <v/>
      </c>
      <c r="D155" s="7"/>
      <c r="E155" s="7"/>
      <c r="F155" s="7"/>
      <c r="G155" s="7"/>
      <c r="H155" s="7"/>
      <c r="I155" s="7"/>
      <c r="J155" s="7"/>
      <c r="K155" s="7"/>
      <c r="L155" s="7"/>
      <c r="M155" s="7" t="str" cm="1">
        <f t="array" aca="1" ref="M155" ca="1">IF(OR('Raw Data'!M155="",LEN(TRIM('Raw Data'!M155))=0,Validate_Empty!M155&lt;&gt;"",Validate_Value!M155&lt;&gt;""),"",IF(OR(NOT(OR(LEN(TRIM('Raw Data'!B155:X155))&gt;0)),OR('Raw Data'!M155="",LEN(TRIM('Raw Data'!M155))=0)),"",IF('Raw Data'!M155 = SUM('Raw Data'!K155:L155),"",_xlfn.REGEXEXTRACT(CELL("address",'Raw Data'!M155),"\$([A-Z]+)\$[0-9]+"))))</f>
        <v/>
      </c>
      <c r="N155" s="7"/>
      <c r="O155" s="7"/>
      <c r="P155" s="7" t="str" cm="1">
        <f t="array" aca="1" ref="P155" ca="1">IF(OR('Raw Data'!P155="",LEN(TRIM('Raw Data'!P155))=0,Validate_Empty!P155&lt;&gt;"",Validate_Value!P155&lt;&gt;""),"",IF(OR(NOT(OR(LEN(TRIM('Raw Data'!B155:X155))&gt;0)),OR('Raw Data'!P155="",LEN(TRIM('Raw Data'!P155))=0)),"",IF(AND('Raw Data'!J155 + Configuration!$G$2 + 5 &gt;= 'Raw Data'!P155,'Raw Data'!J155 + Configuration!$G$2 - 5 &lt;= 'Raw Data'!P155),"",_xlfn.REGEXEXTRACT(CELL("address",'Raw Data'!P155),"\$([A-Z]+)\$[0-9]+"))))</f>
        <v/>
      </c>
      <c r="Q155" s="7"/>
      <c r="R155" s="7"/>
      <c r="S155" s="7"/>
      <c r="T155" s="7" t="str" cm="1">
        <f t="array" aca="1" ref="T155" ca="1">IF(OR('Raw Data'!T155="",LEN(TRIM('Raw Data'!T155))=0,Validate_Empty!T155&lt;&gt;"",Validate_Value!T155&lt;&gt;""),"",IF(OR(NOT(OR(LEN(TRIM('Raw Data'!B155:X155))&gt;0)),OR('Raw Data'!T155="",LEN(TRIM('Raw Data'!T155))=0)),"",IF('Raw Data'!T155 = SUM('Raw Data'!R155:S155),"",_xlfn.REGEXEXTRACT(CELL("address",'Raw Data'!T155),"\$([A-Z]+)\$[0-9]+"))))</f>
        <v/>
      </c>
      <c r="U155" s="7" t="str" cm="1">
        <f t="array" aca="1" ref="U155" ca="1">IF(OR('Raw Data'!U155="",LEN(TRIM('Raw Data'!U155))=0,Validate_Empty!U155&lt;&gt;"",Validate_Value!U155&lt;&gt;""),"",IF(OR(NOT(OR(LEN(TRIM('Raw Data'!B155:X155))&gt;0)),OR('Raw Data'!T155="",LEN(TRIM('Raw Data'!T155))=0)),"",IF(ISNUMBER(SEARCH('Raw Data'!U155, Configuration!$H$2)),"",_xlfn.REGEXEXTRACT(CELL("address",'Raw Data'!U155),"\$([A-Z]+)\$[0-9]+"))))</f>
        <v/>
      </c>
      <c r="V155" s="7" t="str" cm="1">
        <f t="array" aca="1" ref="V155" ca="1">IF(OR('Raw Data'!V155="",LEN(TRIM('Raw Data'!V155))=0,Validate_Empty!V155&lt;&gt;"",Validate_Value!V155&lt;&gt;""),"",IF(OR(NOT(OR(LEN(TRIM('Raw Data'!B155:X155))&gt;0)),OR('Raw Data'!V155="",LEN(TRIM('Raw Data'!V155))=0)),"",IF('Raw Data'!V155 = Configuration!$I$2,"",_xlfn.REGEXEXTRACT(CELL("address",'Raw Data'!V155),"\$([A-Z]+)\$[0-9]+"))))</f>
        <v/>
      </c>
      <c r="W155" s="7"/>
      <c r="X155" s="7"/>
    </row>
    <row r="156" spans="2:24" x14ac:dyDescent="0.25">
      <c r="B156" s="7"/>
      <c r="C156" s="7" t="str" cm="1">
        <f t="array" aca="1" ref="C156" ca="1">IF(OR('Raw Data'!C156="",LEN(TRIM('Raw Data'!C156))=0,Validate_Empty!C156&lt;&gt;"",Validate_Value!C156&lt;&gt;""),"",IF(OR(NOT(OR(LEN(TRIM('Raw Data'!B156:X156))&gt;0)),OR('Raw Data'!C156="",LEN(TRIM('Raw Data'!C156))=0)),"",IF(OR(AND('Raw Data'!B156="Main Contract", LEFT('Raw Data'!C156, LEN("Payment"))="Payment"),AND('Raw Data'!B156="Change Order", LEFT('Raw Data'!C156, LEN("CO Payment No."))="CO Payment No.")),"",_xlfn.REGEXEXTRACT(CELL("address",'Raw Data'!C156),"\$([A-Z]+)\$[0-9]+"))))</f>
        <v/>
      </c>
      <c r="D156" s="7"/>
      <c r="E156" s="7"/>
      <c r="F156" s="7"/>
      <c r="G156" s="7"/>
      <c r="H156" s="7"/>
      <c r="I156" s="7"/>
      <c r="J156" s="7"/>
      <c r="K156" s="7"/>
      <c r="L156" s="7"/>
      <c r="M156" s="7" t="str" cm="1">
        <f t="array" aca="1" ref="M156" ca="1">IF(OR('Raw Data'!M156="",LEN(TRIM('Raw Data'!M156))=0,Validate_Empty!M156&lt;&gt;"",Validate_Value!M156&lt;&gt;""),"",IF(OR(NOT(OR(LEN(TRIM('Raw Data'!B156:X156))&gt;0)),OR('Raw Data'!M156="",LEN(TRIM('Raw Data'!M156))=0)),"",IF('Raw Data'!M156 = SUM('Raw Data'!K156:L156),"",_xlfn.REGEXEXTRACT(CELL("address",'Raw Data'!M156),"\$([A-Z]+)\$[0-9]+"))))</f>
        <v/>
      </c>
      <c r="N156" s="7"/>
      <c r="O156" s="7"/>
      <c r="P156" s="7" t="str" cm="1">
        <f t="array" aca="1" ref="P156" ca="1">IF(OR('Raw Data'!P156="",LEN(TRIM('Raw Data'!P156))=0,Validate_Empty!P156&lt;&gt;"",Validate_Value!P156&lt;&gt;""),"",IF(OR(NOT(OR(LEN(TRIM('Raw Data'!B156:X156))&gt;0)),OR('Raw Data'!P156="",LEN(TRIM('Raw Data'!P156))=0)),"",IF(AND('Raw Data'!J156 + Configuration!$G$2 + 5 &gt;= 'Raw Data'!P156,'Raw Data'!J156 + Configuration!$G$2 - 5 &lt;= 'Raw Data'!P156),"",_xlfn.REGEXEXTRACT(CELL("address",'Raw Data'!P156),"\$([A-Z]+)\$[0-9]+"))))</f>
        <v/>
      </c>
      <c r="Q156" s="7"/>
      <c r="R156" s="7"/>
      <c r="S156" s="7"/>
      <c r="T156" s="7" t="str" cm="1">
        <f t="array" aca="1" ref="T156" ca="1">IF(OR('Raw Data'!T156="",LEN(TRIM('Raw Data'!T156))=0,Validate_Empty!T156&lt;&gt;"",Validate_Value!T156&lt;&gt;""),"",IF(OR(NOT(OR(LEN(TRIM('Raw Data'!B156:X156))&gt;0)),OR('Raw Data'!T156="",LEN(TRIM('Raw Data'!T156))=0)),"",IF('Raw Data'!T156 = SUM('Raw Data'!R156:S156),"",_xlfn.REGEXEXTRACT(CELL("address",'Raw Data'!T156),"\$([A-Z]+)\$[0-9]+"))))</f>
        <v/>
      </c>
      <c r="U156" s="7" t="str" cm="1">
        <f t="array" aca="1" ref="U156" ca="1">IF(OR('Raw Data'!U156="",LEN(TRIM('Raw Data'!U156))=0,Validate_Empty!U156&lt;&gt;"",Validate_Value!U156&lt;&gt;""),"",IF(OR(NOT(OR(LEN(TRIM('Raw Data'!B156:X156))&gt;0)),OR('Raw Data'!T156="",LEN(TRIM('Raw Data'!T156))=0)),"",IF(ISNUMBER(SEARCH('Raw Data'!U156, Configuration!$H$2)),"",_xlfn.REGEXEXTRACT(CELL("address",'Raw Data'!U156),"\$([A-Z]+)\$[0-9]+"))))</f>
        <v/>
      </c>
      <c r="V156" s="7" t="str" cm="1">
        <f t="array" aca="1" ref="V156" ca="1">IF(OR('Raw Data'!V156="",LEN(TRIM('Raw Data'!V156))=0,Validate_Empty!V156&lt;&gt;"",Validate_Value!V156&lt;&gt;""),"",IF(OR(NOT(OR(LEN(TRIM('Raw Data'!B156:X156))&gt;0)),OR('Raw Data'!V156="",LEN(TRIM('Raw Data'!V156))=0)),"",IF('Raw Data'!V156 = Configuration!$I$2,"",_xlfn.REGEXEXTRACT(CELL("address",'Raw Data'!V156),"\$([A-Z]+)\$[0-9]+"))))</f>
        <v/>
      </c>
      <c r="W156" s="7"/>
      <c r="X156" s="7"/>
    </row>
    <row r="157" spans="2:24" x14ac:dyDescent="0.25">
      <c r="B157" s="7"/>
      <c r="C157" s="7" t="str" cm="1">
        <f t="array" aca="1" ref="C157" ca="1">IF(OR('Raw Data'!C157="",LEN(TRIM('Raw Data'!C157))=0,Validate_Empty!C157&lt;&gt;"",Validate_Value!C157&lt;&gt;""),"",IF(OR(NOT(OR(LEN(TRIM('Raw Data'!B157:X157))&gt;0)),OR('Raw Data'!C157="",LEN(TRIM('Raw Data'!C157))=0)),"",IF(OR(AND('Raw Data'!B157="Main Contract", LEFT('Raw Data'!C157, LEN("Payment"))="Payment"),AND('Raw Data'!B157="Change Order", LEFT('Raw Data'!C157, LEN("CO Payment No."))="CO Payment No.")),"",_xlfn.REGEXEXTRACT(CELL("address",'Raw Data'!C157),"\$([A-Z]+)\$[0-9]+"))))</f>
        <v/>
      </c>
      <c r="D157" s="7"/>
      <c r="E157" s="7"/>
      <c r="F157" s="7"/>
      <c r="G157" s="7"/>
      <c r="H157" s="7"/>
      <c r="I157" s="7"/>
      <c r="J157" s="7"/>
      <c r="K157" s="7"/>
      <c r="L157" s="7"/>
      <c r="M157" s="7" t="str" cm="1">
        <f t="array" aca="1" ref="M157" ca="1">IF(OR('Raw Data'!M157="",LEN(TRIM('Raw Data'!M157))=0,Validate_Empty!M157&lt;&gt;"",Validate_Value!M157&lt;&gt;""),"",IF(OR(NOT(OR(LEN(TRIM('Raw Data'!B157:X157))&gt;0)),OR('Raw Data'!M157="",LEN(TRIM('Raw Data'!M157))=0)),"",IF('Raw Data'!M157 = SUM('Raw Data'!K157:L157),"",_xlfn.REGEXEXTRACT(CELL("address",'Raw Data'!M157),"\$([A-Z]+)\$[0-9]+"))))</f>
        <v/>
      </c>
      <c r="N157" s="7"/>
      <c r="O157" s="7"/>
      <c r="P157" s="7" t="str" cm="1">
        <f t="array" aca="1" ref="P157" ca="1">IF(OR('Raw Data'!P157="",LEN(TRIM('Raw Data'!P157))=0,Validate_Empty!P157&lt;&gt;"",Validate_Value!P157&lt;&gt;""),"",IF(OR(NOT(OR(LEN(TRIM('Raw Data'!B157:X157))&gt;0)),OR('Raw Data'!P157="",LEN(TRIM('Raw Data'!P157))=0)),"",IF(AND('Raw Data'!J157 + Configuration!$G$2 + 5 &gt;= 'Raw Data'!P157,'Raw Data'!J157 + Configuration!$G$2 - 5 &lt;= 'Raw Data'!P157),"",_xlfn.REGEXEXTRACT(CELL("address",'Raw Data'!P157),"\$([A-Z]+)\$[0-9]+"))))</f>
        <v/>
      </c>
      <c r="Q157" s="7"/>
      <c r="R157" s="7"/>
      <c r="S157" s="7"/>
      <c r="T157" s="7" t="str" cm="1">
        <f t="array" aca="1" ref="T157" ca="1">IF(OR('Raw Data'!T157="",LEN(TRIM('Raw Data'!T157))=0,Validate_Empty!T157&lt;&gt;"",Validate_Value!T157&lt;&gt;""),"",IF(OR(NOT(OR(LEN(TRIM('Raw Data'!B157:X157))&gt;0)),OR('Raw Data'!T157="",LEN(TRIM('Raw Data'!T157))=0)),"",IF('Raw Data'!T157 = SUM('Raw Data'!R157:S157),"",_xlfn.REGEXEXTRACT(CELL("address",'Raw Data'!T157),"\$([A-Z]+)\$[0-9]+"))))</f>
        <v/>
      </c>
      <c r="U157" s="7" t="str" cm="1">
        <f t="array" aca="1" ref="U157" ca="1">IF(OR('Raw Data'!U157="",LEN(TRIM('Raw Data'!U157))=0,Validate_Empty!U157&lt;&gt;"",Validate_Value!U157&lt;&gt;""),"",IF(OR(NOT(OR(LEN(TRIM('Raw Data'!B157:X157))&gt;0)),OR('Raw Data'!T157="",LEN(TRIM('Raw Data'!T157))=0)),"",IF(ISNUMBER(SEARCH('Raw Data'!U157, Configuration!$H$2)),"",_xlfn.REGEXEXTRACT(CELL("address",'Raw Data'!U157),"\$([A-Z]+)\$[0-9]+"))))</f>
        <v/>
      </c>
      <c r="V157" s="7" t="str" cm="1">
        <f t="array" aca="1" ref="V157" ca="1">IF(OR('Raw Data'!V157="",LEN(TRIM('Raw Data'!V157))=0,Validate_Empty!V157&lt;&gt;"",Validate_Value!V157&lt;&gt;""),"",IF(OR(NOT(OR(LEN(TRIM('Raw Data'!B157:X157))&gt;0)),OR('Raw Data'!V157="",LEN(TRIM('Raw Data'!V157))=0)),"",IF('Raw Data'!V157 = Configuration!$I$2,"",_xlfn.REGEXEXTRACT(CELL("address",'Raw Data'!V157),"\$([A-Z]+)\$[0-9]+"))))</f>
        <v/>
      </c>
      <c r="W157" s="7"/>
      <c r="X157" s="7"/>
    </row>
    <row r="158" spans="2:24" x14ac:dyDescent="0.25">
      <c r="B158" s="7"/>
      <c r="C158" s="7" t="str" cm="1">
        <f t="array" aca="1" ref="C158" ca="1">IF(OR('Raw Data'!C158="",LEN(TRIM('Raw Data'!C158))=0,Validate_Empty!C158&lt;&gt;"",Validate_Value!C158&lt;&gt;""),"",IF(OR(NOT(OR(LEN(TRIM('Raw Data'!B158:X158))&gt;0)),OR('Raw Data'!C158="",LEN(TRIM('Raw Data'!C158))=0)),"",IF(OR(AND('Raw Data'!B158="Main Contract", LEFT('Raw Data'!C158, LEN("Payment"))="Payment"),AND('Raw Data'!B158="Change Order", LEFT('Raw Data'!C158, LEN("CO Payment No."))="CO Payment No.")),"",_xlfn.REGEXEXTRACT(CELL("address",'Raw Data'!C158),"\$([A-Z]+)\$[0-9]+"))))</f>
        <v/>
      </c>
      <c r="D158" s="7"/>
      <c r="E158" s="7"/>
      <c r="F158" s="7"/>
      <c r="G158" s="7"/>
      <c r="H158" s="7"/>
      <c r="I158" s="7"/>
      <c r="J158" s="7"/>
      <c r="K158" s="7"/>
      <c r="L158" s="7"/>
      <c r="M158" s="7" t="str" cm="1">
        <f t="array" aca="1" ref="M158" ca="1">IF(OR('Raw Data'!M158="",LEN(TRIM('Raw Data'!M158))=0,Validate_Empty!M158&lt;&gt;"",Validate_Value!M158&lt;&gt;""),"",IF(OR(NOT(OR(LEN(TRIM('Raw Data'!B158:X158))&gt;0)),OR('Raw Data'!M158="",LEN(TRIM('Raw Data'!M158))=0)),"",IF('Raw Data'!M158 = SUM('Raw Data'!K158:L158),"",_xlfn.REGEXEXTRACT(CELL("address",'Raw Data'!M158),"\$([A-Z]+)\$[0-9]+"))))</f>
        <v/>
      </c>
      <c r="N158" s="7"/>
      <c r="O158" s="7"/>
      <c r="P158" s="7" t="str" cm="1">
        <f t="array" aca="1" ref="P158" ca="1">IF(OR('Raw Data'!P158="",LEN(TRIM('Raw Data'!P158))=0,Validate_Empty!P158&lt;&gt;"",Validate_Value!P158&lt;&gt;""),"",IF(OR(NOT(OR(LEN(TRIM('Raw Data'!B158:X158))&gt;0)),OR('Raw Data'!P158="",LEN(TRIM('Raw Data'!P158))=0)),"",IF(AND('Raw Data'!J158 + Configuration!$G$2 + 5 &gt;= 'Raw Data'!P158,'Raw Data'!J158 + Configuration!$G$2 - 5 &lt;= 'Raw Data'!P158),"",_xlfn.REGEXEXTRACT(CELL("address",'Raw Data'!P158),"\$([A-Z]+)\$[0-9]+"))))</f>
        <v/>
      </c>
      <c r="Q158" s="7"/>
      <c r="R158" s="7"/>
      <c r="S158" s="7"/>
      <c r="T158" s="7" t="str" cm="1">
        <f t="array" aca="1" ref="T158" ca="1">IF(OR('Raw Data'!T158="",LEN(TRIM('Raw Data'!T158))=0,Validate_Empty!T158&lt;&gt;"",Validate_Value!T158&lt;&gt;""),"",IF(OR(NOT(OR(LEN(TRIM('Raw Data'!B158:X158))&gt;0)),OR('Raw Data'!T158="",LEN(TRIM('Raw Data'!T158))=0)),"",IF('Raw Data'!T158 = SUM('Raw Data'!R158:S158),"",_xlfn.REGEXEXTRACT(CELL("address",'Raw Data'!T158),"\$([A-Z]+)\$[0-9]+"))))</f>
        <v/>
      </c>
      <c r="U158" s="7" t="str" cm="1">
        <f t="array" aca="1" ref="U158" ca="1">IF(OR('Raw Data'!U158="",LEN(TRIM('Raw Data'!U158))=0,Validate_Empty!U158&lt;&gt;"",Validate_Value!U158&lt;&gt;""),"",IF(OR(NOT(OR(LEN(TRIM('Raw Data'!B158:X158))&gt;0)),OR('Raw Data'!T158="",LEN(TRIM('Raw Data'!T158))=0)),"",IF(ISNUMBER(SEARCH('Raw Data'!U158, Configuration!$H$2)),"",_xlfn.REGEXEXTRACT(CELL("address",'Raw Data'!U158),"\$([A-Z]+)\$[0-9]+"))))</f>
        <v/>
      </c>
      <c r="V158" s="7" t="str" cm="1">
        <f t="array" aca="1" ref="V158" ca="1">IF(OR('Raw Data'!V158="",LEN(TRIM('Raw Data'!V158))=0,Validate_Empty!V158&lt;&gt;"",Validate_Value!V158&lt;&gt;""),"",IF(OR(NOT(OR(LEN(TRIM('Raw Data'!B158:X158))&gt;0)),OR('Raw Data'!V158="",LEN(TRIM('Raw Data'!V158))=0)),"",IF('Raw Data'!V158 = Configuration!$I$2,"",_xlfn.REGEXEXTRACT(CELL("address",'Raw Data'!V158),"\$([A-Z]+)\$[0-9]+"))))</f>
        <v/>
      </c>
      <c r="W158" s="7"/>
      <c r="X158" s="7"/>
    </row>
    <row r="159" spans="2:24" x14ac:dyDescent="0.25">
      <c r="B159" s="7"/>
      <c r="C159" s="7" t="str" cm="1">
        <f t="array" aca="1" ref="C159" ca="1">IF(OR('Raw Data'!C159="",LEN(TRIM('Raw Data'!C159))=0,Validate_Empty!C159&lt;&gt;"",Validate_Value!C159&lt;&gt;""),"",IF(OR(NOT(OR(LEN(TRIM('Raw Data'!B159:X159))&gt;0)),OR('Raw Data'!C159="",LEN(TRIM('Raw Data'!C159))=0)),"",IF(OR(AND('Raw Data'!B159="Main Contract", LEFT('Raw Data'!C159, LEN("Payment"))="Payment"),AND('Raw Data'!B159="Change Order", LEFT('Raw Data'!C159, LEN("CO Payment No."))="CO Payment No.")),"",_xlfn.REGEXEXTRACT(CELL("address",'Raw Data'!C159),"\$([A-Z]+)\$[0-9]+"))))</f>
        <v/>
      </c>
      <c r="D159" s="7"/>
      <c r="E159" s="7"/>
      <c r="F159" s="7"/>
      <c r="G159" s="7"/>
      <c r="H159" s="7"/>
      <c r="I159" s="7"/>
      <c r="J159" s="7"/>
      <c r="K159" s="7"/>
      <c r="L159" s="7"/>
      <c r="M159" s="7" t="str" cm="1">
        <f t="array" aca="1" ref="M159" ca="1">IF(OR('Raw Data'!M159="",LEN(TRIM('Raw Data'!M159))=0,Validate_Empty!M159&lt;&gt;"",Validate_Value!M159&lt;&gt;""),"",IF(OR(NOT(OR(LEN(TRIM('Raw Data'!B159:X159))&gt;0)),OR('Raw Data'!M159="",LEN(TRIM('Raw Data'!M159))=0)),"",IF('Raw Data'!M159 = SUM('Raw Data'!K159:L159),"",_xlfn.REGEXEXTRACT(CELL("address",'Raw Data'!M159),"\$([A-Z]+)\$[0-9]+"))))</f>
        <v/>
      </c>
      <c r="N159" s="7"/>
      <c r="O159" s="7"/>
      <c r="P159" s="7" t="str" cm="1">
        <f t="array" aca="1" ref="P159" ca="1">IF(OR('Raw Data'!P159="",LEN(TRIM('Raw Data'!P159))=0,Validate_Empty!P159&lt;&gt;"",Validate_Value!P159&lt;&gt;""),"",IF(OR(NOT(OR(LEN(TRIM('Raw Data'!B159:X159))&gt;0)),OR('Raw Data'!P159="",LEN(TRIM('Raw Data'!P159))=0)),"",IF(AND('Raw Data'!J159 + Configuration!$G$2 + 5 &gt;= 'Raw Data'!P159,'Raw Data'!J159 + Configuration!$G$2 - 5 &lt;= 'Raw Data'!P159),"",_xlfn.REGEXEXTRACT(CELL("address",'Raw Data'!P159),"\$([A-Z]+)\$[0-9]+"))))</f>
        <v/>
      </c>
      <c r="Q159" s="7"/>
      <c r="R159" s="7"/>
      <c r="S159" s="7"/>
      <c r="T159" s="7" t="str" cm="1">
        <f t="array" aca="1" ref="T159" ca="1">IF(OR('Raw Data'!T159="",LEN(TRIM('Raw Data'!T159))=0,Validate_Empty!T159&lt;&gt;"",Validate_Value!T159&lt;&gt;""),"",IF(OR(NOT(OR(LEN(TRIM('Raw Data'!B159:X159))&gt;0)),OR('Raw Data'!T159="",LEN(TRIM('Raw Data'!T159))=0)),"",IF('Raw Data'!T159 = SUM('Raw Data'!R159:S159),"",_xlfn.REGEXEXTRACT(CELL("address",'Raw Data'!T159),"\$([A-Z]+)\$[0-9]+"))))</f>
        <v/>
      </c>
      <c r="U159" s="7" t="str" cm="1">
        <f t="array" aca="1" ref="U159" ca="1">IF(OR('Raw Data'!U159="",LEN(TRIM('Raw Data'!U159))=0,Validate_Empty!U159&lt;&gt;"",Validate_Value!U159&lt;&gt;""),"",IF(OR(NOT(OR(LEN(TRIM('Raw Data'!B159:X159))&gt;0)),OR('Raw Data'!T159="",LEN(TRIM('Raw Data'!T159))=0)),"",IF(ISNUMBER(SEARCH('Raw Data'!U159, Configuration!$H$2)),"",_xlfn.REGEXEXTRACT(CELL("address",'Raw Data'!U159),"\$([A-Z]+)\$[0-9]+"))))</f>
        <v/>
      </c>
      <c r="V159" s="7" t="str" cm="1">
        <f t="array" aca="1" ref="V159" ca="1">IF(OR('Raw Data'!V159="",LEN(TRIM('Raw Data'!V159))=0,Validate_Empty!V159&lt;&gt;"",Validate_Value!V159&lt;&gt;""),"",IF(OR(NOT(OR(LEN(TRIM('Raw Data'!B159:X159))&gt;0)),OR('Raw Data'!V159="",LEN(TRIM('Raw Data'!V159))=0)),"",IF('Raw Data'!V159 = Configuration!$I$2,"",_xlfn.REGEXEXTRACT(CELL("address",'Raw Data'!V159),"\$([A-Z]+)\$[0-9]+"))))</f>
        <v/>
      </c>
      <c r="W159" s="7"/>
      <c r="X159" s="7"/>
    </row>
    <row r="160" spans="2:24" x14ac:dyDescent="0.25">
      <c r="B160" s="7"/>
      <c r="C160" s="7" t="str" cm="1">
        <f t="array" aca="1" ref="C160" ca="1">IF(OR('Raw Data'!C160="",LEN(TRIM('Raw Data'!C160))=0,Validate_Empty!C160&lt;&gt;"",Validate_Value!C160&lt;&gt;""),"",IF(OR(NOT(OR(LEN(TRIM('Raw Data'!B160:X160))&gt;0)),OR('Raw Data'!C160="",LEN(TRIM('Raw Data'!C160))=0)),"",IF(OR(AND('Raw Data'!B160="Main Contract", LEFT('Raw Data'!C160, LEN("Payment"))="Payment"),AND('Raw Data'!B160="Change Order", LEFT('Raw Data'!C160, LEN("CO Payment No."))="CO Payment No.")),"",_xlfn.REGEXEXTRACT(CELL("address",'Raw Data'!C160),"\$([A-Z]+)\$[0-9]+"))))</f>
        <v/>
      </c>
      <c r="D160" s="7"/>
      <c r="E160" s="7"/>
      <c r="F160" s="7"/>
      <c r="G160" s="7"/>
      <c r="H160" s="7"/>
      <c r="I160" s="7"/>
      <c r="J160" s="7"/>
      <c r="K160" s="7"/>
      <c r="L160" s="7"/>
      <c r="M160" s="7" t="str" cm="1">
        <f t="array" aca="1" ref="M160" ca="1">IF(OR('Raw Data'!M160="",LEN(TRIM('Raw Data'!M160))=0,Validate_Empty!M160&lt;&gt;"",Validate_Value!M160&lt;&gt;""),"",IF(OR(NOT(OR(LEN(TRIM('Raw Data'!B160:X160))&gt;0)),OR('Raw Data'!M160="",LEN(TRIM('Raw Data'!M160))=0)),"",IF('Raw Data'!M160 = SUM('Raw Data'!K160:L160),"",_xlfn.REGEXEXTRACT(CELL("address",'Raw Data'!M160),"\$([A-Z]+)\$[0-9]+"))))</f>
        <v/>
      </c>
      <c r="N160" s="7"/>
      <c r="O160" s="7"/>
      <c r="P160" s="7" t="str" cm="1">
        <f t="array" aca="1" ref="P160" ca="1">IF(OR('Raw Data'!P160="",LEN(TRIM('Raw Data'!P160))=0,Validate_Empty!P160&lt;&gt;"",Validate_Value!P160&lt;&gt;""),"",IF(OR(NOT(OR(LEN(TRIM('Raw Data'!B160:X160))&gt;0)),OR('Raw Data'!P160="",LEN(TRIM('Raw Data'!P160))=0)),"",IF(AND('Raw Data'!J160 + Configuration!$G$2 + 5 &gt;= 'Raw Data'!P160,'Raw Data'!J160 + Configuration!$G$2 - 5 &lt;= 'Raw Data'!P160),"",_xlfn.REGEXEXTRACT(CELL("address",'Raw Data'!P160),"\$([A-Z]+)\$[0-9]+"))))</f>
        <v/>
      </c>
      <c r="Q160" s="7"/>
      <c r="R160" s="7"/>
      <c r="S160" s="7"/>
      <c r="T160" s="7" t="str" cm="1">
        <f t="array" aca="1" ref="T160" ca="1">IF(OR('Raw Data'!T160="",LEN(TRIM('Raw Data'!T160))=0,Validate_Empty!T160&lt;&gt;"",Validate_Value!T160&lt;&gt;""),"",IF(OR(NOT(OR(LEN(TRIM('Raw Data'!B160:X160))&gt;0)),OR('Raw Data'!T160="",LEN(TRIM('Raw Data'!T160))=0)),"",IF('Raw Data'!T160 = SUM('Raw Data'!R160:S160),"",_xlfn.REGEXEXTRACT(CELL("address",'Raw Data'!T160),"\$([A-Z]+)\$[0-9]+"))))</f>
        <v/>
      </c>
      <c r="U160" s="7" t="str" cm="1">
        <f t="array" aca="1" ref="U160" ca="1">IF(OR('Raw Data'!U160="",LEN(TRIM('Raw Data'!U160))=0,Validate_Empty!U160&lt;&gt;"",Validate_Value!U160&lt;&gt;""),"",IF(OR(NOT(OR(LEN(TRIM('Raw Data'!B160:X160))&gt;0)),OR('Raw Data'!T160="",LEN(TRIM('Raw Data'!T160))=0)),"",IF(ISNUMBER(SEARCH('Raw Data'!U160, Configuration!$H$2)),"",_xlfn.REGEXEXTRACT(CELL("address",'Raw Data'!U160),"\$([A-Z]+)\$[0-9]+"))))</f>
        <v/>
      </c>
      <c r="V160" s="7" t="str" cm="1">
        <f t="array" aca="1" ref="V160" ca="1">IF(OR('Raw Data'!V160="",LEN(TRIM('Raw Data'!V160))=0,Validate_Empty!V160&lt;&gt;"",Validate_Value!V160&lt;&gt;""),"",IF(OR(NOT(OR(LEN(TRIM('Raw Data'!B160:X160))&gt;0)),OR('Raw Data'!V160="",LEN(TRIM('Raw Data'!V160))=0)),"",IF('Raw Data'!V160 = Configuration!$I$2,"",_xlfn.REGEXEXTRACT(CELL("address",'Raw Data'!V160),"\$([A-Z]+)\$[0-9]+"))))</f>
        <v/>
      </c>
      <c r="W160" s="7"/>
      <c r="X160" s="7"/>
    </row>
    <row r="161" spans="2:24" x14ac:dyDescent="0.25">
      <c r="B161" s="7"/>
      <c r="C161" s="7" t="str" cm="1">
        <f t="array" aca="1" ref="C161" ca="1">IF(OR('Raw Data'!C161="",LEN(TRIM('Raw Data'!C161))=0,Validate_Empty!C161&lt;&gt;"",Validate_Value!C161&lt;&gt;""),"",IF(OR(NOT(OR(LEN(TRIM('Raw Data'!B161:X161))&gt;0)),OR('Raw Data'!C161="",LEN(TRIM('Raw Data'!C161))=0)),"",IF(OR(AND('Raw Data'!B161="Main Contract", LEFT('Raw Data'!C161, LEN("Payment"))="Payment"),AND('Raw Data'!B161="Change Order", LEFT('Raw Data'!C161, LEN("CO Payment No."))="CO Payment No.")),"",_xlfn.REGEXEXTRACT(CELL("address",'Raw Data'!C161),"\$([A-Z]+)\$[0-9]+"))))</f>
        <v/>
      </c>
      <c r="D161" s="7"/>
      <c r="E161" s="7"/>
      <c r="F161" s="7"/>
      <c r="G161" s="7"/>
      <c r="H161" s="7"/>
      <c r="I161" s="7"/>
      <c r="J161" s="7"/>
      <c r="K161" s="7"/>
      <c r="L161" s="7"/>
      <c r="M161" s="7" t="str" cm="1">
        <f t="array" aca="1" ref="M161" ca="1">IF(OR('Raw Data'!M161="",LEN(TRIM('Raw Data'!M161))=0,Validate_Empty!M161&lt;&gt;"",Validate_Value!M161&lt;&gt;""),"",IF(OR(NOT(OR(LEN(TRIM('Raw Data'!B161:X161))&gt;0)),OR('Raw Data'!M161="",LEN(TRIM('Raw Data'!M161))=0)),"",IF('Raw Data'!M161 = SUM('Raw Data'!K161:L161),"",_xlfn.REGEXEXTRACT(CELL("address",'Raw Data'!M161),"\$([A-Z]+)\$[0-9]+"))))</f>
        <v/>
      </c>
      <c r="N161" s="7"/>
      <c r="O161" s="7"/>
      <c r="P161" s="7" t="str" cm="1">
        <f t="array" aca="1" ref="P161" ca="1">IF(OR('Raw Data'!P161="",LEN(TRIM('Raw Data'!P161))=0,Validate_Empty!P161&lt;&gt;"",Validate_Value!P161&lt;&gt;""),"",IF(OR(NOT(OR(LEN(TRIM('Raw Data'!B161:X161))&gt;0)),OR('Raw Data'!P161="",LEN(TRIM('Raw Data'!P161))=0)),"",IF(AND('Raw Data'!J161 + Configuration!$G$2 + 5 &gt;= 'Raw Data'!P161,'Raw Data'!J161 + Configuration!$G$2 - 5 &lt;= 'Raw Data'!P161),"",_xlfn.REGEXEXTRACT(CELL("address",'Raw Data'!P161),"\$([A-Z]+)\$[0-9]+"))))</f>
        <v/>
      </c>
      <c r="Q161" s="7"/>
      <c r="R161" s="7"/>
      <c r="S161" s="7"/>
      <c r="T161" s="7" t="str" cm="1">
        <f t="array" aca="1" ref="T161" ca="1">IF(OR('Raw Data'!T161="",LEN(TRIM('Raw Data'!T161))=0,Validate_Empty!T161&lt;&gt;"",Validate_Value!T161&lt;&gt;""),"",IF(OR(NOT(OR(LEN(TRIM('Raw Data'!B161:X161))&gt;0)),OR('Raw Data'!T161="",LEN(TRIM('Raw Data'!T161))=0)),"",IF('Raw Data'!T161 = SUM('Raw Data'!R161:S161),"",_xlfn.REGEXEXTRACT(CELL("address",'Raw Data'!T161),"\$([A-Z]+)\$[0-9]+"))))</f>
        <v/>
      </c>
      <c r="U161" s="7" t="str" cm="1">
        <f t="array" aca="1" ref="U161" ca="1">IF(OR('Raw Data'!U161="",LEN(TRIM('Raw Data'!U161))=0,Validate_Empty!U161&lt;&gt;"",Validate_Value!U161&lt;&gt;""),"",IF(OR(NOT(OR(LEN(TRIM('Raw Data'!B161:X161))&gt;0)),OR('Raw Data'!T161="",LEN(TRIM('Raw Data'!T161))=0)),"",IF(ISNUMBER(SEARCH('Raw Data'!U161, Configuration!$H$2)),"",_xlfn.REGEXEXTRACT(CELL("address",'Raw Data'!U161),"\$([A-Z]+)\$[0-9]+"))))</f>
        <v/>
      </c>
      <c r="V161" s="7" t="str" cm="1">
        <f t="array" aca="1" ref="V161" ca="1">IF(OR('Raw Data'!V161="",LEN(TRIM('Raw Data'!V161))=0,Validate_Empty!V161&lt;&gt;"",Validate_Value!V161&lt;&gt;""),"",IF(OR(NOT(OR(LEN(TRIM('Raw Data'!B161:X161))&gt;0)),OR('Raw Data'!V161="",LEN(TRIM('Raw Data'!V161))=0)),"",IF('Raw Data'!V161 = Configuration!$I$2,"",_xlfn.REGEXEXTRACT(CELL("address",'Raw Data'!V161),"\$([A-Z]+)\$[0-9]+"))))</f>
        <v/>
      </c>
      <c r="W161" s="7"/>
      <c r="X161" s="7"/>
    </row>
    <row r="162" spans="2:24" x14ac:dyDescent="0.25">
      <c r="B162" s="7"/>
      <c r="C162" s="7" t="str" cm="1">
        <f t="array" aca="1" ref="C162" ca="1">IF(OR('Raw Data'!C162="",LEN(TRIM('Raw Data'!C162))=0,Validate_Empty!C162&lt;&gt;"",Validate_Value!C162&lt;&gt;""),"",IF(OR(NOT(OR(LEN(TRIM('Raw Data'!B162:X162))&gt;0)),OR('Raw Data'!C162="",LEN(TRIM('Raw Data'!C162))=0)),"",IF(OR(AND('Raw Data'!B162="Main Contract", LEFT('Raw Data'!C162, LEN("Payment"))="Payment"),AND('Raw Data'!B162="Change Order", LEFT('Raw Data'!C162, LEN("CO Payment No."))="CO Payment No.")),"",_xlfn.REGEXEXTRACT(CELL("address",'Raw Data'!C162),"\$([A-Z]+)\$[0-9]+"))))</f>
        <v/>
      </c>
      <c r="D162" s="7"/>
      <c r="E162" s="7"/>
      <c r="F162" s="7"/>
      <c r="G162" s="7"/>
      <c r="H162" s="7"/>
      <c r="I162" s="7"/>
      <c r="J162" s="7"/>
      <c r="K162" s="7"/>
      <c r="L162" s="7"/>
      <c r="M162" s="7" t="str" cm="1">
        <f t="array" aca="1" ref="M162" ca="1">IF(OR('Raw Data'!M162="",LEN(TRIM('Raw Data'!M162))=0,Validate_Empty!M162&lt;&gt;"",Validate_Value!M162&lt;&gt;""),"",IF(OR(NOT(OR(LEN(TRIM('Raw Data'!B162:X162))&gt;0)),OR('Raw Data'!M162="",LEN(TRIM('Raw Data'!M162))=0)),"",IF('Raw Data'!M162 = SUM('Raw Data'!K162:L162),"",_xlfn.REGEXEXTRACT(CELL("address",'Raw Data'!M162),"\$([A-Z]+)\$[0-9]+"))))</f>
        <v/>
      </c>
      <c r="N162" s="7"/>
      <c r="O162" s="7"/>
      <c r="P162" s="7" t="str" cm="1">
        <f t="array" aca="1" ref="P162" ca="1">IF(OR('Raw Data'!P162="",LEN(TRIM('Raw Data'!P162))=0,Validate_Empty!P162&lt;&gt;"",Validate_Value!P162&lt;&gt;""),"",IF(OR(NOT(OR(LEN(TRIM('Raw Data'!B162:X162))&gt;0)),OR('Raw Data'!P162="",LEN(TRIM('Raw Data'!P162))=0)),"",IF(AND('Raw Data'!J162 + Configuration!$G$2 + 5 &gt;= 'Raw Data'!P162,'Raw Data'!J162 + Configuration!$G$2 - 5 &lt;= 'Raw Data'!P162),"",_xlfn.REGEXEXTRACT(CELL("address",'Raw Data'!P162),"\$([A-Z]+)\$[0-9]+"))))</f>
        <v/>
      </c>
      <c r="Q162" s="7"/>
      <c r="R162" s="7"/>
      <c r="S162" s="7"/>
      <c r="T162" s="7" t="str" cm="1">
        <f t="array" aca="1" ref="T162" ca="1">IF(OR('Raw Data'!T162="",LEN(TRIM('Raw Data'!T162))=0,Validate_Empty!T162&lt;&gt;"",Validate_Value!T162&lt;&gt;""),"",IF(OR(NOT(OR(LEN(TRIM('Raw Data'!B162:X162))&gt;0)),OR('Raw Data'!T162="",LEN(TRIM('Raw Data'!T162))=0)),"",IF('Raw Data'!T162 = SUM('Raw Data'!R162:S162),"",_xlfn.REGEXEXTRACT(CELL("address",'Raw Data'!T162),"\$([A-Z]+)\$[0-9]+"))))</f>
        <v/>
      </c>
      <c r="U162" s="7" t="str" cm="1">
        <f t="array" aca="1" ref="U162" ca="1">IF(OR('Raw Data'!U162="",LEN(TRIM('Raw Data'!U162))=0,Validate_Empty!U162&lt;&gt;"",Validate_Value!U162&lt;&gt;""),"",IF(OR(NOT(OR(LEN(TRIM('Raw Data'!B162:X162))&gt;0)),OR('Raw Data'!T162="",LEN(TRIM('Raw Data'!T162))=0)),"",IF(ISNUMBER(SEARCH('Raw Data'!U162, Configuration!$H$2)),"",_xlfn.REGEXEXTRACT(CELL("address",'Raw Data'!U162),"\$([A-Z]+)\$[0-9]+"))))</f>
        <v/>
      </c>
      <c r="V162" s="7" t="str" cm="1">
        <f t="array" aca="1" ref="V162" ca="1">IF(OR('Raw Data'!V162="",LEN(TRIM('Raw Data'!V162))=0,Validate_Empty!V162&lt;&gt;"",Validate_Value!V162&lt;&gt;""),"",IF(OR(NOT(OR(LEN(TRIM('Raw Data'!B162:X162))&gt;0)),OR('Raw Data'!V162="",LEN(TRIM('Raw Data'!V162))=0)),"",IF('Raw Data'!V162 = Configuration!$I$2,"",_xlfn.REGEXEXTRACT(CELL("address",'Raw Data'!V162),"\$([A-Z]+)\$[0-9]+"))))</f>
        <v/>
      </c>
      <c r="W162" s="7"/>
      <c r="X162" s="7"/>
    </row>
    <row r="163" spans="2:24" x14ac:dyDescent="0.25">
      <c r="B163" s="7"/>
      <c r="C163" s="7" t="str" cm="1">
        <f t="array" aca="1" ref="C163" ca="1">IF(OR('Raw Data'!C163="",LEN(TRIM('Raw Data'!C163))=0,Validate_Empty!C163&lt;&gt;"",Validate_Value!C163&lt;&gt;""),"",IF(OR(NOT(OR(LEN(TRIM('Raw Data'!B163:X163))&gt;0)),OR('Raw Data'!C163="",LEN(TRIM('Raw Data'!C163))=0)),"",IF(OR(AND('Raw Data'!B163="Main Contract", LEFT('Raw Data'!C163, LEN("Payment"))="Payment"),AND('Raw Data'!B163="Change Order", LEFT('Raw Data'!C163, LEN("CO Payment No."))="CO Payment No.")),"",_xlfn.REGEXEXTRACT(CELL("address",'Raw Data'!C163),"\$([A-Z]+)\$[0-9]+"))))</f>
        <v/>
      </c>
      <c r="D163" s="7"/>
      <c r="E163" s="7"/>
      <c r="F163" s="7"/>
      <c r="G163" s="7"/>
      <c r="H163" s="7"/>
      <c r="I163" s="7"/>
      <c r="J163" s="7"/>
      <c r="K163" s="7"/>
      <c r="L163" s="7"/>
      <c r="M163" s="7" t="str" cm="1">
        <f t="array" aca="1" ref="M163" ca="1">IF(OR('Raw Data'!M163="",LEN(TRIM('Raw Data'!M163))=0,Validate_Empty!M163&lt;&gt;"",Validate_Value!M163&lt;&gt;""),"",IF(OR(NOT(OR(LEN(TRIM('Raw Data'!B163:X163))&gt;0)),OR('Raw Data'!M163="",LEN(TRIM('Raw Data'!M163))=0)),"",IF('Raw Data'!M163 = SUM('Raw Data'!K163:L163),"",_xlfn.REGEXEXTRACT(CELL("address",'Raw Data'!M163),"\$([A-Z]+)\$[0-9]+"))))</f>
        <v/>
      </c>
      <c r="N163" s="7"/>
      <c r="O163" s="7"/>
      <c r="P163" s="7" t="str" cm="1">
        <f t="array" aca="1" ref="P163" ca="1">IF(OR('Raw Data'!P163="",LEN(TRIM('Raw Data'!P163))=0,Validate_Empty!P163&lt;&gt;"",Validate_Value!P163&lt;&gt;""),"",IF(OR(NOT(OR(LEN(TRIM('Raw Data'!B163:X163))&gt;0)),OR('Raw Data'!P163="",LEN(TRIM('Raw Data'!P163))=0)),"",IF(AND('Raw Data'!J163 + Configuration!$G$2 + 5 &gt;= 'Raw Data'!P163,'Raw Data'!J163 + Configuration!$G$2 - 5 &lt;= 'Raw Data'!P163),"",_xlfn.REGEXEXTRACT(CELL("address",'Raw Data'!P163),"\$([A-Z]+)\$[0-9]+"))))</f>
        <v/>
      </c>
      <c r="Q163" s="7"/>
      <c r="R163" s="7"/>
      <c r="S163" s="7"/>
      <c r="T163" s="7" t="str" cm="1">
        <f t="array" aca="1" ref="T163" ca="1">IF(OR('Raw Data'!T163="",LEN(TRIM('Raw Data'!T163))=0,Validate_Empty!T163&lt;&gt;"",Validate_Value!T163&lt;&gt;""),"",IF(OR(NOT(OR(LEN(TRIM('Raw Data'!B163:X163))&gt;0)),OR('Raw Data'!T163="",LEN(TRIM('Raw Data'!T163))=0)),"",IF('Raw Data'!T163 = SUM('Raw Data'!R163:S163),"",_xlfn.REGEXEXTRACT(CELL("address",'Raw Data'!T163),"\$([A-Z]+)\$[0-9]+"))))</f>
        <v/>
      </c>
      <c r="U163" s="7" t="str" cm="1">
        <f t="array" aca="1" ref="U163" ca="1">IF(OR('Raw Data'!U163="",LEN(TRIM('Raw Data'!U163))=0,Validate_Empty!U163&lt;&gt;"",Validate_Value!U163&lt;&gt;""),"",IF(OR(NOT(OR(LEN(TRIM('Raw Data'!B163:X163))&gt;0)),OR('Raw Data'!T163="",LEN(TRIM('Raw Data'!T163))=0)),"",IF(ISNUMBER(SEARCH('Raw Data'!U163, Configuration!$H$2)),"",_xlfn.REGEXEXTRACT(CELL("address",'Raw Data'!U163),"\$([A-Z]+)\$[0-9]+"))))</f>
        <v/>
      </c>
      <c r="V163" s="7" t="str" cm="1">
        <f t="array" aca="1" ref="V163" ca="1">IF(OR('Raw Data'!V163="",LEN(TRIM('Raw Data'!V163))=0,Validate_Empty!V163&lt;&gt;"",Validate_Value!V163&lt;&gt;""),"",IF(OR(NOT(OR(LEN(TRIM('Raw Data'!B163:X163))&gt;0)),OR('Raw Data'!V163="",LEN(TRIM('Raw Data'!V163))=0)),"",IF('Raw Data'!V163 = Configuration!$I$2,"",_xlfn.REGEXEXTRACT(CELL("address",'Raw Data'!V163),"\$([A-Z]+)\$[0-9]+"))))</f>
        <v/>
      </c>
      <c r="W163" s="7"/>
      <c r="X163" s="7"/>
    </row>
    <row r="164" spans="2:24" x14ac:dyDescent="0.25">
      <c r="B164" s="7"/>
      <c r="C164" s="7" t="str" cm="1">
        <f t="array" aca="1" ref="C164" ca="1">IF(OR('Raw Data'!C164="",LEN(TRIM('Raw Data'!C164))=0,Validate_Empty!C164&lt;&gt;"",Validate_Value!C164&lt;&gt;""),"",IF(OR(NOT(OR(LEN(TRIM('Raw Data'!B164:X164))&gt;0)),OR('Raw Data'!C164="",LEN(TRIM('Raw Data'!C164))=0)),"",IF(OR(AND('Raw Data'!B164="Main Contract", LEFT('Raw Data'!C164, LEN("Payment"))="Payment"),AND('Raw Data'!B164="Change Order", LEFT('Raw Data'!C164, LEN("CO Payment No."))="CO Payment No.")),"",_xlfn.REGEXEXTRACT(CELL("address",'Raw Data'!C164),"\$([A-Z]+)\$[0-9]+"))))</f>
        <v/>
      </c>
      <c r="D164" s="7"/>
      <c r="E164" s="7"/>
      <c r="F164" s="7"/>
      <c r="G164" s="7"/>
      <c r="H164" s="7"/>
      <c r="I164" s="7"/>
      <c r="J164" s="7"/>
      <c r="K164" s="7"/>
      <c r="L164" s="7"/>
      <c r="M164" s="7" t="str" cm="1">
        <f t="array" aca="1" ref="M164" ca="1">IF(OR('Raw Data'!M164="",LEN(TRIM('Raw Data'!M164))=0,Validate_Empty!M164&lt;&gt;"",Validate_Value!M164&lt;&gt;""),"",IF(OR(NOT(OR(LEN(TRIM('Raw Data'!B164:X164))&gt;0)),OR('Raw Data'!M164="",LEN(TRIM('Raw Data'!M164))=0)),"",IF('Raw Data'!M164 = SUM('Raw Data'!K164:L164),"",_xlfn.REGEXEXTRACT(CELL("address",'Raw Data'!M164),"\$([A-Z]+)\$[0-9]+"))))</f>
        <v/>
      </c>
      <c r="N164" s="7"/>
      <c r="O164" s="7"/>
      <c r="P164" s="7" t="str" cm="1">
        <f t="array" aca="1" ref="P164" ca="1">IF(OR('Raw Data'!P164="",LEN(TRIM('Raw Data'!P164))=0,Validate_Empty!P164&lt;&gt;"",Validate_Value!P164&lt;&gt;""),"",IF(OR(NOT(OR(LEN(TRIM('Raw Data'!B164:X164))&gt;0)),OR('Raw Data'!P164="",LEN(TRIM('Raw Data'!P164))=0)),"",IF(AND('Raw Data'!J164 + Configuration!$G$2 + 5 &gt;= 'Raw Data'!P164,'Raw Data'!J164 + Configuration!$G$2 - 5 &lt;= 'Raw Data'!P164),"",_xlfn.REGEXEXTRACT(CELL("address",'Raw Data'!P164),"\$([A-Z]+)\$[0-9]+"))))</f>
        <v/>
      </c>
      <c r="Q164" s="7"/>
      <c r="R164" s="7"/>
      <c r="S164" s="7"/>
      <c r="T164" s="7" t="str" cm="1">
        <f t="array" aca="1" ref="T164" ca="1">IF(OR('Raw Data'!T164="",LEN(TRIM('Raw Data'!T164))=0,Validate_Empty!T164&lt;&gt;"",Validate_Value!T164&lt;&gt;""),"",IF(OR(NOT(OR(LEN(TRIM('Raw Data'!B164:X164))&gt;0)),OR('Raw Data'!T164="",LEN(TRIM('Raw Data'!T164))=0)),"",IF('Raw Data'!T164 = SUM('Raw Data'!R164:S164),"",_xlfn.REGEXEXTRACT(CELL("address",'Raw Data'!T164),"\$([A-Z]+)\$[0-9]+"))))</f>
        <v/>
      </c>
      <c r="U164" s="7" t="str" cm="1">
        <f t="array" aca="1" ref="U164" ca="1">IF(OR('Raw Data'!U164="",LEN(TRIM('Raw Data'!U164))=0,Validate_Empty!U164&lt;&gt;"",Validate_Value!U164&lt;&gt;""),"",IF(OR(NOT(OR(LEN(TRIM('Raw Data'!B164:X164))&gt;0)),OR('Raw Data'!T164="",LEN(TRIM('Raw Data'!T164))=0)),"",IF(ISNUMBER(SEARCH('Raw Data'!U164, Configuration!$H$2)),"",_xlfn.REGEXEXTRACT(CELL("address",'Raw Data'!U164),"\$([A-Z]+)\$[0-9]+"))))</f>
        <v/>
      </c>
      <c r="V164" s="7" t="str" cm="1">
        <f t="array" aca="1" ref="V164" ca="1">IF(OR('Raw Data'!V164="",LEN(TRIM('Raw Data'!V164))=0,Validate_Empty!V164&lt;&gt;"",Validate_Value!V164&lt;&gt;""),"",IF(OR(NOT(OR(LEN(TRIM('Raw Data'!B164:X164))&gt;0)),OR('Raw Data'!V164="",LEN(TRIM('Raw Data'!V164))=0)),"",IF('Raw Data'!V164 = Configuration!$I$2,"",_xlfn.REGEXEXTRACT(CELL("address",'Raw Data'!V164),"\$([A-Z]+)\$[0-9]+"))))</f>
        <v/>
      </c>
      <c r="W164" s="7"/>
      <c r="X164" s="7"/>
    </row>
    <row r="165" spans="2:24" x14ac:dyDescent="0.25">
      <c r="B165" s="7"/>
      <c r="C165" s="7" t="str" cm="1">
        <f t="array" aca="1" ref="C165" ca="1">IF(OR('Raw Data'!C165="",LEN(TRIM('Raw Data'!C165))=0,Validate_Empty!C165&lt;&gt;"",Validate_Value!C165&lt;&gt;""),"",IF(OR(NOT(OR(LEN(TRIM('Raw Data'!B165:X165))&gt;0)),OR('Raw Data'!C165="",LEN(TRIM('Raw Data'!C165))=0)),"",IF(OR(AND('Raw Data'!B165="Main Contract", LEFT('Raw Data'!C165, LEN("Payment"))="Payment"),AND('Raw Data'!B165="Change Order", LEFT('Raw Data'!C165, LEN("CO Payment No."))="CO Payment No.")),"",_xlfn.REGEXEXTRACT(CELL("address",'Raw Data'!C165),"\$([A-Z]+)\$[0-9]+"))))</f>
        <v/>
      </c>
      <c r="D165" s="7"/>
      <c r="E165" s="7"/>
      <c r="F165" s="7"/>
      <c r="G165" s="7"/>
      <c r="H165" s="7"/>
      <c r="I165" s="7"/>
      <c r="J165" s="7"/>
      <c r="K165" s="7"/>
      <c r="L165" s="7"/>
      <c r="M165" s="7" t="str" cm="1">
        <f t="array" aca="1" ref="M165" ca="1">IF(OR('Raw Data'!M165="",LEN(TRIM('Raw Data'!M165))=0,Validate_Empty!M165&lt;&gt;"",Validate_Value!M165&lt;&gt;""),"",IF(OR(NOT(OR(LEN(TRIM('Raw Data'!B165:X165))&gt;0)),OR('Raw Data'!M165="",LEN(TRIM('Raw Data'!M165))=0)),"",IF('Raw Data'!M165 = SUM('Raw Data'!K165:L165),"",_xlfn.REGEXEXTRACT(CELL("address",'Raw Data'!M165),"\$([A-Z]+)\$[0-9]+"))))</f>
        <v/>
      </c>
      <c r="N165" s="7"/>
      <c r="O165" s="7"/>
      <c r="P165" s="7" t="str" cm="1">
        <f t="array" aca="1" ref="P165" ca="1">IF(OR('Raw Data'!P165="",LEN(TRIM('Raw Data'!P165))=0,Validate_Empty!P165&lt;&gt;"",Validate_Value!P165&lt;&gt;""),"",IF(OR(NOT(OR(LEN(TRIM('Raw Data'!B165:X165))&gt;0)),OR('Raw Data'!P165="",LEN(TRIM('Raw Data'!P165))=0)),"",IF(AND('Raw Data'!J165 + Configuration!$G$2 + 5 &gt;= 'Raw Data'!P165,'Raw Data'!J165 + Configuration!$G$2 - 5 &lt;= 'Raw Data'!P165),"",_xlfn.REGEXEXTRACT(CELL("address",'Raw Data'!P165),"\$([A-Z]+)\$[0-9]+"))))</f>
        <v/>
      </c>
      <c r="Q165" s="7"/>
      <c r="R165" s="7"/>
      <c r="S165" s="7"/>
      <c r="T165" s="7" t="str" cm="1">
        <f t="array" aca="1" ref="T165" ca="1">IF(OR('Raw Data'!T165="",LEN(TRIM('Raw Data'!T165))=0,Validate_Empty!T165&lt;&gt;"",Validate_Value!T165&lt;&gt;""),"",IF(OR(NOT(OR(LEN(TRIM('Raw Data'!B165:X165))&gt;0)),OR('Raw Data'!T165="",LEN(TRIM('Raw Data'!T165))=0)),"",IF('Raw Data'!T165 = SUM('Raw Data'!R165:S165),"",_xlfn.REGEXEXTRACT(CELL("address",'Raw Data'!T165),"\$([A-Z]+)\$[0-9]+"))))</f>
        <v/>
      </c>
      <c r="U165" s="7" t="str" cm="1">
        <f t="array" aca="1" ref="U165" ca="1">IF(OR('Raw Data'!U165="",LEN(TRIM('Raw Data'!U165))=0,Validate_Empty!U165&lt;&gt;"",Validate_Value!U165&lt;&gt;""),"",IF(OR(NOT(OR(LEN(TRIM('Raw Data'!B165:X165))&gt;0)),OR('Raw Data'!T165="",LEN(TRIM('Raw Data'!T165))=0)),"",IF(ISNUMBER(SEARCH('Raw Data'!U165, Configuration!$H$2)),"",_xlfn.REGEXEXTRACT(CELL("address",'Raw Data'!U165),"\$([A-Z]+)\$[0-9]+"))))</f>
        <v/>
      </c>
      <c r="V165" s="7" t="str" cm="1">
        <f t="array" aca="1" ref="V165" ca="1">IF(OR('Raw Data'!V165="",LEN(TRIM('Raw Data'!V165))=0,Validate_Empty!V165&lt;&gt;"",Validate_Value!V165&lt;&gt;""),"",IF(OR(NOT(OR(LEN(TRIM('Raw Data'!B165:X165))&gt;0)),OR('Raw Data'!V165="",LEN(TRIM('Raw Data'!V165))=0)),"",IF('Raw Data'!V165 = Configuration!$I$2,"",_xlfn.REGEXEXTRACT(CELL("address",'Raw Data'!V165),"\$([A-Z]+)\$[0-9]+"))))</f>
        <v/>
      </c>
      <c r="W165" s="7"/>
      <c r="X165" s="7"/>
    </row>
    <row r="166" spans="2:24" x14ac:dyDescent="0.25">
      <c r="B166" s="7"/>
      <c r="C166" s="7" t="str" cm="1">
        <f t="array" aca="1" ref="C166" ca="1">IF(OR('Raw Data'!C166="",LEN(TRIM('Raw Data'!C166))=0,Validate_Empty!C166&lt;&gt;"",Validate_Value!C166&lt;&gt;""),"",IF(OR(NOT(OR(LEN(TRIM('Raw Data'!B166:X166))&gt;0)),OR('Raw Data'!C166="",LEN(TRIM('Raw Data'!C166))=0)),"",IF(OR(AND('Raw Data'!B166="Main Contract", LEFT('Raw Data'!C166, LEN("Payment"))="Payment"),AND('Raw Data'!B166="Change Order", LEFT('Raw Data'!C166, LEN("CO Payment No."))="CO Payment No.")),"",_xlfn.REGEXEXTRACT(CELL("address",'Raw Data'!C166),"\$([A-Z]+)\$[0-9]+"))))</f>
        <v/>
      </c>
      <c r="D166" s="7"/>
      <c r="E166" s="7"/>
      <c r="F166" s="7"/>
      <c r="G166" s="7"/>
      <c r="H166" s="7"/>
      <c r="I166" s="7"/>
      <c r="J166" s="7"/>
      <c r="K166" s="7"/>
      <c r="L166" s="7"/>
      <c r="M166" s="7" t="str" cm="1">
        <f t="array" aca="1" ref="M166" ca="1">IF(OR('Raw Data'!M166="",LEN(TRIM('Raw Data'!M166))=0,Validate_Empty!M166&lt;&gt;"",Validate_Value!M166&lt;&gt;""),"",IF(OR(NOT(OR(LEN(TRIM('Raw Data'!B166:X166))&gt;0)),OR('Raw Data'!M166="",LEN(TRIM('Raw Data'!M166))=0)),"",IF('Raw Data'!M166 = SUM('Raw Data'!K166:L166),"",_xlfn.REGEXEXTRACT(CELL("address",'Raw Data'!M166),"\$([A-Z]+)\$[0-9]+"))))</f>
        <v/>
      </c>
      <c r="N166" s="7"/>
      <c r="O166" s="7"/>
      <c r="P166" s="7" t="str" cm="1">
        <f t="array" aca="1" ref="P166" ca="1">IF(OR('Raw Data'!P166="",LEN(TRIM('Raw Data'!P166))=0,Validate_Empty!P166&lt;&gt;"",Validate_Value!P166&lt;&gt;""),"",IF(OR(NOT(OR(LEN(TRIM('Raw Data'!B166:X166))&gt;0)),OR('Raw Data'!P166="",LEN(TRIM('Raw Data'!P166))=0)),"",IF(AND('Raw Data'!J166 + Configuration!$G$2 + 5 &gt;= 'Raw Data'!P166,'Raw Data'!J166 + Configuration!$G$2 - 5 &lt;= 'Raw Data'!P166),"",_xlfn.REGEXEXTRACT(CELL("address",'Raw Data'!P166),"\$([A-Z]+)\$[0-9]+"))))</f>
        <v/>
      </c>
      <c r="Q166" s="7"/>
      <c r="R166" s="7"/>
      <c r="S166" s="7"/>
      <c r="T166" s="7" t="str" cm="1">
        <f t="array" aca="1" ref="T166" ca="1">IF(OR('Raw Data'!T166="",LEN(TRIM('Raw Data'!T166))=0,Validate_Empty!T166&lt;&gt;"",Validate_Value!T166&lt;&gt;""),"",IF(OR(NOT(OR(LEN(TRIM('Raw Data'!B166:X166))&gt;0)),OR('Raw Data'!T166="",LEN(TRIM('Raw Data'!T166))=0)),"",IF('Raw Data'!T166 = SUM('Raw Data'!R166:S166),"",_xlfn.REGEXEXTRACT(CELL("address",'Raw Data'!T166),"\$([A-Z]+)\$[0-9]+"))))</f>
        <v/>
      </c>
      <c r="U166" s="7" t="str" cm="1">
        <f t="array" aca="1" ref="U166" ca="1">IF(OR('Raw Data'!U166="",LEN(TRIM('Raw Data'!U166))=0,Validate_Empty!U166&lt;&gt;"",Validate_Value!U166&lt;&gt;""),"",IF(OR(NOT(OR(LEN(TRIM('Raw Data'!B166:X166))&gt;0)),OR('Raw Data'!T166="",LEN(TRIM('Raw Data'!T166))=0)),"",IF(ISNUMBER(SEARCH('Raw Data'!U166, Configuration!$H$2)),"",_xlfn.REGEXEXTRACT(CELL("address",'Raw Data'!U166),"\$([A-Z]+)\$[0-9]+"))))</f>
        <v/>
      </c>
      <c r="V166" s="7" t="str" cm="1">
        <f t="array" aca="1" ref="V166" ca="1">IF(OR('Raw Data'!V166="",LEN(TRIM('Raw Data'!V166))=0,Validate_Empty!V166&lt;&gt;"",Validate_Value!V166&lt;&gt;""),"",IF(OR(NOT(OR(LEN(TRIM('Raw Data'!B166:X166))&gt;0)),OR('Raw Data'!V166="",LEN(TRIM('Raw Data'!V166))=0)),"",IF('Raw Data'!V166 = Configuration!$I$2,"",_xlfn.REGEXEXTRACT(CELL("address",'Raw Data'!V166),"\$([A-Z]+)\$[0-9]+"))))</f>
        <v/>
      </c>
      <c r="W166" s="7"/>
      <c r="X166" s="7"/>
    </row>
    <row r="167" spans="2:24" x14ac:dyDescent="0.25">
      <c r="B167" s="7"/>
      <c r="C167" s="7" t="str" cm="1">
        <f t="array" aca="1" ref="C167" ca="1">IF(OR('Raw Data'!C167="",LEN(TRIM('Raw Data'!C167))=0,Validate_Empty!C167&lt;&gt;"",Validate_Value!C167&lt;&gt;""),"",IF(OR(NOT(OR(LEN(TRIM('Raw Data'!B167:X167))&gt;0)),OR('Raw Data'!C167="",LEN(TRIM('Raw Data'!C167))=0)),"",IF(OR(AND('Raw Data'!B167="Main Contract", LEFT('Raw Data'!C167, LEN("Payment"))="Payment"),AND('Raw Data'!B167="Change Order", LEFT('Raw Data'!C167, LEN("CO Payment No."))="CO Payment No.")),"",_xlfn.REGEXEXTRACT(CELL("address",'Raw Data'!C167),"\$([A-Z]+)\$[0-9]+"))))</f>
        <v/>
      </c>
      <c r="D167" s="7"/>
      <c r="E167" s="7"/>
      <c r="F167" s="7"/>
      <c r="G167" s="7"/>
      <c r="H167" s="7"/>
      <c r="I167" s="7"/>
      <c r="J167" s="7"/>
      <c r="K167" s="7"/>
      <c r="L167" s="7"/>
      <c r="M167" s="7" t="str" cm="1">
        <f t="array" aca="1" ref="M167" ca="1">IF(OR('Raw Data'!M167="",LEN(TRIM('Raw Data'!M167))=0,Validate_Empty!M167&lt;&gt;"",Validate_Value!M167&lt;&gt;""),"",IF(OR(NOT(OR(LEN(TRIM('Raw Data'!B167:X167))&gt;0)),OR('Raw Data'!M167="",LEN(TRIM('Raw Data'!M167))=0)),"",IF('Raw Data'!M167 = SUM('Raw Data'!K167:L167),"",_xlfn.REGEXEXTRACT(CELL("address",'Raw Data'!M167),"\$([A-Z]+)\$[0-9]+"))))</f>
        <v/>
      </c>
      <c r="N167" s="7"/>
      <c r="O167" s="7"/>
      <c r="P167" s="7" t="str" cm="1">
        <f t="array" aca="1" ref="P167" ca="1">IF(OR('Raw Data'!P167="",LEN(TRIM('Raw Data'!P167))=0,Validate_Empty!P167&lt;&gt;"",Validate_Value!P167&lt;&gt;""),"",IF(OR(NOT(OR(LEN(TRIM('Raw Data'!B167:X167))&gt;0)),OR('Raw Data'!P167="",LEN(TRIM('Raw Data'!P167))=0)),"",IF(AND('Raw Data'!J167 + Configuration!$G$2 + 5 &gt;= 'Raw Data'!P167,'Raw Data'!J167 + Configuration!$G$2 - 5 &lt;= 'Raw Data'!P167),"",_xlfn.REGEXEXTRACT(CELL("address",'Raw Data'!P167),"\$([A-Z]+)\$[0-9]+"))))</f>
        <v/>
      </c>
      <c r="Q167" s="7"/>
      <c r="R167" s="7"/>
      <c r="S167" s="7"/>
      <c r="T167" s="7" t="str" cm="1">
        <f t="array" aca="1" ref="T167" ca="1">IF(OR('Raw Data'!T167="",LEN(TRIM('Raw Data'!T167))=0,Validate_Empty!T167&lt;&gt;"",Validate_Value!T167&lt;&gt;""),"",IF(OR(NOT(OR(LEN(TRIM('Raw Data'!B167:X167))&gt;0)),OR('Raw Data'!T167="",LEN(TRIM('Raw Data'!T167))=0)),"",IF('Raw Data'!T167 = SUM('Raw Data'!R167:S167),"",_xlfn.REGEXEXTRACT(CELL("address",'Raw Data'!T167),"\$([A-Z]+)\$[0-9]+"))))</f>
        <v/>
      </c>
      <c r="U167" s="7" t="str" cm="1">
        <f t="array" aca="1" ref="U167" ca="1">IF(OR('Raw Data'!U167="",LEN(TRIM('Raw Data'!U167))=0,Validate_Empty!U167&lt;&gt;"",Validate_Value!U167&lt;&gt;""),"",IF(OR(NOT(OR(LEN(TRIM('Raw Data'!B167:X167))&gt;0)),OR('Raw Data'!T167="",LEN(TRIM('Raw Data'!T167))=0)),"",IF(ISNUMBER(SEARCH('Raw Data'!U167, Configuration!$H$2)),"",_xlfn.REGEXEXTRACT(CELL("address",'Raw Data'!U167),"\$([A-Z]+)\$[0-9]+"))))</f>
        <v/>
      </c>
      <c r="V167" s="7" t="str" cm="1">
        <f t="array" aca="1" ref="V167" ca="1">IF(OR('Raw Data'!V167="",LEN(TRIM('Raw Data'!V167))=0,Validate_Empty!V167&lt;&gt;"",Validate_Value!V167&lt;&gt;""),"",IF(OR(NOT(OR(LEN(TRIM('Raw Data'!B167:X167))&gt;0)),OR('Raw Data'!V167="",LEN(TRIM('Raw Data'!V167))=0)),"",IF('Raw Data'!V167 = Configuration!$I$2,"",_xlfn.REGEXEXTRACT(CELL("address",'Raw Data'!V167),"\$([A-Z]+)\$[0-9]+"))))</f>
        <v/>
      </c>
      <c r="W167" s="7"/>
      <c r="X167" s="7"/>
    </row>
    <row r="168" spans="2:24" x14ac:dyDescent="0.25">
      <c r="B168" s="7"/>
      <c r="C168" s="7" t="str" cm="1">
        <f t="array" aca="1" ref="C168" ca="1">IF(OR('Raw Data'!C168="",LEN(TRIM('Raw Data'!C168))=0,Validate_Empty!C168&lt;&gt;"",Validate_Value!C168&lt;&gt;""),"",IF(OR(NOT(OR(LEN(TRIM('Raw Data'!B168:X168))&gt;0)),OR('Raw Data'!C168="",LEN(TRIM('Raw Data'!C168))=0)),"",IF(OR(AND('Raw Data'!B168="Main Contract", LEFT('Raw Data'!C168, LEN("Payment"))="Payment"),AND('Raw Data'!B168="Change Order", LEFT('Raw Data'!C168, LEN("CO Payment No."))="CO Payment No.")),"",_xlfn.REGEXEXTRACT(CELL("address",'Raw Data'!C168),"\$([A-Z]+)\$[0-9]+"))))</f>
        <v/>
      </c>
      <c r="D168" s="7"/>
      <c r="E168" s="7"/>
      <c r="F168" s="7"/>
      <c r="G168" s="7"/>
      <c r="H168" s="7"/>
      <c r="I168" s="7"/>
      <c r="J168" s="7"/>
      <c r="K168" s="7"/>
      <c r="L168" s="7"/>
      <c r="M168" s="7" t="str" cm="1">
        <f t="array" aca="1" ref="M168" ca="1">IF(OR('Raw Data'!M168="",LEN(TRIM('Raw Data'!M168))=0,Validate_Empty!M168&lt;&gt;"",Validate_Value!M168&lt;&gt;""),"",IF(OR(NOT(OR(LEN(TRIM('Raw Data'!B168:X168))&gt;0)),OR('Raw Data'!M168="",LEN(TRIM('Raw Data'!M168))=0)),"",IF('Raw Data'!M168 = SUM('Raw Data'!K168:L168),"",_xlfn.REGEXEXTRACT(CELL("address",'Raw Data'!M168),"\$([A-Z]+)\$[0-9]+"))))</f>
        <v/>
      </c>
      <c r="N168" s="7"/>
      <c r="O168" s="7"/>
      <c r="P168" s="7" t="str" cm="1">
        <f t="array" aca="1" ref="P168" ca="1">IF(OR('Raw Data'!P168="",LEN(TRIM('Raw Data'!P168))=0,Validate_Empty!P168&lt;&gt;"",Validate_Value!P168&lt;&gt;""),"",IF(OR(NOT(OR(LEN(TRIM('Raw Data'!B168:X168))&gt;0)),OR('Raw Data'!P168="",LEN(TRIM('Raw Data'!P168))=0)),"",IF(AND('Raw Data'!J168 + Configuration!$G$2 + 5 &gt;= 'Raw Data'!P168,'Raw Data'!J168 + Configuration!$G$2 - 5 &lt;= 'Raw Data'!P168),"",_xlfn.REGEXEXTRACT(CELL("address",'Raw Data'!P168),"\$([A-Z]+)\$[0-9]+"))))</f>
        <v/>
      </c>
      <c r="Q168" s="7"/>
      <c r="R168" s="7"/>
      <c r="S168" s="7"/>
      <c r="T168" s="7" t="str" cm="1">
        <f t="array" aca="1" ref="T168" ca="1">IF(OR('Raw Data'!T168="",LEN(TRIM('Raw Data'!T168))=0,Validate_Empty!T168&lt;&gt;"",Validate_Value!T168&lt;&gt;""),"",IF(OR(NOT(OR(LEN(TRIM('Raw Data'!B168:X168))&gt;0)),OR('Raw Data'!T168="",LEN(TRIM('Raw Data'!T168))=0)),"",IF('Raw Data'!T168 = SUM('Raw Data'!R168:S168),"",_xlfn.REGEXEXTRACT(CELL("address",'Raw Data'!T168),"\$([A-Z]+)\$[0-9]+"))))</f>
        <v/>
      </c>
      <c r="U168" s="7" t="str" cm="1">
        <f t="array" aca="1" ref="U168" ca="1">IF(OR('Raw Data'!U168="",LEN(TRIM('Raw Data'!U168))=0,Validate_Empty!U168&lt;&gt;"",Validate_Value!U168&lt;&gt;""),"",IF(OR(NOT(OR(LEN(TRIM('Raw Data'!B168:X168))&gt;0)),OR('Raw Data'!T168="",LEN(TRIM('Raw Data'!T168))=0)),"",IF(ISNUMBER(SEARCH('Raw Data'!U168, Configuration!$H$2)),"",_xlfn.REGEXEXTRACT(CELL("address",'Raw Data'!U168),"\$([A-Z]+)\$[0-9]+"))))</f>
        <v/>
      </c>
      <c r="V168" s="7" t="str" cm="1">
        <f t="array" aca="1" ref="V168" ca="1">IF(OR('Raw Data'!V168="",LEN(TRIM('Raw Data'!V168))=0,Validate_Empty!V168&lt;&gt;"",Validate_Value!V168&lt;&gt;""),"",IF(OR(NOT(OR(LEN(TRIM('Raw Data'!B168:X168))&gt;0)),OR('Raw Data'!V168="",LEN(TRIM('Raw Data'!V168))=0)),"",IF('Raw Data'!V168 = Configuration!$I$2,"",_xlfn.REGEXEXTRACT(CELL("address",'Raw Data'!V168),"\$([A-Z]+)\$[0-9]+"))))</f>
        <v/>
      </c>
      <c r="W168" s="7"/>
      <c r="X168" s="7"/>
    </row>
    <row r="169" spans="2:24" x14ac:dyDescent="0.25">
      <c r="B169" s="7"/>
      <c r="C169" s="7" t="str" cm="1">
        <f t="array" aca="1" ref="C169" ca="1">IF(OR('Raw Data'!C169="",LEN(TRIM('Raw Data'!C169))=0,Validate_Empty!C169&lt;&gt;"",Validate_Value!C169&lt;&gt;""),"",IF(OR(NOT(OR(LEN(TRIM('Raw Data'!B169:X169))&gt;0)),OR('Raw Data'!C169="",LEN(TRIM('Raw Data'!C169))=0)),"",IF(OR(AND('Raw Data'!B169="Main Contract", LEFT('Raw Data'!C169, LEN("Payment"))="Payment"),AND('Raw Data'!B169="Change Order", LEFT('Raw Data'!C169, LEN("CO Payment No."))="CO Payment No.")),"",_xlfn.REGEXEXTRACT(CELL("address",'Raw Data'!C169),"\$([A-Z]+)\$[0-9]+"))))</f>
        <v/>
      </c>
      <c r="D169" s="7"/>
      <c r="E169" s="7"/>
      <c r="F169" s="7"/>
      <c r="G169" s="7"/>
      <c r="H169" s="7"/>
      <c r="I169" s="7"/>
      <c r="J169" s="7"/>
      <c r="K169" s="7"/>
      <c r="L169" s="7"/>
      <c r="M169" s="7" t="str" cm="1">
        <f t="array" aca="1" ref="M169" ca="1">IF(OR('Raw Data'!M169="",LEN(TRIM('Raw Data'!M169))=0,Validate_Empty!M169&lt;&gt;"",Validate_Value!M169&lt;&gt;""),"",IF(OR(NOT(OR(LEN(TRIM('Raw Data'!B169:X169))&gt;0)),OR('Raw Data'!M169="",LEN(TRIM('Raw Data'!M169))=0)),"",IF('Raw Data'!M169 = SUM('Raw Data'!K169:L169),"",_xlfn.REGEXEXTRACT(CELL("address",'Raw Data'!M169),"\$([A-Z]+)\$[0-9]+"))))</f>
        <v/>
      </c>
      <c r="N169" s="7"/>
      <c r="O169" s="7"/>
      <c r="P169" s="7" t="str" cm="1">
        <f t="array" aca="1" ref="P169" ca="1">IF(OR('Raw Data'!P169="",LEN(TRIM('Raw Data'!P169))=0,Validate_Empty!P169&lt;&gt;"",Validate_Value!P169&lt;&gt;""),"",IF(OR(NOT(OR(LEN(TRIM('Raw Data'!B169:X169))&gt;0)),OR('Raw Data'!P169="",LEN(TRIM('Raw Data'!P169))=0)),"",IF(AND('Raw Data'!J169 + Configuration!$G$2 + 5 &gt;= 'Raw Data'!P169,'Raw Data'!J169 + Configuration!$G$2 - 5 &lt;= 'Raw Data'!P169),"",_xlfn.REGEXEXTRACT(CELL("address",'Raw Data'!P169),"\$([A-Z]+)\$[0-9]+"))))</f>
        <v/>
      </c>
      <c r="Q169" s="7"/>
      <c r="R169" s="7"/>
      <c r="S169" s="7"/>
      <c r="T169" s="7" t="str" cm="1">
        <f t="array" aca="1" ref="T169" ca="1">IF(OR('Raw Data'!T169="",LEN(TRIM('Raw Data'!T169))=0,Validate_Empty!T169&lt;&gt;"",Validate_Value!T169&lt;&gt;""),"",IF(OR(NOT(OR(LEN(TRIM('Raw Data'!B169:X169))&gt;0)),OR('Raw Data'!T169="",LEN(TRIM('Raw Data'!T169))=0)),"",IF('Raw Data'!T169 = SUM('Raw Data'!R169:S169),"",_xlfn.REGEXEXTRACT(CELL("address",'Raw Data'!T169),"\$([A-Z]+)\$[0-9]+"))))</f>
        <v/>
      </c>
      <c r="U169" s="7" t="str" cm="1">
        <f t="array" aca="1" ref="U169" ca="1">IF(OR('Raw Data'!U169="",LEN(TRIM('Raw Data'!U169))=0,Validate_Empty!U169&lt;&gt;"",Validate_Value!U169&lt;&gt;""),"",IF(OR(NOT(OR(LEN(TRIM('Raw Data'!B169:X169))&gt;0)),OR('Raw Data'!T169="",LEN(TRIM('Raw Data'!T169))=0)),"",IF(ISNUMBER(SEARCH('Raw Data'!U169, Configuration!$H$2)),"",_xlfn.REGEXEXTRACT(CELL("address",'Raw Data'!U169),"\$([A-Z]+)\$[0-9]+"))))</f>
        <v/>
      </c>
      <c r="V169" s="7" t="str" cm="1">
        <f t="array" aca="1" ref="V169" ca="1">IF(OR('Raw Data'!V169="",LEN(TRIM('Raw Data'!V169))=0,Validate_Empty!V169&lt;&gt;"",Validate_Value!V169&lt;&gt;""),"",IF(OR(NOT(OR(LEN(TRIM('Raw Data'!B169:X169))&gt;0)),OR('Raw Data'!V169="",LEN(TRIM('Raw Data'!V169))=0)),"",IF('Raw Data'!V169 = Configuration!$I$2,"",_xlfn.REGEXEXTRACT(CELL("address",'Raw Data'!V169),"\$([A-Z]+)\$[0-9]+"))))</f>
        <v/>
      </c>
      <c r="W169" s="7"/>
      <c r="X169" s="7"/>
    </row>
    <row r="170" spans="2:24" x14ac:dyDescent="0.25">
      <c r="B170" s="7"/>
      <c r="C170" s="7" t="str" cm="1">
        <f t="array" aca="1" ref="C170" ca="1">IF(OR('Raw Data'!C170="",LEN(TRIM('Raw Data'!C170))=0,Validate_Empty!C170&lt;&gt;"",Validate_Value!C170&lt;&gt;""),"",IF(OR(NOT(OR(LEN(TRIM('Raw Data'!B170:X170))&gt;0)),OR('Raw Data'!C170="",LEN(TRIM('Raw Data'!C170))=0)),"",IF(OR(AND('Raw Data'!B170="Main Contract", LEFT('Raw Data'!C170, LEN("Payment"))="Payment"),AND('Raw Data'!B170="Change Order", LEFT('Raw Data'!C170, LEN("CO Payment No."))="CO Payment No.")),"",_xlfn.REGEXEXTRACT(CELL("address",'Raw Data'!C170),"\$([A-Z]+)\$[0-9]+"))))</f>
        <v/>
      </c>
      <c r="D170" s="7"/>
      <c r="E170" s="7"/>
      <c r="F170" s="7"/>
      <c r="G170" s="7"/>
      <c r="H170" s="7"/>
      <c r="I170" s="7"/>
      <c r="J170" s="7"/>
      <c r="K170" s="7"/>
      <c r="L170" s="7"/>
      <c r="M170" s="7" t="str" cm="1">
        <f t="array" aca="1" ref="M170" ca="1">IF(OR('Raw Data'!M170="",LEN(TRIM('Raw Data'!M170))=0,Validate_Empty!M170&lt;&gt;"",Validate_Value!M170&lt;&gt;""),"",IF(OR(NOT(OR(LEN(TRIM('Raw Data'!B170:X170))&gt;0)),OR('Raw Data'!M170="",LEN(TRIM('Raw Data'!M170))=0)),"",IF('Raw Data'!M170 = SUM('Raw Data'!K170:L170),"",_xlfn.REGEXEXTRACT(CELL("address",'Raw Data'!M170),"\$([A-Z]+)\$[0-9]+"))))</f>
        <v/>
      </c>
      <c r="N170" s="7"/>
      <c r="O170" s="7"/>
      <c r="P170" s="7" t="str" cm="1">
        <f t="array" aca="1" ref="P170" ca="1">IF(OR('Raw Data'!P170="",LEN(TRIM('Raw Data'!P170))=0,Validate_Empty!P170&lt;&gt;"",Validate_Value!P170&lt;&gt;""),"",IF(OR(NOT(OR(LEN(TRIM('Raw Data'!B170:X170))&gt;0)),OR('Raw Data'!P170="",LEN(TRIM('Raw Data'!P170))=0)),"",IF(AND('Raw Data'!J170 + Configuration!$G$2 + 5 &gt;= 'Raw Data'!P170,'Raw Data'!J170 + Configuration!$G$2 - 5 &lt;= 'Raw Data'!P170),"",_xlfn.REGEXEXTRACT(CELL("address",'Raw Data'!P170),"\$([A-Z]+)\$[0-9]+"))))</f>
        <v/>
      </c>
      <c r="Q170" s="7"/>
      <c r="R170" s="7"/>
      <c r="S170" s="7"/>
      <c r="T170" s="7" t="str" cm="1">
        <f t="array" aca="1" ref="T170" ca="1">IF(OR('Raw Data'!T170="",LEN(TRIM('Raw Data'!T170))=0,Validate_Empty!T170&lt;&gt;"",Validate_Value!T170&lt;&gt;""),"",IF(OR(NOT(OR(LEN(TRIM('Raw Data'!B170:X170))&gt;0)),OR('Raw Data'!T170="",LEN(TRIM('Raw Data'!T170))=0)),"",IF('Raw Data'!T170 = SUM('Raw Data'!R170:S170),"",_xlfn.REGEXEXTRACT(CELL("address",'Raw Data'!T170),"\$([A-Z]+)\$[0-9]+"))))</f>
        <v/>
      </c>
      <c r="U170" s="7" t="str" cm="1">
        <f t="array" aca="1" ref="U170" ca="1">IF(OR('Raw Data'!U170="",LEN(TRIM('Raw Data'!U170))=0,Validate_Empty!U170&lt;&gt;"",Validate_Value!U170&lt;&gt;""),"",IF(OR(NOT(OR(LEN(TRIM('Raw Data'!B170:X170))&gt;0)),OR('Raw Data'!T170="",LEN(TRIM('Raw Data'!T170))=0)),"",IF(ISNUMBER(SEARCH('Raw Data'!U170, Configuration!$H$2)),"",_xlfn.REGEXEXTRACT(CELL("address",'Raw Data'!U170),"\$([A-Z]+)\$[0-9]+"))))</f>
        <v/>
      </c>
      <c r="V170" s="7" t="str" cm="1">
        <f t="array" aca="1" ref="V170" ca="1">IF(OR('Raw Data'!V170="",LEN(TRIM('Raw Data'!V170))=0,Validate_Empty!V170&lt;&gt;"",Validate_Value!V170&lt;&gt;""),"",IF(OR(NOT(OR(LEN(TRIM('Raw Data'!B170:X170))&gt;0)),OR('Raw Data'!V170="",LEN(TRIM('Raw Data'!V170))=0)),"",IF('Raw Data'!V170 = Configuration!$I$2,"",_xlfn.REGEXEXTRACT(CELL("address",'Raw Data'!V170),"\$([A-Z]+)\$[0-9]+"))))</f>
        <v/>
      </c>
      <c r="W170" s="7"/>
      <c r="X170" s="7"/>
    </row>
    <row r="171" spans="2:24" x14ac:dyDescent="0.25">
      <c r="B171" s="7"/>
      <c r="C171" s="7" t="str" cm="1">
        <f t="array" aca="1" ref="C171" ca="1">IF(OR('Raw Data'!C171="",LEN(TRIM('Raw Data'!C171))=0,Validate_Empty!C171&lt;&gt;"",Validate_Value!C171&lt;&gt;""),"",IF(OR(NOT(OR(LEN(TRIM('Raw Data'!B171:X171))&gt;0)),OR('Raw Data'!C171="",LEN(TRIM('Raw Data'!C171))=0)),"",IF(OR(AND('Raw Data'!B171="Main Contract", LEFT('Raw Data'!C171, LEN("Payment"))="Payment"),AND('Raw Data'!B171="Change Order", LEFT('Raw Data'!C171, LEN("CO Payment No."))="CO Payment No.")),"",_xlfn.REGEXEXTRACT(CELL("address",'Raw Data'!C171),"\$([A-Z]+)\$[0-9]+"))))</f>
        <v/>
      </c>
      <c r="D171" s="7"/>
      <c r="E171" s="7"/>
      <c r="F171" s="7"/>
      <c r="G171" s="7"/>
      <c r="H171" s="7"/>
      <c r="I171" s="7"/>
      <c r="J171" s="7"/>
      <c r="K171" s="7"/>
      <c r="L171" s="7"/>
      <c r="M171" s="7" t="str" cm="1">
        <f t="array" aca="1" ref="M171" ca="1">IF(OR('Raw Data'!M171="",LEN(TRIM('Raw Data'!M171))=0,Validate_Empty!M171&lt;&gt;"",Validate_Value!M171&lt;&gt;""),"",IF(OR(NOT(OR(LEN(TRIM('Raw Data'!B171:X171))&gt;0)),OR('Raw Data'!M171="",LEN(TRIM('Raw Data'!M171))=0)),"",IF('Raw Data'!M171 = SUM('Raw Data'!K171:L171),"",_xlfn.REGEXEXTRACT(CELL("address",'Raw Data'!M171),"\$([A-Z]+)\$[0-9]+"))))</f>
        <v/>
      </c>
      <c r="N171" s="7"/>
      <c r="O171" s="7"/>
      <c r="P171" s="7" t="str" cm="1">
        <f t="array" aca="1" ref="P171" ca="1">IF(OR('Raw Data'!P171="",LEN(TRIM('Raw Data'!P171))=0,Validate_Empty!P171&lt;&gt;"",Validate_Value!P171&lt;&gt;""),"",IF(OR(NOT(OR(LEN(TRIM('Raw Data'!B171:X171))&gt;0)),OR('Raw Data'!P171="",LEN(TRIM('Raw Data'!P171))=0)),"",IF(AND('Raw Data'!J171 + Configuration!$G$2 + 5 &gt;= 'Raw Data'!P171,'Raw Data'!J171 + Configuration!$G$2 - 5 &lt;= 'Raw Data'!P171),"",_xlfn.REGEXEXTRACT(CELL("address",'Raw Data'!P171),"\$([A-Z]+)\$[0-9]+"))))</f>
        <v/>
      </c>
      <c r="Q171" s="7"/>
      <c r="R171" s="7"/>
      <c r="S171" s="7"/>
      <c r="T171" s="7" t="str" cm="1">
        <f t="array" aca="1" ref="T171" ca="1">IF(OR('Raw Data'!T171="",LEN(TRIM('Raw Data'!T171))=0,Validate_Empty!T171&lt;&gt;"",Validate_Value!T171&lt;&gt;""),"",IF(OR(NOT(OR(LEN(TRIM('Raw Data'!B171:X171))&gt;0)),OR('Raw Data'!T171="",LEN(TRIM('Raw Data'!T171))=0)),"",IF('Raw Data'!T171 = SUM('Raw Data'!R171:S171),"",_xlfn.REGEXEXTRACT(CELL("address",'Raw Data'!T171),"\$([A-Z]+)\$[0-9]+"))))</f>
        <v/>
      </c>
      <c r="U171" s="7" t="str" cm="1">
        <f t="array" aca="1" ref="U171" ca="1">IF(OR('Raw Data'!U171="",LEN(TRIM('Raw Data'!U171))=0,Validate_Empty!U171&lt;&gt;"",Validate_Value!U171&lt;&gt;""),"",IF(OR(NOT(OR(LEN(TRIM('Raw Data'!B171:X171))&gt;0)),OR('Raw Data'!T171="",LEN(TRIM('Raw Data'!T171))=0)),"",IF(ISNUMBER(SEARCH('Raw Data'!U171, Configuration!$H$2)),"",_xlfn.REGEXEXTRACT(CELL("address",'Raw Data'!U171),"\$([A-Z]+)\$[0-9]+"))))</f>
        <v/>
      </c>
      <c r="V171" s="7" t="str" cm="1">
        <f t="array" aca="1" ref="V171" ca="1">IF(OR('Raw Data'!V171="",LEN(TRIM('Raw Data'!V171))=0,Validate_Empty!V171&lt;&gt;"",Validate_Value!V171&lt;&gt;""),"",IF(OR(NOT(OR(LEN(TRIM('Raw Data'!B171:X171))&gt;0)),OR('Raw Data'!V171="",LEN(TRIM('Raw Data'!V171))=0)),"",IF('Raw Data'!V171 = Configuration!$I$2,"",_xlfn.REGEXEXTRACT(CELL("address",'Raw Data'!V171),"\$([A-Z]+)\$[0-9]+"))))</f>
        <v/>
      </c>
      <c r="W171" s="7"/>
      <c r="X171" s="7"/>
    </row>
    <row r="172" spans="2:24" x14ac:dyDescent="0.25">
      <c r="B172" s="7"/>
      <c r="C172" s="7" t="str" cm="1">
        <f t="array" aca="1" ref="C172" ca="1">IF(OR('Raw Data'!C172="",LEN(TRIM('Raw Data'!C172))=0,Validate_Empty!C172&lt;&gt;"",Validate_Value!C172&lt;&gt;""),"",IF(OR(NOT(OR(LEN(TRIM('Raw Data'!B172:X172))&gt;0)),OR('Raw Data'!C172="",LEN(TRIM('Raw Data'!C172))=0)),"",IF(OR(AND('Raw Data'!B172="Main Contract", LEFT('Raw Data'!C172, LEN("Payment"))="Payment"),AND('Raw Data'!B172="Change Order", LEFT('Raw Data'!C172, LEN("CO Payment No."))="CO Payment No.")),"",_xlfn.REGEXEXTRACT(CELL("address",'Raw Data'!C172),"\$([A-Z]+)\$[0-9]+"))))</f>
        <v/>
      </c>
      <c r="D172" s="7"/>
      <c r="E172" s="7"/>
      <c r="F172" s="7"/>
      <c r="G172" s="7"/>
      <c r="H172" s="7"/>
      <c r="I172" s="7"/>
      <c r="J172" s="7"/>
      <c r="K172" s="7"/>
      <c r="L172" s="7"/>
      <c r="M172" s="7" t="str" cm="1">
        <f t="array" aca="1" ref="M172" ca="1">IF(OR('Raw Data'!M172="",LEN(TRIM('Raw Data'!M172))=0,Validate_Empty!M172&lt;&gt;"",Validate_Value!M172&lt;&gt;""),"",IF(OR(NOT(OR(LEN(TRIM('Raw Data'!B172:X172))&gt;0)),OR('Raw Data'!M172="",LEN(TRIM('Raw Data'!M172))=0)),"",IF('Raw Data'!M172 = SUM('Raw Data'!K172:L172),"",_xlfn.REGEXEXTRACT(CELL("address",'Raw Data'!M172),"\$([A-Z]+)\$[0-9]+"))))</f>
        <v/>
      </c>
      <c r="N172" s="7"/>
      <c r="O172" s="7"/>
      <c r="P172" s="7" t="str" cm="1">
        <f t="array" aca="1" ref="P172" ca="1">IF(OR('Raw Data'!P172="",LEN(TRIM('Raw Data'!P172))=0,Validate_Empty!P172&lt;&gt;"",Validate_Value!P172&lt;&gt;""),"",IF(OR(NOT(OR(LEN(TRIM('Raw Data'!B172:X172))&gt;0)),OR('Raw Data'!P172="",LEN(TRIM('Raw Data'!P172))=0)),"",IF(AND('Raw Data'!J172 + Configuration!$G$2 + 5 &gt;= 'Raw Data'!P172,'Raw Data'!J172 + Configuration!$G$2 - 5 &lt;= 'Raw Data'!P172),"",_xlfn.REGEXEXTRACT(CELL("address",'Raw Data'!P172),"\$([A-Z]+)\$[0-9]+"))))</f>
        <v/>
      </c>
      <c r="Q172" s="7"/>
      <c r="R172" s="7"/>
      <c r="S172" s="7"/>
      <c r="T172" s="7" t="str" cm="1">
        <f t="array" aca="1" ref="T172" ca="1">IF(OR('Raw Data'!T172="",LEN(TRIM('Raw Data'!T172))=0,Validate_Empty!T172&lt;&gt;"",Validate_Value!T172&lt;&gt;""),"",IF(OR(NOT(OR(LEN(TRIM('Raw Data'!B172:X172))&gt;0)),OR('Raw Data'!T172="",LEN(TRIM('Raw Data'!T172))=0)),"",IF('Raw Data'!T172 = SUM('Raw Data'!R172:S172),"",_xlfn.REGEXEXTRACT(CELL("address",'Raw Data'!T172),"\$([A-Z]+)\$[0-9]+"))))</f>
        <v/>
      </c>
      <c r="U172" s="7" t="str" cm="1">
        <f t="array" aca="1" ref="U172" ca="1">IF(OR('Raw Data'!U172="",LEN(TRIM('Raw Data'!U172))=0,Validate_Empty!U172&lt;&gt;"",Validate_Value!U172&lt;&gt;""),"",IF(OR(NOT(OR(LEN(TRIM('Raw Data'!B172:X172))&gt;0)),OR('Raw Data'!T172="",LEN(TRIM('Raw Data'!T172))=0)),"",IF(ISNUMBER(SEARCH('Raw Data'!U172, Configuration!$H$2)),"",_xlfn.REGEXEXTRACT(CELL("address",'Raw Data'!U172),"\$([A-Z]+)\$[0-9]+"))))</f>
        <v/>
      </c>
      <c r="V172" s="7" t="str" cm="1">
        <f t="array" aca="1" ref="V172" ca="1">IF(OR('Raw Data'!V172="",LEN(TRIM('Raw Data'!V172))=0,Validate_Empty!V172&lt;&gt;"",Validate_Value!V172&lt;&gt;""),"",IF(OR(NOT(OR(LEN(TRIM('Raw Data'!B172:X172))&gt;0)),OR('Raw Data'!V172="",LEN(TRIM('Raw Data'!V172))=0)),"",IF('Raw Data'!V172 = Configuration!$I$2,"",_xlfn.REGEXEXTRACT(CELL("address",'Raw Data'!V172),"\$([A-Z]+)\$[0-9]+"))))</f>
        <v/>
      </c>
      <c r="W172" s="7"/>
      <c r="X172" s="7"/>
    </row>
    <row r="173" spans="2:24" x14ac:dyDescent="0.25">
      <c r="B173" s="7"/>
      <c r="C173" s="7" t="str" cm="1">
        <f t="array" aca="1" ref="C173" ca="1">IF(OR('Raw Data'!C173="",LEN(TRIM('Raw Data'!C173))=0,Validate_Empty!C173&lt;&gt;"",Validate_Value!C173&lt;&gt;""),"",IF(OR(NOT(OR(LEN(TRIM('Raw Data'!B173:X173))&gt;0)),OR('Raw Data'!C173="",LEN(TRIM('Raw Data'!C173))=0)),"",IF(OR(AND('Raw Data'!B173="Main Contract", LEFT('Raw Data'!C173, LEN("Payment"))="Payment"),AND('Raw Data'!B173="Change Order", LEFT('Raw Data'!C173, LEN("CO Payment No."))="CO Payment No.")),"",_xlfn.REGEXEXTRACT(CELL("address",'Raw Data'!C173),"\$([A-Z]+)\$[0-9]+"))))</f>
        <v/>
      </c>
      <c r="D173" s="7"/>
      <c r="E173" s="7"/>
      <c r="F173" s="7"/>
      <c r="G173" s="7"/>
      <c r="H173" s="7"/>
      <c r="I173" s="7"/>
      <c r="J173" s="7"/>
      <c r="K173" s="7"/>
      <c r="L173" s="7"/>
      <c r="M173" s="7" t="str" cm="1">
        <f t="array" aca="1" ref="M173" ca="1">IF(OR('Raw Data'!M173="",LEN(TRIM('Raw Data'!M173))=0,Validate_Empty!M173&lt;&gt;"",Validate_Value!M173&lt;&gt;""),"",IF(OR(NOT(OR(LEN(TRIM('Raw Data'!B173:X173))&gt;0)),OR('Raw Data'!M173="",LEN(TRIM('Raw Data'!M173))=0)),"",IF('Raw Data'!M173 = SUM('Raw Data'!K173:L173),"",_xlfn.REGEXEXTRACT(CELL("address",'Raw Data'!M173),"\$([A-Z]+)\$[0-9]+"))))</f>
        <v/>
      </c>
      <c r="N173" s="7"/>
      <c r="O173" s="7"/>
      <c r="P173" s="7" t="str" cm="1">
        <f t="array" aca="1" ref="P173" ca="1">IF(OR('Raw Data'!P173="",LEN(TRIM('Raw Data'!P173))=0,Validate_Empty!P173&lt;&gt;"",Validate_Value!P173&lt;&gt;""),"",IF(OR(NOT(OR(LEN(TRIM('Raw Data'!B173:X173))&gt;0)),OR('Raw Data'!P173="",LEN(TRIM('Raw Data'!P173))=0)),"",IF(AND('Raw Data'!J173 + Configuration!$G$2 + 5 &gt;= 'Raw Data'!P173,'Raw Data'!J173 + Configuration!$G$2 - 5 &lt;= 'Raw Data'!P173),"",_xlfn.REGEXEXTRACT(CELL("address",'Raw Data'!P173),"\$([A-Z]+)\$[0-9]+"))))</f>
        <v/>
      </c>
      <c r="Q173" s="7"/>
      <c r="R173" s="7"/>
      <c r="S173" s="7"/>
      <c r="T173" s="7" t="str" cm="1">
        <f t="array" aca="1" ref="T173" ca="1">IF(OR('Raw Data'!T173="",LEN(TRIM('Raw Data'!T173))=0,Validate_Empty!T173&lt;&gt;"",Validate_Value!T173&lt;&gt;""),"",IF(OR(NOT(OR(LEN(TRIM('Raw Data'!B173:X173))&gt;0)),OR('Raw Data'!T173="",LEN(TRIM('Raw Data'!T173))=0)),"",IF('Raw Data'!T173 = SUM('Raw Data'!R173:S173),"",_xlfn.REGEXEXTRACT(CELL("address",'Raw Data'!T173),"\$([A-Z]+)\$[0-9]+"))))</f>
        <v/>
      </c>
      <c r="U173" s="7" t="str" cm="1">
        <f t="array" aca="1" ref="U173" ca="1">IF(OR('Raw Data'!U173="",LEN(TRIM('Raw Data'!U173))=0,Validate_Empty!U173&lt;&gt;"",Validate_Value!U173&lt;&gt;""),"",IF(OR(NOT(OR(LEN(TRIM('Raw Data'!B173:X173))&gt;0)),OR('Raw Data'!T173="",LEN(TRIM('Raw Data'!T173))=0)),"",IF(ISNUMBER(SEARCH('Raw Data'!U173, Configuration!$H$2)),"",_xlfn.REGEXEXTRACT(CELL("address",'Raw Data'!U173),"\$([A-Z]+)\$[0-9]+"))))</f>
        <v/>
      </c>
      <c r="V173" s="7" t="str" cm="1">
        <f t="array" aca="1" ref="V173" ca="1">IF(OR('Raw Data'!V173="",LEN(TRIM('Raw Data'!V173))=0,Validate_Empty!V173&lt;&gt;"",Validate_Value!V173&lt;&gt;""),"",IF(OR(NOT(OR(LEN(TRIM('Raw Data'!B173:X173))&gt;0)),OR('Raw Data'!V173="",LEN(TRIM('Raw Data'!V173))=0)),"",IF('Raw Data'!V173 = Configuration!$I$2,"",_xlfn.REGEXEXTRACT(CELL("address",'Raw Data'!V173),"\$([A-Z]+)\$[0-9]+"))))</f>
        <v/>
      </c>
      <c r="W173" s="7"/>
      <c r="X173" s="7"/>
    </row>
    <row r="174" spans="2:24" x14ac:dyDescent="0.25">
      <c r="B174" s="7"/>
      <c r="C174" s="7" t="str" cm="1">
        <f t="array" aca="1" ref="C174" ca="1">IF(OR('Raw Data'!C174="",LEN(TRIM('Raw Data'!C174))=0,Validate_Empty!C174&lt;&gt;"",Validate_Value!C174&lt;&gt;""),"",IF(OR(NOT(OR(LEN(TRIM('Raw Data'!B174:X174))&gt;0)),OR('Raw Data'!C174="",LEN(TRIM('Raw Data'!C174))=0)),"",IF(OR(AND('Raw Data'!B174="Main Contract", LEFT('Raw Data'!C174, LEN("Payment"))="Payment"),AND('Raw Data'!B174="Change Order", LEFT('Raw Data'!C174, LEN("CO Payment No."))="CO Payment No.")),"",_xlfn.REGEXEXTRACT(CELL("address",'Raw Data'!C174),"\$([A-Z]+)\$[0-9]+"))))</f>
        <v/>
      </c>
      <c r="D174" s="7"/>
      <c r="E174" s="7"/>
      <c r="F174" s="7"/>
      <c r="G174" s="7"/>
      <c r="H174" s="7"/>
      <c r="I174" s="7"/>
      <c r="J174" s="7"/>
      <c r="K174" s="7"/>
      <c r="L174" s="7"/>
      <c r="M174" s="7" t="str" cm="1">
        <f t="array" aca="1" ref="M174" ca="1">IF(OR('Raw Data'!M174="",LEN(TRIM('Raw Data'!M174))=0,Validate_Empty!M174&lt;&gt;"",Validate_Value!M174&lt;&gt;""),"",IF(OR(NOT(OR(LEN(TRIM('Raw Data'!B174:X174))&gt;0)),OR('Raw Data'!M174="",LEN(TRIM('Raw Data'!M174))=0)),"",IF('Raw Data'!M174 = SUM('Raw Data'!K174:L174),"",_xlfn.REGEXEXTRACT(CELL("address",'Raw Data'!M174),"\$([A-Z]+)\$[0-9]+"))))</f>
        <v/>
      </c>
      <c r="N174" s="7"/>
      <c r="O174" s="7"/>
      <c r="P174" s="7" t="str" cm="1">
        <f t="array" aca="1" ref="P174" ca="1">IF(OR('Raw Data'!P174="",LEN(TRIM('Raw Data'!P174))=0,Validate_Empty!P174&lt;&gt;"",Validate_Value!P174&lt;&gt;""),"",IF(OR(NOT(OR(LEN(TRIM('Raw Data'!B174:X174))&gt;0)),OR('Raw Data'!P174="",LEN(TRIM('Raw Data'!P174))=0)),"",IF(AND('Raw Data'!J174 + Configuration!$G$2 + 5 &gt;= 'Raw Data'!P174,'Raw Data'!J174 + Configuration!$G$2 - 5 &lt;= 'Raw Data'!P174),"",_xlfn.REGEXEXTRACT(CELL("address",'Raw Data'!P174),"\$([A-Z]+)\$[0-9]+"))))</f>
        <v/>
      </c>
      <c r="Q174" s="7"/>
      <c r="R174" s="7"/>
      <c r="S174" s="7"/>
      <c r="T174" s="7" t="str" cm="1">
        <f t="array" aca="1" ref="T174" ca="1">IF(OR('Raw Data'!T174="",LEN(TRIM('Raw Data'!T174))=0,Validate_Empty!T174&lt;&gt;"",Validate_Value!T174&lt;&gt;""),"",IF(OR(NOT(OR(LEN(TRIM('Raw Data'!B174:X174))&gt;0)),OR('Raw Data'!T174="",LEN(TRIM('Raw Data'!T174))=0)),"",IF('Raw Data'!T174 = SUM('Raw Data'!R174:S174),"",_xlfn.REGEXEXTRACT(CELL("address",'Raw Data'!T174),"\$([A-Z]+)\$[0-9]+"))))</f>
        <v/>
      </c>
      <c r="U174" s="7" t="str" cm="1">
        <f t="array" aca="1" ref="U174" ca="1">IF(OR('Raw Data'!U174="",LEN(TRIM('Raw Data'!U174))=0,Validate_Empty!U174&lt;&gt;"",Validate_Value!U174&lt;&gt;""),"",IF(OR(NOT(OR(LEN(TRIM('Raw Data'!B174:X174))&gt;0)),OR('Raw Data'!T174="",LEN(TRIM('Raw Data'!T174))=0)),"",IF(ISNUMBER(SEARCH('Raw Data'!U174, Configuration!$H$2)),"",_xlfn.REGEXEXTRACT(CELL("address",'Raw Data'!U174),"\$([A-Z]+)\$[0-9]+"))))</f>
        <v/>
      </c>
      <c r="V174" s="7" t="str" cm="1">
        <f t="array" aca="1" ref="V174" ca="1">IF(OR('Raw Data'!V174="",LEN(TRIM('Raw Data'!V174))=0,Validate_Empty!V174&lt;&gt;"",Validate_Value!V174&lt;&gt;""),"",IF(OR(NOT(OR(LEN(TRIM('Raw Data'!B174:X174))&gt;0)),OR('Raw Data'!V174="",LEN(TRIM('Raw Data'!V174))=0)),"",IF('Raw Data'!V174 = Configuration!$I$2,"",_xlfn.REGEXEXTRACT(CELL("address",'Raw Data'!V174),"\$([A-Z]+)\$[0-9]+"))))</f>
        <v/>
      </c>
      <c r="W174" s="7"/>
      <c r="X174" s="7"/>
    </row>
    <row r="175" spans="2:24" x14ac:dyDescent="0.25">
      <c r="B175" s="7"/>
      <c r="C175" s="7" t="str" cm="1">
        <f t="array" aca="1" ref="C175" ca="1">IF(OR('Raw Data'!C175="",LEN(TRIM('Raw Data'!C175))=0,Validate_Empty!C175&lt;&gt;"",Validate_Value!C175&lt;&gt;""),"",IF(OR(NOT(OR(LEN(TRIM('Raw Data'!B175:X175))&gt;0)),OR('Raw Data'!C175="",LEN(TRIM('Raw Data'!C175))=0)),"",IF(OR(AND('Raw Data'!B175="Main Contract", LEFT('Raw Data'!C175, LEN("Payment"))="Payment"),AND('Raw Data'!B175="Change Order", LEFT('Raw Data'!C175, LEN("CO Payment No."))="CO Payment No.")),"",_xlfn.REGEXEXTRACT(CELL("address",'Raw Data'!C175),"\$([A-Z]+)\$[0-9]+"))))</f>
        <v/>
      </c>
      <c r="D175" s="7"/>
      <c r="E175" s="7"/>
      <c r="F175" s="7"/>
      <c r="G175" s="7"/>
      <c r="H175" s="7"/>
      <c r="I175" s="7"/>
      <c r="J175" s="7"/>
      <c r="K175" s="7"/>
      <c r="L175" s="7"/>
      <c r="M175" s="7" t="str" cm="1">
        <f t="array" aca="1" ref="M175" ca="1">IF(OR('Raw Data'!M175="",LEN(TRIM('Raw Data'!M175))=0,Validate_Empty!M175&lt;&gt;"",Validate_Value!M175&lt;&gt;""),"",IF(OR(NOT(OR(LEN(TRIM('Raw Data'!B175:X175))&gt;0)),OR('Raw Data'!M175="",LEN(TRIM('Raw Data'!M175))=0)),"",IF('Raw Data'!M175 = SUM('Raw Data'!K175:L175),"",_xlfn.REGEXEXTRACT(CELL("address",'Raw Data'!M175),"\$([A-Z]+)\$[0-9]+"))))</f>
        <v/>
      </c>
      <c r="N175" s="7"/>
      <c r="O175" s="7"/>
      <c r="P175" s="7" t="str" cm="1">
        <f t="array" aca="1" ref="P175" ca="1">IF(OR('Raw Data'!P175="",LEN(TRIM('Raw Data'!P175))=0,Validate_Empty!P175&lt;&gt;"",Validate_Value!P175&lt;&gt;""),"",IF(OR(NOT(OR(LEN(TRIM('Raw Data'!B175:X175))&gt;0)),OR('Raw Data'!P175="",LEN(TRIM('Raw Data'!P175))=0)),"",IF(AND('Raw Data'!J175 + Configuration!$G$2 + 5 &gt;= 'Raw Data'!P175,'Raw Data'!J175 + Configuration!$G$2 - 5 &lt;= 'Raw Data'!P175),"",_xlfn.REGEXEXTRACT(CELL("address",'Raw Data'!P175),"\$([A-Z]+)\$[0-9]+"))))</f>
        <v/>
      </c>
      <c r="Q175" s="7"/>
      <c r="R175" s="7"/>
      <c r="S175" s="7"/>
      <c r="T175" s="7" t="str" cm="1">
        <f t="array" aca="1" ref="T175" ca="1">IF(OR('Raw Data'!T175="",LEN(TRIM('Raw Data'!T175))=0,Validate_Empty!T175&lt;&gt;"",Validate_Value!T175&lt;&gt;""),"",IF(OR(NOT(OR(LEN(TRIM('Raw Data'!B175:X175))&gt;0)),OR('Raw Data'!T175="",LEN(TRIM('Raw Data'!T175))=0)),"",IF('Raw Data'!T175 = SUM('Raw Data'!R175:S175),"",_xlfn.REGEXEXTRACT(CELL("address",'Raw Data'!T175),"\$([A-Z]+)\$[0-9]+"))))</f>
        <v/>
      </c>
      <c r="U175" s="7" t="str" cm="1">
        <f t="array" aca="1" ref="U175" ca="1">IF(OR('Raw Data'!U175="",LEN(TRIM('Raw Data'!U175))=0,Validate_Empty!U175&lt;&gt;"",Validate_Value!U175&lt;&gt;""),"",IF(OR(NOT(OR(LEN(TRIM('Raw Data'!B175:X175))&gt;0)),OR('Raw Data'!T175="",LEN(TRIM('Raw Data'!T175))=0)),"",IF(ISNUMBER(SEARCH('Raw Data'!U175, Configuration!$H$2)),"",_xlfn.REGEXEXTRACT(CELL("address",'Raw Data'!U175),"\$([A-Z]+)\$[0-9]+"))))</f>
        <v/>
      </c>
      <c r="V175" s="7" t="str" cm="1">
        <f t="array" aca="1" ref="V175" ca="1">IF(OR('Raw Data'!V175="",LEN(TRIM('Raw Data'!V175))=0,Validate_Empty!V175&lt;&gt;"",Validate_Value!V175&lt;&gt;""),"",IF(OR(NOT(OR(LEN(TRIM('Raw Data'!B175:X175))&gt;0)),OR('Raw Data'!V175="",LEN(TRIM('Raw Data'!V175))=0)),"",IF('Raw Data'!V175 = Configuration!$I$2,"",_xlfn.REGEXEXTRACT(CELL("address",'Raw Data'!V175),"\$([A-Z]+)\$[0-9]+"))))</f>
        <v/>
      </c>
      <c r="W175" s="7"/>
      <c r="X175" s="7"/>
    </row>
    <row r="176" spans="2:24" x14ac:dyDescent="0.25">
      <c r="B176" s="7"/>
      <c r="C176" s="7" t="str" cm="1">
        <f t="array" aca="1" ref="C176" ca="1">IF(OR('Raw Data'!C176="",LEN(TRIM('Raw Data'!C176))=0,Validate_Empty!C176&lt;&gt;"",Validate_Value!C176&lt;&gt;""),"",IF(OR(NOT(OR(LEN(TRIM('Raw Data'!B176:X176))&gt;0)),OR('Raw Data'!C176="",LEN(TRIM('Raw Data'!C176))=0)),"",IF(OR(AND('Raw Data'!B176="Main Contract", LEFT('Raw Data'!C176, LEN("Payment"))="Payment"),AND('Raw Data'!B176="Change Order", LEFT('Raw Data'!C176, LEN("CO Payment No."))="CO Payment No.")),"",_xlfn.REGEXEXTRACT(CELL("address",'Raw Data'!C176),"\$([A-Z]+)\$[0-9]+"))))</f>
        <v/>
      </c>
      <c r="D176" s="7"/>
      <c r="E176" s="7"/>
      <c r="F176" s="7"/>
      <c r="G176" s="7"/>
      <c r="H176" s="7"/>
      <c r="I176" s="7"/>
      <c r="J176" s="7"/>
      <c r="K176" s="7"/>
      <c r="L176" s="7"/>
      <c r="M176" s="7" t="str" cm="1">
        <f t="array" aca="1" ref="M176" ca="1">IF(OR('Raw Data'!M176="",LEN(TRIM('Raw Data'!M176))=0,Validate_Empty!M176&lt;&gt;"",Validate_Value!M176&lt;&gt;""),"",IF(OR(NOT(OR(LEN(TRIM('Raw Data'!B176:X176))&gt;0)),OR('Raw Data'!M176="",LEN(TRIM('Raw Data'!M176))=0)),"",IF('Raw Data'!M176 = SUM('Raw Data'!K176:L176),"",_xlfn.REGEXEXTRACT(CELL("address",'Raw Data'!M176),"\$([A-Z]+)\$[0-9]+"))))</f>
        <v/>
      </c>
      <c r="N176" s="7"/>
      <c r="O176" s="7"/>
      <c r="P176" s="7" t="str" cm="1">
        <f t="array" aca="1" ref="P176" ca="1">IF(OR('Raw Data'!P176="",LEN(TRIM('Raw Data'!P176))=0,Validate_Empty!P176&lt;&gt;"",Validate_Value!P176&lt;&gt;""),"",IF(OR(NOT(OR(LEN(TRIM('Raw Data'!B176:X176))&gt;0)),OR('Raw Data'!P176="",LEN(TRIM('Raw Data'!P176))=0)),"",IF(AND('Raw Data'!J176 + Configuration!$G$2 + 5 &gt;= 'Raw Data'!P176,'Raw Data'!J176 + Configuration!$G$2 - 5 &lt;= 'Raw Data'!P176),"",_xlfn.REGEXEXTRACT(CELL("address",'Raw Data'!P176),"\$([A-Z]+)\$[0-9]+"))))</f>
        <v/>
      </c>
      <c r="Q176" s="7"/>
      <c r="R176" s="7"/>
      <c r="S176" s="7"/>
      <c r="T176" s="7" t="str" cm="1">
        <f t="array" aca="1" ref="T176" ca="1">IF(OR('Raw Data'!T176="",LEN(TRIM('Raw Data'!T176))=0,Validate_Empty!T176&lt;&gt;"",Validate_Value!T176&lt;&gt;""),"",IF(OR(NOT(OR(LEN(TRIM('Raw Data'!B176:X176))&gt;0)),OR('Raw Data'!T176="",LEN(TRIM('Raw Data'!T176))=0)),"",IF('Raw Data'!T176 = SUM('Raw Data'!R176:S176),"",_xlfn.REGEXEXTRACT(CELL("address",'Raw Data'!T176),"\$([A-Z]+)\$[0-9]+"))))</f>
        <v/>
      </c>
      <c r="U176" s="7" t="str" cm="1">
        <f t="array" aca="1" ref="U176" ca="1">IF(OR('Raw Data'!U176="",LEN(TRIM('Raw Data'!U176))=0,Validate_Empty!U176&lt;&gt;"",Validate_Value!U176&lt;&gt;""),"",IF(OR(NOT(OR(LEN(TRIM('Raw Data'!B176:X176))&gt;0)),OR('Raw Data'!T176="",LEN(TRIM('Raw Data'!T176))=0)),"",IF(ISNUMBER(SEARCH('Raw Data'!U176, Configuration!$H$2)),"",_xlfn.REGEXEXTRACT(CELL("address",'Raw Data'!U176),"\$([A-Z]+)\$[0-9]+"))))</f>
        <v/>
      </c>
      <c r="V176" s="7" t="str" cm="1">
        <f t="array" aca="1" ref="V176" ca="1">IF(OR('Raw Data'!V176="",LEN(TRIM('Raw Data'!V176))=0,Validate_Empty!V176&lt;&gt;"",Validate_Value!V176&lt;&gt;""),"",IF(OR(NOT(OR(LEN(TRIM('Raw Data'!B176:X176))&gt;0)),OR('Raw Data'!V176="",LEN(TRIM('Raw Data'!V176))=0)),"",IF('Raw Data'!V176 = Configuration!$I$2,"",_xlfn.REGEXEXTRACT(CELL("address",'Raw Data'!V176),"\$([A-Z]+)\$[0-9]+"))))</f>
        <v/>
      </c>
      <c r="W176" s="7"/>
      <c r="X176" s="7"/>
    </row>
    <row r="177" spans="2:24" x14ac:dyDescent="0.25">
      <c r="B177" s="7"/>
      <c r="C177" s="7" t="str" cm="1">
        <f t="array" aca="1" ref="C177" ca="1">IF(OR('Raw Data'!C177="",LEN(TRIM('Raw Data'!C177))=0,Validate_Empty!C177&lt;&gt;"",Validate_Value!C177&lt;&gt;""),"",IF(OR(NOT(OR(LEN(TRIM('Raw Data'!B177:X177))&gt;0)),OR('Raw Data'!C177="",LEN(TRIM('Raw Data'!C177))=0)),"",IF(OR(AND('Raw Data'!B177="Main Contract", LEFT('Raw Data'!C177, LEN("Payment"))="Payment"),AND('Raw Data'!B177="Change Order", LEFT('Raw Data'!C177, LEN("CO Payment No."))="CO Payment No.")),"",_xlfn.REGEXEXTRACT(CELL("address",'Raw Data'!C177),"\$([A-Z]+)\$[0-9]+"))))</f>
        <v/>
      </c>
      <c r="D177" s="7"/>
      <c r="E177" s="7"/>
      <c r="F177" s="7"/>
      <c r="G177" s="7"/>
      <c r="H177" s="7"/>
      <c r="I177" s="7"/>
      <c r="J177" s="7"/>
      <c r="K177" s="7"/>
      <c r="L177" s="7"/>
      <c r="M177" s="7" t="str" cm="1">
        <f t="array" aca="1" ref="M177" ca="1">IF(OR('Raw Data'!M177="",LEN(TRIM('Raw Data'!M177))=0,Validate_Empty!M177&lt;&gt;"",Validate_Value!M177&lt;&gt;""),"",IF(OR(NOT(OR(LEN(TRIM('Raw Data'!B177:X177))&gt;0)),OR('Raw Data'!M177="",LEN(TRIM('Raw Data'!M177))=0)),"",IF('Raw Data'!M177 = SUM('Raw Data'!K177:L177),"",_xlfn.REGEXEXTRACT(CELL("address",'Raw Data'!M177),"\$([A-Z]+)\$[0-9]+"))))</f>
        <v/>
      </c>
      <c r="N177" s="7"/>
      <c r="O177" s="7"/>
      <c r="P177" s="7" t="str" cm="1">
        <f t="array" aca="1" ref="P177" ca="1">IF(OR('Raw Data'!P177="",LEN(TRIM('Raw Data'!P177))=0,Validate_Empty!P177&lt;&gt;"",Validate_Value!P177&lt;&gt;""),"",IF(OR(NOT(OR(LEN(TRIM('Raw Data'!B177:X177))&gt;0)),OR('Raw Data'!P177="",LEN(TRIM('Raw Data'!P177))=0)),"",IF(AND('Raw Data'!J177 + Configuration!$G$2 + 5 &gt;= 'Raw Data'!P177,'Raw Data'!J177 + Configuration!$G$2 - 5 &lt;= 'Raw Data'!P177),"",_xlfn.REGEXEXTRACT(CELL("address",'Raw Data'!P177),"\$([A-Z]+)\$[0-9]+"))))</f>
        <v/>
      </c>
      <c r="Q177" s="7"/>
      <c r="R177" s="7"/>
      <c r="S177" s="7"/>
      <c r="T177" s="7" t="str" cm="1">
        <f t="array" aca="1" ref="T177" ca="1">IF(OR('Raw Data'!T177="",LEN(TRIM('Raw Data'!T177))=0,Validate_Empty!T177&lt;&gt;"",Validate_Value!T177&lt;&gt;""),"",IF(OR(NOT(OR(LEN(TRIM('Raw Data'!B177:X177))&gt;0)),OR('Raw Data'!T177="",LEN(TRIM('Raw Data'!T177))=0)),"",IF('Raw Data'!T177 = SUM('Raw Data'!R177:S177),"",_xlfn.REGEXEXTRACT(CELL("address",'Raw Data'!T177),"\$([A-Z]+)\$[0-9]+"))))</f>
        <v/>
      </c>
      <c r="U177" s="7" t="str" cm="1">
        <f t="array" aca="1" ref="U177" ca="1">IF(OR('Raw Data'!U177="",LEN(TRIM('Raw Data'!U177))=0,Validate_Empty!U177&lt;&gt;"",Validate_Value!U177&lt;&gt;""),"",IF(OR(NOT(OR(LEN(TRIM('Raw Data'!B177:X177))&gt;0)),OR('Raw Data'!T177="",LEN(TRIM('Raw Data'!T177))=0)),"",IF(ISNUMBER(SEARCH('Raw Data'!U177, Configuration!$H$2)),"",_xlfn.REGEXEXTRACT(CELL("address",'Raw Data'!U177),"\$([A-Z]+)\$[0-9]+"))))</f>
        <v/>
      </c>
      <c r="V177" s="7" t="str" cm="1">
        <f t="array" aca="1" ref="V177" ca="1">IF(OR('Raw Data'!V177="",LEN(TRIM('Raw Data'!V177))=0,Validate_Empty!V177&lt;&gt;"",Validate_Value!V177&lt;&gt;""),"",IF(OR(NOT(OR(LEN(TRIM('Raw Data'!B177:X177))&gt;0)),OR('Raw Data'!V177="",LEN(TRIM('Raw Data'!V177))=0)),"",IF('Raw Data'!V177 = Configuration!$I$2,"",_xlfn.REGEXEXTRACT(CELL("address",'Raw Data'!V177),"\$([A-Z]+)\$[0-9]+"))))</f>
        <v/>
      </c>
      <c r="W177" s="7"/>
      <c r="X177" s="7"/>
    </row>
    <row r="178" spans="2:24" x14ac:dyDescent="0.25">
      <c r="B178" s="7"/>
      <c r="C178" s="7" t="str" cm="1">
        <f t="array" aca="1" ref="C178" ca="1">IF(OR('Raw Data'!C178="",LEN(TRIM('Raw Data'!C178))=0,Validate_Empty!C178&lt;&gt;"",Validate_Value!C178&lt;&gt;""),"",IF(OR(NOT(OR(LEN(TRIM('Raw Data'!B178:X178))&gt;0)),OR('Raw Data'!C178="",LEN(TRIM('Raw Data'!C178))=0)),"",IF(OR(AND('Raw Data'!B178="Main Contract", LEFT('Raw Data'!C178, LEN("Payment"))="Payment"),AND('Raw Data'!B178="Change Order", LEFT('Raw Data'!C178, LEN("CO Payment No."))="CO Payment No.")),"",_xlfn.REGEXEXTRACT(CELL("address",'Raw Data'!C178),"\$([A-Z]+)\$[0-9]+"))))</f>
        <v/>
      </c>
      <c r="D178" s="7"/>
      <c r="E178" s="7"/>
      <c r="F178" s="7"/>
      <c r="G178" s="7"/>
      <c r="H178" s="7"/>
      <c r="I178" s="7"/>
      <c r="J178" s="7"/>
      <c r="K178" s="7"/>
      <c r="L178" s="7"/>
      <c r="M178" s="7" t="str" cm="1">
        <f t="array" aca="1" ref="M178" ca="1">IF(OR('Raw Data'!M178="",LEN(TRIM('Raw Data'!M178))=0,Validate_Empty!M178&lt;&gt;"",Validate_Value!M178&lt;&gt;""),"",IF(OR(NOT(OR(LEN(TRIM('Raw Data'!B178:X178))&gt;0)),OR('Raw Data'!M178="",LEN(TRIM('Raw Data'!M178))=0)),"",IF('Raw Data'!M178 = SUM('Raw Data'!K178:L178),"",_xlfn.REGEXEXTRACT(CELL("address",'Raw Data'!M178),"\$([A-Z]+)\$[0-9]+"))))</f>
        <v/>
      </c>
      <c r="N178" s="7"/>
      <c r="O178" s="7"/>
      <c r="P178" s="7" t="str" cm="1">
        <f t="array" aca="1" ref="P178" ca="1">IF(OR('Raw Data'!P178="",LEN(TRIM('Raw Data'!P178))=0,Validate_Empty!P178&lt;&gt;"",Validate_Value!P178&lt;&gt;""),"",IF(OR(NOT(OR(LEN(TRIM('Raw Data'!B178:X178))&gt;0)),OR('Raw Data'!P178="",LEN(TRIM('Raw Data'!P178))=0)),"",IF(AND('Raw Data'!J178 + Configuration!$G$2 + 5 &gt;= 'Raw Data'!P178,'Raw Data'!J178 + Configuration!$G$2 - 5 &lt;= 'Raw Data'!P178),"",_xlfn.REGEXEXTRACT(CELL("address",'Raw Data'!P178),"\$([A-Z]+)\$[0-9]+"))))</f>
        <v/>
      </c>
      <c r="Q178" s="7"/>
      <c r="R178" s="7"/>
      <c r="S178" s="7"/>
      <c r="T178" s="7" t="str" cm="1">
        <f t="array" aca="1" ref="T178" ca="1">IF(OR('Raw Data'!T178="",LEN(TRIM('Raw Data'!T178))=0,Validate_Empty!T178&lt;&gt;"",Validate_Value!T178&lt;&gt;""),"",IF(OR(NOT(OR(LEN(TRIM('Raw Data'!B178:X178))&gt;0)),OR('Raw Data'!T178="",LEN(TRIM('Raw Data'!T178))=0)),"",IF('Raw Data'!T178 = SUM('Raw Data'!R178:S178),"",_xlfn.REGEXEXTRACT(CELL("address",'Raw Data'!T178),"\$([A-Z]+)\$[0-9]+"))))</f>
        <v/>
      </c>
      <c r="U178" s="7" t="str" cm="1">
        <f t="array" aca="1" ref="U178" ca="1">IF(OR('Raw Data'!U178="",LEN(TRIM('Raw Data'!U178))=0,Validate_Empty!U178&lt;&gt;"",Validate_Value!U178&lt;&gt;""),"",IF(OR(NOT(OR(LEN(TRIM('Raw Data'!B178:X178))&gt;0)),OR('Raw Data'!T178="",LEN(TRIM('Raw Data'!T178))=0)),"",IF(ISNUMBER(SEARCH('Raw Data'!U178, Configuration!$H$2)),"",_xlfn.REGEXEXTRACT(CELL("address",'Raw Data'!U178),"\$([A-Z]+)\$[0-9]+"))))</f>
        <v/>
      </c>
      <c r="V178" s="7" t="str" cm="1">
        <f t="array" aca="1" ref="V178" ca="1">IF(OR('Raw Data'!V178="",LEN(TRIM('Raw Data'!V178))=0,Validate_Empty!V178&lt;&gt;"",Validate_Value!V178&lt;&gt;""),"",IF(OR(NOT(OR(LEN(TRIM('Raw Data'!B178:X178))&gt;0)),OR('Raw Data'!V178="",LEN(TRIM('Raw Data'!V178))=0)),"",IF('Raw Data'!V178 = Configuration!$I$2,"",_xlfn.REGEXEXTRACT(CELL("address",'Raw Data'!V178),"\$([A-Z]+)\$[0-9]+"))))</f>
        <v/>
      </c>
      <c r="W178" s="7"/>
      <c r="X178" s="7"/>
    </row>
    <row r="179" spans="2:24" x14ac:dyDescent="0.25">
      <c r="B179" s="7"/>
      <c r="C179" s="7" t="str" cm="1">
        <f t="array" aca="1" ref="C179" ca="1">IF(OR('Raw Data'!C179="",LEN(TRIM('Raw Data'!C179))=0,Validate_Empty!C179&lt;&gt;"",Validate_Value!C179&lt;&gt;""),"",IF(OR(NOT(OR(LEN(TRIM('Raw Data'!B179:X179))&gt;0)),OR('Raw Data'!C179="",LEN(TRIM('Raw Data'!C179))=0)),"",IF(OR(AND('Raw Data'!B179="Main Contract", LEFT('Raw Data'!C179, LEN("Payment"))="Payment"),AND('Raw Data'!B179="Change Order", LEFT('Raw Data'!C179, LEN("CO Payment No."))="CO Payment No.")),"",_xlfn.REGEXEXTRACT(CELL("address",'Raw Data'!C179),"\$([A-Z]+)\$[0-9]+"))))</f>
        <v/>
      </c>
      <c r="D179" s="7"/>
      <c r="E179" s="7"/>
      <c r="F179" s="7"/>
      <c r="G179" s="7"/>
      <c r="H179" s="7"/>
      <c r="I179" s="7"/>
      <c r="J179" s="7"/>
      <c r="K179" s="7"/>
      <c r="L179" s="7"/>
      <c r="M179" s="7" t="str" cm="1">
        <f t="array" aca="1" ref="M179" ca="1">IF(OR('Raw Data'!M179="",LEN(TRIM('Raw Data'!M179))=0,Validate_Empty!M179&lt;&gt;"",Validate_Value!M179&lt;&gt;""),"",IF(OR(NOT(OR(LEN(TRIM('Raw Data'!B179:X179))&gt;0)),OR('Raw Data'!M179="",LEN(TRIM('Raw Data'!M179))=0)),"",IF('Raw Data'!M179 = SUM('Raw Data'!K179:L179),"",_xlfn.REGEXEXTRACT(CELL("address",'Raw Data'!M179),"\$([A-Z]+)\$[0-9]+"))))</f>
        <v/>
      </c>
      <c r="N179" s="7"/>
      <c r="O179" s="7"/>
      <c r="P179" s="7" t="str" cm="1">
        <f t="array" aca="1" ref="P179" ca="1">IF(OR('Raw Data'!P179="",LEN(TRIM('Raw Data'!P179))=0,Validate_Empty!P179&lt;&gt;"",Validate_Value!P179&lt;&gt;""),"",IF(OR(NOT(OR(LEN(TRIM('Raw Data'!B179:X179))&gt;0)),OR('Raw Data'!P179="",LEN(TRIM('Raw Data'!P179))=0)),"",IF(AND('Raw Data'!J179 + Configuration!$G$2 + 5 &gt;= 'Raw Data'!P179,'Raw Data'!J179 + Configuration!$G$2 - 5 &lt;= 'Raw Data'!P179),"",_xlfn.REGEXEXTRACT(CELL("address",'Raw Data'!P179),"\$([A-Z]+)\$[0-9]+"))))</f>
        <v/>
      </c>
      <c r="Q179" s="7"/>
      <c r="R179" s="7"/>
      <c r="S179" s="7"/>
      <c r="T179" s="7" t="str" cm="1">
        <f t="array" aca="1" ref="T179" ca="1">IF(OR('Raw Data'!T179="",LEN(TRIM('Raw Data'!T179))=0,Validate_Empty!T179&lt;&gt;"",Validate_Value!T179&lt;&gt;""),"",IF(OR(NOT(OR(LEN(TRIM('Raw Data'!B179:X179))&gt;0)),OR('Raw Data'!T179="",LEN(TRIM('Raw Data'!T179))=0)),"",IF('Raw Data'!T179 = SUM('Raw Data'!R179:S179),"",_xlfn.REGEXEXTRACT(CELL("address",'Raw Data'!T179),"\$([A-Z]+)\$[0-9]+"))))</f>
        <v/>
      </c>
      <c r="U179" s="7" t="str" cm="1">
        <f t="array" aca="1" ref="U179" ca="1">IF(OR('Raw Data'!U179="",LEN(TRIM('Raw Data'!U179))=0,Validate_Empty!U179&lt;&gt;"",Validate_Value!U179&lt;&gt;""),"",IF(OR(NOT(OR(LEN(TRIM('Raw Data'!B179:X179))&gt;0)),OR('Raw Data'!T179="",LEN(TRIM('Raw Data'!T179))=0)),"",IF(ISNUMBER(SEARCH('Raw Data'!U179, Configuration!$H$2)),"",_xlfn.REGEXEXTRACT(CELL("address",'Raw Data'!U179),"\$([A-Z]+)\$[0-9]+"))))</f>
        <v/>
      </c>
      <c r="V179" s="7" t="str" cm="1">
        <f t="array" aca="1" ref="V179" ca="1">IF(OR('Raw Data'!V179="",LEN(TRIM('Raw Data'!V179))=0,Validate_Empty!V179&lt;&gt;"",Validate_Value!V179&lt;&gt;""),"",IF(OR(NOT(OR(LEN(TRIM('Raw Data'!B179:X179))&gt;0)),OR('Raw Data'!V179="",LEN(TRIM('Raw Data'!V179))=0)),"",IF('Raw Data'!V179 = Configuration!$I$2,"",_xlfn.REGEXEXTRACT(CELL("address",'Raw Data'!V179),"\$([A-Z]+)\$[0-9]+"))))</f>
        <v/>
      </c>
      <c r="W179" s="7"/>
      <c r="X179" s="7"/>
    </row>
    <row r="180" spans="2:24" x14ac:dyDescent="0.25">
      <c r="B180" s="7"/>
      <c r="C180" s="7" t="str" cm="1">
        <f t="array" aca="1" ref="C180" ca="1">IF(OR('Raw Data'!C180="",LEN(TRIM('Raw Data'!C180))=0,Validate_Empty!C180&lt;&gt;"",Validate_Value!C180&lt;&gt;""),"",IF(OR(NOT(OR(LEN(TRIM('Raw Data'!B180:X180))&gt;0)),OR('Raw Data'!C180="",LEN(TRIM('Raw Data'!C180))=0)),"",IF(OR(AND('Raw Data'!B180="Main Contract", LEFT('Raw Data'!C180, LEN("Payment"))="Payment"),AND('Raw Data'!B180="Change Order", LEFT('Raw Data'!C180, LEN("CO Payment No."))="CO Payment No.")),"",_xlfn.REGEXEXTRACT(CELL("address",'Raw Data'!C180),"\$([A-Z]+)\$[0-9]+"))))</f>
        <v/>
      </c>
      <c r="D180" s="7"/>
      <c r="E180" s="7"/>
      <c r="F180" s="7"/>
      <c r="G180" s="7"/>
      <c r="H180" s="7"/>
      <c r="I180" s="7"/>
      <c r="J180" s="7"/>
      <c r="K180" s="7"/>
      <c r="L180" s="7"/>
      <c r="M180" s="7" t="str" cm="1">
        <f t="array" aca="1" ref="M180" ca="1">IF(OR('Raw Data'!M180="",LEN(TRIM('Raw Data'!M180))=0,Validate_Empty!M180&lt;&gt;"",Validate_Value!M180&lt;&gt;""),"",IF(OR(NOT(OR(LEN(TRIM('Raw Data'!B180:X180))&gt;0)),OR('Raw Data'!M180="",LEN(TRIM('Raw Data'!M180))=0)),"",IF('Raw Data'!M180 = SUM('Raw Data'!K180:L180),"",_xlfn.REGEXEXTRACT(CELL("address",'Raw Data'!M180),"\$([A-Z]+)\$[0-9]+"))))</f>
        <v/>
      </c>
      <c r="N180" s="7"/>
      <c r="O180" s="7"/>
      <c r="P180" s="7" t="str" cm="1">
        <f t="array" aca="1" ref="P180" ca="1">IF(OR('Raw Data'!P180="",LEN(TRIM('Raw Data'!P180))=0,Validate_Empty!P180&lt;&gt;"",Validate_Value!P180&lt;&gt;""),"",IF(OR(NOT(OR(LEN(TRIM('Raw Data'!B180:X180))&gt;0)),OR('Raw Data'!P180="",LEN(TRIM('Raw Data'!P180))=0)),"",IF(AND('Raw Data'!J180 + Configuration!$G$2 + 5 &gt;= 'Raw Data'!P180,'Raw Data'!J180 + Configuration!$G$2 - 5 &lt;= 'Raw Data'!P180),"",_xlfn.REGEXEXTRACT(CELL("address",'Raw Data'!P180),"\$([A-Z]+)\$[0-9]+"))))</f>
        <v/>
      </c>
      <c r="Q180" s="7"/>
      <c r="R180" s="7"/>
      <c r="S180" s="7"/>
      <c r="T180" s="7" t="str" cm="1">
        <f t="array" aca="1" ref="T180" ca="1">IF(OR('Raw Data'!T180="",LEN(TRIM('Raw Data'!T180))=0,Validate_Empty!T180&lt;&gt;"",Validate_Value!T180&lt;&gt;""),"",IF(OR(NOT(OR(LEN(TRIM('Raw Data'!B180:X180))&gt;0)),OR('Raw Data'!T180="",LEN(TRIM('Raw Data'!T180))=0)),"",IF('Raw Data'!T180 = SUM('Raw Data'!R180:S180),"",_xlfn.REGEXEXTRACT(CELL("address",'Raw Data'!T180),"\$([A-Z]+)\$[0-9]+"))))</f>
        <v/>
      </c>
      <c r="U180" s="7" t="str" cm="1">
        <f t="array" aca="1" ref="U180" ca="1">IF(OR('Raw Data'!U180="",LEN(TRIM('Raw Data'!U180))=0,Validate_Empty!U180&lt;&gt;"",Validate_Value!U180&lt;&gt;""),"",IF(OR(NOT(OR(LEN(TRIM('Raw Data'!B180:X180))&gt;0)),OR('Raw Data'!T180="",LEN(TRIM('Raw Data'!T180))=0)),"",IF(ISNUMBER(SEARCH('Raw Data'!U180, Configuration!$H$2)),"",_xlfn.REGEXEXTRACT(CELL("address",'Raw Data'!U180),"\$([A-Z]+)\$[0-9]+"))))</f>
        <v/>
      </c>
      <c r="V180" s="7" t="str" cm="1">
        <f t="array" aca="1" ref="V180" ca="1">IF(OR('Raw Data'!V180="",LEN(TRIM('Raw Data'!V180))=0,Validate_Empty!V180&lt;&gt;"",Validate_Value!V180&lt;&gt;""),"",IF(OR(NOT(OR(LEN(TRIM('Raw Data'!B180:X180))&gt;0)),OR('Raw Data'!V180="",LEN(TRIM('Raw Data'!V180))=0)),"",IF('Raw Data'!V180 = Configuration!$I$2,"",_xlfn.REGEXEXTRACT(CELL("address",'Raw Data'!V180),"\$([A-Z]+)\$[0-9]+"))))</f>
        <v/>
      </c>
      <c r="W180" s="7"/>
      <c r="X180" s="7"/>
    </row>
    <row r="181" spans="2:24" x14ac:dyDescent="0.25">
      <c r="B181" s="7"/>
      <c r="C181" s="7" t="str" cm="1">
        <f t="array" aca="1" ref="C181" ca="1">IF(OR('Raw Data'!C181="",LEN(TRIM('Raw Data'!C181))=0,Validate_Empty!C181&lt;&gt;"",Validate_Value!C181&lt;&gt;""),"",IF(OR(NOT(OR(LEN(TRIM('Raw Data'!B181:X181))&gt;0)),OR('Raw Data'!C181="",LEN(TRIM('Raw Data'!C181))=0)),"",IF(OR(AND('Raw Data'!B181="Main Contract", LEFT('Raw Data'!C181, LEN("Payment"))="Payment"),AND('Raw Data'!B181="Change Order", LEFT('Raw Data'!C181, LEN("CO Payment No."))="CO Payment No.")),"",_xlfn.REGEXEXTRACT(CELL("address",'Raw Data'!C181),"\$([A-Z]+)\$[0-9]+"))))</f>
        <v/>
      </c>
      <c r="D181" s="7"/>
      <c r="E181" s="7"/>
      <c r="F181" s="7"/>
      <c r="G181" s="7"/>
      <c r="H181" s="7"/>
      <c r="I181" s="7"/>
      <c r="J181" s="7"/>
      <c r="K181" s="7"/>
      <c r="L181" s="7"/>
      <c r="M181" s="7" t="str" cm="1">
        <f t="array" aca="1" ref="M181" ca="1">IF(OR('Raw Data'!M181="",LEN(TRIM('Raw Data'!M181))=0,Validate_Empty!M181&lt;&gt;"",Validate_Value!M181&lt;&gt;""),"",IF(OR(NOT(OR(LEN(TRIM('Raw Data'!B181:X181))&gt;0)),OR('Raw Data'!M181="",LEN(TRIM('Raw Data'!M181))=0)),"",IF('Raw Data'!M181 = SUM('Raw Data'!K181:L181),"",_xlfn.REGEXEXTRACT(CELL("address",'Raw Data'!M181),"\$([A-Z]+)\$[0-9]+"))))</f>
        <v/>
      </c>
      <c r="N181" s="7"/>
      <c r="O181" s="7"/>
      <c r="P181" s="7" t="str" cm="1">
        <f t="array" aca="1" ref="P181" ca="1">IF(OR('Raw Data'!P181="",LEN(TRIM('Raw Data'!P181))=0,Validate_Empty!P181&lt;&gt;"",Validate_Value!P181&lt;&gt;""),"",IF(OR(NOT(OR(LEN(TRIM('Raw Data'!B181:X181))&gt;0)),OR('Raw Data'!P181="",LEN(TRIM('Raw Data'!P181))=0)),"",IF(AND('Raw Data'!J181 + Configuration!$G$2 + 5 &gt;= 'Raw Data'!P181,'Raw Data'!J181 + Configuration!$G$2 - 5 &lt;= 'Raw Data'!P181),"",_xlfn.REGEXEXTRACT(CELL("address",'Raw Data'!P181),"\$([A-Z]+)\$[0-9]+"))))</f>
        <v/>
      </c>
      <c r="Q181" s="7"/>
      <c r="R181" s="7"/>
      <c r="S181" s="7"/>
      <c r="T181" s="7" t="str" cm="1">
        <f t="array" aca="1" ref="T181" ca="1">IF(OR('Raw Data'!T181="",LEN(TRIM('Raw Data'!T181))=0,Validate_Empty!T181&lt;&gt;"",Validate_Value!T181&lt;&gt;""),"",IF(OR(NOT(OR(LEN(TRIM('Raw Data'!B181:X181))&gt;0)),OR('Raw Data'!T181="",LEN(TRIM('Raw Data'!T181))=0)),"",IF('Raw Data'!T181 = SUM('Raw Data'!R181:S181),"",_xlfn.REGEXEXTRACT(CELL("address",'Raw Data'!T181),"\$([A-Z]+)\$[0-9]+"))))</f>
        <v/>
      </c>
      <c r="U181" s="7" t="str" cm="1">
        <f t="array" aca="1" ref="U181" ca="1">IF(OR('Raw Data'!U181="",LEN(TRIM('Raw Data'!U181))=0,Validate_Empty!U181&lt;&gt;"",Validate_Value!U181&lt;&gt;""),"",IF(OR(NOT(OR(LEN(TRIM('Raw Data'!B181:X181))&gt;0)),OR('Raw Data'!T181="",LEN(TRIM('Raw Data'!T181))=0)),"",IF(ISNUMBER(SEARCH('Raw Data'!U181, Configuration!$H$2)),"",_xlfn.REGEXEXTRACT(CELL("address",'Raw Data'!U181),"\$([A-Z]+)\$[0-9]+"))))</f>
        <v/>
      </c>
      <c r="V181" s="7" t="str" cm="1">
        <f t="array" aca="1" ref="V181" ca="1">IF(OR('Raw Data'!V181="",LEN(TRIM('Raw Data'!V181))=0,Validate_Empty!V181&lt;&gt;"",Validate_Value!V181&lt;&gt;""),"",IF(OR(NOT(OR(LEN(TRIM('Raw Data'!B181:X181))&gt;0)),OR('Raw Data'!V181="",LEN(TRIM('Raw Data'!V181))=0)),"",IF('Raw Data'!V181 = Configuration!$I$2,"",_xlfn.REGEXEXTRACT(CELL("address",'Raw Data'!V181),"\$([A-Z]+)\$[0-9]+"))))</f>
        <v/>
      </c>
      <c r="W181" s="7"/>
      <c r="X181" s="7"/>
    </row>
    <row r="182" spans="2:24" x14ac:dyDescent="0.25">
      <c r="B182" s="7"/>
      <c r="C182" s="7" t="str" cm="1">
        <f t="array" aca="1" ref="C182" ca="1">IF(OR('Raw Data'!C182="",LEN(TRIM('Raw Data'!C182))=0,Validate_Empty!C182&lt;&gt;"",Validate_Value!C182&lt;&gt;""),"",IF(OR(NOT(OR(LEN(TRIM('Raw Data'!B182:X182))&gt;0)),OR('Raw Data'!C182="",LEN(TRIM('Raw Data'!C182))=0)),"",IF(OR(AND('Raw Data'!B182="Main Contract", LEFT('Raw Data'!C182, LEN("Payment"))="Payment"),AND('Raw Data'!B182="Change Order", LEFT('Raw Data'!C182, LEN("CO Payment No."))="CO Payment No.")),"",_xlfn.REGEXEXTRACT(CELL("address",'Raw Data'!C182),"\$([A-Z]+)\$[0-9]+"))))</f>
        <v/>
      </c>
      <c r="D182" s="7"/>
      <c r="E182" s="7"/>
      <c r="F182" s="7"/>
      <c r="G182" s="7"/>
      <c r="H182" s="7"/>
      <c r="I182" s="7"/>
      <c r="J182" s="7"/>
      <c r="K182" s="7"/>
      <c r="L182" s="7"/>
      <c r="M182" s="7" t="str" cm="1">
        <f t="array" aca="1" ref="M182" ca="1">IF(OR('Raw Data'!M182="",LEN(TRIM('Raw Data'!M182))=0,Validate_Empty!M182&lt;&gt;"",Validate_Value!M182&lt;&gt;""),"",IF(OR(NOT(OR(LEN(TRIM('Raw Data'!B182:X182))&gt;0)),OR('Raw Data'!M182="",LEN(TRIM('Raw Data'!M182))=0)),"",IF('Raw Data'!M182 = SUM('Raw Data'!K182:L182),"",_xlfn.REGEXEXTRACT(CELL("address",'Raw Data'!M182),"\$([A-Z]+)\$[0-9]+"))))</f>
        <v/>
      </c>
      <c r="N182" s="7"/>
      <c r="O182" s="7"/>
      <c r="P182" s="7" t="str" cm="1">
        <f t="array" aca="1" ref="P182" ca="1">IF(OR('Raw Data'!P182="",LEN(TRIM('Raw Data'!P182))=0,Validate_Empty!P182&lt;&gt;"",Validate_Value!P182&lt;&gt;""),"",IF(OR(NOT(OR(LEN(TRIM('Raw Data'!B182:X182))&gt;0)),OR('Raw Data'!P182="",LEN(TRIM('Raw Data'!P182))=0)),"",IF(AND('Raw Data'!J182 + Configuration!$G$2 + 5 &gt;= 'Raw Data'!P182,'Raw Data'!J182 + Configuration!$G$2 - 5 &lt;= 'Raw Data'!P182),"",_xlfn.REGEXEXTRACT(CELL("address",'Raw Data'!P182),"\$([A-Z]+)\$[0-9]+"))))</f>
        <v/>
      </c>
      <c r="Q182" s="7"/>
      <c r="R182" s="7"/>
      <c r="S182" s="7"/>
      <c r="T182" s="7" t="str" cm="1">
        <f t="array" aca="1" ref="T182" ca="1">IF(OR('Raw Data'!T182="",LEN(TRIM('Raw Data'!T182))=0,Validate_Empty!T182&lt;&gt;"",Validate_Value!T182&lt;&gt;""),"",IF(OR(NOT(OR(LEN(TRIM('Raw Data'!B182:X182))&gt;0)),OR('Raw Data'!T182="",LEN(TRIM('Raw Data'!T182))=0)),"",IF('Raw Data'!T182 = SUM('Raw Data'!R182:S182),"",_xlfn.REGEXEXTRACT(CELL("address",'Raw Data'!T182),"\$([A-Z]+)\$[0-9]+"))))</f>
        <v/>
      </c>
      <c r="U182" s="7" t="str" cm="1">
        <f t="array" aca="1" ref="U182" ca="1">IF(OR('Raw Data'!U182="",LEN(TRIM('Raw Data'!U182))=0,Validate_Empty!U182&lt;&gt;"",Validate_Value!U182&lt;&gt;""),"",IF(OR(NOT(OR(LEN(TRIM('Raw Data'!B182:X182))&gt;0)),OR('Raw Data'!T182="",LEN(TRIM('Raw Data'!T182))=0)),"",IF(ISNUMBER(SEARCH('Raw Data'!U182, Configuration!$H$2)),"",_xlfn.REGEXEXTRACT(CELL("address",'Raw Data'!U182),"\$([A-Z]+)\$[0-9]+"))))</f>
        <v/>
      </c>
      <c r="V182" s="7" t="str" cm="1">
        <f t="array" aca="1" ref="V182" ca="1">IF(OR('Raw Data'!V182="",LEN(TRIM('Raw Data'!V182))=0,Validate_Empty!V182&lt;&gt;"",Validate_Value!V182&lt;&gt;""),"",IF(OR(NOT(OR(LEN(TRIM('Raw Data'!B182:X182))&gt;0)),OR('Raw Data'!V182="",LEN(TRIM('Raw Data'!V182))=0)),"",IF('Raw Data'!V182 = Configuration!$I$2,"",_xlfn.REGEXEXTRACT(CELL("address",'Raw Data'!V182),"\$([A-Z]+)\$[0-9]+"))))</f>
        <v/>
      </c>
      <c r="W182" s="7"/>
      <c r="X182" s="7"/>
    </row>
    <row r="183" spans="2:24" x14ac:dyDescent="0.25">
      <c r="B183" s="7"/>
      <c r="C183" s="7" t="str" cm="1">
        <f t="array" aca="1" ref="C183" ca="1">IF(OR('Raw Data'!C183="",LEN(TRIM('Raw Data'!C183))=0,Validate_Empty!C183&lt;&gt;"",Validate_Value!C183&lt;&gt;""),"",IF(OR(NOT(OR(LEN(TRIM('Raw Data'!B183:X183))&gt;0)),OR('Raw Data'!C183="",LEN(TRIM('Raw Data'!C183))=0)),"",IF(OR(AND('Raw Data'!B183="Main Contract", LEFT('Raw Data'!C183, LEN("Payment"))="Payment"),AND('Raw Data'!B183="Change Order", LEFT('Raw Data'!C183, LEN("CO Payment No."))="CO Payment No.")),"",_xlfn.REGEXEXTRACT(CELL("address",'Raw Data'!C183),"\$([A-Z]+)\$[0-9]+"))))</f>
        <v/>
      </c>
      <c r="D183" s="7"/>
      <c r="E183" s="7"/>
      <c r="F183" s="7"/>
      <c r="G183" s="7"/>
      <c r="H183" s="7"/>
      <c r="I183" s="7"/>
      <c r="J183" s="7"/>
      <c r="K183" s="7"/>
      <c r="L183" s="7"/>
      <c r="M183" s="7" t="str" cm="1">
        <f t="array" aca="1" ref="M183" ca="1">IF(OR('Raw Data'!M183="",LEN(TRIM('Raw Data'!M183))=0,Validate_Empty!M183&lt;&gt;"",Validate_Value!M183&lt;&gt;""),"",IF(OR(NOT(OR(LEN(TRIM('Raw Data'!B183:X183))&gt;0)),OR('Raw Data'!M183="",LEN(TRIM('Raw Data'!M183))=0)),"",IF('Raw Data'!M183 = SUM('Raw Data'!K183:L183),"",_xlfn.REGEXEXTRACT(CELL("address",'Raw Data'!M183),"\$([A-Z]+)\$[0-9]+"))))</f>
        <v/>
      </c>
      <c r="N183" s="7"/>
      <c r="O183" s="7"/>
      <c r="P183" s="7" t="str" cm="1">
        <f t="array" aca="1" ref="P183" ca="1">IF(OR('Raw Data'!P183="",LEN(TRIM('Raw Data'!P183))=0,Validate_Empty!P183&lt;&gt;"",Validate_Value!P183&lt;&gt;""),"",IF(OR(NOT(OR(LEN(TRIM('Raw Data'!B183:X183))&gt;0)),OR('Raw Data'!P183="",LEN(TRIM('Raw Data'!P183))=0)),"",IF(AND('Raw Data'!J183 + Configuration!$G$2 + 5 &gt;= 'Raw Data'!P183,'Raw Data'!J183 + Configuration!$G$2 - 5 &lt;= 'Raw Data'!P183),"",_xlfn.REGEXEXTRACT(CELL("address",'Raw Data'!P183),"\$([A-Z]+)\$[0-9]+"))))</f>
        <v/>
      </c>
      <c r="Q183" s="7"/>
      <c r="R183" s="7"/>
      <c r="S183" s="7"/>
      <c r="T183" s="7" t="str" cm="1">
        <f t="array" aca="1" ref="T183" ca="1">IF(OR('Raw Data'!T183="",LEN(TRIM('Raw Data'!T183))=0,Validate_Empty!T183&lt;&gt;"",Validate_Value!T183&lt;&gt;""),"",IF(OR(NOT(OR(LEN(TRIM('Raw Data'!B183:X183))&gt;0)),OR('Raw Data'!T183="",LEN(TRIM('Raw Data'!T183))=0)),"",IF('Raw Data'!T183 = SUM('Raw Data'!R183:S183),"",_xlfn.REGEXEXTRACT(CELL("address",'Raw Data'!T183),"\$([A-Z]+)\$[0-9]+"))))</f>
        <v/>
      </c>
      <c r="U183" s="7" t="str" cm="1">
        <f t="array" aca="1" ref="U183" ca="1">IF(OR('Raw Data'!U183="",LEN(TRIM('Raw Data'!U183))=0,Validate_Empty!U183&lt;&gt;"",Validate_Value!U183&lt;&gt;""),"",IF(OR(NOT(OR(LEN(TRIM('Raw Data'!B183:X183))&gt;0)),OR('Raw Data'!T183="",LEN(TRIM('Raw Data'!T183))=0)),"",IF(ISNUMBER(SEARCH('Raw Data'!U183, Configuration!$H$2)),"",_xlfn.REGEXEXTRACT(CELL("address",'Raw Data'!U183),"\$([A-Z]+)\$[0-9]+"))))</f>
        <v/>
      </c>
      <c r="V183" s="7" t="str" cm="1">
        <f t="array" aca="1" ref="V183" ca="1">IF(OR('Raw Data'!V183="",LEN(TRIM('Raw Data'!V183))=0,Validate_Empty!V183&lt;&gt;"",Validate_Value!V183&lt;&gt;""),"",IF(OR(NOT(OR(LEN(TRIM('Raw Data'!B183:X183))&gt;0)),OR('Raw Data'!V183="",LEN(TRIM('Raw Data'!V183))=0)),"",IF('Raw Data'!V183 = Configuration!$I$2,"",_xlfn.REGEXEXTRACT(CELL("address",'Raw Data'!V183),"\$([A-Z]+)\$[0-9]+"))))</f>
        <v/>
      </c>
      <c r="W183" s="7"/>
      <c r="X183" s="7"/>
    </row>
    <row r="184" spans="2:24" x14ac:dyDescent="0.25">
      <c r="B184" s="7"/>
      <c r="C184" s="7" t="str" cm="1">
        <f t="array" aca="1" ref="C184" ca="1">IF(OR('Raw Data'!C184="",LEN(TRIM('Raw Data'!C184))=0,Validate_Empty!C184&lt;&gt;"",Validate_Value!C184&lt;&gt;""),"",IF(OR(NOT(OR(LEN(TRIM('Raw Data'!B184:X184))&gt;0)),OR('Raw Data'!C184="",LEN(TRIM('Raw Data'!C184))=0)),"",IF(OR(AND('Raw Data'!B184="Main Contract", LEFT('Raw Data'!C184, LEN("Payment"))="Payment"),AND('Raw Data'!B184="Change Order", LEFT('Raw Data'!C184, LEN("CO Payment No."))="CO Payment No.")),"",_xlfn.REGEXEXTRACT(CELL("address",'Raw Data'!C184),"\$([A-Z]+)\$[0-9]+"))))</f>
        <v/>
      </c>
      <c r="D184" s="7"/>
      <c r="E184" s="7"/>
      <c r="F184" s="7"/>
      <c r="G184" s="7"/>
      <c r="H184" s="7"/>
      <c r="I184" s="7"/>
      <c r="J184" s="7"/>
      <c r="K184" s="7"/>
      <c r="L184" s="7"/>
      <c r="M184" s="7" t="str" cm="1">
        <f t="array" aca="1" ref="M184" ca="1">IF(OR('Raw Data'!M184="",LEN(TRIM('Raw Data'!M184))=0,Validate_Empty!M184&lt;&gt;"",Validate_Value!M184&lt;&gt;""),"",IF(OR(NOT(OR(LEN(TRIM('Raw Data'!B184:X184))&gt;0)),OR('Raw Data'!M184="",LEN(TRIM('Raw Data'!M184))=0)),"",IF('Raw Data'!M184 = SUM('Raw Data'!K184:L184),"",_xlfn.REGEXEXTRACT(CELL("address",'Raw Data'!M184),"\$([A-Z]+)\$[0-9]+"))))</f>
        <v/>
      </c>
      <c r="N184" s="7"/>
      <c r="O184" s="7"/>
      <c r="P184" s="7" t="str" cm="1">
        <f t="array" aca="1" ref="P184" ca="1">IF(OR('Raw Data'!P184="",LEN(TRIM('Raw Data'!P184))=0,Validate_Empty!P184&lt;&gt;"",Validate_Value!P184&lt;&gt;""),"",IF(OR(NOT(OR(LEN(TRIM('Raw Data'!B184:X184))&gt;0)),OR('Raw Data'!P184="",LEN(TRIM('Raw Data'!P184))=0)),"",IF(AND('Raw Data'!J184 + Configuration!$G$2 + 5 &gt;= 'Raw Data'!P184,'Raw Data'!J184 + Configuration!$G$2 - 5 &lt;= 'Raw Data'!P184),"",_xlfn.REGEXEXTRACT(CELL("address",'Raw Data'!P184),"\$([A-Z]+)\$[0-9]+"))))</f>
        <v/>
      </c>
      <c r="Q184" s="7"/>
      <c r="R184" s="7"/>
      <c r="S184" s="7"/>
      <c r="T184" s="7" t="str" cm="1">
        <f t="array" aca="1" ref="T184" ca="1">IF(OR('Raw Data'!T184="",LEN(TRIM('Raw Data'!T184))=0,Validate_Empty!T184&lt;&gt;"",Validate_Value!T184&lt;&gt;""),"",IF(OR(NOT(OR(LEN(TRIM('Raw Data'!B184:X184))&gt;0)),OR('Raw Data'!T184="",LEN(TRIM('Raw Data'!T184))=0)),"",IF('Raw Data'!T184 = SUM('Raw Data'!R184:S184),"",_xlfn.REGEXEXTRACT(CELL("address",'Raw Data'!T184),"\$([A-Z]+)\$[0-9]+"))))</f>
        <v/>
      </c>
      <c r="U184" s="7" t="str" cm="1">
        <f t="array" aca="1" ref="U184" ca="1">IF(OR('Raw Data'!U184="",LEN(TRIM('Raw Data'!U184))=0,Validate_Empty!U184&lt;&gt;"",Validate_Value!U184&lt;&gt;""),"",IF(OR(NOT(OR(LEN(TRIM('Raw Data'!B184:X184))&gt;0)),OR('Raw Data'!T184="",LEN(TRIM('Raw Data'!T184))=0)),"",IF(ISNUMBER(SEARCH('Raw Data'!U184, Configuration!$H$2)),"",_xlfn.REGEXEXTRACT(CELL("address",'Raw Data'!U184),"\$([A-Z]+)\$[0-9]+"))))</f>
        <v/>
      </c>
      <c r="V184" s="7" t="str" cm="1">
        <f t="array" aca="1" ref="V184" ca="1">IF(OR('Raw Data'!V184="",LEN(TRIM('Raw Data'!V184))=0,Validate_Empty!V184&lt;&gt;"",Validate_Value!V184&lt;&gt;""),"",IF(OR(NOT(OR(LEN(TRIM('Raw Data'!B184:X184))&gt;0)),OR('Raw Data'!V184="",LEN(TRIM('Raw Data'!V184))=0)),"",IF('Raw Data'!V184 = Configuration!$I$2,"",_xlfn.REGEXEXTRACT(CELL("address",'Raw Data'!V184),"\$([A-Z]+)\$[0-9]+"))))</f>
        <v/>
      </c>
      <c r="W184" s="7"/>
      <c r="X184" s="7"/>
    </row>
    <row r="185" spans="2:24" x14ac:dyDescent="0.25">
      <c r="B185" s="7"/>
      <c r="C185" s="7" t="str" cm="1">
        <f t="array" aca="1" ref="C185" ca="1">IF(OR('Raw Data'!C185="",LEN(TRIM('Raw Data'!C185))=0,Validate_Empty!C185&lt;&gt;"",Validate_Value!C185&lt;&gt;""),"",IF(OR(NOT(OR(LEN(TRIM('Raw Data'!B185:X185))&gt;0)),OR('Raw Data'!C185="",LEN(TRIM('Raw Data'!C185))=0)),"",IF(OR(AND('Raw Data'!B185="Main Contract", LEFT('Raw Data'!C185, LEN("Payment"))="Payment"),AND('Raw Data'!B185="Change Order", LEFT('Raw Data'!C185, LEN("CO Payment No."))="CO Payment No.")),"",_xlfn.REGEXEXTRACT(CELL("address",'Raw Data'!C185),"\$([A-Z]+)\$[0-9]+"))))</f>
        <v/>
      </c>
      <c r="D185" s="7"/>
      <c r="E185" s="7"/>
      <c r="F185" s="7"/>
      <c r="G185" s="7"/>
      <c r="H185" s="7"/>
      <c r="I185" s="7"/>
      <c r="J185" s="7"/>
      <c r="K185" s="7"/>
      <c r="L185" s="7"/>
      <c r="M185" s="7" t="str" cm="1">
        <f t="array" aca="1" ref="M185" ca="1">IF(OR('Raw Data'!M185="",LEN(TRIM('Raw Data'!M185))=0,Validate_Empty!M185&lt;&gt;"",Validate_Value!M185&lt;&gt;""),"",IF(OR(NOT(OR(LEN(TRIM('Raw Data'!B185:X185))&gt;0)),OR('Raw Data'!M185="",LEN(TRIM('Raw Data'!M185))=0)),"",IF('Raw Data'!M185 = SUM('Raw Data'!K185:L185),"",_xlfn.REGEXEXTRACT(CELL("address",'Raw Data'!M185),"\$([A-Z]+)\$[0-9]+"))))</f>
        <v/>
      </c>
      <c r="N185" s="7"/>
      <c r="O185" s="7"/>
      <c r="P185" s="7" t="str" cm="1">
        <f t="array" aca="1" ref="P185" ca="1">IF(OR('Raw Data'!P185="",LEN(TRIM('Raw Data'!P185))=0,Validate_Empty!P185&lt;&gt;"",Validate_Value!P185&lt;&gt;""),"",IF(OR(NOT(OR(LEN(TRIM('Raw Data'!B185:X185))&gt;0)),OR('Raw Data'!P185="",LEN(TRIM('Raw Data'!P185))=0)),"",IF(AND('Raw Data'!J185 + Configuration!$G$2 + 5 &gt;= 'Raw Data'!P185,'Raw Data'!J185 + Configuration!$G$2 - 5 &lt;= 'Raw Data'!P185),"",_xlfn.REGEXEXTRACT(CELL("address",'Raw Data'!P185),"\$([A-Z]+)\$[0-9]+"))))</f>
        <v/>
      </c>
      <c r="Q185" s="7"/>
      <c r="R185" s="7"/>
      <c r="S185" s="7"/>
      <c r="T185" s="7" t="str" cm="1">
        <f t="array" aca="1" ref="T185" ca="1">IF(OR('Raw Data'!T185="",LEN(TRIM('Raw Data'!T185))=0,Validate_Empty!T185&lt;&gt;"",Validate_Value!T185&lt;&gt;""),"",IF(OR(NOT(OR(LEN(TRIM('Raw Data'!B185:X185))&gt;0)),OR('Raw Data'!T185="",LEN(TRIM('Raw Data'!T185))=0)),"",IF('Raw Data'!T185 = SUM('Raw Data'!R185:S185),"",_xlfn.REGEXEXTRACT(CELL("address",'Raw Data'!T185),"\$([A-Z]+)\$[0-9]+"))))</f>
        <v/>
      </c>
      <c r="U185" s="7" t="str" cm="1">
        <f t="array" aca="1" ref="U185" ca="1">IF(OR('Raw Data'!U185="",LEN(TRIM('Raw Data'!U185))=0,Validate_Empty!U185&lt;&gt;"",Validate_Value!U185&lt;&gt;""),"",IF(OR(NOT(OR(LEN(TRIM('Raw Data'!B185:X185))&gt;0)),OR('Raw Data'!T185="",LEN(TRIM('Raw Data'!T185))=0)),"",IF(ISNUMBER(SEARCH('Raw Data'!U185, Configuration!$H$2)),"",_xlfn.REGEXEXTRACT(CELL("address",'Raw Data'!U185),"\$([A-Z]+)\$[0-9]+"))))</f>
        <v/>
      </c>
      <c r="V185" s="7" t="str" cm="1">
        <f t="array" aca="1" ref="V185" ca="1">IF(OR('Raw Data'!V185="",LEN(TRIM('Raw Data'!V185))=0,Validate_Empty!V185&lt;&gt;"",Validate_Value!V185&lt;&gt;""),"",IF(OR(NOT(OR(LEN(TRIM('Raw Data'!B185:X185))&gt;0)),OR('Raw Data'!V185="",LEN(TRIM('Raw Data'!V185))=0)),"",IF('Raw Data'!V185 = Configuration!$I$2,"",_xlfn.REGEXEXTRACT(CELL("address",'Raw Data'!V185),"\$([A-Z]+)\$[0-9]+"))))</f>
        <v/>
      </c>
      <c r="W185" s="7"/>
      <c r="X185" s="7"/>
    </row>
    <row r="186" spans="2:24" x14ac:dyDescent="0.25">
      <c r="B186" s="7"/>
      <c r="C186" s="7" t="str" cm="1">
        <f t="array" aca="1" ref="C186" ca="1">IF(OR('Raw Data'!C186="",LEN(TRIM('Raw Data'!C186))=0,Validate_Empty!C186&lt;&gt;"",Validate_Value!C186&lt;&gt;""),"",IF(OR(NOT(OR(LEN(TRIM('Raw Data'!B186:X186))&gt;0)),OR('Raw Data'!C186="",LEN(TRIM('Raw Data'!C186))=0)),"",IF(OR(AND('Raw Data'!B186="Main Contract", LEFT('Raw Data'!C186, LEN("Payment"))="Payment"),AND('Raw Data'!B186="Change Order", LEFT('Raw Data'!C186, LEN("CO Payment No."))="CO Payment No.")),"",_xlfn.REGEXEXTRACT(CELL("address",'Raw Data'!C186),"\$([A-Z]+)\$[0-9]+"))))</f>
        <v/>
      </c>
      <c r="D186" s="7"/>
      <c r="E186" s="7"/>
      <c r="F186" s="7"/>
      <c r="G186" s="7"/>
      <c r="H186" s="7"/>
      <c r="I186" s="7"/>
      <c r="J186" s="7"/>
      <c r="K186" s="7"/>
      <c r="L186" s="7"/>
      <c r="M186" s="7" t="str" cm="1">
        <f t="array" aca="1" ref="M186" ca="1">IF(OR('Raw Data'!M186="",LEN(TRIM('Raw Data'!M186))=0,Validate_Empty!M186&lt;&gt;"",Validate_Value!M186&lt;&gt;""),"",IF(OR(NOT(OR(LEN(TRIM('Raw Data'!B186:X186))&gt;0)),OR('Raw Data'!M186="",LEN(TRIM('Raw Data'!M186))=0)),"",IF('Raw Data'!M186 = SUM('Raw Data'!K186:L186),"",_xlfn.REGEXEXTRACT(CELL("address",'Raw Data'!M186),"\$([A-Z]+)\$[0-9]+"))))</f>
        <v/>
      </c>
      <c r="N186" s="7"/>
      <c r="O186" s="7"/>
      <c r="P186" s="7" t="str" cm="1">
        <f t="array" aca="1" ref="P186" ca="1">IF(OR('Raw Data'!P186="",LEN(TRIM('Raw Data'!P186))=0,Validate_Empty!P186&lt;&gt;"",Validate_Value!P186&lt;&gt;""),"",IF(OR(NOT(OR(LEN(TRIM('Raw Data'!B186:X186))&gt;0)),OR('Raw Data'!P186="",LEN(TRIM('Raw Data'!P186))=0)),"",IF(AND('Raw Data'!J186 + Configuration!$G$2 + 5 &gt;= 'Raw Data'!P186,'Raw Data'!J186 + Configuration!$G$2 - 5 &lt;= 'Raw Data'!P186),"",_xlfn.REGEXEXTRACT(CELL("address",'Raw Data'!P186),"\$([A-Z]+)\$[0-9]+"))))</f>
        <v/>
      </c>
      <c r="Q186" s="7"/>
      <c r="R186" s="7"/>
      <c r="S186" s="7"/>
      <c r="T186" s="7" t="str" cm="1">
        <f t="array" aca="1" ref="T186" ca="1">IF(OR('Raw Data'!T186="",LEN(TRIM('Raw Data'!T186))=0,Validate_Empty!T186&lt;&gt;"",Validate_Value!T186&lt;&gt;""),"",IF(OR(NOT(OR(LEN(TRIM('Raw Data'!B186:X186))&gt;0)),OR('Raw Data'!T186="",LEN(TRIM('Raw Data'!T186))=0)),"",IF('Raw Data'!T186 = SUM('Raw Data'!R186:S186),"",_xlfn.REGEXEXTRACT(CELL("address",'Raw Data'!T186),"\$([A-Z]+)\$[0-9]+"))))</f>
        <v/>
      </c>
      <c r="U186" s="7" t="str" cm="1">
        <f t="array" aca="1" ref="U186" ca="1">IF(OR('Raw Data'!U186="",LEN(TRIM('Raw Data'!U186))=0,Validate_Empty!U186&lt;&gt;"",Validate_Value!U186&lt;&gt;""),"",IF(OR(NOT(OR(LEN(TRIM('Raw Data'!B186:X186))&gt;0)),OR('Raw Data'!T186="",LEN(TRIM('Raw Data'!T186))=0)),"",IF(ISNUMBER(SEARCH('Raw Data'!U186, Configuration!$H$2)),"",_xlfn.REGEXEXTRACT(CELL("address",'Raw Data'!U186),"\$([A-Z]+)\$[0-9]+"))))</f>
        <v/>
      </c>
      <c r="V186" s="7" t="str" cm="1">
        <f t="array" aca="1" ref="V186" ca="1">IF(OR('Raw Data'!V186="",LEN(TRIM('Raw Data'!V186))=0,Validate_Empty!V186&lt;&gt;"",Validate_Value!V186&lt;&gt;""),"",IF(OR(NOT(OR(LEN(TRIM('Raw Data'!B186:X186))&gt;0)),OR('Raw Data'!V186="",LEN(TRIM('Raw Data'!V186))=0)),"",IF('Raw Data'!V186 = Configuration!$I$2,"",_xlfn.REGEXEXTRACT(CELL("address",'Raw Data'!V186),"\$([A-Z]+)\$[0-9]+"))))</f>
        <v/>
      </c>
      <c r="W186" s="7"/>
      <c r="X186" s="7"/>
    </row>
    <row r="187" spans="2:24" x14ac:dyDescent="0.25">
      <c r="B187" s="7"/>
      <c r="C187" s="7" t="str" cm="1">
        <f t="array" aca="1" ref="C187" ca="1">IF(OR('Raw Data'!C187="",LEN(TRIM('Raw Data'!C187))=0,Validate_Empty!C187&lt;&gt;"",Validate_Value!C187&lt;&gt;""),"",IF(OR(NOT(OR(LEN(TRIM('Raw Data'!B187:X187))&gt;0)),OR('Raw Data'!C187="",LEN(TRIM('Raw Data'!C187))=0)),"",IF(OR(AND('Raw Data'!B187="Main Contract", LEFT('Raw Data'!C187, LEN("Payment"))="Payment"),AND('Raw Data'!B187="Change Order", LEFT('Raw Data'!C187, LEN("CO Payment No."))="CO Payment No.")),"",_xlfn.REGEXEXTRACT(CELL("address",'Raw Data'!C187),"\$([A-Z]+)\$[0-9]+"))))</f>
        <v/>
      </c>
      <c r="D187" s="7"/>
      <c r="E187" s="7"/>
      <c r="F187" s="7"/>
      <c r="G187" s="7"/>
      <c r="H187" s="7"/>
      <c r="I187" s="7"/>
      <c r="J187" s="7"/>
      <c r="K187" s="7"/>
      <c r="L187" s="7"/>
      <c r="M187" s="7" t="str" cm="1">
        <f t="array" aca="1" ref="M187" ca="1">IF(OR('Raw Data'!M187="",LEN(TRIM('Raw Data'!M187))=0,Validate_Empty!M187&lt;&gt;"",Validate_Value!M187&lt;&gt;""),"",IF(OR(NOT(OR(LEN(TRIM('Raw Data'!B187:X187))&gt;0)),OR('Raw Data'!M187="",LEN(TRIM('Raw Data'!M187))=0)),"",IF('Raw Data'!M187 = SUM('Raw Data'!K187:L187),"",_xlfn.REGEXEXTRACT(CELL("address",'Raw Data'!M187),"\$([A-Z]+)\$[0-9]+"))))</f>
        <v/>
      </c>
      <c r="N187" s="7"/>
      <c r="O187" s="7"/>
      <c r="P187" s="7" t="str" cm="1">
        <f t="array" aca="1" ref="P187" ca="1">IF(OR('Raw Data'!P187="",LEN(TRIM('Raw Data'!P187))=0,Validate_Empty!P187&lt;&gt;"",Validate_Value!P187&lt;&gt;""),"",IF(OR(NOT(OR(LEN(TRIM('Raw Data'!B187:X187))&gt;0)),OR('Raw Data'!P187="",LEN(TRIM('Raw Data'!P187))=0)),"",IF(AND('Raw Data'!J187 + Configuration!$G$2 + 5 &gt;= 'Raw Data'!P187,'Raw Data'!J187 + Configuration!$G$2 - 5 &lt;= 'Raw Data'!P187),"",_xlfn.REGEXEXTRACT(CELL("address",'Raw Data'!P187),"\$([A-Z]+)\$[0-9]+"))))</f>
        <v/>
      </c>
      <c r="Q187" s="7"/>
      <c r="R187" s="7"/>
      <c r="S187" s="7"/>
      <c r="T187" s="7" t="str" cm="1">
        <f t="array" aca="1" ref="T187" ca="1">IF(OR('Raw Data'!T187="",LEN(TRIM('Raw Data'!T187))=0,Validate_Empty!T187&lt;&gt;"",Validate_Value!T187&lt;&gt;""),"",IF(OR(NOT(OR(LEN(TRIM('Raw Data'!B187:X187))&gt;0)),OR('Raw Data'!T187="",LEN(TRIM('Raw Data'!T187))=0)),"",IF('Raw Data'!T187 = SUM('Raw Data'!R187:S187),"",_xlfn.REGEXEXTRACT(CELL("address",'Raw Data'!T187),"\$([A-Z]+)\$[0-9]+"))))</f>
        <v/>
      </c>
      <c r="U187" s="7" t="str" cm="1">
        <f t="array" aca="1" ref="U187" ca="1">IF(OR('Raw Data'!U187="",LEN(TRIM('Raw Data'!U187))=0,Validate_Empty!U187&lt;&gt;"",Validate_Value!U187&lt;&gt;""),"",IF(OR(NOT(OR(LEN(TRIM('Raw Data'!B187:X187))&gt;0)),OR('Raw Data'!T187="",LEN(TRIM('Raw Data'!T187))=0)),"",IF(ISNUMBER(SEARCH('Raw Data'!U187, Configuration!$H$2)),"",_xlfn.REGEXEXTRACT(CELL("address",'Raw Data'!U187),"\$([A-Z]+)\$[0-9]+"))))</f>
        <v/>
      </c>
      <c r="V187" s="7" t="str" cm="1">
        <f t="array" aca="1" ref="V187" ca="1">IF(OR('Raw Data'!V187="",LEN(TRIM('Raw Data'!V187))=0,Validate_Empty!V187&lt;&gt;"",Validate_Value!V187&lt;&gt;""),"",IF(OR(NOT(OR(LEN(TRIM('Raw Data'!B187:X187))&gt;0)),OR('Raw Data'!V187="",LEN(TRIM('Raw Data'!V187))=0)),"",IF('Raw Data'!V187 = Configuration!$I$2,"",_xlfn.REGEXEXTRACT(CELL("address",'Raw Data'!V187),"\$([A-Z]+)\$[0-9]+"))))</f>
        <v/>
      </c>
      <c r="W187" s="7"/>
      <c r="X187" s="7"/>
    </row>
    <row r="188" spans="2:24" x14ac:dyDescent="0.25">
      <c r="B188" s="7"/>
      <c r="C188" s="7" t="str" cm="1">
        <f t="array" aca="1" ref="C188" ca="1">IF(OR('Raw Data'!C188="",LEN(TRIM('Raw Data'!C188))=0,Validate_Empty!C188&lt;&gt;"",Validate_Value!C188&lt;&gt;""),"",IF(OR(NOT(OR(LEN(TRIM('Raw Data'!B188:X188))&gt;0)),OR('Raw Data'!C188="",LEN(TRIM('Raw Data'!C188))=0)),"",IF(OR(AND('Raw Data'!B188="Main Contract", LEFT('Raw Data'!C188, LEN("Payment"))="Payment"),AND('Raw Data'!B188="Change Order", LEFT('Raw Data'!C188, LEN("CO Payment No."))="CO Payment No.")),"",_xlfn.REGEXEXTRACT(CELL("address",'Raw Data'!C188),"\$([A-Z]+)\$[0-9]+"))))</f>
        <v/>
      </c>
      <c r="D188" s="7"/>
      <c r="E188" s="7"/>
      <c r="F188" s="7"/>
      <c r="G188" s="7"/>
      <c r="H188" s="7"/>
      <c r="I188" s="7"/>
      <c r="J188" s="7"/>
      <c r="K188" s="7"/>
      <c r="L188" s="7"/>
      <c r="M188" s="7" t="str" cm="1">
        <f t="array" aca="1" ref="M188" ca="1">IF(OR('Raw Data'!M188="",LEN(TRIM('Raw Data'!M188))=0,Validate_Empty!M188&lt;&gt;"",Validate_Value!M188&lt;&gt;""),"",IF(OR(NOT(OR(LEN(TRIM('Raw Data'!B188:X188))&gt;0)),OR('Raw Data'!M188="",LEN(TRIM('Raw Data'!M188))=0)),"",IF('Raw Data'!M188 = SUM('Raw Data'!K188:L188),"",_xlfn.REGEXEXTRACT(CELL("address",'Raw Data'!M188),"\$([A-Z]+)\$[0-9]+"))))</f>
        <v/>
      </c>
      <c r="N188" s="7"/>
      <c r="O188" s="7"/>
      <c r="P188" s="7" t="str" cm="1">
        <f t="array" aca="1" ref="P188" ca="1">IF(OR('Raw Data'!P188="",LEN(TRIM('Raw Data'!P188))=0,Validate_Empty!P188&lt;&gt;"",Validate_Value!P188&lt;&gt;""),"",IF(OR(NOT(OR(LEN(TRIM('Raw Data'!B188:X188))&gt;0)),OR('Raw Data'!P188="",LEN(TRIM('Raw Data'!P188))=0)),"",IF(AND('Raw Data'!J188 + Configuration!$G$2 + 5 &gt;= 'Raw Data'!P188,'Raw Data'!J188 + Configuration!$G$2 - 5 &lt;= 'Raw Data'!P188),"",_xlfn.REGEXEXTRACT(CELL("address",'Raw Data'!P188),"\$([A-Z]+)\$[0-9]+"))))</f>
        <v/>
      </c>
      <c r="Q188" s="7"/>
      <c r="R188" s="7"/>
      <c r="S188" s="7"/>
      <c r="T188" s="7" t="str" cm="1">
        <f t="array" aca="1" ref="T188" ca="1">IF(OR('Raw Data'!T188="",LEN(TRIM('Raw Data'!T188))=0,Validate_Empty!T188&lt;&gt;"",Validate_Value!T188&lt;&gt;""),"",IF(OR(NOT(OR(LEN(TRIM('Raw Data'!B188:X188))&gt;0)),OR('Raw Data'!T188="",LEN(TRIM('Raw Data'!T188))=0)),"",IF('Raw Data'!T188 = SUM('Raw Data'!R188:S188),"",_xlfn.REGEXEXTRACT(CELL("address",'Raw Data'!T188),"\$([A-Z]+)\$[0-9]+"))))</f>
        <v/>
      </c>
      <c r="U188" s="7" t="str" cm="1">
        <f t="array" aca="1" ref="U188" ca="1">IF(OR('Raw Data'!U188="",LEN(TRIM('Raw Data'!U188))=0,Validate_Empty!U188&lt;&gt;"",Validate_Value!U188&lt;&gt;""),"",IF(OR(NOT(OR(LEN(TRIM('Raw Data'!B188:X188))&gt;0)),OR('Raw Data'!T188="",LEN(TRIM('Raw Data'!T188))=0)),"",IF(ISNUMBER(SEARCH('Raw Data'!U188, Configuration!$H$2)),"",_xlfn.REGEXEXTRACT(CELL("address",'Raw Data'!U188),"\$([A-Z]+)\$[0-9]+"))))</f>
        <v/>
      </c>
      <c r="V188" s="7" t="str" cm="1">
        <f t="array" aca="1" ref="V188" ca="1">IF(OR('Raw Data'!V188="",LEN(TRIM('Raw Data'!V188))=0,Validate_Empty!V188&lt;&gt;"",Validate_Value!V188&lt;&gt;""),"",IF(OR(NOT(OR(LEN(TRIM('Raw Data'!B188:X188))&gt;0)),OR('Raw Data'!V188="",LEN(TRIM('Raw Data'!V188))=0)),"",IF('Raw Data'!V188 = Configuration!$I$2,"",_xlfn.REGEXEXTRACT(CELL("address",'Raw Data'!V188),"\$([A-Z]+)\$[0-9]+"))))</f>
        <v/>
      </c>
      <c r="W188" s="7"/>
      <c r="X188" s="7"/>
    </row>
    <row r="189" spans="2:24" x14ac:dyDescent="0.25">
      <c r="B189" s="7"/>
      <c r="C189" s="7" t="str" cm="1">
        <f t="array" aca="1" ref="C189" ca="1">IF(OR('Raw Data'!C189="",LEN(TRIM('Raw Data'!C189))=0,Validate_Empty!C189&lt;&gt;"",Validate_Value!C189&lt;&gt;""),"",IF(OR(NOT(OR(LEN(TRIM('Raw Data'!B189:X189))&gt;0)),OR('Raw Data'!C189="",LEN(TRIM('Raw Data'!C189))=0)),"",IF(OR(AND('Raw Data'!B189="Main Contract", LEFT('Raw Data'!C189, LEN("Payment"))="Payment"),AND('Raw Data'!B189="Change Order", LEFT('Raw Data'!C189, LEN("CO Payment No."))="CO Payment No.")),"",_xlfn.REGEXEXTRACT(CELL("address",'Raw Data'!C189),"\$([A-Z]+)\$[0-9]+"))))</f>
        <v/>
      </c>
      <c r="D189" s="7"/>
      <c r="E189" s="7"/>
      <c r="F189" s="7"/>
      <c r="G189" s="7"/>
      <c r="H189" s="7"/>
      <c r="I189" s="7"/>
      <c r="J189" s="7"/>
      <c r="K189" s="7"/>
      <c r="L189" s="7"/>
      <c r="M189" s="7" t="str" cm="1">
        <f t="array" aca="1" ref="M189" ca="1">IF(OR('Raw Data'!M189="",LEN(TRIM('Raw Data'!M189))=0,Validate_Empty!M189&lt;&gt;"",Validate_Value!M189&lt;&gt;""),"",IF(OR(NOT(OR(LEN(TRIM('Raw Data'!B189:X189))&gt;0)),OR('Raw Data'!M189="",LEN(TRIM('Raw Data'!M189))=0)),"",IF('Raw Data'!M189 = SUM('Raw Data'!K189:L189),"",_xlfn.REGEXEXTRACT(CELL("address",'Raw Data'!M189),"\$([A-Z]+)\$[0-9]+"))))</f>
        <v/>
      </c>
      <c r="N189" s="7"/>
      <c r="O189" s="7"/>
      <c r="P189" s="7" t="str" cm="1">
        <f t="array" aca="1" ref="P189" ca="1">IF(OR('Raw Data'!P189="",LEN(TRIM('Raw Data'!P189))=0,Validate_Empty!P189&lt;&gt;"",Validate_Value!P189&lt;&gt;""),"",IF(OR(NOT(OR(LEN(TRIM('Raw Data'!B189:X189))&gt;0)),OR('Raw Data'!P189="",LEN(TRIM('Raw Data'!P189))=0)),"",IF(AND('Raw Data'!J189 + Configuration!$G$2 + 5 &gt;= 'Raw Data'!P189,'Raw Data'!J189 + Configuration!$G$2 - 5 &lt;= 'Raw Data'!P189),"",_xlfn.REGEXEXTRACT(CELL("address",'Raw Data'!P189),"\$([A-Z]+)\$[0-9]+"))))</f>
        <v/>
      </c>
      <c r="Q189" s="7"/>
      <c r="R189" s="7"/>
      <c r="S189" s="7"/>
      <c r="T189" s="7" t="str" cm="1">
        <f t="array" aca="1" ref="T189" ca="1">IF(OR('Raw Data'!T189="",LEN(TRIM('Raw Data'!T189))=0,Validate_Empty!T189&lt;&gt;"",Validate_Value!T189&lt;&gt;""),"",IF(OR(NOT(OR(LEN(TRIM('Raw Data'!B189:X189))&gt;0)),OR('Raw Data'!T189="",LEN(TRIM('Raw Data'!T189))=0)),"",IF('Raw Data'!T189 = SUM('Raw Data'!R189:S189),"",_xlfn.REGEXEXTRACT(CELL("address",'Raw Data'!T189),"\$([A-Z]+)\$[0-9]+"))))</f>
        <v/>
      </c>
      <c r="U189" s="7" t="str" cm="1">
        <f t="array" aca="1" ref="U189" ca="1">IF(OR('Raw Data'!U189="",LEN(TRIM('Raw Data'!U189))=0,Validate_Empty!U189&lt;&gt;"",Validate_Value!U189&lt;&gt;""),"",IF(OR(NOT(OR(LEN(TRIM('Raw Data'!B189:X189))&gt;0)),OR('Raw Data'!T189="",LEN(TRIM('Raw Data'!T189))=0)),"",IF(ISNUMBER(SEARCH('Raw Data'!U189, Configuration!$H$2)),"",_xlfn.REGEXEXTRACT(CELL("address",'Raw Data'!U189),"\$([A-Z]+)\$[0-9]+"))))</f>
        <v/>
      </c>
      <c r="V189" s="7" t="str" cm="1">
        <f t="array" aca="1" ref="V189" ca="1">IF(OR('Raw Data'!V189="",LEN(TRIM('Raw Data'!V189))=0,Validate_Empty!V189&lt;&gt;"",Validate_Value!V189&lt;&gt;""),"",IF(OR(NOT(OR(LEN(TRIM('Raw Data'!B189:X189))&gt;0)),OR('Raw Data'!V189="",LEN(TRIM('Raw Data'!V189))=0)),"",IF('Raw Data'!V189 = Configuration!$I$2,"",_xlfn.REGEXEXTRACT(CELL("address",'Raw Data'!V189),"\$([A-Z]+)\$[0-9]+"))))</f>
        <v/>
      </c>
      <c r="W189" s="7"/>
      <c r="X189" s="7"/>
    </row>
    <row r="190" spans="2:24" x14ac:dyDescent="0.25">
      <c r="B190" s="7"/>
      <c r="C190" s="7" t="str" cm="1">
        <f t="array" aca="1" ref="C190" ca="1">IF(OR('Raw Data'!C190="",LEN(TRIM('Raw Data'!C190))=0,Validate_Empty!C190&lt;&gt;"",Validate_Value!C190&lt;&gt;""),"",IF(OR(NOT(OR(LEN(TRIM('Raw Data'!B190:X190))&gt;0)),OR('Raw Data'!C190="",LEN(TRIM('Raw Data'!C190))=0)),"",IF(OR(AND('Raw Data'!B190="Main Contract", LEFT('Raw Data'!C190, LEN("Payment"))="Payment"),AND('Raw Data'!B190="Change Order", LEFT('Raw Data'!C190, LEN("CO Payment No."))="CO Payment No.")),"",_xlfn.REGEXEXTRACT(CELL("address",'Raw Data'!C190),"\$([A-Z]+)\$[0-9]+"))))</f>
        <v/>
      </c>
      <c r="D190" s="7"/>
      <c r="E190" s="7"/>
      <c r="F190" s="7"/>
      <c r="G190" s="7"/>
      <c r="H190" s="7"/>
      <c r="I190" s="7"/>
      <c r="J190" s="7"/>
      <c r="K190" s="7"/>
      <c r="L190" s="7"/>
      <c r="M190" s="7" t="str" cm="1">
        <f t="array" aca="1" ref="M190" ca="1">IF(OR('Raw Data'!M190="",LEN(TRIM('Raw Data'!M190))=0,Validate_Empty!M190&lt;&gt;"",Validate_Value!M190&lt;&gt;""),"",IF(OR(NOT(OR(LEN(TRIM('Raw Data'!B190:X190))&gt;0)),OR('Raw Data'!M190="",LEN(TRIM('Raw Data'!M190))=0)),"",IF('Raw Data'!M190 = SUM('Raw Data'!K190:L190),"",_xlfn.REGEXEXTRACT(CELL("address",'Raw Data'!M190),"\$([A-Z]+)\$[0-9]+"))))</f>
        <v/>
      </c>
      <c r="N190" s="7"/>
      <c r="O190" s="7"/>
      <c r="P190" s="7" t="str" cm="1">
        <f t="array" aca="1" ref="P190" ca="1">IF(OR('Raw Data'!P190="",LEN(TRIM('Raw Data'!P190))=0,Validate_Empty!P190&lt;&gt;"",Validate_Value!P190&lt;&gt;""),"",IF(OR(NOT(OR(LEN(TRIM('Raw Data'!B190:X190))&gt;0)),OR('Raw Data'!P190="",LEN(TRIM('Raw Data'!P190))=0)),"",IF(AND('Raw Data'!J190 + Configuration!$G$2 + 5 &gt;= 'Raw Data'!P190,'Raw Data'!J190 + Configuration!$G$2 - 5 &lt;= 'Raw Data'!P190),"",_xlfn.REGEXEXTRACT(CELL("address",'Raw Data'!P190),"\$([A-Z]+)\$[0-9]+"))))</f>
        <v/>
      </c>
      <c r="Q190" s="7"/>
      <c r="R190" s="7"/>
      <c r="S190" s="7"/>
      <c r="T190" s="7" t="str" cm="1">
        <f t="array" aca="1" ref="T190" ca="1">IF(OR('Raw Data'!T190="",LEN(TRIM('Raw Data'!T190))=0,Validate_Empty!T190&lt;&gt;"",Validate_Value!T190&lt;&gt;""),"",IF(OR(NOT(OR(LEN(TRIM('Raw Data'!B190:X190))&gt;0)),OR('Raw Data'!T190="",LEN(TRIM('Raw Data'!T190))=0)),"",IF('Raw Data'!T190 = SUM('Raw Data'!R190:S190),"",_xlfn.REGEXEXTRACT(CELL("address",'Raw Data'!T190),"\$([A-Z]+)\$[0-9]+"))))</f>
        <v/>
      </c>
      <c r="U190" s="7" t="str" cm="1">
        <f t="array" aca="1" ref="U190" ca="1">IF(OR('Raw Data'!U190="",LEN(TRIM('Raw Data'!U190))=0,Validate_Empty!U190&lt;&gt;"",Validate_Value!U190&lt;&gt;""),"",IF(OR(NOT(OR(LEN(TRIM('Raw Data'!B190:X190))&gt;0)),OR('Raw Data'!T190="",LEN(TRIM('Raw Data'!T190))=0)),"",IF(ISNUMBER(SEARCH('Raw Data'!U190, Configuration!$H$2)),"",_xlfn.REGEXEXTRACT(CELL("address",'Raw Data'!U190),"\$([A-Z]+)\$[0-9]+"))))</f>
        <v/>
      </c>
      <c r="V190" s="7" t="str" cm="1">
        <f t="array" aca="1" ref="V190" ca="1">IF(OR('Raw Data'!V190="",LEN(TRIM('Raw Data'!V190))=0,Validate_Empty!V190&lt;&gt;"",Validate_Value!V190&lt;&gt;""),"",IF(OR(NOT(OR(LEN(TRIM('Raw Data'!B190:X190))&gt;0)),OR('Raw Data'!V190="",LEN(TRIM('Raw Data'!V190))=0)),"",IF('Raw Data'!V190 = Configuration!$I$2,"",_xlfn.REGEXEXTRACT(CELL("address",'Raw Data'!V190),"\$([A-Z]+)\$[0-9]+"))))</f>
        <v/>
      </c>
      <c r="W190" s="7"/>
      <c r="X190" s="7"/>
    </row>
    <row r="191" spans="2:24" x14ac:dyDescent="0.25">
      <c r="B191" s="7"/>
      <c r="C191" s="7" t="str" cm="1">
        <f t="array" aca="1" ref="C191" ca="1">IF(OR('Raw Data'!C191="",LEN(TRIM('Raw Data'!C191))=0,Validate_Empty!C191&lt;&gt;"",Validate_Value!C191&lt;&gt;""),"",IF(OR(NOT(OR(LEN(TRIM('Raw Data'!B191:X191))&gt;0)),OR('Raw Data'!C191="",LEN(TRIM('Raw Data'!C191))=0)),"",IF(OR(AND('Raw Data'!B191="Main Contract", LEFT('Raw Data'!C191, LEN("Payment"))="Payment"),AND('Raw Data'!B191="Change Order", LEFT('Raw Data'!C191, LEN("CO Payment No."))="CO Payment No.")),"",_xlfn.REGEXEXTRACT(CELL("address",'Raw Data'!C191),"\$([A-Z]+)\$[0-9]+"))))</f>
        <v/>
      </c>
      <c r="D191" s="7"/>
      <c r="E191" s="7"/>
      <c r="F191" s="7"/>
      <c r="G191" s="7"/>
      <c r="H191" s="7"/>
      <c r="I191" s="7"/>
      <c r="J191" s="7"/>
      <c r="K191" s="7"/>
      <c r="L191" s="7"/>
      <c r="M191" s="7" t="str" cm="1">
        <f t="array" aca="1" ref="M191" ca="1">IF(OR('Raw Data'!M191="",LEN(TRIM('Raw Data'!M191))=0,Validate_Empty!M191&lt;&gt;"",Validate_Value!M191&lt;&gt;""),"",IF(OR(NOT(OR(LEN(TRIM('Raw Data'!B191:X191))&gt;0)),OR('Raw Data'!M191="",LEN(TRIM('Raw Data'!M191))=0)),"",IF('Raw Data'!M191 = SUM('Raw Data'!K191:L191),"",_xlfn.REGEXEXTRACT(CELL("address",'Raw Data'!M191),"\$([A-Z]+)\$[0-9]+"))))</f>
        <v/>
      </c>
      <c r="N191" s="7"/>
      <c r="O191" s="7"/>
      <c r="P191" s="7" t="str" cm="1">
        <f t="array" aca="1" ref="P191" ca="1">IF(OR('Raw Data'!P191="",LEN(TRIM('Raw Data'!P191))=0,Validate_Empty!P191&lt;&gt;"",Validate_Value!P191&lt;&gt;""),"",IF(OR(NOT(OR(LEN(TRIM('Raw Data'!B191:X191))&gt;0)),OR('Raw Data'!P191="",LEN(TRIM('Raw Data'!P191))=0)),"",IF(AND('Raw Data'!J191 + Configuration!$G$2 + 5 &gt;= 'Raw Data'!P191,'Raw Data'!J191 + Configuration!$G$2 - 5 &lt;= 'Raw Data'!P191),"",_xlfn.REGEXEXTRACT(CELL("address",'Raw Data'!P191),"\$([A-Z]+)\$[0-9]+"))))</f>
        <v/>
      </c>
      <c r="Q191" s="7"/>
      <c r="R191" s="7"/>
      <c r="S191" s="7"/>
      <c r="T191" s="7" t="str" cm="1">
        <f t="array" aca="1" ref="T191" ca="1">IF(OR('Raw Data'!T191="",LEN(TRIM('Raw Data'!T191))=0,Validate_Empty!T191&lt;&gt;"",Validate_Value!T191&lt;&gt;""),"",IF(OR(NOT(OR(LEN(TRIM('Raw Data'!B191:X191))&gt;0)),OR('Raw Data'!T191="",LEN(TRIM('Raw Data'!T191))=0)),"",IF('Raw Data'!T191 = SUM('Raw Data'!R191:S191),"",_xlfn.REGEXEXTRACT(CELL("address",'Raw Data'!T191),"\$([A-Z]+)\$[0-9]+"))))</f>
        <v/>
      </c>
      <c r="U191" s="7" t="str" cm="1">
        <f t="array" aca="1" ref="U191" ca="1">IF(OR('Raw Data'!U191="",LEN(TRIM('Raw Data'!U191))=0,Validate_Empty!U191&lt;&gt;"",Validate_Value!U191&lt;&gt;""),"",IF(OR(NOT(OR(LEN(TRIM('Raw Data'!B191:X191))&gt;0)),OR('Raw Data'!T191="",LEN(TRIM('Raw Data'!T191))=0)),"",IF(ISNUMBER(SEARCH('Raw Data'!U191, Configuration!$H$2)),"",_xlfn.REGEXEXTRACT(CELL("address",'Raw Data'!U191),"\$([A-Z]+)\$[0-9]+"))))</f>
        <v/>
      </c>
      <c r="V191" s="7" t="str" cm="1">
        <f t="array" aca="1" ref="V191" ca="1">IF(OR('Raw Data'!V191="",LEN(TRIM('Raw Data'!V191))=0,Validate_Empty!V191&lt;&gt;"",Validate_Value!V191&lt;&gt;""),"",IF(OR(NOT(OR(LEN(TRIM('Raw Data'!B191:X191))&gt;0)),OR('Raw Data'!V191="",LEN(TRIM('Raw Data'!V191))=0)),"",IF('Raw Data'!V191 = Configuration!$I$2,"",_xlfn.REGEXEXTRACT(CELL("address",'Raw Data'!V191),"\$([A-Z]+)\$[0-9]+"))))</f>
        <v/>
      </c>
      <c r="W191" s="7"/>
      <c r="X191" s="7"/>
    </row>
    <row r="192" spans="2:24" x14ac:dyDescent="0.25">
      <c r="B192" s="7"/>
      <c r="C192" s="7" t="str" cm="1">
        <f t="array" aca="1" ref="C192" ca="1">IF(OR('Raw Data'!C192="",LEN(TRIM('Raw Data'!C192))=0,Validate_Empty!C192&lt;&gt;"",Validate_Value!C192&lt;&gt;""),"",IF(OR(NOT(OR(LEN(TRIM('Raw Data'!B192:X192))&gt;0)),OR('Raw Data'!C192="",LEN(TRIM('Raw Data'!C192))=0)),"",IF(OR(AND('Raw Data'!B192="Main Contract", LEFT('Raw Data'!C192, LEN("Payment"))="Payment"),AND('Raw Data'!B192="Change Order", LEFT('Raw Data'!C192, LEN("CO Payment No."))="CO Payment No.")),"",_xlfn.REGEXEXTRACT(CELL("address",'Raw Data'!C192),"\$([A-Z]+)\$[0-9]+"))))</f>
        <v/>
      </c>
      <c r="D192" s="7"/>
      <c r="E192" s="7"/>
      <c r="F192" s="7"/>
      <c r="G192" s="7"/>
      <c r="H192" s="7"/>
      <c r="I192" s="7"/>
      <c r="J192" s="7"/>
      <c r="K192" s="7"/>
      <c r="L192" s="7"/>
      <c r="M192" s="7" t="str" cm="1">
        <f t="array" aca="1" ref="M192" ca="1">IF(OR('Raw Data'!M192="",LEN(TRIM('Raw Data'!M192))=0,Validate_Empty!M192&lt;&gt;"",Validate_Value!M192&lt;&gt;""),"",IF(OR(NOT(OR(LEN(TRIM('Raw Data'!B192:X192))&gt;0)),OR('Raw Data'!M192="",LEN(TRIM('Raw Data'!M192))=0)),"",IF('Raw Data'!M192 = SUM('Raw Data'!K192:L192),"",_xlfn.REGEXEXTRACT(CELL("address",'Raw Data'!M192),"\$([A-Z]+)\$[0-9]+"))))</f>
        <v/>
      </c>
      <c r="N192" s="7"/>
      <c r="O192" s="7"/>
      <c r="P192" s="7" t="str" cm="1">
        <f t="array" aca="1" ref="P192" ca="1">IF(OR('Raw Data'!P192="",LEN(TRIM('Raw Data'!P192))=0,Validate_Empty!P192&lt;&gt;"",Validate_Value!P192&lt;&gt;""),"",IF(OR(NOT(OR(LEN(TRIM('Raw Data'!B192:X192))&gt;0)),OR('Raw Data'!P192="",LEN(TRIM('Raw Data'!P192))=0)),"",IF(AND('Raw Data'!J192 + Configuration!$G$2 + 5 &gt;= 'Raw Data'!P192,'Raw Data'!J192 + Configuration!$G$2 - 5 &lt;= 'Raw Data'!P192),"",_xlfn.REGEXEXTRACT(CELL("address",'Raw Data'!P192),"\$([A-Z]+)\$[0-9]+"))))</f>
        <v/>
      </c>
      <c r="Q192" s="7"/>
      <c r="R192" s="7"/>
      <c r="S192" s="7"/>
      <c r="T192" s="7" t="str" cm="1">
        <f t="array" aca="1" ref="T192" ca="1">IF(OR('Raw Data'!T192="",LEN(TRIM('Raw Data'!T192))=0,Validate_Empty!T192&lt;&gt;"",Validate_Value!T192&lt;&gt;""),"",IF(OR(NOT(OR(LEN(TRIM('Raw Data'!B192:X192))&gt;0)),OR('Raw Data'!T192="",LEN(TRIM('Raw Data'!T192))=0)),"",IF('Raw Data'!T192 = SUM('Raw Data'!R192:S192),"",_xlfn.REGEXEXTRACT(CELL("address",'Raw Data'!T192),"\$([A-Z]+)\$[0-9]+"))))</f>
        <v/>
      </c>
      <c r="U192" s="7" t="str" cm="1">
        <f t="array" aca="1" ref="U192" ca="1">IF(OR('Raw Data'!U192="",LEN(TRIM('Raw Data'!U192))=0,Validate_Empty!U192&lt;&gt;"",Validate_Value!U192&lt;&gt;""),"",IF(OR(NOT(OR(LEN(TRIM('Raw Data'!B192:X192))&gt;0)),OR('Raw Data'!T192="",LEN(TRIM('Raw Data'!T192))=0)),"",IF(ISNUMBER(SEARCH('Raw Data'!U192, Configuration!$H$2)),"",_xlfn.REGEXEXTRACT(CELL("address",'Raw Data'!U192),"\$([A-Z]+)\$[0-9]+"))))</f>
        <v/>
      </c>
      <c r="V192" s="7" t="str" cm="1">
        <f t="array" aca="1" ref="V192" ca="1">IF(OR('Raw Data'!V192="",LEN(TRIM('Raw Data'!V192))=0,Validate_Empty!V192&lt;&gt;"",Validate_Value!V192&lt;&gt;""),"",IF(OR(NOT(OR(LEN(TRIM('Raw Data'!B192:X192))&gt;0)),OR('Raw Data'!V192="",LEN(TRIM('Raw Data'!V192))=0)),"",IF('Raw Data'!V192 = Configuration!$I$2,"",_xlfn.REGEXEXTRACT(CELL("address",'Raw Data'!V192),"\$([A-Z]+)\$[0-9]+"))))</f>
        <v/>
      </c>
      <c r="W192" s="7"/>
      <c r="X192" s="7"/>
    </row>
    <row r="193" spans="2:24" x14ac:dyDescent="0.25">
      <c r="B193" s="7"/>
      <c r="C193" s="7" t="str" cm="1">
        <f t="array" aca="1" ref="C193" ca="1">IF(OR('Raw Data'!C193="",LEN(TRIM('Raw Data'!C193))=0,Validate_Empty!C193&lt;&gt;"",Validate_Value!C193&lt;&gt;""),"",IF(OR(NOT(OR(LEN(TRIM('Raw Data'!B193:X193))&gt;0)),OR('Raw Data'!C193="",LEN(TRIM('Raw Data'!C193))=0)),"",IF(OR(AND('Raw Data'!B193="Main Contract", LEFT('Raw Data'!C193, LEN("Payment"))="Payment"),AND('Raw Data'!B193="Change Order", LEFT('Raw Data'!C193, LEN("CO Payment No."))="CO Payment No.")),"",_xlfn.REGEXEXTRACT(CELL("address",'Raw Data'!C193),"\$([A-Z]+)\$[0-9]+"))))</f>
        <v/>
      </c>
      <c r="D193" s="7"/>
      <c r="E193" s="7"/>
      <c r="F193" s="7"/>
      <c r="G193" s="7"/>
      <c r="H193" s="7"/>
      <c r="I193" s="7"/>
      <c r="J193" s="7"/>
      <c r="K193" s="7"/>
      <c r="L193" s="7"/>
      <c r="M193" s="7" t="str" cm="1">
        <f t="array" aca="1" ref="M193" ca="1">IF(OR('Raw Data'!M193="",LEN(TRIM('Raw Data'!M193))=0,Validate_Empty!M193&lt;&gt;"",Validate_Value!M193&lt;&gt;""),"",IF(OR(NOT(OR(LEN(TRIM('Raw Data'!B193:X193))&gt;0)),OR('Raw Data'!M193="",LEN(TRIM('Raw Data'!M193))=0)),"",IF('Raw Data'!M193 = SUM('Raw Data'!K193:L193),"",_xlfn.REGEXEXTRACT(CELL("address",'Raw Data'!M193),"\$([A-Z]+)\$[0-9]+"))))</f>
        <v/>
      </c>
      <c r="N193" s="7"/>
      <c r="O193" s="7"/>
      <c r="P193" s="7" t="str" cm="1">
        <f t="array" aca="1" ref="P193" ca="1">IF(OR('Raw Data'!P193="",LEN(TRIM('Raw Data'!P193))=0,Validate_Empty!P193&lt;&gt;"",Validate_Value!P193&lt;&gt;""),"",IF(OR(NOT(OR(LEN(TRIM('Raw Data'!B193:X193))&gt;0)),OR('Raw Data'!P193="",LEN(TRIM('Raw Data'!P193))=0)),"",IF(AND('Raw Data'!J193 + Configuration!$G$2 + 5 &gt;= 'Raw Data'!P193,'Raw Data'!J193 + Configuration!$G$2 - 5 &lt;= 'Raw Data'!P193),"",_xlfn.REGEXEXTRACT(CELL("address",'Raw Data'!P193),"\$([A-Z]+)\$[0-9]+"))))</f>
        <v/>
      </c>
      <c r="Q193" s="7"/>
      <c r="R193" s="7"/>
      <c r="S193" s="7"/>
      <c r="T193" s="7" t="str" cm="1">
        <f t="array" aca="1" ref="T193" ca="1">IF(OR('Raw Data'!T193="",LEN(TRIM('Raw Data'!T193))=0,Validate_Empty!T193&lt;&gt;"",Validate_Value!T193&lt;&gt;""),"",IF(OR(NOT(OR(LEN(TRIM('Raw Data'!B193:X193))&gt;0)),OR('Raw Data'!T193="",LEN(TRIM('Raw Data'!T193))=0)),"",IF('Raw Data'!T193 = SUM('Raw Data'!R193:S193),"",_xlfn.REGEXEXTRACT(CELL("address",'Raw Data'!T193),"\$([A-Z]+)\$[0-9]+"))))</f>
        <v/>
      </c>
      <c r="U193" s="7" t="str" cm="1">
        <f t="array" aca="1" ref="U193" ca="1">IF(OR('Raw Data'!U193="",LEN(TRIM('Raw Data'!U193))=0,Validate_Empty!U193&lt;&gt;"",Validate_Value!U193&lt;&gt;""),"",IF(OR(NOT(OR(LEN(TRIM('Raw Data'!B193:X193))&gt;0)),OR('Raw Data'!T193="",LEN(TRIM('Raw Data'!T193))=0)),"",IF(ISNUMBER(SEARCH('Raw Data'!U193, Configuration!$H$2)),"",_xlfn.REGEXEXTRACT(CELL("address",'Raw Data'!U193),"\$([A-Z]+)\$[0-9]+"))))</f>
        <v/>
      </c>
      <c r="V193" s="7" t="str" cm="1">
        <f t="array" aca="1" ref="V193" ca="1">IF(OR('Raw Data'!V193="",LEN(TRIM('Raw Data'!V193))=0,Validate_Empty!V193&lt;&gt;"",Validate_Value!V193&lt;&gt;""),"",IF(OR(NOT(OR(LEN(TRIM('Raw Data'!B193:X193))&gt;0)),OR('Raw Data'!V193="",LEN(TRIM('Raw Data'!V193))=0)),"",IF('Raw Data'!V193 = Configuration!$I$2,"",_xlfn.REGEXEXTRACT(CELL("address",'Raw Data'!V193),"\$([A-Z]+)\$[0-9]+"))))</f>
        <v/>
      </c>
      <c r="W193" s="7"/>
      <c r="X193" s="7"/>
    </row>
    <row r="194" spans="2:24" x14ac:dyDescent="0.25">
      <c r="B194" s="7"/>
      <c r="C194" s="7" t="str" cm="1">
        <f t="array" aca="1" ref="C194" ca="1">IF(OR('Raw Data'!C194="",LEN(TRIM('Raw Data'!C194))=0,Validate_Empty!C194&lt;&gt;"",Validate_Value!C194&lt;&gt;""),"",IF(OR(NOT(OR(LEN(TRIM('Raw Data'!B194:X194))&gt;0)),OR('Raw Data'!C194="",LEN(TRIM('Raw Data'!C194))=0)),"",IF(OR(AND('Raw Data'!B194="Main Contract", LEFT('Raw Data'!C194, LEN("Payment"))="Payment"),AND('Raw Data'!B194="Change Order", LEFT('Raw Data'!C194, LEN("CO Payment No."))="CO Payment No.")),"",_xlfn.REGEXEXTRACT(CELL("address",'Raw Data'!C194),"\$([A-Z]+)\$[0-9]+"))))</f>
        <v/>
      </c>
      <c r="D194" s="7"/>
      <c r="E194" s="7"/>
      <c r="F194" s="7"/>
      <c r="G194" s="7"/>
      <c r="H194" s="7"/>
      <c r="I194" s="7"/>
      <c r="J194" s="7"/>
      <c r="K194" s="7"/>
      <c r="L194" s="7"/>
      <c r="M194" s="7" t="str" cm="1">
        <f t="array" aca="1" ref="M194" ca="1">IF(OR('Raw Data'!M194="",LEN(TRIM('Raw Data'!M194))=0,Validate_Empty!M194&lt;&gt;"",Validate_Value!M194&lt;&gt;""),"",IF(OR(NOT(OR(LEN(TRIM('Raw Data'!B194:X194))&gt;0)),OR('Raw Data'!M194="",LEN(TRIM('Raw Data'!M194))=0)),"",IF('Raw Data'!M194 = SUM('Raw Data'!K194:L194),"",_xlfn.REGEXEXTRACT(CELL("address",'Raw Data'!M194),"\$([A-Z]+)\$[0-9]+"))))</f>
        <v/>
      </c>
      <c r="N194" s="7"/>
      <c r="O194" s="7"/>
      <c r="P194" s="7" t="str" cm="1">
        <f t="array" aca="1" ref="P194" ca="1">IF(OR('Raw Data'!P194="",LEN(TRIM('Raw Data'!P194))=0,Validate_Empty!P194&lt;&gt;"",Validate_Value!P194&lt;&gt;""),"",IF(OR(NOT(OR(LEN(TRIM('Raw Data'!B194:X194))&gt;0)),OR('Raw Data'!P194="",LEN(TRIM('Raw Data'!P194))=0)),"",IF(AND('Raw Data'!J194 + Configuration!$G$2 + 5 &gt;= 'Raw Data'!P194,'Raw Data'!J194 + Configuration!$G$2 - 5 &lt;= 'Raw Data'!P194),"",_xlfn.REGEXEXTRACT(CELL("address",'Raw Data'!P194),"\$([A-Z]+)\$[0-9]+"))))</f>
        <v/>
      </c>
      <c r="Q194" s="7"/>
      <c r="R194" s="7"/>
      <c r="S194" s="7"/>
      <c r="T194" s="7" t="str" cm="1">
        <f t="array" aca="1" ref="T194" ca="1">IF(OR('Raw Data'!T194="",LEN(TRIM('Raw Data'!T194))=0,Validate_Empty!T194&lt;&gt;"",Validate_Value!T194&lt;&gt;""),"",IF(OR(NOT(OR(LEN(TRIM('Raw Data'!B194:X194))&gt;0)),OR('Raw Data'!T194="",LEN(TRIM('Raw Data'!T194))=0)),"",IF('Raw Data'!T194 = SUM('Raw Data'!R194:S194),"",_xlfn.REGEXEXTRACT(CELL("address",'Raw Data'!T194),"\$([A-Z]+)\$[0-9]+"))))</f>
        <v/>
      </c>
      <c r="U194" s="7" t="str" cm="1">
        <f t="array" aca="1" ref="U194" ca="1">IF(OR('Raw Data'!U194="",LEN(TRIM('Raw Data'!U194))=0,Validate_Empty!U194&lt;&gt;"",Validate_Value!U194&lt;&gt;""),"",IF(OR(NOT(OR(LEN(TRIM('Raw Data'!B194:X194))&gt;0)),OR('Raw Data'!T194="",LEN(TRIM('Raw Data'!T194))=0)),"",IF(ISNUMBER(SEARCH('Raw Data'!U194, Configuration!$H$2)),"",_xlfn.REGEXEXTRACT(CELL("address",'Raw Data'!U194),"\$([A-Z]+)\$[0-9]+"))))</f>
        <v/>
      </c>
      <c r="V194" s="7" t="str" cm="1">
        <f t="array" aca="1" ref="V194" ca="1">IF(OR('Raw Data'!V194="",LEN(TRIM('Raw Data'!V194))=0,Validate_Empty!V194&lt;&gt;"",Validate_Value!V194&lt;&gt;""),"",IF(OR(NOT(OR(LEN(TRIM('Raw Data'!B194:X194))&gt;0)),OR('Raw Data'!V194="",LEN(TRIM('Raw Data'!V194))=0)),"",IF('Raw Data'!V194 = Configuration!$I$2,"",_xlfn.REGEXEXTRACT(CELL("address",'Raw Data'!V194),"\$([A-Z]+)\$[0-9]+"))))</f>
        <v/>
      </c>
      <c r="W194" s="7"/>
      <c r="X194" s="7"/>
    </row>
    <row r="195" spans="2:24" x14ac:dyDescent="0.25">
      <c r="B195" s="7"/>
      <c r="C195" s="7" t="str" cm="1">
        <f t="array" aca="1" ref="C195" ca="1">IF(OR('Raw Data'!C195="",LEN(TRIM('Raw Data'!C195))=0,Validate_Empty!C195&lt;&gt;"",Validate_Value!C195&lt;&gt;""),"",IF(OR(NOT(OR(LEN(TRIM('Raw Data'!B195:X195))&gt;0)),OR('Raw Data'!C195="",LEN(TRIM('Raw Data'!C195))=0)),"",IF(OR(AND('Raw Data'!B195="Main Contract", LEFT('Raw Data'!C195, LEN("Payment"))="Payment"),AND('Raw Data'!B195="Change Order", LEFT('Raw Data'!C195, LEN("CO Payment No."))="CO Payment No.")),"",_xlfn.REGEXEXTRACT(CELL("address",'Raw Data'!C195),"\$([A-Z]+)\$[0-9]+"))))</f>
        <v/>
      </c>
      <c r="D195" s="7"/>
      <c r="E195" s="7"/>
      <c r="F195" s="7"/>
      <c r="G195" s="7"/>
      <c r="H195" s="7"/>
      <c r="I195" s="7"/>
      <c r="J195" s="7"/>
      <c r="K195" s="7"/>
      <c r="L195" s="7"/>
      <c r="M195" s="7" t="str" cm="1">
        <f t="array" aca="1" ref="M195" ca="1">IF(OR('Raw Data'!M195="",LEN(TRIM('Raw Data'!M195))=0,Validate_Empty!M195&lt;&gt;"",Validate_Value!M195&lt;&gt;""),"",IF(OR(NOT(OR(LEN(TRIM('Raw Data'!B195:X195))&gt;0)),OR('Raw Data'!M195="",LEN(TRIM('Raw Data'!M195))=0)),"",IF('Raw Data'!M195 = SUM('Raw Data'!K195:L195),"",_xlfn.REGEXEXTRACT(CELL("address",'Raw Data'!M195),"\$([A-Z]+)\$[0-9]+"))))</f>
        <v/>
      </c>
      <c r="N195" s="7"/>
      <c r="O195" s="7"/>
      <c r="P195" s="7" t="str" cm="1">
        <f t="array" aca="1" ref="P195" ca="1">IF(OR('Raw Data'!P195="",LEN(TRIM('Raw Data'!P195))=0,Validate_Empty!P195&lt;&gt;"",Validate_Value!P195&lt;&gt;""),"",IF(OR(NOT(OR(LEN(TRIM('Raw Data'!B195:X195))&gt;0)),OR('Raw Data'!P195="",LEN(TRIM('Raw Data'!P195))=0)),"",IF(AND('Raw Data'!J195 + Configuration!$G$2 + 5 &gt;= 'Raw Data'!P195,'Raw Data'!J195 + Configuration!$G$2 - 5 &lt;= 'Raw Data'!P195),"",_xlfn.REGEXEXTRACT(CELL("address",'Raw Data'!P195),"\$([A-Z]+)\$[0-9]+"))))</f>
        <v/>
      </c>
      <c r="Q195" s="7"/>
      <c r="R195" s="7"/>
      <c r="S195" s="7"/>
      <c r="T195" s="7" t="str" cm="1">
        <f t="array" aca="1" ref="T195" ca="1">IF(OR('Raw Data'!T195="",LEN(TRIM('Raw Data'!T195))=0,Validate_Empty!T195&lt;&gt;"",Validate_Value!T195&lt;&gt;""),"",IF(OR(NOT(OR(LEN(TRIM('Raw Data'!B195:X195))&gt;0)),OR('Raw Data'!T195="",LEN(TRIM('Raw Data'!T195))=0)),"",IF('Raw Data'!T195 = SUM('Raw Data'!R195:S195),"",_xlfn.REGEXEXTRACT(CELL("address",'Raw Data'!T195),"\$([A-Z]+)\$[0-9]+"))))</f>
        <v/>
      </c>
      <c r="U195" s="7" t="str" cm="1">
        <f t="array" aca="1" ref="U195" ca="1">IF(OR('Raw Data'!U195="",LEN(TRIM('Raw Data'!U195))=0,Validate_Empty!U195&lt;&gt;"",Validate_Value!U195&lt;&gt;""),"",IF(OR(NOT(OR(LEN(TRIM('Raw Data'!B195:X195))&gt;0)),OR('Raw Data'!T195="",LEN(TRIM('Raw Data'!T195))=0)),"",IF(ISNUMBER(SEARCH('Raw Data'!U195, Configuration!$H$2)),"",_xlfn.REGEXEXTRACT(CELL("address",'Raw Data'!U195),"\$([A-Z]+)\$[0-9]+"))))</f>
        <v/>
      </c>
      <c r="V195" s="7" t="str" cm="1">
        <f t="array" aca="1" ref="V195" ca="1">IF(OR('Raw Data'!V195="",LEN(TRIM('Raw Data'!V195))=0,Validate_Empty!V195&lt;&gt;"",Validate_Value!V195&lt;&gt;""),"",IF(OR(NOT(OR(LEN(TRIM('Raw Data'!B195:X195))&gt;0)),OR('Raw Data'!V195="",LEN(TRIM('Raw Data'!V195))=0)),"",IF('Raw Data'!V195 = Configuration!$I$2,"",_xlfn.REGEXEXTRACT(CELL("address",'Raw Data'!V195),"\$([A-Z]+)\$[0-9]+"))))</f>
        <v/>
      </c>
      <c r="W195" s="7"/>
      <c r="X195" s="7"/>
    </row>
    <row r="196" spans="2:24" x14ac:dyDescent="0.25">
      <c r="B196" s="7"/>
      <c r="C196" s="7" t="str" cm="1">
        <f t="array" aca="1" ref="C196" ca="1">IF(OR('Raw Data'!C196="",LEN(TRIM('Raw Data'!C196))=0,Validate_Empty!C196&lt;&gt;"",Validate_Value!C196&lt;&gt;""),"",IF(OR(NOT(OR(LEN(TRIM('Raw Data'!B196:X196))&gt;0)),OR('Raw Data'!C196="",LEN(TRIM('Raw Data'!C196))=0)),"",IF(OR(AND('Raw Data'!B196="Main Contract", LEFT('Raw Data'!C196, LEN("Payment"))="Payment"),AND('Raw Data'!B196="Change Order", LEFT('Raw Data'!C196, LEN("CO Payment No."))="CO Payment No.")),"",_xlfn.REGEXEXTRACT(CELL("address",'Raw Data'!C196),"\$([A-Z]+)\$[0-9]+"))))</f>
        <v/>
      </c>
      <c r="D196" s="7"/>
      <c r="E196" s="7"/>
      <c r="F196" s="7"/>
      <c r="G196" s="7"/>
      <c r="H196" s="7"/>
      <c r="I196" s="7"/>
      <c r="J196" s="7"/>
      <c r="K196" s="7"/>
      <c r="L196" s="7"/>
      <c r="M196" s="7" t="str" cm="1">
        <f t="array" aca="1" ref="M196" ca="1">IF(OR('Raw Data'!M196="",LEN(TRIM('Raw Data'!M196))=0,Validate_Empty!M196&lt;&gt;"",Validate_Value!M196&lt;&gt;""),"",IF(OR(NOT(OR(LEN(TRIM('Raw Data'!B196:X196))&gt;0)),OR('Raw Data'!M196="",LEN(TRIM('Raw Data'!M196))=0)),"",IF('Raw Data'!M196 = SUM('Raw Data'!K196:L196),"",_xlfn.REGEXEXTRACT(CELL("address",'Raw Data'!M196),"\$([A-Z]+)\$[0-9]+"))))</f>
        <v/>
      </c>
      <c r="N196" s="7"/>
      <c r="O196" s="7"/>
      <c r="P196" s="7" t="str" cm="1">
        <f t="array" aca="1" ref="P196" ca="1">IF(OR('Raw Data'!P196="",LEN(TRIM('Raw Data'!P196))=0,Validate_Empty!P196&lt;&gt;"",Validate_Value!P196&lt;&gt;""),"",IF(OR(NOT(OR(LEN(TRIM('Raw Data'!B196:X196))&gt;0)),OR('Raw Data'!P196="",LEN(TRIM('Raw Data'!P196))=0)),"",IF(AND('Raw Data'!J196 + Configuration!$G$2 + 5 &gt;= 'Raw Data'!P196,'Raw Data'!J196 + Configuration!$G$2 - 5 &lt;= 'Raw Data'!P196),"",_xlfn.REGEXEXTRACT(CELL("address",'Raw Data'!P196),"\$([A-Z]+)\$[0-9]+"))))</f>
        <v/>
      </c>
      <c r="Q196" s="7"/>
      <c r="R196" s="7"/>
      <c r="S196" s="7"/>
      <c r="T196" s="7" t="str" cm="1">
        <f t="array" aca="1" ref="T196" ca="1">IF(OR('Raw Data'!T196="",LEN(TRIM('Raw Data'!T196))=0,Validate_Empty!T196&lt;&gt;"",Validate_Value!T196&lt;&gt;""),"",IF(OR(NOT(OR(LEN(TRIM('Raw Data'!B196:X196))&gt;0)),OR('Raw Data'!T196="",LEN(TRIM('Raw Data'!T196))=0)),"",IF('Raw Data'!T196 = SUM('Raw Data'!R196:S196),"",_xlfn.REGEXEXTRACT(CELL("address",'Raw Data'!T196),"\$([A-Z]+)\$[0-9]+"))))</f>
        <v/>
      </c>
      <c r="U196" s="7" t="str" cm="1">
        <f t="array" aca="1" ref="U196" ca="1">IF(OR('Raw Data'!U196="",LEN(TRIM('Raw Data'!U196))=0,Validate_Empty!U196&lt;&gt;"",Validate_Value!U196&lt;&gt;""),"",IF(OR(NOT(OR(LEN(TRIM('Raw Data'!B196:X196))&gt;0)),OR('Raw Data'!T196="",LEN(TRIM('Raw Data'!T196))=0)),"",IF(ISNUMBER(SEARCH('Raw Data'!U196, Configuration!$H$2)),"",_xlfn.REGEXEXTRACT(CELL("address",'Raw Data'!U196),"\$([A-Z]+)\$[0-9]+"))))</f>
        <v/>
      </c>
      <c r="V196" s="7" t="str" cm="1">
        <f t="array" aca="1" ref="V196" ca="1">IF(OR('Raw Data'!V196="",LEN(TRIM('Raw Data'!V196))=0,Validate_Empty!V196&lt;&gt;"",Validate_Value!V196&lt;&gt;""),"",IF(OR(NOT(OR(LEN(TRIM('Raw Data'!B196:X196))&gt;0)),OR('Raw Data'!V196="",LEN(TRIM('Raw Data'!V196))=0)),"",IF('Raw Data'!V196 = Configuration!$I$2,"",_xlfn.REGEXEXTRACT(CELL("address",'Raw Data'!V196),"\$([A-Z]+)\$[0-9]+"))))</f>
        <v/>
      </c>
      <c r="W196" s="7"/>
      <c r="X196" s="7"/>
    </row>
    <row r="197" spans="2:24" x14ac:dyDescent="0.25">
      <c r="B197" s="7"/>
      <c r="C197" s="7" t="str" cm="1">
        <f t="array" aca="1" ref="C197" ca="1">IF(OR('Raw Data'!C197="",LEN(TRIM('Raw Data'!C197))=0,Validate_Empty!C197&lt;&gt;"",Validate_Value!C197&lt;&gt;""),"",IF(OR(NOT(OR(LEN(TRIM('Raw Data'!B197:X197))&gt;0)),OR('Raw Data'!C197="",LEN(TRIM('Raw Data'!C197))=0)),"",IF(OR(AND('Raw Data'!B197="Main Contract", LEFT('Raw Data'!C197, LEN("Payment"))="Payment"),AND('Raw Data'!B197="Change Order", LEFT('Raw Data'!C197, LEN("CO Payment No."))="CO Payment No.")),"",_xlfn.REGEXEXTRACT(CELL("address",'Raw Data'!C197),"\$([A-Z]+)\$[0-9]+"))))</f>
        <v/>
      </c>
      <c r="D197" s="7"/>
      <c r="E197" s="7"/>
      <c r="F197" s="7"/>
      <c r="G197" s="7"/>
      <c r="H197" s="7"/>
      <c r="I197" s="7"/>
      <c r="J197" s="7"/>
      <c r="K197" s="7"/>
      <c r="L197" s="7"/>
      <c r="M197" s="7" t="str" cm="1">
        <f t="array" aca="1" ref="M197" ca="1">IF(OR('Raw Data'!M197="",LEN(TRIM('Raw Data'!M197))=0,Validate_Empty!M197&lt;&gt;"",Validate_Value!M197&lt;&gt;""),"",IF(OR(NOT(OR(LEN(TRIM('Raw Data'!B197:X197))&gt;0)),OR('Raw Data'!M197="",LEN(TRIM('Raw Data'!M197))=0)),"",IF('Raw Data'!M197 = SUM('Raw Data'!K197:L197),"",_xlfn.REGEXEXTRACT(CELL("address",'Raw Data'!M197),"\$([A-Z]+)\$[0-9]+"))))</f>
        <v/>
      </c>
      <c r="N197" s="7"/>
      <c r="O197" s="7"/>
      <c r="P197" s="7" t="str" cm="1">
        <f t="array" aca="1" ref="P197" ca="1">IF(OR('Raw Data'!P197="",LEN(TRIM('Raw Data'!P197))=0,Validate_Empty!P197&lt;&gt;"",Validate_Value!P197&lt;&gt;""),"",IF(OR(NOT(OR(LEN(TRIM('Raw Data'!B197:X197))&gt;0)),OR('Raw Data'!P197="",LEN(TRIM('Raw Data'!P197))=0)),"",IF(AND('Raw Data'!J197 + Configuration!$G$2 + 5 &gt;= 'Raw Data'!P197,'Raw Data'!J197 + Configuration!$G$2 - 5 &lt;= 'Raw Data'!P197),"",_xlfn.REGEXEXTRACT(CELL("address",'Raw Data'!P197),"\$([A-Z]+)\$[0-9]+"))))</f>
        <v/>
      </c>
      <c r="Q197" s="7"/>
      <c r="R197" s="7"/>
      <c r="S197" s="7"/>
      <c r="T197" s="7" t="str" cm="1">
        <f t="array" aca="1" ref="T197" ca="1">IF(OR('Raw Data'!T197="",LEN(TRIM('Raw Data'!T197))=0,Validate_Empty!T197&lt;&gt;"",Validate_Value!T197&lt;&gt;""),"",IF(OR(NOT(OR(LEN(TRIM('Raw Data'!B197:X197))&gt;0)),OR('Raw Data'!T197="",LEN(TRIM('Raw Data'!T197))=0)),"",IF('Raw Data'!T197 = SUM('Raw Data'!R197:S197),"",_xlfn.REGEXEXTRACT(CELL("address",'Raw Data'!T197),"\$([A-Z]+)\$[0-9]+"))))</f>
        <v/>
      </c>
      <c r="U197" s="7" t="str" cm="1">
        <f t="array" aca="1" ref="U197" ca="1">IF(OR('Raw Data'!U197="",LEN(TRIM('Raw Data'!U197))=0,Validate_Empty!U197&lt;&gt;"",Validate_Value!U197&lt;&gt;""),"",IF(OR(NOT(OR(LEN(TRIM('Raw Data'!B197:X197))&gt;0)),OR('Raw Data'!T197="",LEN(TRIM('Raw Data'!T197))=0)),"",IF(ISNUMBER(SEARCH('Raw Data'!U197, Configuration!$H$2)),"",_xlfn.REGEXEXTRACT(CELL("address",'Raw Data'!U197),"\$([A-Z]+)\$[0-9]+"))))</f>
        <v/>
      </c>
      <c r="V197" s="7" t="str" cm="1">
        <f t="array" aca="1" ref="V197" ca="1">IF(OR('Raw Data'!V197="",LEN(TRIM('Raw Data'!V197))=0,Validate_Empty!V197&lt;&gt;"",Validate_Value!V197&lt;&gt;""),"",IF(OR(NOT(OR(LEN(TRIM('Raw Data'!B197:X197))&gt;0)),OR('Raw Data'!V197="",LEN(TRIM('Raw Data'!V197))=0)),"",IF('Raw Data'!V197 = Configuration!$I$2,"",_xlfn.REGEXEXTRACT(CELL("address",'Raw Data'!V197),"\$([A-Z]+)\$[0-9]+"))))</f>
        <v/>
      </c>
      <c r="W197" s="7"/>
      <c r="X197" s="7"/>
    </row>
    <row r="198" spans="2:24" x14ac:dyDescent="0.25">
      <c r="B198" s="7"/>
      <c r="C198" s="7" t="str" cm="1">
        <f t="array" aca="1" ref="C198" ca="1">IF(OR('Raw Data'!C198="",LEN(TRIM('Raw Data'!C198))=0,Validate_Empty!C198&lt;&gt;"",Validate_Value!C198&lt;&gt;""),"",IF(OR(NOT(OR(LEN(TRIM('Raw Data'!B198:X198))&gt;0)),OR('Raw Data'!C198="",LEN(TRIM('Raw Data'!C198))=0)),"",IF(OR(AND('Raw Data'!B198="Main Contract", LEFT('Raw Data'!C198, LEN("Payment"))="Payment"),AND('Raw Data'!B198="Change Order", LEFT('Raw Data'!C198, LEN("CO Payment No."))="CO Payment No.")),"",_xlfn.REGEXEXTRACT(CELL("address",'Raw Data'!C198),"\$([A-Z]+)\$[0-9]+"))))</f>
        <v/>
      </c>
      <c r="D198" s="7"/>
      <c r="E198" s="7"/>
      <c r="F198" s="7"/>
      <c r="G198" s="7"/>
      <c r="H198" s="7"/>
      <c r="I198" s="7"/>
      <c r="J198" s="7"/>
      <c r="K198" s="7"/>
      <c r="L198" s="7"/>
      <c r="M198" s="7" t="str" cm="1">
        <f t="array" aca="1" ref="M198" ca="1">IF(OR('Raw Data'!M198="",LEN(TRIM('Raw Data'!M198))=0,Validate_Empty!M198&lt;&gt;"",Validate_Value!M198&lt;&gt;""),"",IF(OR(NOT(OR(LEN(TRIM('Raw Data'!B198:X198))&gt;0)),OR('Raw Data'!M198="",LEN(TRIM('Raw Data'!M198))=0)),"",IF('Raw Data'!M198 = SUM('Raw Data'!K198:L198),"",_xlfn.REGEXEXTRACT(CELL("address",'Raw Data'!M198),"\$([A-Z]+)\$[0-9]+"))))</f>
        <v/>
      </c>
      <c r="N198" s="7"/>
      <c r="O198" s="7"/>
      <c r="P198" s="7" t="str" cm="1">
        <f t="array" aca="1" ref="P198" ca="1">IF(OR('Raw Data'!P198="",LEN(TRIM('Raw Data'!P198))=0,Validate_Empty!P198&lt;&gt;"",Validate_Value!P198&lt;&gt;""),"",IF(OR(NOT(OR(LEN(TRIM('Raw Data'!B198:X198))&gt;0)),OR('Raw Data'!P198="",LEN(TRIM('Raw Data'!P198))=0)),"",IF(AND('Raw Data'!J198 + Configuration!$G$2 + 5 &gt;= 'Raw Data'!P198,'Raw Data'!J198 + Configuration!$G$2 - 5 &lt;= 'Raw Data'!P198),"",_xlfn.REGEXEXTRACT(CELL("address",'Raw Data'!P198),"\$([A-Z]+)\$[0-9]+"))))</f>
        <v/>
      </c>
      <c r="Q198" s="7"/>
      <c r="R198" s="7"/>
      <c r="S198" s="7"/>
      <c r="T198" s="7" t="str" cm="1">
        <f t="array" aca="1" ref="T198" ca="1">IF(OR('Raw Data'!T198="",LEN(TRIM('Raw Data'!T198))=0,Validate_Empty!T198&lt;&gt;"",Validate_Value!T198&lt;&gt;""),"",IF(OR(NOT(OR(LEN(TRIM('Raw Data'!B198:X198))&gt;0)),OR('Raw Data'!T198="",LEN(TRIM('Raw Data'!T198))=0)),"",IF('Raw Data'!T198 = SUM('Raw Data'!R198:S198),"",_xlfn.REGEXEXTRACT(CELL("address",'Raw Data'!T198),"\$([A-Z]+)\$[0-9]+"))))</f>
        <v/>
      </c>
      <c r="U198" s="7" t="str" cm="1">
        <f t="array" aca="1" ref="U198" ca="1">IF(OR('Raw Data'!U198="",LEN(TRIM('Raw Data'!U198))=0,Validate_Empty!U198&lt;&gt;"",Validate_Value!U198&lt;&gt;""),"",IF(OR(NOT(OR(LEN(TRIM('Raw Data'!B198:X198))&gt;0)),OR('Raw Data'!T198="",LEN(TRIM('Raw Data'!T198))=0)),"",IF(ISNUMBER(SEARCH('Raw Data'!U198, Configuration!$H$2)),"",_xlfn.REGEXEXTRACT(CELL("address",'Raw Data'!U198),"\$([A-Z]+)\$[0-9]+"))))</f>
        <v/>
      </c>
      <c r="V198" s="7" t="str" cm="1">
        <f t="array" aca="1" ref="V198" ca="1">IF(OR('Raw Data'!V198="",LEN(TRIM('Raw Data'!V198))=0,Validate_Empty!V198&lt;&gt;"",Validate_Value!V198&lt;&gt;""),"",IF(OR(NOT(OR(LEN(TRIM('Raw Data'!B198:X198))&gt;0)),OR('Raw Data'!V198="",LEN(TRIM('Raw Data'!V198))=0)),"",IF('Raw Data'!V198 = Configuration!$I$2,"",_xlfn.REGEXEXTRACT(CELL("address",'Raw Data'!V198),"\$([A-Z]+)\$[0-9]+"))))</f>
        <v/>
      </c>
      <c r="W198" s="7"/>
      <c r="X198" s="7"/>
    </row>
    <row r="199" spans="2:24" x14ac:dyDescent="0.25">
      <c r="B199" s="7"/>
      <c r="C199" s="7" t="str" cm="1">
        <f t="array" aca="1" ref="C199" ca="1">IF(OR('Raw Data'!C199="",LEN(TRIM('Raw Data'!C199))=0,Validate_Empty!C199&lt;&gt;"",Validate_Value!C199&lt;&gt;""),"",IF(OR(NOT(OR(LEN(TRIM('Raw Data'!B199:X199))&gt;0)),OR('Raw Data'!C199="",LEN(TRIM('Raw Data'!C199))=0)),"",IF(OR(AND('Raw Data'!B199="Main Contract", LEFT('Raw Data'!C199, LEN("Payment"))="Payment"),AND('Raw Data'!B199="Change Order", LEFT('Raw Data'!C199, LEN("CO Payment No."))="CO Payment No.")),"",_xlfn.REGEXEXTRACT(CELL("address",'Raw Data'!C199),"\$([A-Z]+)\$[0-9]+"))))</f>
        <v/>
      </c>
      <c r="D199" s="7"/>
      <c r="E199" s="7"/>
      <c r="F199" s="7"/>
      <c r="G199" s="7"/>
      <c r="H199" s="7"/>
      <c r="I199" s="7"/>
      <c r="J199" s="7"/>
      <c r="K199" s="7"/>
      <c r="L199" s="7"/>
      <c r="M199" s="7" t="str" cm="1">
        <f t="array" aca="1" ref="M199" ca="1">IF(OR('Raw Data'!M199="",LEN(TRIM('Raw Data'!M199))=0,Validate_Empty!M199&lt;&gt;"",Validate_Value!M199&lt;&gt;""),"",IF(OR(NOT(OR(LEN(TRIM('Raw Data'!B199:X199))&gt;0)),OR('Raw Data'!M199="",LEN(TRIM('Raw Data'!M199))=0)),"",IF('Raw Data'!M199 = SUM('Raw Data'!K199:L199),"",_xlfn.REGEXEXTRACT(CELL("address",'Raw Data'!M199),"\$([A-Z]+)\$[0-9]+"))))</f>
        <v/>
      </c>
      <c r="N199" s="7"/>
      <c r="O199" s="7"/>
      <c r="P199" s="7" t="str" cm="1">
        <f t="array" aca="1" ref="P199" ca="1">IF(OR('Raw Data'!P199="",LEN(TRIM('Raw Data'!P199))=0,Validate_Empty!P199&lt;&gt;"",Validate_Value!P199&lt;&gt;""),"",IF(OR(NOT(OR(LEN(TRIM('Raw Data'!B199:X199))&gt;0)),OR('Raw Data'!P199="",LEN(TRIM('Raw Data'!P199))=0)),"",IF(AND('Raw Data'!J199 + Configuration!$G$2 + 5 &gt;= 'Raw Data'!P199,'Raw Data'!J199 + Configuration!$G$2 - 5 &lt;= 'Raw Data'!P199),"",_xlfn.REGEXEXTRACT(CELL("address",'Raw Data'!P199),"\$([A-Z]+)\$[0-9]+"))))</f>
        <v/>
      </c>
      <c r="Q199" s="7"/>
      <c r="R199" s="7"/>
      <c r="S199" s="7"/>
      <c r="T199" s="7" t="str" cm="1">
        <f t="array" aca="1" ref="T199" ca="1">IF(OR('Raw Data'!T199="",LEN(TRIM('Raw Data'!T199))=0,Validate_Empty!T199&lt;&gt;"",Validate_Value!T199&lt;&gt;""),"",IF(OR(NOT(OR(LEN(TRIM('Raw Data'!B199:X199))&gt;0)),OR('Raw Data'!T199="",LEN(TRIM('Raw Data'!T199))=0)),"",IF('Raw Data'!T199 = SUM('Raw Data'!R199:S199),"",_xlfn.REGEXEXTRACT(CELL("address",'Raw Data'!T199),"\$([A-Z]+)\$[0-9]+"))))</f>
        <v/>
      </c>
      <c r="U199" s="7" t="str" cm="1">
        <f t="array" aca="1" ref="U199" ca="1">IF(OR('Raw Data'!U199="",LEN(TRIM('Raw Data'!U199))=0,Validate_Empty!U199&lt;&gt;"",Validate_Value!U199&lt;&gt;""),"",IF(OR(NOT(OR(LEN(TRIM('Raw Data'!B199:X199))&gt;0)),OR('Raw Data'!T199="",LEN(TRIM('Raw Data'!T199))=0)),"",IF(ISNUMBER(SEARCH('Raw Data'!U199, Configuration!$H$2)),"",_xlfn.REGEXEXTRACT(CELL("address",'Raw Data'!U199),"\$([A-Z]+)\$[0-9]+"))))</f>
        <v/>
      </c>
      <c r="V199" s="7" t="str" cm="1">
        <f t="array" aca="1" ref="V199" ca="1">IF(OR('Raw Data'!V199="",LEN(TRIM('Raw Data'!V199))=0,Validate_Empty!V199&lt;&gt;"",Validate_Value!V199&lt;&gt;""),"",IF(OR(NOT(OR(LEN(TRIM('Raw Data'!B199:X199))&gt;0)),OR('Raw Data'!V199="",LEN(TRIM('Raw Data'!V199))=0)),"",IF('Raw Data'!V199 = Configuration!$I$2,"",_xlfn.REGEXEXTRACT(CELL("address",'Raw Data'!V199),"\$([A-Z]+)\$[0-9]+"))))</f>
        <v/>
      </c>
      <c r="W199" s="7"/>
      <c r="X199" s="7"/>
    </row>
    <row r="200" spans="2:24" x14ac:dyDescent="0.25">
      <c r="B200" s="7"/>
      <c r="C200" s="7" t="str" cm="1">
        <f t="array" aca="1" ref="C200" ca="1">IF(OR('Raw Data'!C200="",LEN(TRIM('Raw Data'!C200))=0,Validate_Empty!C200&lt;&gt;"",Validate_Value!C200&lt;&gt;""),"",IF(OR(NOT(OR(LEN(TRIM('Raw Data'!B200:X200))&gt;0)),OR('Raw Data'!C200="",LEN(TRIM('Raw Data'!C200))=0)),"",IF(OR(AND('Raw Data'!B200="Main Contract", LEFT('Raw Data'!C200, LEN("Payment"))="Payment"),AND('Raw Data'!B200="Change Order", LEFT('Raw Data'!C200, LEN("CO Payment No."))="CO Payment No.")),"",_xlfn.REGEXEXTRACT(CELL("address",'Raw Data'!C200),"\$([A-Z]+)\$[0-9]+"))))</f>
        <v/>
      </c>
      <c r="D200" s="7"/>
      <c r="E200" s="7"/>
      <c r="F200" s="7"/>
      <c r="G200" s="7"/>
      <c r="H200" s="7"/>
      <c r="I200" s="7"/>
      <c r="J200" s="7"/>
      <c r="K200" s="7"/>
      <c r="L200" s="7"/>
      <c r="M200" s="7" t="str" cm="1">
        <f t="array" aca="1" ref="M200" ca="1">IF(OR('Raw Data'!M200="",LEN(TRIM('Raw Data'!M200))=0,Validate_Empty!M200&lt;&gt;"",Validate_Value!M200&lt;&gt;""),"",IF(OR(NOT(OR(LEN(TRIM('Raw Data'!B200:X200))&gt;0)),OR('Raw Data'!M200="",LEN(TRIM('Raw Data'!M200))=0)),"",IF('Raw Data'!M200 = SUM('Raw Data'!K200:L200),"",_xlfn.REGEXEXTRACT(CELL("address",'Raw Data'!M200),"\$([A-Z]+)\$[0-9]+"))))</f>
        <v/>
      </c>
      <c r="N200" s="7"/>
      <c r="O200" s="7"/>
      <c r="P200" s="7" t="str" cm="1">
        <f t="array" aca="1" ref="P200" ca="1">IF(OR('Raw Data'!P200="",LEN(TRIM('Raw Data'!P200))=0,Validate_Empty!P200&lt;&gt;"",Validate_Value!P200&lt;&gt;""),"",IF(OR(NOT(OR(LEN(TRIM('Raw Data'!B200:X200))&gt;0)),OR('Raw Data'!P200="",LEN(TRIM('Raw Data'!P200))=0)),"",IF(AND('Raw Data'!J200 + Configuration!$G$2 + 5 &gt;= 'Raw Data'!P200,'Raw Data'!J200 + Configuration!$G$2 - 5 &lt;= 'Raw Data'!P200),"",_xlfn.REGEXEXTRACT(CELL("address",'Raw Data'!P200),"\$([A-Z]+)\$[0-9]+"))))</f>
        <v/>
      </c>
      <c r="Q200" s="7"/>
      <c r="R200" s="7"/>
      <c r="S200" s="7"/>
      <c r="T200" s="7" t="str" cm="1">
        <f t="array" aca="1" ref="T200" ca="1">IF(OR('Raw Data'!T200="",LEN(TRIM('Raw Data'!T200))=0,Validate_Empty!T200&lt;&gt;"",Validate_Value!T200&lt;&gt;""),"",IF(OR(NOT(OR(LEN(TRIM('Raw Data'!B200:X200))&gt;0)),OR('Raw Data'!T200="",LEN(TRIM('Raw Data'!T200))=0)),"",IF('Raw Data'!T200 = SUM('Raw Data'!R200:S200),"",_xlfn.REGEXEXTRACT(CELL("address",'Raw Data'!T200),"\$([A-Z]+)\$[0-9]+"))))</f>
        <v/>
      </c>
      <c r="U200" s="7" t="str" cm="1">
        <f t="array" aca="1" ref="U200" ca="1">IF(OR('Raw Data'!U200="",LEN(TRIM('Raw Data'!U200))=0,Validate_Empty!U200&lt;&gt;"",Validate_Value!U200&lt;&gt;""),"",IF(OR(NOT(OR(LEN(TRIM('Raw Data'!B200:X200))&gt;0)),OR('Raw Data'!T200="",LEN(TRIM('Raw Data'!T200))=0)),"",IF(ISNUMBER(SEARCH('Raw Data'!U200, Configuration!$H$2)),"",_xlfn.REGEXEXTRACT(CELL("address",'Raw Data'!U200),"\$([A-Z]+)\$[0-9]+"))))</f>
        <v/>
      </c>
      <c r="V200" s="7" t="str" cm="1">
        <f t="array" aca="1" ref="V200" ca="1">IF(OR('Raw Data'!V200="",LEN(TRIM('Raw Data'!V200))=0,Validate_Empty!V200&lt;&gt;"",Validate_Value!V200&lt;&gt;""),"",IF(OR(NOT(OR(LEN(TRIM('Raw Data'!B200:X200))&gt;0)),OR('Raw Data'!V200="",LEN(TRIM('Raw Data'!V200))=0)),"",IF('Raw Data'!V200 = Configuration!$I$2,"",_xlfn.REGEXEXTRACT(CELL("address",'Raw Data'!V200),"\$([A-Z]+)\$[0-9]+"))))</f>
        <v/>
      </c>
      <c r="W200" s="7"/>
      <c r="X200" s="7"/>
    </row>
    <row r="201" spans="2:24" x14ac:dyDescent="0.25">
      <c r="B201" s="7"/>
      <c r="C201" s="7" t="str" cm="1">
        <f t="array" aca="1" ref="C201" ca="1">IF(OR('Raw Data'!C201="",LEN(TRIM('Raw Data'!C201))=0,Validate_Empty!C201&lt;&gt;"",Validate_Value!C201&lt;&gt;""),"",IF(OR(NOT(OR(LEN(TRIM('Raw Data'!B201:X201))&gt;0)),OR('Raw Data'!C201="",LEN(TRIM('Raw Data'!C201))=0)),"",IF(OR(AND('Raw Data'!B201="Main Contract", LEFT('Raw Data'!C201, LEN("Payment"))="Payment"),AND('Raw Data'!B201="Change Order", LEFT('Raw Data'!C201, LEN("CO Payment No."))="CO Payment No.")),"",_xlfn.REGEXEXTRACT(CELL("address",'Raw Data'!C201),"\$([A-Z]+)\$[0-9]+"))))</f>
        <v/>
      </c>
      <c r="D201" s="7"/>
      <c r="E201" s="7"/>
      <c r="F201" s="7"/>
      <c r="G201" s="7"/>
      <c r="H201" s="7"/>
      <c r="I201" s="7"/>
      <c r="J201" s="7"/>
      <c r="K201" s="7"/>
      <c r="L201" s="7"/>
      <c r="M201" s="7" t="str" cm="1">
        <f t="array" aca="1" ref="M201" ca="1">IF(OR('Raw Data'!M201="",LEN(TRIM('Raw Data'!M201))=0,Validate_Empty!M201&lt;&gt;"",Validate_Value!M201&lt;&gt;""),"",IF(OR(NOT(OR(LEN(TRIM('Raw Data'!B201:X201))&gt;0)),OR('Raw Data'!M201="",LEN(TRIM('Raw Data'!M201))=0)),"",IF('Raw Data'!M201 = SUM('Raw Data'!K201:L201),"",_xlfn.REGEXEXTRACT(CELL("address",'Raw Data'!M201),"\$([A-Z]+)\$[0-9]+"))))</f>
        <v/>
      </c>
      <c r="N201" s="7"/>
      <c r="O201" s="7"/>
      <c r="P201" s="7" t="str" cm="1">
        <f t="array" aca="1" ref="P201" ca="1">IF(OR('Raw Data'!P201="",LEN(TRIM('Raw Data'!P201))=0,Validate_Empty!P201&lt;&gt;"",Validate_Value!P201&lt;&gt;""),"",IF(OR(NOT(OR(LEN(TRIM('Raw Data'!B201:X201))&gt;0)),OR('Raw Data'!P201="",LEN(TRIM('Raw Data'!P201))=0)),"",IF(AND('Raw Data'!J201 + Configuration!$G$2 + 5 &gt;= 'Raw Data'!P201,'Raw Data'!J201 + Configuration!$G$2 - 5 &lt;= 'Raw Data'!P201),"",_xlfn.REGEXEXTRACT(CELL("address",'Raw Data'!P201),"\$([A-Z]+)\$[0-9]+"))))</f>
        <v/>
      </c>
      <c r="Q201" s="7"/>
      <c r="R201" s="7"/>
      <c r="S201" s="7"/>
      <c r="T201" s="7" t="str" cm="1">
        <f t="array" aca="1" ref="T201" ca="1">IF(OR('Raw Data'!T201="",LEN(TRIM('Raw Data'!T201))=0,Validate_Empty!T201&lt;&gt;"",Validate_Value!T201&lt;&gt;""),"",IF(OR(NOT(OR(LEN(TRIM('Raw Data'!B201:X201))&gt;0)),OR('Raw Data'!T201="",LEN(TRIM('Raw Data'!T201))=0)),"",IF('Raw Data'!T201 = SUM('Raw Data'!R201:S201),"",_xlfn.REGEXEXTRACT(CELL("address",'Raw Data'!T201),"\$([A-Z]+)\$[0-9]+"))))</f>
        <v/>
      </c>
      <c r="U201" s="7" t="str" cm="1">
        <f t="array" aca="1" ref="U201" ca="1">IF(OR('Raw Data'!U201="",LEN(TRIM('Raw Data'!U201))=0,Validate_Empty!U201&lt;&gt;"",Validate_Value!U201&lt;&gt;""),"",IF(OR(NOT(OR(LEN(TRIM('Raw Data'!B201:X201))&gt;0)),OR('Raw Data'!T201="",LEN(TRIM('Raw Data'!T201))=0)),"",IF(ISNUMBER(SEARCH('Raw Data'!U201, Configuration!$H$2)),"",_xlfn.REGEXEXTRACT(CELL("address",'Raw Data'!U201),"\$([A-Z]+)\$[0-9]+"))))</f>
        <v/>
      </c>
      <c r="V201" s="7" t="str" cm="1">
        <f t="array" aca="1" ref="V201" ca="1">IF(OR('Raw Data'!V201="",LEN(TRIM('Raw Data'!V201))=0,Validate_Empty!V201&lt;&gt;"",Validate_Value!V201&lt;&gt;""),"",IF(OR(NOT(OR(LEN(TRIM('Raw Data'!B201:X201))&gt;0)),OR('Raw Data'!V201="",LEN(TRIM('Raw Data'!V201))=0)),"",IF('Raw Data'!V201 = Configuration!$I$2,"",_xlfn.REGEXEXTRACT(CELL("address",'Raw Data'!V201),"\$([A-Z]+)\$[0-9]+"))))</f>
        <v/>
      </c>
      <c r="W201" s="7"/>
      <c r="X201" s="7"/>
    </row>
    <row r="202" spans="2:24" x14ac:dyDescent="0.25">
      <c r="B202" s="7"/>
      <c r="C202" s="7" t="str" cm="1">
        <f t="array" aca="1" ref="C202" ca="1">IF(OR('Raw Data'!C202="",LEN(TRIM('Raw Data'!C202))=0,Validate_Empty!C202&lt;&gt;"",Validate_Value!C202&lt;&gt;""),"",IF(OR(NOT(OR(LEN(TRIM('Raw Data'!B202:X202))&gt;0)),OR('Raw Data'!C202="",LEN(TRIM('Raw Data'!C202))=0)),"",IF(OR(AND('Raw Data'!B202="Main Contract", LEFT('Raw Data'!C202, LEN("Payment"))="Payment"),AND('Raw Data'!B202="Change Order", LEFT('Raw Data'!C202, LEN("CO Payment No."))="CO Payment No.")),"",_xlfn.REGEXEXTRACT(CELL("address",'Raw Data'!C202),"\$([A-Z]+)\$[0-9]+"))))</f>
        <v/>
      </c>
      <c r="D202" s="7"/>
      <c r="E202" s="7"/>
      <c r="F202" s="7"/>
      <c r="G202" s="7"/>
      <c r="H202" s="7"/>
      <c r="I202" s="7"/>
      <c r="J202" s="7"/>
      <c r="K202" s="7"/>
      <c r="L202" s="7"/>
      <c r="M202" s="7" t="str" cm="1">
        <f t="array" aca="1" ref="M202" ca="1">IF(OR('Raw Data'!M202="",LEN(TRIM('Raw Data'!M202))=0,Validate_Empty!M202&lt;&gt;"",Validate_Value!M202&lt;&gt;""),"",IF(OR(NOT(OR(LEN(TRIM('Raw Data'!B202:X202))&gt;0)),OR('Raw Data'!M202="",LEN(TRIM('Raw Data'!M202))=0)),"",IF('Raw Data'!M202 = SUM('Raw Data'!K202:L202),"",_xlfn.REGEXEXTRACT(CELL("address",'Raw Data'!M202),"\$([A-Z]+)\$[0-9]+"))))</f>
        <v/>
      </c>
      <c r="N202" s="7"/>
      <c r="O202" s="7"/>
      <c r="P202" s="7" t="str" cm="1">
        <f t="array" aca="1" ref="P202" ca="1">IF(OR('Raw Data'!P202="",LEN(TRIM('Raw Data'!P202))=0,Validate_Empty!P202&lt;&gt;"",Validate_Value!P202&lt;&gt;""),"",IF(OR(NOT(OR(LEN(TRIM('Raw Data'!B202:X202))&gt;0)),OR('Raw Data'!P202="",LEN(TRIM('Raw Data'!P202))=0)),"",IF(AND('Raw Data'!J202 + Configuration!$G$2 + 5 &gt;= 'Raw Data'!P202,'Raw Data'!J202 + Configuration!$G$2 - 5 &lt;= 'Raw Data'!P202),"",_xlfn.REGEXEXTRACT(CELL("address",'Raw Data'!P202),"\$([A-Z]+)\$[0-9]+"))))</f>
        <v/>
      </c>
      <c r="Q202" s="7"/>
      <c r="R202" s="7"/>
      <c r="S202" s="7"/>
      <c r="T202" s="7" t="str" cm="1">
        <f t="array" aca="1" ref="T202" ca="1">IF(OR('Raw Data'!T202="",LEN(TRIM('Raw Data'!T202))=0,Validate_Empty!T202&lt;&gt;"",Validate_Value!T202&lt;&gt;""),"",IF(OR(NOT(OR(LEN(TRIM('Raw Data'!B202:X202))&gt;0)),OR('Raw Data'!T202="",LEN(TRIM('Raw Data'!T202))=0)),"",IF('Raw Data'!T202 = SUM('Raw Data'!R202:S202),"",_xlfn.REGEXEXTRACT(CELL("address",'Raw Data'!T202),"\$([A-Z]+)\$[0-9]+"))))</f>
        <v/>
      </c>
      <c r="U202" s="7" t="str" cm="1">
        <f t="array" aca="1" ref="U202" ca="1">IF(OR('Raw Data'!U202="",LEN(TRIM('Raw Data'!U202))=0,Validate_Empty!U202&lt;&gt;"",Validate_Value!U202&lt;&gt;""),"",IF(OR(NOT(OR(LEN(TRIM('Raw Data'!B202:X202))&gt;0)),OR('Raw Data'!T202="",LEN(TRIM('Raw Data'!T202))=0)),"",IF(ISNUMBER(SEARCH('Raw Data'!U202, Configuration!$H$2)),"",_xlfn.REGEXEXTRACT(CELL("address",'Raw Data'!U202),"\$([A-Z]+)\$[0-9]+"))))</f>
        <v/>
      </c>
      <c r="V202" s="7" t="str" cm="1">
        <f t="array" aca="1" ref="V202" ca="1">IF(OR('Raw Data'!V202="",LEN(TRIM('Raw Data'!V202))=0,Validate_Empty!V202&lt;&gt;"",Validate_Value!V202&lt;&gt;""),"",IF(OR(NOT(OR(LEN(TRIM('Raw Data'!B202:X202))&gt;0)),OR('Raw Data'!V202="",LEN(TRIM('Raw Data'!V202))=0)),"",IF('Raw Data'!V202 = Configuration!$I$2,"",_xlfn.REGEXEXTRACT(CELL("address",'Raw Data'!V202),"\$([A-Z]+)\$[0-9]+"))))</f>
        <v/>
      </c>
      <c r="W202" s="7"/>
      <c r="X202" s="7"/>
    </row>
    <row r="203" spans="2:24" x14ac:dyDescent="0.25">
      <c r="B203" s="7"/>
      <c r="C203" s="7" t="str" cm="1">
        <f t="array" aca="1" ref="C203" ca="1">IF(OR('Raw Data'!C203="",LEN(TRIM('Raw Data'!C203))=0,Validate_Empty!C203&lt;&gt;"",Validate_Value!C203&lt;&gt;""),"",IF(OR(NOT(OR(LEN(TRIM('Raw Data'!B203:X203))&gt;0)),OR('Raw Data'!C203="",LEN(TRIM('Raw Data'!C203))=0)),"",IF(OR(AND('Raw Data'!B203="Main Contract", LEFT('Raw Data'!C203, LEN("Payment"))="Payment"),AND('Raw Data'!B203="Change Order", LEFT('Raw Data'!C203, LEN("CO Payment No."))="CO Payment No.")),"",_xlfn.REGEXEXTRACT(CELL("address",'Raw Data'!C203),"\$([A-Z]+)\$[0-9]+"))))</f>
        <v/>
      </c>
      <c r="D203" s="7"/>
      <c r="E203" s="7"/>
      <c r="F203" s="7"/>
      <c r="G203" s="7"/>
      <c r="H203" s="7"/>
      <c r="I203" s="7"/>
      <c r="J203" s="7"/>
      <c r="K203" s="7"/>
      <c r="L203" s="7"/>
      <c r="M203" s="7" t="str" cm="1">
        <f t="array" aca="1" ref="M203" ca="1">IF(OR('Raw Data'!M203="",LEN(TRIM('Raw Data'!M203))=0,Validate_Empty!M203&lt;&gt;"",Validate_Value!M203&lt;&gt;""),"",IF(OR(NOT(OR(LEN(TRIM('Raw Data'!B203:X203))&gt;0)),OR('Raw Data'!M203="",LEN(TRIM('Raw Data'!M203))=0)),"",IF('Raw Data'!M203 = SUM('Raw Data'!K203:L203),"",_xlfn.REGEXEXTRACT(CELL("address",'Raw Data'!M203),"\$([A-Z]+)\$[0-9]+"))))</f>
        <v/>
      </c>
      <c r="N203" s="7"/>
      <c r="O203" s="7"/>
      <c r="P203" s="7" t="str" cm="1">
        <f t="array" aca="1" ref="P203" ca="1">IF(OR('Raw Data'!P203="",LEN(TRIM('Raw Data'!P203))=0,Validate_Empty!P203&lt;&gt;"",Validate_Value!P203&lt;&gt;""),"",IF(OR(NOT(OR(LEN(TRIM('Raw Data'!B203:X203))&gt;0)),OR('Raw Data'!P203="",LEN(TRIM('Raw Data'!P203))=0)),"",IF(AND('Raw Data'!J203 + Configuration!$G$2 + 5 &gt;= 'Raw Data'!P203,'Raw Data'!J203 + Configuration!$G$2 - 5 &lt;= 'Raw Data'!P203),"",_xlfn.REGEXEXTRACT(CELL("address",'Raw Data'!P203),"\$([A-Z]+)\$[0-9]+"))))</f>
        <v/>
      </c>
      <c r="Q203" s="7"/>
      <c r="R203" s="7"/>
      <c r="S203" s="7"/>
      <c r="T203" s="7" t="str" cm="1">
        <f t="array" aca="1" ref="T203" ca="1">IF(OR('Raw Data'!T203="",LEN(TRIM('Raw Data'!T203))=0,Validate_Empty!T203&lt;&gt;"",Validate_Value!T203&lt;&gt;""),"",IF(OR(NOT(OR(LEN(TRIM('Raw Data'!B203:X203))&gt;0)),OR('Raw Data'!T203="",LEN(TRIM('Raw Data'!T203))=0)),"",IF('Raw Data'!T203 = SUM('Raw Data'!R203:S203),"",_xlfn.REGEXEXTRACT(CELL("address",'Raw Data'!T203),"\$([A-Z]+)\$[0-9]+"))))</f>
        <v/>
      </c>
      <c r="U203" s="7" t="str" cm="1">
        <f t="array" aca="1" ref="U203" ca="1">IF(OR('Raw Data'!U203="",LEN(TRIM('Raw Data'!U203))=0,Validate_Empty!U203&lt;&gt;"",Validate_Value!U203&lt;&gt;""),"",IF(OR(NOT(OR(LEN(TRIM('Raw Data'!B203:X203))&gt;0)),OR('Raw Data'!T203="",LEN(TRIM('Raw Data'!T203))=0)),"",IF(ISNUMBER(SEARCH('Raw Data'!U203, Configuration!$H$2)),"",_xlfn.REGEXEXTRACT(CELL("address",'Raw Data'!U203),"\$([A-Z]+)\$[0-9]+"))))</f>
        <v/>
      </c>
      <c r="V203" s="7" t="str" cm="1">
        <f t="array" aca="1" ref="V203" ca="1">IF(OR('Raw Data'!V203="",LEN(TRIM('Raw Data'!V203))=0,Validate_Empty!V203&lt;&gt;"",Validate_Value!V203&lt;&gt;""),"",IF(OR(NOT(OR(LEN(TRIM('Raw Data'!B203:X203))&gt;0)),OR('Raw Data'!V203="",LEN(TRIM('Raw Data'!V203))=0)),"",IF('Raw Data'!V203 = Configuration!$I$2,"",_xlfn.REGEXEXTRACT(CELL("address",'Raw Data'!V203),"\$([A-Z]+)\$[0-9]+"))))</f>
        <v/>
      </c>
      <c r="W203" s="7"/>
      <c r="X203" s="7"/>
    </row>
    <row r="204" spans="2:24" x14ac:dyDescent="0.25">
      <c r="B204" s="7"/>
      <c r="C204" s="7" t="str" cm="1">
        <f t="array" aca="1" ref="C204" ca="1">IF(OR('Raw Data'!C204="",LEN(TRIM('Raw Data'!C204))=0,Validate_Empty!C204&lt;&gt;"",Validate_Value!C204&lt;&gt;""),"",IF(OR(NOT(OR(LEN(TRIM('Raw Data'!B204:X204))&gt;0)),OR('Raw Data'!C204="",LEN(TRIM('Raw Data'!C204))=0)),"",IF(OR(AND('Raw Data'!B204="Main Contract", LEFT('Raw Data'!C204, LEN("Payment"))="Payment"),AND('Raw Data'!B204="Change Order", LEFT('Raw Data'!C204, LEN("CO Payment No."))="CO Payment No.")),"",_xlfn.REGEXEXTRACT(CELL("address",'Raw Data'!C204),"\$([A-Z]+)\$[0-9]+"))))</f>
        <v/>
      </c>
      <c r="D204" s="7"/>
      <c r="E204" s="7"/>
      <c r="F204" s="7"/>
      <c r="G204" s="7"/>
      <c r="H204" s="7"/>
      <c r="I204" s="7"/>
      <c r="J204" s="7"/>
      <c r="K204" s="7"/>
      <c r="L204" s="7"/>
      <c r="M204" s="7" t="str" cm="1">
        <f t="array" aca="1" ref="M204" ca="1">IF(OR('Raw Data'!M204="",LEN(TRIM('Raw Data'!M204))=0,Validate_Empty!M204&lt;&gt;"",Validate_Value!M204&lt;&gt;""),"",IF(OR(NOT(OR(LEN(TRIM('Raw Data'!B204:X204))&gt;0)),OR('Raw Data'!M204="",LEN(TRIM('Raw Data'!M204))=0)),"",IF('Raw Data'!M204 = SUM('Raw Data'!K204:L204),"",_xlfn.REGEXEXTRACT(CELL("address",'Raw Data'!M204),"\$([A-Z]+)\$[0-9]+"))))</f>
        <v/>
      </c>
      <c r="N204" s="7"/>
      <c r="O204" s="7"/>
      <c r="P204" s="7" t="str" cm="1">
        <f t="array" aca="1" ref="P204" ca="1">IF(OR('Raw Data'!P204="",LEN(TRIM('Raw Data'!P204))=0,Validate_Empty!P204&lt;&gt;"",Validate_Value!P204&lt;&gt;""),"",IF(OR(NOT(OR(LEN(TRIM('Raw Data'!B204:X204))&gt;0)),OR('Raw Data'!P204="",LEN(TRIM('Raw Data'!P204))=0)),"",IF(AND('Raw Data'!J204 + Configuration!$G$2 + 5 &gt;= 'Raw Data'!P204,'Raw Data'!J204 + Configuration!$G$2 - 5 &lt;= 'Raw Data'!P204),"",_xlfn.REGEXEXTRACT(CELL("address",'Raw Data'!P204),"\$([A-Z]+)\$[0-9]+"))))</f>
        <v/>
      </c>
      <c r="Q204" s="7"/>
      <c r="R204" s="7"/>
      <c r="S204" s="7"/>
      <c r="T204" s="7" t="str" cm="1">
        <f t="array" aca="1" ref="T204" ca="1">IF(OR('Raw Data'!T204="",LEN(TRIM('Raw Data'!T204))=0,Validate_Empty!T204&lt;&gt;"",Validate_Value!T204&lt;&gt;""),"",IF(OR(NOT(OR(LEN(TRIM('Raw Data'!B204:X204))&gt;0)),OR('Raw Data'!T204="",LEN(TRIM('Raw Data'!T204))=0)),"",IF('Raw Data'!T204 = SUM('Raw Data'!R204:S204),"",_xlfn.REGEXEXTRACT(CELL("address",'Raw Data'!T204),"\$([A-Z]+)\$[0-9]+"))))</f>
        <v/>
      </c>
      <c r="U204" s="7" t="str" cm="1">
        <f t="array" aca="1" ref="U204" ca="1">IF(OR('Raw Data'!U204="",LEN(TRIM('Raw Data'!U204))=0,Validate_Empty!U204&lt;&gt;"",Validate_Value!U204&lt;&gt;""),"",IF(OR(NOT(OR(LEN(TRIM('Raw Data'!B204:X204))&gt;0)),OR('Raw Data'!T204="",LEN(TRIM('Raw Data'!T204))=0)),"",IF(ISNUMBER(SEARCH('Raw Data'!U204, Configuration!$H$2)),"",_xlfn.REGEXEXTRACT(CELL("address",'Raw Data'!U204),"\$([A-Z]+)\$[0-9]+"))))</f>
        <v/>
      </c>
      <c r="V204" s="7" t="str" cm="1">
        <f t="array" aca="1" ref="V204" ca="1">IF(OR('Raw Data'!V204="",LEN(TRIM('Raw Data'!V204))=0,Validate_Empty!V204&lt;&gt;"",Validate_Value!V204&lt;&gt;""),"",IF(OR(NOT(OR(LEN(TRIM('Raw Data'!B204:X204))&gt;0)),OR('Raw Data'!V204="",LEN(TRIM('Raw Data'!V204))=0)),"",IF('Raw Data'!V204 = Configuration!$I$2,"",_xlfn.REGEXEXTRACT(CELL("address",'Raw Data'!V204),"\$([A-Z]+)\$[0-9]+"))))</f>
        <v/>
      </c>
      <c r="W204" s="7"/>
      <c r="X204" s="7"/>
    </row>
    <row r="205" spans="2:24" x14ac:dyDescent="0.25">
      <c r="B205" s="7"/>
      <c r="C205" s="7" t="str" cm="1">
        <f t="array" aca="1" ref="C205" ca="1">IF(OR('Raw Data'!C205="",LEN(TRIM('Raw Data'!C205))=0,Validate_Empty!C205&lt;&gt;"",Validate_Value!C205&lt;&gt;""),"",IF(OR(NOT(OR(LEN(TRIM('Raw Data'!B205:X205))&gt;0)),OR('Raw Data'!C205="",LEN(TRIM('Raw Data'!C205))=0)),"",IF(OR(AND('Raw Data'!B205="Main Contract", LEFT('Raw Data'!C205, LEN("Payment"))="Payment"),AND('Raw Data'!B205="Change Order", LEFT('Raw Data'!C205, LEN("CO Payment No."))="CO Payment No.")),"",_xlfn.REGEXEXTRACT(CELL("address",'Raw Data'!C205),"\$([A-Z]+)\$[0-9]+"))))</f>
        <v/>
      </c>
      <c r="D205" s="7"/>
      <c r="E205" s="7"/>
      <c r="F205" s="7"/>
      <c r="G205" s="7"/>
      <c r="H205" s="7"/>
      <c r="I205" s="7"/>
      <c r="J205" s="7"/>
      <c r="K205" s="7"/>
      <c r="L205" s="7"/>
      <c r="M205" s="7" t="str" cm="1">
        <f t="array" aca="1" ref="M205" ca="1">IF(OR('Raw Data'!M205="",LEN(TRIM('Raw Data'!M205))=0,Validate_Empty!M205&lt;&gt;"",Validate_Value!M205&lt;&gt;""),"",IF(OR(NOT(OR(LEN(TRIM('Raw Data'!B205:X205))&gt;0)),OR('Raw Data'!M205="",LEN(TRIM('Raw Data'!M205))=0)),"",IF('Raw Data'!M205 = SUM('Raw Data'!K205:L205),"",_xlfn.REGEXEXTRACT(CELL("address",'Raw Data'!M205),"\$([A-Z]+)\$[0-9]+"))))</f>
        <v/>
      </c>
      <c r="N205" s="7"/>
      <c r="O205" s="7"/>
      <c r="P205" s="7" t="str" cm="1">
        <f t="array" aca="1" ref="P205" ca="1">IF(OR('Raw Data'!P205="",LEN(TRIM('Raw Data'!P205))=0,Validate_Empty!P205&lt;&gt;"",Validate_Value!P205&lt;&gt;""),"",IF(OR(NOT(OR(LEN(TRIM('Raw Data'!B205:X205))&gt;0)),OR('Raw Data'!P205="",LEN(TRIM('Raw Data'!P205))=0)),"",IF(AND('Raw Data'!J205 + Configuration!$G$2 + 5 &gt;= 'Raw Data'!P205,'Raw Data'!J205 + Configuration!$G$2 - 5 &lt;= 'Raw Data'!P205),"",_xlfn.REGEXEXTRACT(CELL("address",'Raw Data'!P205),"\$([A-Z]+)\$[0-9]+"))))</f>
        <v/>
      </c>
      <c r="Q205" s="7"/>
      <c r="R205" s="7"/>
      <c r="S205" s="7"/>
      <c r="T205" s="7" t="str" cm="1">
        <f t="array" aca="1" ref="T205" ca="1">IF(OR('Raw Data'!T205="",LEN(TRIM('Raw Data'!T205))=0,Validate_Empty!T205&lt;&gt;"",Validate_Value!T205&lt;&gt;""),"",IF(OR(NOT(OR(LEN(TRIM('Raw Data'!B205:X205))&gt;0)),OR('Raw Data'!T205="",LEN(TRIM('Raw Data'!T205))=0)),"",IF('Raw Data'!T205 = SUM('Raw Data'!R205:S205),"",_xlfn.REGEXEXTRACT(CELL("address",'Raw Data'!T205),"\$([A-Z]+)\$[0-9]+"))))</f>
        <v/>
      </c>
      <c r="U205" s="7" t="str" cm="1">
        <f t="array" aca="1" ref="U205" ca="1">IF(OR('Raw Data'!U205="",LEN(TRIM('Raw Data'!U205))=0,Validate_Empty!U205&lt;&gt;"",Validate_Value!U205&lt;&gt;""),"",IF(OR(NOT(OR(LEN(TRIM('Raw Data'!B205:X205))&gt;0)),OR('Raw Data'!T205="",LEN(TRIM('Raw Data'!T205))=0)),"",IF(ISNUMBER(SEARCH('Raw Data'!U205, Configuration!$H$2)),"",_xlfn.REGEXEXTRACT(CELL("address",'Raw Data'!U205),"\$([A-Z]+)\$[0-9]+"))))</f>
        <v/>
      </c>
      <c r="V205" s="7" t="str" cm="1">
        <f t="array" aca="1" ref="V205" ca="1">IF(OR('Raw Data'!V205="",LEN(TRIM('Raw Data'!V205))=0,Validate_Empty!V205&lt;&gt;"",Validate_Value!V205&lt;&gt;""),"",IF(OR(NOT(OR(LEN(TRIM('Raw Data'!B205:X205))&gt;0)),OR('Raw Data'!V205="",LEN(TRIM('Raw Data'!V205))=0)),"",IF('Raw Data'!V205 = Configuration!$I$2,"",_xlfn.REGEXEXTRACT(CELL("address",'Raw Data'!V205),"\$([A-Z]+)\$[0-9]+"))))</f>
        <v/>
      </c>
      <c r="W205" s="7"/>
      <c r="X205" s="7"/>
    </row>
    <row r="206" spans="2:24" x14ac:dyDescent="0.25">
      <c r="B206" s="7"/>
      <c r="C206" s="7" t="str" cm="1">
        <f t="array" aca="1" ref="C206" ca="1">IF(OR('Raw Data'!C206="",LEN(TRIM('Raw Data'!C206))=0,Validate_Empty!C206&lt;&gt;"",Validate_Value!C206&lt;&gt;""),"",IF(OR(NOT(OR(LEN(TRIM('Raw Data'!B206:X206))&gt;0)),OR('Raw Data'!C206="",LEN(TRIM('Raw Data'!C206))=0)),"",IF(OR(AND('Raw Data'!B206="Main Contract", LEFT('Raw Data'!C206, LEN("Payment"))="Payment"),AND('Raw Data'!B206="Change Order", LEFT('Raw Data'!C206, LEN("CO Payment No."))="CO Payment No.")),"",_xlfn.REGEXEXTRACT(CELL("address",'Raw Data'!C206),"\$([A-Z]+)\$[0-9]+"))))</f>
        <v/>
      </c>
      <c r="D206" s="7"/>
      <c r="E206" s="7"/>
      <c r="F206" s="7"/>
      <c r="G206" s="7"/>
      <c r="H206" s="7"/>
      <c r="I206" s="7"/>
      <c r="J206" s="7"/>
      <c r="K206" s="7"/>
      <c r="L206" s="7"/>
      <c r="M206" s="7" t="str" cm="1">
        <f t="array" aca="1" ref="M206" ca="1">IF(OR('Raw Data'!M206="",LEN(TRIM('Raw Data'!M206))=0,Validate_Empty!M206&lt;&gt;"",Validate_Value!M206&lt;&gt;""),"",IF(OR(NOT(OR(LEN(TRIM('Raw Data'!B206:X206))&gt;0)),OR('Raw Data'!M206="",LEN(TRIM('Raw Data'!M206))=0)),"",IF('Raw Data'!M206 = SUM('Raw Data'!K206:L206),"",_xlfn.REGEXEXTRACT(CELL("address",'Raw Data'!M206),"\$([A-Z]+)\$[0-9]+"))))</f>
        <v/>
      </c>
      <c r="N206" s="7"/>
      <c r="O206" s="7"/>
      <c r="P206" s="7" t="str" cm="1">
        <f t="array" aca="1" ref="P206" ca="1">IF(OR('Raw Data'!P206="",LEN(TRIM('Raw Data'!P206))=0,Validate_Empty!P206&lt;&gt;"",Validate_Value!P206&lt;&gt;""),"",IF(OR(NOT(OR(LEN(TRIM('Raw Data'!B206:X206))&gt;0)),OR('Raw Data'!P206="",LEN(TRIM('Raw Data'!P206))=0)),"",IF(AND('Raw Data'!J206 + Configuration!$G$2 + 5 &gt;= 'Raw Data'!P206,'Raw Data'!J206 + Configuration!$G$2 - 5 &lt;= 'Raw Data'!P206),"",_xlfn.REGEXEXTRACT(CELL("address",'Raw Data'!P206),"\$([A-Z]+)\$[0-9]+"))))</f>
        <v/>
      </c>
      <c r="Q206" s="7"/>
      <c r="R206" s="7"/>
      <c r="S206" s="7"/>
      <c r="T206" s="7" t="str" cm="1">
        <f t="array" aca="1" ref="T206" ca="1">IF(OR('Raw Data'!T206="",LEN(TRIM('Raw Data'!T206))=0,Validate_Empty!T206&lt;&gt;"",Validate_Value!T206&lt;&gt;""),"",IF(OR(NOT(OR(LEN(TRIM('Raw Data'!B206:X206))&gt;0)),OR('Raw Data'!T206="",LEN(TRIM('Raw Data'!T206))=0)),"",IF('Raw Data'!T206 = SUM('Raw Data'!R206:S206),"",_xlfn.REGEXEXTRACT(CELL("address",'Raw Data'!T206),"\$([A-Z]+)\$[0-9]+"))))</f>
        <v/>
      </c>
      <c r="U206" s="7" t="str" cm="1">
        <f t="array" aca="1" ref="U206" ca="1">IF(OR('Raw Data'!U206="",LEN(TRIM('Raw Data'!U206))=0,Validate_Empty!U206&lt;&gt;"",Validate_Value!U206&lt;&gt;""),"",IF(OR(NOT(OR(LEN(TRIM('Raw Data'!B206:X206))&gt;0)),OR('Raw Data'!T206="",LEN(TRIM('Raw Data'!T206))=0)),"",IF(ISNUMBER(SEARCH('Raw Data'!U206, Configuration!$H$2)),"",_xlfn.REGEXEXTRACT(CELL("address",'Raw Data'!U206),"\$([A-Z]+)\$[0-9]+"))))</f>
        <v/>
      </c>
      <c r="V206" s="7" t="str" cm="1">
        <f t="array" aca="1" ref="V206" ca="1">IF(OR('Raw Data'!V206="",LEN(TRIM('Raw Data'!V206))=0,Validate_Empty!V206&lt;&gt;"",Validate_Value!V206&lt;&gt;""),"",IF(OR(NOT(OR(LEN(TRIM('Raw Data'!B206:X206))&gt;0)),OR('Raw Data'!V206="",LEN(TRIM('Raw Data'!V206))=0)),"",IF('Raw Data'!V206 = Configuration!$I$2,"",_xlfn.REGEXEXTRACT(CELL("address",'Raw Data'!V206),"\$([A-Z]+)\$[0-9]+"))))</f>
        <v/>
      </c>
      <c r="W206" s="7"/>
      <c r="X206" s="7"/>
    </row>
    <row r="207" spans="2:24" x14ac:dyDescent="0.25">
      <c r="B207" s="7"/>
      <c r="C207" s="7" t="str" cm="1">
        <f t="array" aca="1" ref="C207" ca="1">IF(OR('Raw Data'!C207="",LEN(TRIM('Raw Data'!C207))=0,Validate_Empty!C207&lt;&gt;"",Validate_Value!C207&lt;&gt;""),"",IF(OR(NOT(OR(LEN(TRIM('Raw Data'!B207:X207))&gt;0)),OR('Raw Data'!C207="",LEN(TRIM('Raw Data'!C207))=0)),"",IF(OR(AND('Raw Data'!B207="Main Contract", LEFT('Raw Data'!C207, LEN("Payment"))="Payment"),AND('Raw Data'!B207="Change Order", LEFT('Raw Data'!C207, LEN("CO Payment No."))="CO Payment No.")),"",_xlfn.REGEXEXTRACT(CELL("address",'Raw Data'!C207),"\$([A-Z]+)\$[0-9]+"))))</f>
        <v/>
      </c>
      <c r="D207" s="7"/>
      <c r="E207" s="7"/>
      <c r="F207" s="7"/>
      <c r="G207" s="7"/>
      <c r="H207" s="7"/>
      <c r="I207" s="7"/>
      <c r="J207" s="7"/>
      <c r="K207" s="7"/>
      <c r="L207" s="7"/>
      <c r="M207" s="7" t="str" cm="1">
        <f t="array" aca="1" ref="M207" ca="1">IF(OR('Raw Data'!M207="",LEN(TRIM('Raw Data'!M207))=0,Validate_Empty!M207&lt;&gt;"",Validate_Value!M207&lt;&gt;""),"",IF(OR(NOT(OR(LEN(TRIM('Raw Data'!B207:X207))&gt;0)),OR('Raw Data'!M207="",LEN(TRIM('Raw Data'!M207))=0)),"",IF('Raw Data'!M207 = SUM('Raw Data'!K207:L207),"",_xlfn.REGEXEXTRACT(CELL("address",'Raw Data'!M207),"\$([A-Z]+)\$[0-9]+"))))</f>
        <v/>
      </c>
      <c r="N207" s="7"/>
      <c r="O207" s="7"/>
      <c r="P207" s="7" t="str" cm="1">
        <f t="array" aca="1" ref="P207" ca="1">IF(OR('Raw Data'!P207="",LEN(TRIM('Raw Data'!P207))=0,Validate_Empty!P207&lt;&gt;"",Validate_Value!P207&lt;&gt;""),"",IF(OR(NOT(OR(LEN(TRIM('Raw Data'!B207:X207))&gt;0)),OR('Raw Data'!P207="",LEN(TRIM('Raw Data'!P207))=0)),"",IF(AND('Raw Data'!J207 + Configuration!$G$2 + 5 &gt;= 'Raw Data'!P207,'Raw Data'!J207 + Configuration!$G$2 - 5 &lt;= 'Raw Data'!P207),"",_xlfn.REGEXEXTRACT(CELL("address",'Raw Data'!P207),"\$([A-Z]+)\$[0-9]+"))))</f>
        <v/>
      </c>
      <c r="Q207" s="7"/>
      <c r="R207" s="7"/>
      <c r="S207" s="7"/>
      <c r="T207" s="7" t="str" cm="1">
        <f t="array" aca="1" ref="T207" ca="1">IF(OR('Raw Data'!T207="",LEN(TRIM('Raw Data'!T207))=0,Validate_Empty!T207&lt;&gt;"",Validate_Value!T207&lt;&gt;""),"",IF(OR(NOT(OR(LEN(TRIM('Raw Data'!B207:X207))&gt;0)),OR('Raw Data'!T207="",LEN(TRIM('Raw Data'!T207))=0)),"",IF('Raw Data'!T207 = SUM('Raw Data'!R207:S207),"",_xlfn.REGEXEXTRACT(CELL("address",'Raw Data'!T207),"\$([A-Z]+)\$[0-9]+"))))</f>
        <v/>
      </c>
      <c r="U207" s="7" t="str" cm="1">
        <f t="array" aca="1" ref="U207" ca="1">IF(OR('Raw Data'!U207="",LEN(TRIM('Raw Data'!U207))=0,Validate_Empty!U207&lt;&gt;"",Validate_Value!U207&lt;&gt;""),"",IF(OR(NOT(OR(LEN(TRIM('Raw Data'!B207:X207))&gt;0)),OR('Raw Data'!T207="",LEN(TRIM('Raw Data'!T207))=0)),"",IF(ISNUMBER(SEARCH('Raw Data'!U207, Configuration!$H$2)),"",_xlfn.REGEXEXTRACT(CELL("address",'Raw Data'!U207),"\$([A-Z]+)\$[0-9]+"))))</f>
        <v/>
      </c>
      <c r="V207" s="7" t="str" cm="1">
        <f t="array" aca="1" ref="V207" ca="1">IF(OR('Raw Data'!V207="",LEN(TRIM('Raw Data'!V207))=0,Validate_Empty!V207&lt;&gt;"",Validate_Value!V207&lt;&gt;""),"",IF(OR(NOT(OR(LEN(TRIM('Raw Data'!B207:X207))&gt;0)),OR('Raw Data'!V207="",LEN(TRIM('Raw Data'!V207))=0)),"",IF('Raw Data'!V207 = Configuration!$I$2,"",_xlfn.REGEXEXTRACT(CELL("address",'Raw Data'!V207),"\$([A-Z]+)\$[0-9]+"))))</f>
        <v/>
      </c>
      <c r="W207" s="7"/>
      <c r="X207" s="7"/>
    </row>
    <row r="208" spans="2:24" x14ac:dyDescent="0.25">
      <c r="B208" s="7"/>
      <c r="C208" s="7" t="str" cm="1">
        <f t="array" aca="1" ref="C208" ca="1">IF(OR('Raw Data'!C208="",LEN(TRIM('Raw Data'!C208))=0,Validate_Empty!C208&lt;&gt;"",Validate_Value!C208&lt;&gt;""),"",IF(OR(NOT(OR(LEN(TRIM('Raw Data'!B208:X208))&gt;0)),OR('Raw Data'!C208="",LEN(TRIM('Raw Data'!C208))=0)),"",IF(OR(AND('Raw Data'!B208="Main Contract", LEFT('Raw Data'!C208, LEN("Payment"))="Payment"),AND('Raw Data'!B208="Change Order", LEFT('Raw Data'!C208, LEN("CO Payment No."))="CO Payment No.")),"",_xlfn.REGEXEXTRACT(CELL("address",'Raw Data'!C208),"\$([A-Z]+)\$[0-9]+"))))</f>
        <v/>
      </c>
      <c r="D208" s="7"/>
      <c r="E208" s="7"/>
      <c r="F208" s="7"/>
      <c r="G208" s="7"/>
      <c r="H208" s="7"/>
      <c r="I208" s="7"/>
      <c r="J208" s="7"/>
      <c r="K208" s="7"/>
      <c r="L208" s="7"/>
      <c r="M208" s="7" t="str" cm="1">
        <f t="array" aca="1" ref="M208" ca="1">IF(OR('Raw Data'!M208="",LEN(TRIM('Raw Data'!M208))=0,Validate_Empty!M208&lt;&gt;"",Validate_Value!M208&lt;&gt;""),"",IF(OR(NOT(OR(LEN(TRIM('Raw Data'!B208:X208))&gt;0)),OR('Raw Data'!M208="",LEN(TRIM('Raw Data'!M208))=0)),"",IF('Raw Data'!M208 = SUM('Raw Data'!K208:L208),"",_xlfn.REGEXEXTRACT(CELL("address",'Raw Data'!M208),"\$([A-Z]+)\$[0-9]+"))))</f>
        <v/>
      </c>
      <c r="N208" s="7"/>
      <c r="O208" s="7"/>
      <c r="P208" s="7" t="str" cm="1">
        <f t="array" aca="1" ref="P208" ca="1">IF(OR('Raw Data'!P208="",LEN(TRIM('Raw Data'!P208))=0,Validate_Empty!P208&lt;&gt;"",Validate_Value!P208&lt;&gt;""),"",IF(OR(NOT(OR(LEN(TRIM('Raw Data'!B208:X208))&gt;0)),OR('Raw Data'!P208="",LEN(TRIM('Raw Data'!P208))=0)),"",IF(AND('Raw Data'!J208 + Configuration!$G$2 + 5 &gt;= 'Raw Data'!P208,'Raw Data'!J208 + Configuration!$G$2 - 5 &lt;= 'Raw Data'!P208),"",_xlfn.REGEXEXTRACT(CELL("address",'Raw Data'!P208),"\$([A-Z]+)\$[0-9]+"))))</f>
        <v/>
      </c>
      <c r="Q208" s="7"/>
      <c r="R208" s="7"/>
      <c r="S208" s="7"/>
      <c r="T208" s="7" t="str" cm="1">
        <f t="array" aca="1" ref="T208" ca="1">IF(OR('Raw Data'!T208="",LEN(TRIM('Raw Data'!T208))=0,Validate_Empty!T208&lt;&gt;"",Validate_Value!T208&lt;&gt;""),"",IF(OR(NOT(OR(LEN(TRIM('Raw Data'!B208:X208))&gt;0)),OR('Raw Data'!T208="",LEN(TRIM('Raw Data'!T208))=0)),"",IF('Raw Data'!T208 = SUM('Raw Data'!R208:S208),"",_xlfn.REGEXEXTRACT(CELL("address",'Raw Data'!T208),"\$([A-Z]+)\$[0-9]+"))))</f>
        <v/>
      </c>
      <c r="U208" s="7" t="str" cm="1">
        <f t="array" aca="1" ref="U208" ca="1">IF(OR('Raw Data'!U208="",LEN(TRIM('Raw Data'!U208))=0,Validate_Empty!U208&lt;&gt;"",Validate_Value!U208&lt;&gt;""),"",IF(OR(NOT(OR(LEN(TRIM('Raw Data'!B208:X208))&gt;0)),OR('Raw Data'!T208="",LEN(TRIM('Raw Data'!T208))=0)),"",IF(ISNUMBER(SEARCH('Raw Data'!U208, Configuration!$H$2)),"",_xlfn.REGEXEXTRACT(CELL("address",'Raw Data'!U208),"\$([A-Z]+)\$[0-9]+"))))</f>
        <v/>
      </c>
      <c r="V208" s="7" t="str" cm="1">
        <f t="array" aca="1" ref="V208" ca="1">IF(OR('Raw Data'!V208="",LEN(TRIM('Raw Data'!V208))=0,Validate_Empty!V208&lt;&gt;"",Validate_Value!V208&lt;&gt;""),"",IF(OR(NOT(OR(LEN(TRIM('Raw Data'!B208:X208))&gt;0)),OR('Raw Data'!V208="",LEN(TRIM('Raw Data'!V208))=0)),"",IF('Raw Data'!V208 = Configuration!$I$2,"",_xlfn.REGEXEXTRACT(CELL("address",'Raw Data'!V208),"\$([A-Z]+)\$[0-9]+"))))</f>
        <v/>
      </c>
      <c r="W208" s="7"/>
      <c r="X208" s="7"/>
    </row>
    <row r="209" spans="2:24" x14ac:dyDescent="0.25">
      <c r="B209" s="7"/>
      <c r="C209" s="7" t="str" cm="1">
        <f t="array" aca="1" ref="C209" ca="1">IF(OR('Raw Data'!C209="",LEN(TRIM('Raw Data'!C209))=0,Validate_Empty!C209&lt;&gt;"",Validate_Value!C209&lt;&gt;""),"",IF(OR(NOT(OR(LEN(TRIM('Raw Data'!B209:X209))&gt;0)),OR('Raw Data'!C209="",LEN(TRIM('Raw Data'!C209))=0)),"",IF(OR(AND('Raw Data'!B209="Main Contract", LEFT('Raw Data'!C209, LEN("Payment"))="Payment"),AND('Raw Data'!B209="Change Order", LEFT('Raw Data'!C209, LEN("CO Payment No."))="CO Payment No.")),"",_xlfn.REGEXEXTRACT(CELL("address",'Raw Data'!C209),"\$([A-Z]+)\$[0-9]+"))))</f>
        <v/>
      </c>
      <c r="D209" s="7"/>
      <c r="E209" s="7"/>
      <c r="F209" s="7"/>
      <c r="G209" s="7"/>
      <c r="H209" s="7"/>
      <c r="I209" s="7"/>
      <c r="J209" s="7"/>
      <c r="K209" s="7"/>
      <c r="L209" s="7"/>
      <c r="M209" s="7" t="str" cm="1">
        <f t="array" aca="1" ref="M209" ca="1">IF(OR('Raw Data'!M209="",LEN(TRIM('Raw Data'!M209))=0,Validate_Empty!M209&lt;&gt;"",Validate_Value!M209&lt;&gt;""),"",IF(OR(NOT(OR(LEN(TRIM('Raw Data'!B209:X209))&gt;0)),OR('Raw Data'!M209="",LEN(TRIM('Raw Data'!M209))=0)),"",IF('Raw Data'!M209 = SUM('Raw Data'!K209:L209),"",_xlfn.REGEXEXTRACT(CELL("address",'Raw Data'!M209),"\$([A-Z]+)\$[0-9]+"))))</f>
        <v/>
      </c>
      <c r="N209" s="7"/>
      <c r="O209" s="7"/>
      <c r="P209" s="7" t="str" cm="1">
        <f t="array" aca="1" ref="P209" ca="1">IF(OR('Raw Data'!P209="",LEN(TRIM('Raw Data'!P209))=0,Validate_Empty!P209&lt;&gt;"",Validate_Value!P209&lt;&gt;""),"",IF(OR(NOT(OR(LEN(TRIM('Raw Data'!B209:X209))&gt;0)),OR('Raw Data'!P209="",LEN(TRIM('Raw Data'!P209))=0)),"",IF(AND('Raw Data'!J209 + Configuration!$G$2 + 5 &gt;= 'Raw Data'!P209,'Raw Data'!J209 + Configuration!$G$2 - 5 &lt;= 'Raw Data'!P209),"",_xlfn.REGEXEXTRACT(CELL("address",'Raw Data'!P209),"\$([A-Z]+)\$[0-9]+"))))</f>
        <v/>
      </c>
      <c r="Q209" s="7"/>
      <c r="R209" s="7"/>
      <c r="S209" s="7"/>
      <c r="T209" s="7" t="str" cm="1">
        <f t="array" aca="1" ref="T209" ca="1">IF(OR('Raw Data'!T209="",LEN(TRIM('Raw Data'!T209))=0,Validate_Empty!T209&lt;&gt;"",Validate_Value!T209&lt;&gt;""),"",IF(OR(NOT(OR(LEN(TRIM('Raw Data'!B209:X209))&gt;0)),OR('Raw Data'!T209="",LEN(TRIM('Raw Data'!T209))=0)),"",IF('Raw Data'!T209 = SUM('Raw Data'!R209:S209),"",_xlfn.REGEXEXTRACT(CELL("address",'Raw Data'!T209),"\$([A-Z]+)\$[0-9]+"))))</f>
        <v/>
      </c>
      <c r="U209" s="7" t="str" cm="1">
        <f t="array" aca="1" ref="U209" ca="1">IF(OR('Raw Data'!U209="",LEN(TRIM('Raw Data'!U209))=0,Validate_Empty!U209&lt;&gt;"",Validate_Value!U209&lt;&gt;""),"",IF(OR(NOT(OR(LEN(TRIM('Raw Data'!B209:X209))&gt;0)),OR('Raw Data'!T209="",LEN(TRIM('Raw Data'!T209))=0)),"",IF(ISNUMBER(SEARCH('Raw Data'!U209, Configuration!$H$2)),"",_xlfn.REGEXEXTRACT(CELL("address",'Raw Data'!U209),"\$([A-Z]+)\$[0-9]+"))))</f>
        <v/>
      </c>
      <c r="V209" s="7" t="str" cm="1">
        <f t="array" aca="1" ref="V209" ca="1">IF(OR('Raw Data'!V209="",LEN(TRIM('Raw Data'!V209))=0,Validate_Empty!V209&lt;&gt;"",Validate_Value!V209&lt;&gt;""),"",IF(OR(NOT(OR(LEN(TRIM('Raw Data'!B209:X209))&gt;0)),OR('Raw Data'!V209="",LEN(TRIM('Raw Data'!V209))=0)),"",IF('Raw Data'!V209 = Configuration!$I$2,"",_xlfn.REGEXEXTRACT(CELL("address",'Raw Data'!V209),"\$([A-Z]+)\$[0-9]+"))))</f>
        <v/>
      </c>
      <c r="W209" s="7"/>
      <c r="X209" s="7"/>
    </row>
    <row r="210" spans="2:24" x14ac:dyDescent="0.25">
      <c r="B210" s="7"/>
      <c r="C210" s="7" t="str" cm="1">
        <f t="array" aca="1" ref="C210" ca="1">IF(OR('Raw Data'!C210="",LEN(TRIM('Raw Data'!C210))=0,Validate_Empty!C210&lt;&gt;"",Validate_Value!C210&lt;&gt;""),"",IF(OR(NOT(OR(LEN(TRIM('Raw Data'!B210:X210))&gt;0)),OR('Raw Data'!C210="",LEN(TRIM('Raw Data'!C210))=0)),"",IF(OR(AND('Raw Data'!B210="Main Contract", LEFT('Raw Data'!C210, LEN("Payment"))="Payment"),AND('Raw Data'!B210="Change Order", LEFT('Raw Data'!C210, LEN("CO Payment No."))="CO Payment No.")),"",_xlfn.REGEXEXTRACT(CELL("address",'Raw Data'!C210),"\$([A-Z]+)\$[0-9]+"))))</f>
        <v/>
      </c>
      <c r="D210" s="7"/>
      <c r="E210" s="7"/>
      <c r="F210" s="7"/>
      <c r="G210" s="7"/>
      <c r="H210" s="7"/>
      <c r="I210" s="7"/>
      <c r="J210" s="7"/>
      <c r="K210" s="7"/>
      <c r="L210" s="7"/>
      <c r="M210" s="7" t="str" cm="1">
        <f t="array" aca="1" ref="M210" ca="1">IF(OR('Raw Data'!M210="",LEN(TRIM('Raw Data'!M210))=0,Validate_Empty!M210&lt;&gt;"",Validate_Value!M210&lt;&gt;""),"",IF(OR(NOT(OR(LEN(TRIM('Raw Data'!B210:X210))&gt;0)),OR('Raw Data'!M210="",LEN(TRIM('Raw Data'!M210))=0)),"",IF('Raw Data'!M210 = SUM('Raw Data'!K210:L210),"",_xlfn.REGEXEXTRACT(CELL("address",'Raw Data'!M210),"\$([A-Z]+)\$[0-9]+"))))</f>
        <v/>
      </c>
      <c r="N210" s="7"/>
      <c r="O210" s="7"/>
      <c r="P210" s="7" t="str" cm="1">
        <f t="array" aca="1" ref="P210" ca="1">IF(OR('Raw Data'!P210="",LEN(TRIM('Raw Data'!P210))=0,Validate_Empty!P210&lt;&gt;"",Validate_Value!P210&lt;&gt;""),"",IF(OR(NOT(OR(LEN(TRIM('Raw Data'!B210:X210))&gt;0)),OR('Raw Data'!P210="",LEN(TRIM('Raw Data'!P210))=0)),"",IF(AND('Raw Data'!J210 + Configuration!$G$2 + 5 &gt;= 'Raw Data'!P210,'Raw Data'!J210 + Configuration!$G$2 - 5 &lt;= 'Raw Data'!P210),"",_xlfn.REGEXEXTRACT(CELL("address",'Raw Data'!P210),"\$([A-Z]+)\$[0-9]+"))))</f>
        <v/>
      </c>
      <c r="Q210" s="7"/>
      <c r="R210" s="7"/>
      <c r="S210" s="7"/>
      <c r="T210" s="7" t="str" cm="1">
        <f t="array" aca="1" ref="T210" ca="1">IF(OR('Raw Data'!T210="",LEN(TRIM('Raw Data'!T210))=0,Validate_Empty!T210&lt;&gt;"",Validate_Value!T210&lt;&gt;""),"",IF(OR(NOT(OR(LEN(TRIM('Raw Data'!B210:X210))&gt;0)),OR('Raw Data'!T210="",LEN(TRIM('Raw Data'!T210))=0)),"",IF('Raw Data'!T210 = SUM('Raw Data'!R210:S210),"",_xlfn.REGEXEXTRACT(CELL("address",'Raw Data'!T210),"\$([A-Z]+)\$[0-9]+"))))</f>
        <v/>
      </c>
      <c r="U210" s="7" t="str" cm="1">
        <f t="array" aca="1" ref="U210" ca="1">IF(OR('Raw Data'!U210="",LEN(TRIM('Raw Data'!U210))=0,Validate_Empty!U210&lt;&gt;"",Validate_Value!U210&lt;&gt;""),"",IF(OR(NOT(OR(LEN(TRIM('Raw Data'!B210:X210))&gt;0)),OR('Raw Data'!T210="",LEN(TRIM('Raw Data'!T210))=0)),"",IF(ISNUMBER(SEARCH('Raw Data'!U210, Configuration!$H$2)),"",_xlfn.REGEXEXTRACT(CELL("address",'Raw Data'!U210),"\$([A-Z]+)\$[0-9]+"))))</f>
        <v/>
      </c>
      <c r="V210" s="7" t="str" cm="1">
        <f t="array" aca="1" ref="V210" ca="1">IF(OR('Raw Data'!V210="",LEN(TRIM('Raw Data'!V210))=0,Validate_Empty!V210&lt;&gt;"",Validate_Value!V210&lt;&gt;""),"",IF(OR(NOT(OR(LEN(TRIM('Raw Data'!B210:X210))&gt;0)),OR('Raw Data'!V210="",LEN(TRIM('Raw Data'!V210))=0)),"",IF('Raw Data'!V210 = Configuration!$I$2,"",_xlfn.REGEXEXTRACT(CELL("address",'Raw Data'!V210),"\$([A-Z]+)\$[0-9]+"))))</f>
        <v/>
      </c>
      <c r="W210" s="7"/>
      <c r="X210" s="7"/>
    </row>
    <row r="211" spans="2:24" x14ac:dyDescent="0.25">
      <c r="B211" s="7"/>
      <c r="C211" s="7" t="str" cm="1">
        <f t="array" aca="1" ref="C211" ca="1">IF(OR('Raw Data'!C211="",LEN(TRIM('Raw Data'!C211))=0,Validate_Empty!C211&lt;&gt;"",Validate_Value!C211&lt;&gt;""),"",IF(OR(NOT(OR(LEN(TRIM('Raw Data'!B211:X211))&gt;0)),OR('Raw Data'!C211="",LEN(TRIM('Raw Data'!C211))=0)),"",IF(OR(AND('Raw Data'!B211="Main Contract", LEFT('Raw Data'!C211, LEN("Payment"))="Payment"),AND('Raw Data'!B211="Change Order", LEFT('Raw Data'!C211, LEN("CO Payment No."))="CO Payment No.")),"",_xlfn.REGEXEXTRACT(CELL("address",'Raw Data'!C211),"\$([A-Z]+)\$[0-9]+"))))</f>
        <v/>
      </c>
      <c r="D211" s="7"/>
      <c r="E211" s="7"/>
      <c r="F211" s="7"/>
      <c r="G211" s="7"/>
      <c r="H211" s="7"/>
      <c r="I211" s="7"/>
      <c r="J211" s="7"/>
      <c r="K211" s="7"/>
      <c r="L211" s="7"/>
      <c r="M211" s="7" t="str" cm="1">
        <f t="array" aca="1" ref="M211" ca="1">IF(OR('Raw Data'!M211="",LEN(TRIM('Raw Data'!M211))=0,Validate_Empty!M211&lt;&gt;"",Validate_Value!M211&lt;&gt;""),"",IF(OR(NOT(OR(LEN(TRIM('Raw Data'!B211:X211))&gt;0)),OR('Raw Data'!M211="",LEN(TRIM('Raw Data'!M211))=0)),"",IF('Raw Data'!M211 = SUM('Raw Data'!K211:L211),"",_xlfn.REGEXEXTRACT(CELL("address",'Raw Data'!M211),"\$([A-Z]+)\$[0-9]+"))))</f>
        <v/>
      </c>
      <c r="N211" s="7"/>
      <c r="O211" s="7"/>
      <c r="P211" s="7" t="str" cm="1">
        <f t="array" aca="1" ref="P211" ca="1">IF(OR('Raw Data'!P211="",LEN(TRIM('Raw Data'!P211))=0,Validate_Empty!P211&lt;&gt;"",Validate_Value!P211&lt;&gt;""),"",IF(OR(NOT(OR(LEN(TRIM('Raw Data'!B211:X211))&gt;0)),OR('Raw Data'!P211="",LEN(TRIM('Raw Data'!P211))=0)),"",IF(AND('Raw Data'!J211 + Configuration!$G$2 + 5 &gt;= 'Raw Data'!P211,'Raw Data'!J211 + Configuration!$G$2 - 5 &lt;= 'Raw Data'!P211),"",_xlfn.REGEXEXTRACT(CELL("address",'Raw Data'!P211),"\$([A-Z]+)\$[0-9]+"))))</f>
        <v/>
      </c>
      <c r="Q211" s="7"/>
      <c r="R211" s="7"/>
      <c r="S211" s="7"/>
      <c r="T211" s="7" t="str" cm="1">
        <f t="array" aca="1" ref="T211" ca="1">IF(OR('Raw Data'!T211="",LEN(TRIM('Raw Data'!T211))=0,Validate_Empty!T211&lt;&gt;"",Validate_Value!T211&lt;&gt;""),"",IF(OR(NOT(OR(LEN(TRIM('Raw Data'!B211:X211))&gt;0)),OR('Raw Data'!T211="",LEN(TRIM('Raw Data'!T211))=0)),"",IF('Raw Data'!T211 = SUM('Raw Data'!R211:S211),"",_xlfn.REGEXEXTRACT(CELL("address",'Raw Data'!T211),"\$([A-Z]+)\$[0-9]+"))))</f>
        <v/>
      </c>
      <c r="U211" s="7" t="str" cm="1">
        <f t="array" aca="1" ref="U211" ca="1">IF(OR('Raw Data'!U211="",LEN(TRIM('Raw Data'!U211))=0,Validate_Empty!U211&lt;&gt;"",Validate_Value!U211&lt;&gt;""),"",IF(OR(NOT(OR(LEN(TRIM('Raw Data'!B211:X211))&gt;0)),OR('Raw Data'!T211="",LEN(TRIM('Raw Data'!T211))=0)),"",IF(ISNUMBER(SEARCH('Raw Data'!U211, Configuration!$H$2)),"",_xlfn.REGEXEXTRACT(CELL("address",'Raw Data'!U211),"\$([A-Z]+)\$[0-9]+"))))</f>
        <v/>
      </c>
      <c r="V211" s="7" t="str" cm="1">
        <f t="array" aca="1" ref="V211" ca="1">IF(OR('Raw Data'!V211="",LEN(TRIM('Raw Data'!V211))=0,Validate_Empty!V211&lt;&gt;"",Validate_Value!V211&lt;&gt;""),"",IF(OR(NOT(OR(LEN(TRIM('Raw Data'!B211:X211))&gt;0)),OR('Raw Data'!V211="",LEN(TRIM('Raw Data'!V211))=0)),"",IF('Raw Data'!V211 = Configuration!$I$2,"",_xlfn.REGEXEXTRACT(CELL("address",'Raw Data'!V211),"\$([A-Z]+)\$[0-9]+"))))</f>
        <v/>
      </c>
      <c r="W211" s="7"/>
      <c r="X211" s="7"/>
    </row>
    <row r="212" spans="2:24" x14ac:dyDescent="0.25">
      <c r="B212" s="7"/>
      <c r="C212" s="7" t="str" cm="1">
        <f t="array" aca="1" ref="C212" ca="1">IF(OR('Raw Data'!C212="",LEN(TRIM('Raw Data'!C212))=0,Validate_Empty!C212&lt;&gt;"",Validate_Value!C212&lt;&gt;""),"",IF(OR(NOT(OR(LEN(TRIM('Raw Data'!B212:X212))&gt;0)),OR('Raw Data'!C212="",LEN(TRIM('Raw Data'!C212))=0)),"",IF(OR(AND('Raw Data'!B212="Main Contract", LEFT('Raw Data'!C212, LEN("Payment"))="Payment"),AND('Raw Data'!B212="Change Order", LEFT('Raw Data'!C212, LEN("CO Payment No."))="CO Payment No.")),"",_xlfn.REGEXEXTRACT(CELL("address",'Raw Data'!C212),"\$([A-Z]+)\$[0-9]+"))))</f>
        <v/>
      </c>
      <c r="D212" s="7"/>
      <c r="E212" s="7"/>
      <c r="F212" s="7"/>
      <c r="G212" s="7"/>
      <c r="H212" s="7"/>
      <c r="I212" s="7"/>
      <c r="J212" s="7"/>
      <c r="K212" s="7"/>
      <c r="L212" s="7"/>
      <c r="M212" s="7" t="str" cm="1">
        <f t="array" aca="1" ref="M212" ca="1">IF(OR('Raw Data'!M212="",LEN(TRIM('Raw Data'!M212))=0,Validate_Empty!M212&lt;&gt;"",Validate_Value!M212&lt;&gt;""),"",IF(OR(NOT(OR(LEN(TRIM('Raw Data'!B212:X212))&gt;0)),OR('Raw Data'!M212="",LEN(TRIM('Raw Data'!M212))=0)),"",IF('Raw Data'!M212 = SUM('Raw Data'!K212:L212),"",_xlfn.REGEXEXTRACT(CELL("address",'Raw Data'!M212),"\$([A-Z]+)\$[0-9]+"))))</f>
        <v/>
      </c>
      <c r="N212" s="7"/>
      <c r="O212" s="7"/>
      <c r="P212" s="7" t="str" cm="1">
        <f t="array" aca="1" ref="P212" ca="1">IF(OR('Raw Data'!P212="",LEN(TRIM('Raw Data'!P212))=0,Validate_Empty!P212&lt;&gt;"",Validate_Value!P212&lt;&gt;""),"",IF(OR(NOT(OR(LEN(TRIM('Raw Data'!B212:X212))&gt;0)),OR('Raw Data'!P212="",LEN(TRIM('Raw Data'!P212))=0)),"",IF(AND('Raw Data'!J212 + Configuration!$G$2 + 5 &gt;= 'Raw Data'!P212,'Raw Data'!J212 + Configuration!$G$2 - 5 &lt;= 'Raw Data'!P212),"",_xlfn.REGEXEXTRACT(CELL("address",'Raw Data'!P212),"\$([A-Z]+)\$[0-9]+"))))</f>
        <v/>
      </c>
      <c r="Q212" s="7"/>
      <c r="R212" s="7"/>
      <c r="S212" s="7"/>
      <c r="T212" s="7" t="str" cm="1">
        <f t="array" aca="1" ref="T212" ca="1">IF(OR('Raw Data'!T212="",LEN(TRIM('Raw Data'!T212))=0,Validate_Empty!T212&lt;&gt;"",Validate_Value!T212&lt;&gt;""),"",IF(OR(NOT(OR(LEN(TRIM('Raw Data'!B212:X212))&gt;0)),OR('Raw Data'!T212="",LEN(TRIM('Raw Data'!T212))=0)),"",IF('Raw Data'!T212 = SUM('Raw Data'!R212:S212),"",_xlfn.REGEXEXTRACT(CELL("address",'Raw Data'!T212),"\$([A-Z]+)\$[0-9]+"))))</f>
        <v/>
      </c>
      <c r="U212" s="7" t="str" cm="1">
        <f t="array" aca="1" ref="U212" ca="1">IF(OR('Raw Data'!U212="",LEN(TRIM('Raw Data'!U212))=0,Validate_Empty!U212&lt;&gt;"",Validate_Value!U212&lt;&gt;""),"",IF(OR(NOT(OR(LEN(TRIM('Raw Data'!B212:X212))&gt;0)),OR('Raw Data'!T212="",LEN(TRIM('Raw Data'!T212))=0)),"",IF(ISNUMBER(SEARCH('Raw Data'!U212, Configuration!$H$2)),"",_xlfn.REGEXEXTRACT(CELL("address",'Raw Data'!U212),"\$([A-Z]+)\$[0-9]+"))))</f>
        <v/>
      </c>
      <c r="V212" s="7" t="str" cm="1">
        <f t="array" aca="1" ref="V212" ca="1">IF(OR('Raw Data'!V212="",LEN(TRIM('Raw Data'!V212))=0,Validate_Empty!V212&lt;&gt;"",Validate_Value!V212&lt;&gt;""),"",IF(OR(NOT(OR(LEN(TRIM('Raw Data'!B212:X212))&gt;0)),OR('Raw Data'!V212="",LEN(TRIM('Raw Data'!V212))=0)),"",IF('Raw Data'!V212 = Configuration!$I$2,"",_xlfn.REGEXEXTRACT(CELL("address",'Raw Data'!V212),"\$([A-Z]+)\$[0-9]+"))))</f>
        <v/>
      </c>
      <c r="W212" s="7"/>
      <c r="X212" s="7"/>
    </row>
    <row r="213" spans="2:24" x14ac:dyDescent="0.25">
      <c r="B213" s="7"/>
      <c r="C213" s="7" t="str" cm="1">
        <f t="array" aca="1" ref="C213" ca="1">IF(OR('Raw Data'!C213="",LEN(TRIM('Raw Data'!C213))=0,Validate_Empty!C213&lt;&gt;"",Validate_Value!C213&lt;&gt;""),"",IF(OR(NOT(OR(LEN(TRIM('Raw Data'!B213:X213))&gt;0)),OR('Raw Data'!C213="",LEN(TRIM('Raw Data'!C213))=0)),"",IF(OR(AND('Raw Data'!B213="Main Contract", LEFT('Raw Data'!C213, LEN("Payment"))="Payment"),AND('Raw Data'!B213="Change Order", LEFT('Raw Data'!C213, LEN("CO Payment No."))="CO Payment No.")),"",_xlfn.REGEXEXTRACT(CELL("address",'Raw Data'!C213),"\$([A-Z]+)\$[0-9]+"))))</f>
        <v/>
      </c>
      <c r="D213" s="7"/>
      <c r="E213" s="7"/>
      <c r="F213" s="7"/>
      <c r="G213" s="7"/>
      <c r="H213" s="7"/>
      <c r="I213" s="7"/>
      <c r="J213" s="7"/>
      <c r="K213" s="7"/>
      <c r="L213" s="7"/>
      <c r="M213" s="7" t="str" cm="1">
        <f t="array" aca="1" ref="M213" ca="1">IF(OR('Raw Data'!M213="",LEN(TRIM('Raw Data'!M213))=0,Validate_Empty!M213&lt;&gt;"",Validate_Value!M213&lt;&gt;""),"",IF(OR(NOT(OR(LEN(TRIM('Raw Data'!B213:X213))&gt;0)),OR('Raw Data'!M213="",LEN(TRIM('Raw Data'!M213))=0)),"",IF('Raw Data'!M213 = SUM('Raw Data'!K213:L213),"",_xlfn.REGEXEXTRACT(CELL("address",'Raw Data'!M213),"\$([A-Z]+)\$[0-9]+"))))</f>
        <v/>
      </c>
      <c r="N213" s="7"/>
      <c r="O213" s="7"/>
      <c r="P213" s="7" t="str" cm="1">
        <f t="array" aca="1" ref="P213" ca="1">IF(OR('Raw Data'!P213="",LEN(TRIM('Raw Data'!P213))=0,Validate_Empty!P213&lt;&gt;"",Validate_Value!P213&lt;&gt;""),"",IF(OR(NOT(OR(LEN(TRIM('Raw Data'!B213:X213))&gt;0)),OR('Raw Data'!P213="",LEN(TRIM('Raw Data'!P213))=0)),"",IF(AND('Raw Data'!J213 + Configuration!$G$2 + 5 &gt;= 'Raw Data'!P213,'Raw Data'!J213 + Configuration!$G$2 - 5 &lt;= 'Raw Data'!P213),"",_xlfn.REGEXEXTRACT(CELL("address",'Raw Data'!P213),"\$([A-Z]+)\$[0-9]+"))))</f>
        <v/>
      </c>
      <c r="Q213" s="7"/>
      <c r="R213" s="7"/>
      <c r="S213" s="7"/>
      <c r="T213" s="7" t="str" cm="1">
        <f t="array" aca="1" ref="T213" ca="1">IF(OR('Raw Data'!T213="",LEN(TRIM('Raw Data'!T213))=0,Validate_Empty!T213&lt;&gt;"",Validate_Value!T213&lt;&gt;""),"",IF(OR(NOT(OR(LEN(TRIM('Raw Data'!B213:X213))&gt;0)),OR('Raw Data'!T213="",LEN(TRIM('Raw Data'!T213))=0)),"",IF('Raw Data'!T213 = SUM('Raw Data'!R213:S213),"",_xlfn.REGEXEXTRACT(CELL("address",'Raw Data'!T213),"\$([A-Z]+)\$[0-9]+"))))</f>
        <v/>
      </c>
      <c r="U213" s="7" t="str" cm="1">
        <f t="array" aca="1" ref="U213" ca="1">IF(OR('Raw Data'!U213="",LEN(TRIM('Raw Data'!U213))=0,Validate_Empty!U213&lt;&gt;"",Validate_Value!U213&lt;&gt;""),"",IF(OR(NOT(OR(LEN(TRIM('Raw Data'!B213:X213))&gt;0)),OR('Raw Data'!T213="",LEN(TRIM('Raw Data'!T213))=0)),"",IF(ISNUMBER(SEARCH('Raw Data'!U213, Configuration!$H$2)),"",_xlfn.REGEXEXTRACT(CELL("address",'Raw Data'!U213),"\$([A-Z]+)\$[0-9]+"))))</f>
        <v/>
      </c>
      <c r="V213" s="7" t="str" cm="1">
        <f t="array" aca="1" ref="V213" ca="1">IF(OR('Raw Data'!V213="",LEN(TRIM('Raw Data'!V213))=0,Validate_Empty!V213&lt;&gt;"",Validate_Value!V213&lt;&gt;""),"",IF(OR(NOT(OR(LEN(TRIM('Raw Data'!B213:X213))&gt;0)),OR('Raw Data'!V213="",LEN(TRIM('Raw Data'!V213))=0)),"",IF('Raw Data'!V213 = Configuration!$I$2,"",_xlfn.REGEXEXTRACT(CELL("address",'Raw Data'!V213),"\$([A-Z]+)\$[0-9]+"))))</f>
        <v/>
      </c>
      <c r="W213" s="7"/>
      <c r="X213" s="7"/>
    </row>
    <row r="214" spans="2:24" x14ac:dyDescent="0.25">
      <c r="B214" s="7"/>
      <c r="C214" s="7" t="str" cm="1">
        <f t="array" aca="1" ref="C214" ca="1">IF(OR('Raw Data'!C214="",LEN(TRIM('Raw Data'!C214))=0,Validate_Empty!C214&lt;&gt;"",Validate_Value!C214&lt;&gt;""),"",IF(OR(NOT(OR(LEN(TRIM('Raw Data'!B214:X214))&gt;0)),OR('Raw Data'!C214="",LEN(TRIM('Raw Data'!C214))=0)),"",IF(OR(AND('Raw Data'!B214="Main Contract", LEFT('Raw Data'!C214, LEN("Payment"))="Payment"),AND('Raw Data'!B214="Change Order", LEFT('Raw Data'!C214, LEN("CO Payment No."))="CO Payment No.")),"",_xlfn.REGEXEXTRACT(CELL("address",'Raw Data'!C214),"\$([A-Z]+)\$[0-9]+"))))</f>
        <v/>
      </c>
      <c r="D214" s="7"/>
      <c r="E214" s="7"/>
      <c r="F214" s="7"/>
      <c r="G214" s="7"/>
      <c r="H214" s="7"/>
      <c r="I214" s="7"/>
      <c r="J214" s="7"/>
      <c r="K214" s="7"/>
      <c r="L214" s="7"/>
      <c r="M214" s="7" t="str" cm="1">
        <f t="array" aca="1" ref="M214" ca="1">IF(OR('Raw Data'!M214="",LEN(TRIM('Raw Data'!M214))=0,Validate_Empty!M214&lt;&gt;"",Validate_Value!M214&lt;&gt;""),"",IF(OR(NOT(OR(LEN(TRIM('Raw Data'!B214:X214))&gt;0)),OR('Raw Data'!M214="",LEN(TRIM('Raw Data'!M214))=0)),"",IF('Raw Data'!M214 = SUM('Raw Data'!K214:L214),"",_xlfn.REGEXEXTRACT(CELL("address",'Raw Data'!M214),"\$([A-Z]+)\$[0-9]+"))))</f>
        <v/>
      </c>
      <c r="N214" s="7"/>
      <c r="O214" s="7"/>
      <c r="P214" s="7" t="str" cm="1">
        <f t="array" aca="1" ref="P214" ca="1">IF(OR('Raw Data'!P214="",LEN(TRIM('Raw Data'!P214))=0,Validate_Empty!P214&lt;&gt;"",Validate_Value!P214&lt;&gt;""),"",IF(OR(NOT(OR(LEN(TRIM('Raw Data'!B214:X214))&gt;0)),OR('Raw Data'!P214="",LEN(TRIM('Raw Data'!P214))=0)),"",IF(AND('Raw Data'!J214 + Configuration!$G$2 + 5 &gt;= 'Raw Data'!P214,'Raw Data'!J214 + Configuration!$G$2 - 5 &lt;= 'Raw Data'!P214),"",_xlfn.REGEXEXTRACT(CELL("address",'Raw Data'!P214),"\$([A-Z]+)\$[0-9]+"))))</f>
        <v/>
      </c>
      <c r="Q214" s="7"/>
      <c r="R214" s="7"/>
      <c r="S214" s="7"/>
      <c r="T214" s="7" t="str" cm="1">
        <f t="array" aca="1" ref="T214" ca="1">IF(OR('Raw Data'!T214="",LEN(TRIM('Raw Data'!T214))=0,Validate_Empty!T214&lt;&gt;"",Validate_Value!T214&lt;&gt;""),"",IF(OR(NOT(OR(LEN(TRIM('Raw Data'!B214:X214))&gt;0)),OR('Raw Data'!T214="",LEN(TRIM('Raw Data'!T214))=0)),"",IF('Raw Data'!T214 = SUM('Raw Data'!R214:S214),"",_xlfn.REGEXEXTRACT(CELL("address",'Raw Data'!T214),"\$([A-Z]+)\$[0-9]+"))))</f>
        <v/>
      </c>
      <c r="U214" s="7" t="str" cm="1">
        <f t="array" aca="1" ref="U214" ca="1">IF(OR('Raw Data'!U214="",LEN(TRIM('Raw Data'!U214))=0,Validate_Empty!U214&lt;&gt;"",Validate_Value!U214&lt;&gt;""),"",IF(OR(NOT(OR(LEN(TRIM('Raw Data'!B214:X214))&gt;0)),OR('Raw Data'!T214="",LEN(TRIM('Raw Data'!T214))=0)),"",IF(ISNUMBER(SEARCH('Raw Data'!U214, Configuration!$H$2)),"",_xlfn.REGEXEXTRACT(CELL("address",'Raw Data'!U214),"\$([A-Z]+)\$[0-9]+"))))</f>
        <v/>
      </c>
      <c r="V214" s="7" t="str" cm="1">
        <f t="array" aca="1" ref="V214" ca="1">IF(OR('Raw Data'!V214="",LEN(TRIM('Raw Data'!V214))=0,Validate_Empty!V214&lt;&gt;"",Validate_Value!V214&lt;&gt;""),"",IF(OR(NOT(OR(LEN(TRIM('Raw Data'!B214:X214))&gt;0)),OR('Raw Data'!V214="",LEN(TRIM('Raw Data'!V214))=0)),"",IF('Raw Data'!V214 = Configuration!$I$2,"",_xlfn.REGEXEXTRACT(CELL("address",'Raw Data'!V214),"\$([A-Z]+)\$[0-9]+"))))</f>
        <v/>
      </c>
      <c r="W214" s="7"/>
      <c r="X214" s="7"/>
    </row>
    <row r="215" spans="2:24" x14ac:dyDescent="0.25">
      <c r="B215" s="7"/>
      <c r="C215" s="7" t="str" cm="1">
        <f t="array" aca="1" ref="C215" ca="1">IF(OR('Raw Data'!C215="",LEN(TRIM('Raw Data'!C215))=0,Validate_Empty!C215&lt;&gt;"",Validate_Value!C215&lt;&gt;""),"",IF(OR(NOT(OR(LEN(TRIM('Raw Data'!B215:X215))&gt;0)),OR('Raw Data'!C215="",LEN(TRIM('Raw Data'!C215))=0)),"",IF(OR(AND('Raw Data'!B215="Main Contract", LEFT('Raw Data'!C215, LEN("Payment"))="Payment"),AND('Raw Data'!B215="Change Order", LEFT('Raw Data'!C215, LEN("CO Payment No."))="CO Payment No.")),"",_xlfn.REGEXEXTRACT(CELL("address",'Raw Data'!C215),"\$([A-Z]+)\$[0-9]+"))))</f>
        <v/>
      </c>
      <c r="D215" s="7"/>
      <c r="E215" s="7"/>
      <c r="F215" s="7"/>
      <c r="G215" s="7"/>
      <c r="H215" s="7"/>
      <c r="I215" s="7"/>
      <c r="J215" s="7"/>
      <c r="K215" s="7"/>
      <c r="L215" s="7"/>
      <c r="M215" s="7" t="str" cm="1">
        <f t="array" aca="1" ref="M215" ca="1">IF(OR('Raw Data'!M215="",LEN(TRIM('Raw Data'!M215))=0,Validate_Empty!M215&lt;&gt;"",Validate_Value!M215&lt;&gt;""),"",IF(OR(NOT(OR(LEN(TRIM('Raw Data'!B215:X215))&gt;0)),OR('Raw Data'!M215="",LEN(TRIM('Raw Data'!M215))=0)),"",IF('Raw Data'!M215 = SUM('Raw Data'!K215:L215),"",_xlfn.REGEXEXTRACT(CELL("address",'Raw Data'!M215),"\$([A-Z]+)\$[0-9]+"))))</f>
        <v/>
      </c>
      <c r="N215" s="7"/>
      <c r="O215" s="7"/>
      <c r="P215" s="7" t="str" cm="1">
        <f t="array" aca="1" ref="P215" ca="1">IF(OR('Raw Data'!P215="",LEN(TRIM('Raw Data'!P215))=0,Validate_Empty!P215&lt;&gt;"",Validate_Value!P215&lt;&gt;""),"",IF(OR(NOT(OR(LEN(TRIM('Raw Data'!B215:X215))&gt;0)),OR('Raw Data'!P215="",LEN(TRIM('Raw Data'!P215))=0)),"",IF(AND('Raw Data'!J215 + Configuration!$G$2 + 5 &gt;= 'Raw Data'!P215,'Raw Data'!J215 + Configuration!$G$2 - 5 &lt;= 'Raw Data'!P215),"",_xlfn.REGEXEXTRACT(CELL("address",'Raw Data'!P215),"\$([A-Z]+)\$[0-9]+"))))</f>
        <v/>
      </c>
      <c r="Q215" s="7"/>
      <c r="R215" s="7"/>
      <c r="S215" s="7"/>
      <c r="T215" s="7" t="str" cm="1">
        <f t="array" aca="1" ref="T215" ca="1">IF(OR('Raw Data'!T215="",LEN(TRIM('Raw Data'!T215))=0,Validate_Empty!T215&lt;&gt;"",Validate_Value!T215&lt;&gt;""),"",IF(OR(NOT(OR(LEN(TRIM('Raw Data'!B215:X215))&gt;0)),OR('Raw Data'!T215="",LEN(TRIM('Raw Data'!T215))=0)),"",IF('Raw Data'!T215 = SUM('Raw Data'!R215:S215),"",_xlfn.REGEXEXTRACT(CELL("address",'Raw Data'!T215),"\$([A-Z]+)\$[0-9]+"))))</f>
        <v/>
      </c>
      <c r="U215" s="7" t="str" cm="1">
        <f t="array" aca="1" ref="U215" ca="1">IF(OR('Raw Data'!U215="",LEN(TRIM('Raw Data'!U215))=0,Validate_Empty!U215&lt;&gt;"",Validate_Value!U215&lt;&gt;""),"",IF(OR(NOT(OR(LEN(TRIM('Raw Data'!B215:X215))&gt;0)),OR('Raw Data'!T215="",LEN(TRIM('Raw Data'!T215))=0)),"",IF(ISNUMBER(SEARCH('Raw Data'!U215, Configuration!$H$2)),"",_xlfn.REGEXEXTRACT(CELL("address",'Raw Data'!U215),"\$([A-Z]+)\$[0-9]+"))))</f>
        <v/>
      </c>
      <c r="V215" s="7" t="str" cm="1">
        <f t="array" aca="1" ref="V215" ca="1">IF(OR('Raw Data'!V215="",LEN(TRIM('Raw Data'!V215))=0,Validate_Empty!V215&lt;&gt;"",Validate_Value!V215&lt;&gt;""),"",IF(OR(NOT(OR(LEN(TRIM('Raw Data'!B215:X215))&gt;0)),OR('Raw Data'!V215="",LEN(TRIM('Raw Data'!V215))=0)),"",IF('Raw Data'!V215 = Configuration!$I$2,"",_xlfn.REGEXEXTRACT(CELL("address",'Raw Data'!V215),"\$([A-Z]+)\$[0-9]+"))))</f>
        <v/>
      </c>
      <c r="W215" s="7"/>
      <c r="X215" s="7"/>
    </row>
    <row r="216" spans="2:24" x14ac:dyDescent="0.25">
      <c r="B216" s="7"/>
      <c r="C216" s="7" t="str" cm="1">
        <f t="array" aca="1" ref="C216" ca="1">IF(OR('Raw Data'!C216="",LEN(TRIM('Raw Data'!C216))=0,Validate_Empty!C216&lt;&gt;"",Validate_Value!C216&lt;&gt;""),"",IF(OR(NOT(OR(LEN(TRIM('Raw Data'!B216:X216))&gt;0)),OR('Raw Data'!C216="",LEN(TRIM('Raw Data'!C216))=0)),"",IF(OR(AND('Raw Data'!B216="Main Contract", LEFT('Raw Data'!C216, LEN("Payment"))="Payment"),AND('Raw Data'!B216="Change Order", LEFT('Raw Data'!C216, LEN("CO Payment No."))="CO Payment No.")),"",_xlfn.REGEXEXTRACT(CELL("address",'Raw Data'!C216),"\$([A-Z]+)\$[0-9]+"))))</f>
        <v/>
      </c>
      <c r="D216" s="7"/>
      <c r="E216" s="7"/>
      <c r="F216" s="7"/>
      <c r="G216" s="7"/>
      <c r="H216" s="7"/>
      <c r="I216" s="7"/>
      <c r="J216" s="7"/>
      <c r="K216" s="7"/>
      <c r="L216" s="7"/>
      <c r="M216" s="7" t="str" cm="1">
        <f t="array" aca="1" ref="M216" ca="1">IF(OR('Raw Data'!M216="",LEN(TRIM('Raw Data'!M216))=0,Validate_Empty!M216&lt;&gt;"",Validate_Value!M216&lt;&gt;""),"",IF(OR(NOT(OR(LEN(TRIM('Raw Data'!B216:X216))&gt;0)),OR('Raw Data'!M216="",LEN(TRIM('Raw Data'!M216))=0)),"",IF('Raw Data'!M216 = SUM('Raw Data'!K216:L216),"",_xlfn.REGEXEXTRACT(CELL("address",'Raw Data'!M216),"\$([A-Z]+)\$[0-9]+"))))</f>
        <v/>
      </c>
      <c r="N216" s="7"/>
      <c r="O216" s="7"/>
      <c r="P216" s="7" t="str" cm="1">
        <f t="array" aca="1" ref="P216" ca="1">IF(OR('Raw Data'!P216="",LEN(TRIM('Raw Data'!P216))=0,Validate_Empty!P216&lt;&gt;"",Validate_Value!P216&lt;&gt;""),"",IF(OR(NOT(OR(LEN(TRIM('Raw Data'!B216:X216))&gt;0)),OR('Raw Data'!P216="",LEN(TRIM('Raw Data'!P216))=0)),"",IF(AND('Raw Data'!J216 + Configuration!$G$2 + 5 &gt;= 'Raw Data'!P216,'Raw Data'!J216 + Configuration!$G$2 - 5 &lt;= 'Raw Data'!P216),"",_xlfn.REGEXEXTRACT(CELL("address",'Raw Data'!P216),"\$([A-Z]+)\$[0-9]+"))))</f>
        <v/>
      </c>
      <c r="Q216" s="7"/>
      <c r="R216" s="7"/>
      <c r="S216" s="7"/>
      <c r="T216" s="7" t="str" cm="1">
        <f t="array" aca="1" ref="T216" ca="1">IF(OR('Raw Data'!T216="",LEN(TRIM('Raw Data'!T216))=0,Validate_Empty!T216&lt;&gt;"",Validate_Value!T216&lt;&gt;""),"",IF(OR(NOT(OR(LEN(TRIM('Raw Data'!B216:X216))&gt;0)),OR('Raw Data'!T216="",LEN(TRIM('Raw Data'!T216))=0)),"",IF('Raw Data'!T216 = SUM('Raw Data'!R216:S216),"",_xlfn.REGEXEXTRACT(CELL("address",'Raw Data'!T216),"\$([A-Z]+)\$[0-9]+"))))</f>
        <v/>
      </c>
      <c r="U216" s="7" t="str" cm="1">
        <f t="array" aca="1" ref="U216" ca="1">IF(OR('Raw Data'!U216="",LEN(TRIM('Raw Data'!U216))=0,Validate_Empty!U216&lt;&gt;"",Validate_Value!U216&lt;&gt;""),"",IF(OR(NOT(OR(LEN(TRIM('Raw Data'!B216:X216))&gt;0)),OR('Raw Data'!T216="",LEN(TRIM('Raw Data'!T216))=0)),"",IF(ISNUMBER(SEARCH('Raw Data'!U216, Configuration!$H$2)),"",_xlfn.REGEXEXTRACT(CELL("address",'Raw Data'!U216),"\$([A-Z]+)\$[0-9]+"))))</f>
        <v/>
      </c>
      <c r="V216" s="7" t="str" cm="1">
        <f t="array" aca="1" ref="V216" ca="1">IF(OR('Raw Data'!V216="",LEN(TRIM('Raw Data'!V216))=0,Validate_Empty!V216&lt;&gt;"",Validate_Value!V216&lt;&gt;""),"",IF(OR(NOT(OR(LEN(TRIM('Raw Data'!B216:X216))&gt;0)),OR('Raw Data'!V216="",LEN(TRIM('Raw Data'!V216))=0)),"",IF('Raw Data'!V216 = Configuration!$I$2,"",_xlfn.REGEXEXTRACT(CELL("address",'Raw Data'!V216),"\$([A-Z]+)\$[0-9]+"))))</f>
        <v/>
      </c>
      <c r="W216" s="7"/>
      <c r="X216" s="7"/>
    </row>
    <row r="217" spans="2:24" x14ac:dyDescent="0.25">
      <c r="B217" s="7"/>
      <c r="C217" s="7" t="str" cm="1">
        <f t="array" aca="1" ref="C217" ca="1">IF(OR('Raw Data'!C217="",LEN(TRIM('Raw Data'!C217))=0,Validate_Empty!C217&lt;&gt;"",Validate_Value!C217&lt;&gt;""),"",IF(OR(NOT(OR(LEN(TRIM('Raw Data'!B217:X217))&gt;0)),OR('Raw Data'!C217="",LEN(TRIM('Raw Data'!C217))=0)),"",IF(OR(AND('Raw Data'!B217="Main Contract", LEFT('Raw Data'!C217, LEN("Payment"))="Payment"),AND('Raw Data'!B217="Change Order", LEFT('Raw Data'!C217, LEN("CO Payment No."))="CO Payment No.")),"",_xlfn.REGEXEXTRACT(CELL("address",'Raw Data'!C217),"\$([A-Z]+)\$[0-9]+"))))</f>
        <v/>
      </c>
      <c r="D217" s="7"/>
      <c r="E217" s="7"/>
      <c r="F217" s="7"/>
      <c r="G217" s="7"/>
      <c r="H217" s="7"/>
      <c r="I217" s="7"/>
      <c r="J217" s="7"/>
      <c r="K217" s="7"/>
      <c r="L217" s="7"/>
      <c r="M217" s="7" t="str" cm="1">
        <f t="array" aca="1" ref="M217" ca="1">IF(OR('Raw Data'!M217="",LEN(TRIM('Raw Data'!M217))=0,Validate_Empty!M217&lt;&gt;"",Validate_Value!M217&lt;&gt;""),"",IF(OR(NOT(OR(LEN(TRIM('Raw Data'!B217:X217))&gt;0)),OR('Raw Data'!M217="",LEN(TRIM('Raw Data'!M217))=0)),"",IF('Raw Data'!M217 = SUM('Raw Data'!K217:L217),"",_xlfn.REGEXEXTRACT(CELL("address",'Raw Data'!M217),"\$([A-Z]+)\$[0-9]+"))))</f>
        <v/>
      </c>
      <c r="N217" s="7"/>
      <c r="O217" s="7"/>
      <c r="P217" s="7" t="str" cm="1">
        <f t="array" aca="1" ref="P217" ca="1">IF(OR('Raw Data'!P217="",LEN(TRIM('Raw Data'!P217))=0,Validate_Empty!P217&lt;&gt;"",Validate_Value!P217&lt;&gt;""),"",IF(OR(NOT(OR(LEN(TRIM('Raw Data'!B217:X217))&gt;0)),OR('Raw Data'!P217="",LEN(TRIM('Raw Data'!P217))=0)),"",IF(AND('Raw Data'!J217 + Configuration!$G$2 + 5 &gt;= 'Raw Data'!P217,'Raw Data'!J217 + Configuration!$G$2 - 5 &lt;= 'Raw Data'!P217),"",_xlfn.REGEXEXTRACT(CELL("address",'Raw Data'!P217),"\$([A-Z]+)\$[0-9]+"))))</f>
        <v/>
      </c>
      <c r="Q217" s="7"/>
      <c r="R217" s="7"/>
      <c r="S217" s="7"/>
      <c r="T217" s="7" t="str" cm="1">
        <f t="array" aca="1" ref="T217" ca="1">IF(OR('Raw Data'!T217="",LEN(TRIM('Raw Data'!T217))=0,Validate_Empty!T217&lt;&gt;"",Validate_Value!T217&lt;&gt;""),"",IF(OR(NOT(OR(LEN(TRIM('Raw Data'!B217:X217))&gt;0)),OR('Raw Data'!T217="",LEN(TRIM('Raw Data'!T217))=0)),"",IF('Raw Data'!T217 = SUM('Raw Data'!R217:S217),"",_xlfn.REGEXEXTRACT(CELL("address",'Raw Data'!T217),"\$([A-Z]+)\$[0-9]+"))))</f>
        <v/>
      </c>
      <c r="U217" s="7" t="str" cm="1">
        <f t="array" aca="1" ref="U217" ca="1">IF(OR('Raw Data'!U217="",LEN(TRIM('Raw Data'!U217))=0,Validate_Empty!U217&lt;&gt;"",Validate_Value!U217&lt;&gt;""),"",IF(OR(NOT(OR(LEN(TRIM('Raw Data'!B217:X217))&gt;0)),OR('Raw Data'!T217="",LEN(TRIM('Raw Data'!T217))=0)),"",IF(ISNUMBER(SEARCH('Raw Data'!U217, Configuration!$H$2)),"",_xlfn.REGEXEXTRACT(CELL("address",'Raw Data'!U217),"\$([A-Z]+)\$[0-9]+"))))</f>
        <v/>
      </c>
      <c r="V217" s="7" t="str" cm="1">
        <f t="array" aca="1" ref="V217" ca="1">IF(OR('Raw Data'!V217="",LEN(TRIM('Raw Data'!V217))=0,Validate_Empty!V217&lt;&gt;"",Validate_Value!V217&lt;&gt;""),"",IF(OR(NOT(OR(LEN(TRIM('Raw Data'!B217:X217))&gt;0)),OR('Raw Data'!V217="",LEN(TRIM('Raw Data'!V217))=0)),"",IF('Raw Data'!V217 = Configuration!$I$2,"",_xlfn.REGEXEXTRACT(CELL("address",'Raw Data'!V217),"\$([A-Z]+)\$[0-9]+"))))</f>
        <v/>
      </c>
      <c r="W217" s="7"/>
      <c r="X217" s="7"/>
    </row>
    <row r="218" spans="2:24" x14ac:dyDescent="0.25">
      <c r="B218" s="7"/>
      <c r="C218" s="7" t="str" cm="1">
        <f t="array" aca="1" ref="C218" ca="1">IF(OR('Raw Data'!C218="",LEN(TRIM('Raw Data'!C218))=0,Validate_Empty!C218&lt;&gt;"",Validate_Value!C218&lt;&gt;""),"",IF(OR(NOT(OR(LEN(TRIM('Raw Data'!B218:X218))&gt;0)),OR('Raw Data'!C218="",LEN(TRIM('Raw Data'!C218))=0)),"",IF(OR(AND('Raw Data'!B218="Main Contract", LEFT('Raw Data'!C218, LEN("Payment"))="Payment"),AND('Raw Data'!B218="Change Order", LEFT('Raw Data'!C218, LEN("CO Payment No."))="CO Payment No.")),"",_xlfn.REGEXEXTRACT(CELL("address",'Raw Data'!C218),"\$([A-Z]+)\$[0-9]+"))))</f>
        <v/>
      </c>
      <c r="D218" s="7"/>
      <c r="E218" s="7"/>
      <c r="F218" s="7"/>
      <c r="G218" s="7"/>
      <c r="H218" s="7"/>
      <c r="I218" s="7"/>
      <c r="J218" s="7"/>
      <c r="K218" s="7"/>
      <c r="L218" s="7"/>
      <c r="M218" s="7" t="str" cm="1">
        <f t="array" aca="1" ref="M218" ca="1">IF(OR('Raw Data'!M218="",LEN(TRIM('Raw Data'!M218))=0,Validate_Empty!M218&lt;&gt;"",Validate_Value!M218&lt;&gt;""),"",IF(OR(NOT(OR(LEN(TRIM('Raw Data'!B218:X218))&gt;0)),OR('Raw Data'!M218="",LEN(TRIM('Raw Data'!M218))=0)),"",IF('Raw Data'!M218 = SUM('Raw Data'!K218:L218),"",_xlfn.REGEXEXTRACT(CELL("address",'Raw Data'!M218),"\$([A-Z]+)\$[0-9]+"))))</f>
        <v/>
      </c>
      <c r="N218" s="7"/>
      <c r="O218" s="7"/>
      <c r="P218" s="7" t="str" cm="1">
        <f t="array" aca="1" ref="P218" ca="1">IF(OR('Raw Data'!P218="",LEN(TRIM('Raw Data'!P218))=0,Validate_Empty!P218&lt;&gt;"",Validate_Value!P218&lt;&gt;""),"",IF(OR(NOT(OR(LEN(TRIM('Raw Data'!B218:X218))&gt;0)),OR('Raw Data'!P218="",LEN(TRIM('Raw Data'!P218))=0)),"",IF(AND('Raw Data'!J218 + Configuration!$G$2 + 5 &gt;= 'Raw Data'!P218,'Raw Data'!J218 + Configuration!$G$2 - 5 &lt;= 'Raw Data'!P218),"",_xlfn.REGEXEXTRACT(CELL("address",'Raw Data'!P218),"\$([A-Z]+)\$[0-9]+"))))</f>
        <v/>
      </c>
      <c r="Q218" s="7"/>
      <c r="R218" s="7"/>
      <c r="S218" s="7"/>
      <c r="T218" s="7" t="str" cm="1">
        <f t="array" aca="1" ref="T218" ca="1">IF(OR('Raw Data'!T218="",LEN(TRIM('Raw Data'!T218))=0,Validate_Empty!T218&lt;&gt;"",Validate_Value!T218&lt;&gt;""),"",IF(OR(NOT(OR(LEN(TRIM('Raw Data'!B218:X218))&gt;0)),OR('Raw Data'!T218="",LEN(TRIM('Raw Data'!T218))=0)),"",IF('Raw Data'!T218 = SUM('Raw Data'!R218:S218),"",_xlfn.REGEXEXTRACT(CELL("address",'Raw Data'!T218),"\$([A-Z]+)\$[0-9]+"))))</f>
        <v/>
      </c>
      <c r="U218" s="7" t="str" cm="1">
        <f t="array" aca="1" ref="U218" ca="1">IF(OR('Raw Data'!U218="",LEN(TRIM('Raw Data'!U218))=0,Validate_Empty!U218&lt;&gt;"",Validate_Value!U218&lt;&gt;""),"",IF(OR(NOT(OR(LEN(TRIM('Raw Data'!B218:X218))&gt;0)),OR('Raw Data'!T218="",LEN(TRIM('Raw Data'!T218))=0)),"",IF(ISNUMBER(SEARCH('Raw Data'!U218, Configuration!$H$2)),"",_xlfn.REGEXEXTRACT(CELL("address",'Raw Data'!U218),"\$([A-Z]+)\$[0-9]+"))))</f>
        <v/>
      </c>
      <c r="V218" s="7" t="str" cm="1">
        <f t="array" aca="1" ref="V218" ca="1">IF(OR('Raw Data'!V218="",LEN(TRIM('Raw Data'!V218))=0,Validate_Empty!V218&lt;&gt;"",Validate_Value!V218&lt;&gt;""),"",IF(OR(NOT(OR(LEN(TRIM('Raw Data'!B218:X218))&gt;0)),OR('Raw Data'!V218="",LEN(TRIM('Raw Data'!V218))=0)),"",IF('Raw Data'!V218 = Configuration!$I$2,"",_xlfn.REGEXEXTRACT(CELL("address",'Raw Data'!V218),"\$([A-Z]+)\$[0-9]+"))))</f>
        <v/>
      </c>
      <c r="W218" s="7"/>
      <c r="X218" s="7"/>
    </row>
    <row r="219" spans="2:24" x14ac:dyDescent="0.25">
      <c r="B219" s="7"/>
      <c r="C219" s="7" t="str" cm="1">
        <f t="array" aca="1" ref="C219" ca="1">IF(OR('Raw Data'!C219="",LEN(TRIM('Raw Data'!C219))=0,Validate_Empty!C219&lt;&gt;"",Validate_Value!C219&lt;&gt;""),"",IF(OR(NOT(OR(LEN(TRIM('Raw Data'!B219:X219))&gt;0)),OR('Raw Data'!C219="",LEN(TRIM('Raw Data'!C219))=0)),"",IF(OR(AND('Raw Data'!B219="Main Contract", LEFT('Raw Data'!C219, LEN("Payment"))="Payment"),AND('Raw Data'!B219="Change Order", LEFT('Raw Data'!C219, LEN("CO Payment No."))="CO Payment No.")),"",_xlfn.REGEXEXTRACT(CELL("address",'Raw Data'!C219),"\$([A-Z]+)\$[0-9]+"))))</f>
        <v/>
      </c>
      <c r="D219" s="7"/>
      <c r="E219" s="7"/>
      <c r="F219" s="7"/>
      <c r="G219" s="7"/>
      <c r="H219" s="7"/>
      <c r="I219" s="7"/>
      <c r="J219" s="7"/>
      <c r="K219" s="7"/>
      <c r="L219" s="7"/>
      <c r="M219" s="7" t="str" cm="1">
        <f t="array" aca="1" ref="M219" ca="1">IF(OR('Raw Data'!M219="",LEN(TRIM('Raw Data'!M219))=0,Validate_Empty!M219&lt;&gt;"",Validate_Value!M219&lt;&gt;""),"",IF(OR(NOT(OR(LEN(TRIM('Raw Data'!B219:X219))&gt;0)),OR('Raw Data'!M219="",LEN(TRIM('Raw Data'!M219))=0)),"",IF('Raw Data'!M219 = SUM('Raw Data'!K219:L219),"",_xlfn.REGEXEXTRACT(CELL("address",'Raw Data'!M219),"\$([A-Z]+)\$[0-9]+"))))</f>
        <v/>
      </c>
      <c r="N219" s="7"/>
      <c r="O219" s="7"/>
      <c r="P219" s="7" t="str" cm="1">
        <f t="array" aca="1" ref="P219" ca="1">IF(OR('Raw Data'!P219="",LEN(TRIM('Raw Data'!P219))=0,Validate_Empty!P219&lt;&gt;"",Validate_Value!P219&lt;&gt;""),"",IF(OR(NOT(OR(LEN(TRIM('Raw Data'!B219:X219))&gt;0)),OR('Raw Data'!P219="",LEN(TRIM('Raw Data'!P219))=0)),"",IF(AND('Raw Data'!J219 + Configuration!$G$2 + 5 &gt;= 'Raw Data'!P219,'Raw Data'!J219 + Configuration!$G$2 - 5 &lt;= 'Raw Data'!P219),"",_xlfn.REGEXEXTRACT(CELL("address",'Raw Data'!P219),"\$([A-Z]+)\$[0-9]+"))))</f>
        <v/>
      </c>
      <c r="Q219" s="7"/>
      <c r="R219" s="7"/>
      <c r="S219" s="7"/>
      <c r="T219" s="7" t="str" cm="1">
        <f t="array" aca="1" ref="T219" ca="1">IF(OR('Raw Data'!T219="",LEN(TRIM('Raw Data'!T219))=0,Validate_Empty!T219&lt;&gt;"",Validate_Value!T219&lt;&gt;""),"",IF(OR(NOT(OR(LEN(TRIM('Raw Data'!B219:X219))&gt;0)),OR('Raw Data'!T219="",LEN(TRIM('Raw Data'!T219))=0)),"",IF('Raw Data'!T219 = SUM('Raw Data'!R219:S219),"",_xlfn.REGEXEXTRACT(CELL("address",'Raw Data'!T219),"\$([A-Z]+)\$[0-9]+"))))</f>
        <v/>
      </c>
      <c r="U219" s="7" t="str" cm="1">
        <f t="array" aca="1" ref="U219" ca="1">IF(OR('Raw Data'!U219="",LEN(TRIM('Raw Data'!U219))=0,Validate_Empty!U219&lt;&gt;"",Validate_Value!U219&lt;&gt;""),"",IF(OR(NOT(OR(LEN(TRIM('Raw Data'!B219:X219))&gt;0)),OR('Raw Data'!T219="",LEN(TRIM('Raw Data'!T219))=0)),"",IF(ISNUMBER(SEARCH('Raw Data'!U219, Configuration!$H$2)),"",_xlfn.REGEXEXTRACT(CELL("address",'Raw Data'!U219),"\$([A-Z]+)\$[0-9]+"))))</f>
        <v/>
      </c>
      <c r="V219" s="7" t="str" cm="1">
        <f t="array" aca="1" ref="V219" ca="1">IF(OR('Raw Data'!V219="",LEN(TRIM('Raw Data'!V219))=0,Validate_Empty!V219&lt;&gt;"",Validate_Value!V219&lt;&gt;""),"",IF(OR(NOT(OR(LEN(TRIM('Raw Data'!B219:X219))&gt;0)),OR('Raw Data'!V219="",LEN(TRIM('Raw Data'!V219))=0)),"",IF('Raw Data'!V219 = Configuration!$I$2,"",_xlfn.REGEXEXTRACT(CELL("address",'Raw Data'!V219),"\$([A-Z]+)\$[0-9]+"))))</f>
        <v/>
      </c>
      <c r="W219" s="7"/>
      <c r="X219" s="7"/>
    </row>
    <row r="220" spans="2:24" x14ac:dyDescent="0.25">
      <c r="B220" s="7"/>
      <c r="C220" s="7" t="str" cm="1">
        <f t="array" aca="1" ref="C220" ca="1">IF(OR('Raw Data'!C220="",LEN(TRIM('Raw Data'!C220))=0,Validate_Empty!C220&lt;&gt;"",Validate_Value!C220&lt;&gt;""),"",IF(OR(NOT(OR(LEN(TRIM('Raw Data'!B220:X220))&gt;0)),OR('Raw Data'!C220="",LEN(TRIM('Raw Data'!C220))=0)),"",IF(OR(AND('Raw Data'!B220="Main Contract", LEFT('Raw Data'!C220, LEN("Payment"))="Payment"),AND('Raw Data'!B220="Change Order", LEFT('Raw Data'!C220, LEN("CO Payment No."))="CO Payment No.")),"",_xlfn.REGEXEXTRACT(CELL("address",'Raw Data'!C220),"\$([A-Z]+)\$[0-9]+"))))</f>
        <v/>
      </c>
      <c r="D220" s="7"/>
      <c r="E220" s="7"/>
      <c r="F220" s="7"/>
      <c r="G220" s="7"/>
      <c r="H220" s="7"/>
      <c r="I220" s="7"/>
      <c r="J220" s="7"/>
      <c r="K220" s="7"/>
      <c r="L220" s="7"/>
      <c r="M220" s="7" t="str" cm="1">
        <f t="array" aca="1" ref="M220" ca="1">IF(OR('Raw Data'!M220="",LEN(TRIM('Raw Data'!M220))=0,Validate_Empty!M220&lt;&gt;"",Validate_Value!M220&lt;&gt;""),"",IF(OR(NOT(OR(LEN(TRIM('Raw Data'!B220:X220))&gt;0)),OR('Raw Data'!M220="",LEN(TRIM('Raw Data'!M220))=0)),"",IF('Raw Data'!M220 = SUM('Raw Data'!K220:L220),"",_xlfn.REGEXEXTRACT(CELL("address",'Raw Data'!M220),"\$([A-Z]+)\$[0-9]+"))))</f>
        <v/>
      </c>
      <c r="N220" s="7"/>
      <c r="O220" s="7"/>
      <c r="P220" s="7" t="str" cm="1">
        <f t="array" aca="1" ref="P220" ca="1">IF(OR('Raw Data'!P220="",LEN(TRIM('Raw Data'!P220))=0,Validate_Empty!P220&lt;&gt;"",Validate_Value!P220&lt;&gt;""),"",IF(OR(NOT(OR(LEN(TRIM('Raw Data'!B220:X220))&gt;0)),OR('Raw Data'!P220="",LEN(TRIM('Raw Data'!P220))=0)),"",IF(AND('Raw Data'!J220 + Configuration!$G$2 + 5 &gt;= 'Raw Data'!P220,'Raw Data'!J220 + Configuration!$G$2 - 5 &lt;= 'Raw Data'!P220),"",_xlfn.REGEXEXTRACT(CELL("address",'Raw Data'!P220),"\$([A-Z]+)\$[0-9]+"))))</f>
        <v/>
      </c>
      <c r="Q220" s="7"/>
      <c r="R220" s="7"/>
      <c r="S220" s="7"/>
      <c r="T220" s="7" t="str" cm="1">
        <f t="array" aca="1" ref="T220" ca="1">IF(OR('Raw Data'!T220="",LEN(TRIM('Raw Data'!T220))=0,Validate_Empty!T220&lt;&gt;"",Validate_Value!T220&lt;&gt;""),"",IF(OR(NOT(OR(LEN(TRIM('Raw Data'!B220:X220))&gt;0)),OR('Raw Data'!T220="",LEN(TRIM('Raw Data'!T220))=0)),"",IF('Raw Data'!T220 = SUM('Raw Data'!R220:S220),"",_xlfn.REGEXEXTRACT(CELL("address",'Raw Data'!T220),"\$([A-Z]+)\$[0-9]+"))))</f>
        <v/>
      </c>
      <c r="U220" s="7" t="str" cm="1">
        <f t="array" aca="1" ref="U220" ca="1">IF(OR('Raw Data'!U220="",LEN(TRIM('Raw Data'!U220))=0,Validate_Empty!U220&lt;&gt;"",Validate_Value!U220&lt;&gt;""),"",IF(OR(NOT(OR(LEN(TRIM('Raw Data'!B220:X220))&gt;0)),OR('Raw Data'!T220="",LEN(TRIM('Raw Data'!T220))=0)),"",IF(ISNUMBER(SEARCH('Raw Data'!U220, Configuration!$H$2)),"",_xlfn.REGEXEXTRACT(CELL("address",'Raw Data'!U220),"\$([A-Z]+)\$[0-9]+"))))</f>
        <v/>
      </c>
      <c r="V220" s="7" t="str" cm="1">
        <f t="array" aca="1" ref="V220" ca="1">IF(OR('Raw Data'!V220="",LEN(TRIM('Raw Data'!V220))=0,Validate_Empty!V220&lt;&gt;"",Validate_Value!V220&lt;&gt;""),"",IF(OR(NOT(OR(LEN(TRIM('Raw Data'!B220:X220))&gt;0)),OR('Raw Data'!V220="",LEN(TRIM('Raw Data'!V220))=0)),"",IF('Raw Data'!V220 = Configuration!$I$2,"",_xlfn.REGEXEXTRACT(CELL("address",'Raw Data'!V220),"\$([A-Z]+)\$[0-9]+"))))</f>
        <v/>
      </c>
      <c r="W220" s="7"/>
      <c r="X220" s="7"/>
    </row>
    <row r="221" spans="2:24" x14ac:dyDescent="0.25">
      <c r="B221" s="7"/>
      <c r="C221" s="7" t="str" cm="1">
        <f t="array" aca="1" ref="C221" ca="1">IF(OR('Raw Data'!C221="",LEN(TRIM('Raw Data'!C221))=0,Validate_Empty!C221&lt;&gt;"",Validate_Value!C221&lt;&gt;""),"",IF(OR(NOT(OR(LEN(TRIM('Raw Data'!B221:X221))&gt;0)),OR('Raw Data'!C221="",LEN(TRIM('Raw Data'!C221))=0)),"",IF(OR(AND('Raw Data'!B221="Main Contract", LEFT('Raw Data'!C221, LEN("Payment"))="Payment"),AND('Raw Data'!B221="Change Order", LEFT('Raw Data'!C221, LEN("CO Payment No."))="CO Payment No.")),"",_xlfn.REGEXEXTRACT(CELL("address",'Raw Data'!C221),"\$([A-Z]+)\$[0-9]+"))))</f>
        <v/>
      </c>
      <c r="D221" s="7"/>
      <c r="E221" s="7"/>
      <c r="F221" s="7"/>
      <c r="G221" s="7"/>
      <c r="H221" s="7"/>
      <c r="I221" s="7"/>
      <c r="J221" s="7"/>
      <c r="K221" s="7"/>
      <c r="L221" s="7"/>
      <c r="M221" s="7" t="str" cm="1">
        <f t="array" aca="1" ref="M221" ca="1">IF(OR('Raw Data'!M221="",LEN(TRIM('Raw Data'!M221))=0,Validate_Empty!M221&lt;&gt;"",Validate_Value!M221&lt;&gt;""),"",IF(OR(NOT(OR(LEN(TRIM('Raw Data'!B221:X221))&gt;0)),OR('Raw Data'!M221="",LEN(TRIM('Raw Data'!M221))=0)),"",IF('Raw Data'!M221 = SUM('Raw Data'!K221:L221),"",_xlfn.REGEXEXTRACT(CELL("address",'Raw Data'!M221),"\$([A-Z]+)\$[0-9]+"))))</f>
        <v/>
      </c>
      <c r="N221" s="7"/>
      <c r="O221" s="7"/>
      <c r="P221" s="7" t="str" cm="1">
        <f t="array" aca="1" ref="P221" ca="1">IF(OR('Raw Data'!P221="",LEN(TRIM('Raw Data'!P221))=0,Validate_Empty!P221&lt;&gt;"",Validate_Value!P221&lt;&gt;""),"",IF(OR(NOT(OR(LEN(TRIM('Raw Data'!B221:X221))&gt;0)),OR('Raw Data'!P221="",LEN(TRIM('Raw Data'!P221))=0)),"",IF(AND('Raw Data'!J221 + Configuration!$G$2 + 5 &gt;= 'Raw Data'!P221,'Raw Data'!J221 + Configuration!$G$2 - 5 &lt;= 'Raw Data'!P221),"",_xlfn.REGEXEXTRACT(CELL("address",'Raw Data'!P221),"\$([A-Z]+)\$[0-9]+"))))</f>
        <v/>
      </c>
      <c r="Q221" s="7"/>
      <c r="R221" s="7"/>
      <c r="S221" s="7"/>
      <c r="T221" s="7" t="str" cm="1">
        <f t="array" aca="1" ref="T221" ca="1">IF(OR('Raw Data'!T221="",LEN(TRIM('Raw Data'!T221))=0,Validate_Empty!T221&lt;&gt;"",Validate_Value!T221&lt;&gt;""),"",IF(OR(NOT(OR(LEN(TRIM('Raw Data'!B221:X221))&gt;0)),OR('Raw Data'!T221="",LEN(TRIM('Raw Data'!T221))=0)),"",IF('Raw Data'!T221 = SUM('Raw Data'!R221:S221),"",_xlfn.REGEXEXTRACT(CELL("address",'Raw Data'!T221),"\$([A-Z]+)\$[0-9]+"))))</f>
        <v/>
      </c>
      <c r="U221" s="7" t="str" cm="1">
        <f t="array" aca="1" ref="U221" ca="1">IF(OR('Raw Data'!U221="",LEN(TRIM('Raw Data'!U221))=0,Validate_Empty!U221&lt;&gt;"",Validate_Value!U221&lt;&gt;""),"",IF(OR(NOT(OR(LEN(TRIM('Raw Data'!B221:X221))&gt;0)),OR('Raw Data'!T221="",LEN(TRIM('Raw Data'!T221))=0)),"",IF(ISNUMBER(SEARCH('Raw Data'!U221, Configuration!$H$2)),"",_xlfn.REGEXEXTRACT(CELL("address",'Raw Data'!U221),"\$([A-Z]+)\$[0-9]+"))))</f>
        <v/>
      </c>
      <c r="V221" s="7" t="str" cm="1">
        <f t="array" aca="1" ref="V221" ca="1">IF(OR('Raw Data'!V221="",LEN(TRIM('Raw Data'!V221))=0,Validate_Empty!V221&lt;&gt;"",Validate_Value!V221&lt;&gt;""),"",IF(OR(NOT(OR(LEN(TRIM('Raw Data'!B221:X221))&gt;0)),OR('Raw Data'!V221="",LEN(TRIM('Raw Data'!V221))=0)),"",IF('Raw Data'!V221 = Configuration!$I$2,"",_xlfn.REGEXEXTRACT(CELL("address",'Raw Data'!V221),"\$([A-Z]+)\$[0-9]+"))))</f>
        <v/>
      </c>
      <c r="W221" s="7"/>
      <c r="X221" s="7"/>
    </row>
    <row r="222" spans="2:24" x14ac:dyDescent="0.25">
      <c r="B222" s="7"/>
      <c r="C222" s="7" t="str" cm="1">
        <f t="array" aca="1" ref="C222" ca="1">IF(OR('Raw Data'!C222="",LEN(TRIM('Raw Data'!C222))=0,Validate_Empty!C222&lt;&gt;"",Validate_Value!C222&lt;&gt;""),"",IF(OR(NOT(OR(LEN(TRIM('Raw Data'!B222:X222))&gt;0)),OR('Raw Data'!C222="",LEN(TRIM('Raw Data'!C222))=0)),"",IF(OR(AND('Raw Data'!B222="Main Contract", LEFT('Raw Data'!C222, LEN("Payment"))="Payment"),AND('Raw Data'!B222="Change Order", LEFT('Raw Data'!C222, LEN("CO Payment No."))="CO Payment No.")),"",_xlfn.REGEXEXTRACT(CELL("address",'Raw Data'!C222),"\$([A-Z]+)\$[0-9]+"))))</f>
        <v/>
      </c>
      <c r="D222" s="7"/>
      <c r="E222" s="7"/>
      <c r="F222" s="7"/>
      <c r="G222" s="7"/>
      <c r="H222" s="7"/>
      <c r="I222" s="7"/>
      <c r="J222" s="7"/>
      <c r="K222" s="7"/>
      <c r="L222" s="7"/>
      <c r="M222" s="7" t="str" cm="1">
        <f t="array" aca="1" ref="M222" ca="1">IF(OR('Raw Data'!M222="",LEN(TRIM('Raw Data'!M222))=0,Validate_Empty!M222&lt;&gt;"",Validate_Value!M222&lt;&gt;""),"",IF(OR(NOT(OR(LEN(TRIM('Raw Data'!B222:X222))&gt;0)),OR('Raw Data'!M222="",LEN(TRIM('Raw Data'!M222))=0)),"",IF('Raw Data'!M222 = SUM('Raw Data'!K222:L222),"",_xlfn.REGEXEXTRACT(CELL("address",'Raw Data'!M222),"\$([A-Z]+)\$[0-9]+"))))</f>
        <v/>
      </c>
      <c r="N222" s="7"/>
      <c r="O222" s="7"/>
      <c r="P222" s="7" t="str" cm="1">
        <f t="array" aca="1" ref="P222" ca="1">IF(OR('Raw Data'!P222="",LEN(TRIM('Raw Data'!P222))=0,Validate_Empty!P222&lt;&gt;"",Validate_Value!P222&lt;&gt;""),"",IF(OR(NOT(OR(LEN(TRIM('Raw Data'!B222:X222))&gt;0)),OR('Raw Data'!P222="",LEN(TRIM('Raw Data'!P222))=0)),"",IF(AND('Raw Data'!J222 + Configuration!$G$2 + 5 &gt;= 'Raw Data'!P222,'Raw Data'!J222 + Configuration!$G$2 - 5 &lt;= 'Raw Data'!P222),"",_xlfn.REGEXEXTRACT(CELL("address",'Raw Data'!P222),"\$([A-Z]+)\$[0-9]+"))))</f>
        <v/>
      </c>
      <c r="Q222" s="7"/>
      <c r="R222" s="7"/>
      <c r="S222" s="7"/>
      <c r="T222" s="7" t="str" cm="1">
        <f t="array" aca="1" ref="T222" ca="1">IF(OR('Raw Data'!T222="",LEN(TRIM('Raw Data'!T222))=0,Validate_Empty!T222&lt;&gt;"",Validate_Value!T222&lt;&gt;""),"",IF(OR(NOT(OR(LEN(TRIM('Raw Data'!B222:X222))&gt;0)),OR('Raw Data'!T222="",LEN(TRIM('Raw Data'!T222))=0)),"",IF('Raw Data'!T222 = SUM('Raw Data'!R222:S222),"",_xlfn.REGEXEXTRACT(CELL("address",'Raw Data'!T222),"\$([A-Z]+)\$[0-9]+"))))</f>
        <v/>
      </c>
      <c r="U222" s="7" t="str" cm="1">
        <f t="array" aca="1" ref="U222" ca="1">IF(OR('Raw Data'!U222="",LEN(TRIM('Raw Data'!U222))=0,Validate_Empty!U222&lt;&gt;"",Validate_Value!U222&lt;&gt;""),"",IF(OR(NOT(OR(LEN(TRIM('Raw Data'!B222:X222))&gt;0)),OR('Raw Data'!T222="",LEN(TRIM('Raw Data'!T222))=0)),"",IF(ISNUMBER(SEARCH('Raw Data'!U222, Configuration!$H$2)),"",_xlfn.REGEXEXTRACT(CELL("address",'Raw Data'!U222),"\$([A-Z]+)\$[0-9]+"))))</f>
        <v/>
      </c>
      <c r="V222" s="7" t="str" cm="1">
        <f t="array" aca="1" ref="V222" ca="1">IF(OR('Raw Data'!V222="",LEN(TRIM('Raw Data'!V222))=0,Validate_Empty!V222&lt;&gt;"",Validate_Value!V222&lt;&gt;""),"",IF(OR(NOT(OR(LEN(TRIM('Raw Data'!B222:X222))&gt;0)),OR('Raw Data'!V222="",LEN(TRIM('Raw Data'!V222))=0)),"",IF('Raw Data'!V222 = Configuration!$I$2,"",_xlfn.REGEXEXTRACT(CELL("address",'Raw Data'!V222),"\$([A-Z]+)\$[0-9]+"))))</f>
        <v/>
      </c>
      <c r="W222" s="7"/>
      <c r="X222" s="7"/>
    </row>
    <row r="223" spans="2:24" x14ac:dyDescent="0.25">
      <c r="B223" s="7"/>
      <c r="C223" s="7" t="str" cm="1">
        <f t="array" aca="1" ref="C223" ca="1">IF(OR('Raw Data'!C223="",LEN(TRIM('Raw Data'!C223))=0,Validate_Empty!C223&lt;&gt;"",Validate_Value!C223&lt;&gt;""),"",IF(OR(NOT(OR(LEN(TRIM('Raw Data'!B223:X223))&gt;0)),OR('Raw Data'!C223="",LEN(TRIM('Raw Data'!C223))=0)),"",IF(OR(AND('Raw Data'!B223="Main Contract", LEFT('Raw Data'!C223, LEN("Payment"))="Payment"),AND('Raw Data'!B223="Change Order", LEFT('Raw Data'!C223, LEN("CO Payment No."))="CO Payment No.")),"",_xlfn.REGEXEXTRACT(CELL("address",'Raw Data'!C223),"\$([A-Z]+)\$[0-9]+"))))</f>
        <v/>
      </c>
      <c r="D223" s="7"/>
      <c r="E223" s="7"/>
      <c r="F223" s="7"/>
      <c r="G223" s="7"/>
      <c r="H223" s="7"/>
      <c r="I223" s="7"/>
      <c r="J223" s="7"/>
      <c r="K223" s="7"/>
      <c r="L223" s="7"/>
      <c r="M223" s="7" t="str" cm="1">
        <f t="array" aca="1" ref="M223" ca="1">IF(OR('Raw Data'!M223="",LEN(TRIM('Raw Data'!M223))=0,Validate_Empty!M223&lt;&gt;"",Validate_Value!M223&lt;&gt;""),"",IF(OR(NOT(OR(LEN(TRIM('Raw Data'!B223:X223))&gt;0)),OR('Raw Data'!M223="",LEN(TRIM('Raw Data'!M223))=0)),"",IF('Raw Data'!M223 = SUM('Raw Data'!K223:L223),"",_xlfn.REGEXEXTRACT(CELL("address",'Raw Data'!M223),"\$([A-Z]+)\$[0-9]+"))))</f>
        <v/>
      </c>
      <c r="N223" s="7"/>
      <c r="O223" s="7"/>
      <c r="P223" s="7" t="str" cm="1">
        <f t="array" aca="1" ref="P223" ca="1">IF(OR('Raw Data'!P223="",LEN(TRIM('Raw Data'!P223))=0,Validate_Empty!P223&lt;&gt;"",Validate_Value!P223&lt;&gt;""),"",IF(OR(NOT(OR(LEN(TRIM('Raw Data'!B223:X223))&gt;0)),OR('Raw Data'!P223="",LEN(TRIM('Raw Data'!P223))=0)),"",IF(AND('Raw Data'!J223 + Configuration!$G$2 + 5 &gt;= 'Raw Data'!P223,'Raw Data'!J223 + Configuration!$G$2 - 5 &lt;= 'Raw Data'!P223),"",_xlfn.REGEXEXTRACT(CELL("address",'Raw Data'!P223),"\$([A-Z]+)\$[0-9]+"))))</f>
        <v/>
      </c>
      <c r="Q223" s="7"/>
      <c r="R223" s="7"/>
      <c r="S223" s="7"/>
      <c r="T223" s="7" t="str" cm="1">
        <f t="array" aca="1" ref="T223" ca="1">IF(OR('Raw Data'!T223="",LEN(TRIM('Raw Data'!T223))=0,Validate_Empty!T223&lt;&gt;"",Validate_Value!T223&lt;&gt;""),"",IF(OR(NOT(OR(LEN(TRIM('Raw Data'!B223:X223))&gt;0)),OR('Raw Data'!T223="",LEN(TRIM('Raw Data'!T223))=0)),"",IF('Raw Data'!T223 = SUM('Raw Data'!R223:S223),"",_xlfn.REGEXEXTRACT(CELL("address",'Raw Data'!T223),"\$([A-Z]+)\$[0-9]+"))))</f>
        <v/>
      </c>
      <c r="U223" s="7" t="str" cm="1">
        <f t="array" aca="1" ref="U223" ca="1">IF(OR('Raw Data'!U223="",LEN(TRIM('Raw Data'!U223))=0,Validate_Empty!U223&lt;&gt;"",Validate_Value!U223&lt;&gt;""),"",IF(OR(NOT(OR(LEN(TRIM('Raw Data'!B223:X223))&gt;0)),OR('Raw Data'!T223="",LEN(TRIM('Raw Data'!T223))=0)),"",IF(ISNUMBER(SEARCH('Raw Data'!U223, Configuration!$H$2)),"",_xlfn.REGEXEXTRACT(CELL("address",'Raw Data'!U223),"\$([A-Z]+)\$[0-9]+"))))</f>
        <v/>
      </c>
      <c r="V223" s="7" t="str" cm="1">
        <f t="array" aca="1" ref="V223" ca="1">IF(OR('Raw Data'!V223="",LEN(TRIM('Raw Data'!V223))=0,Validate_Empty!V223&lt;&gt;"",Validate_Value!V223&lt;&gt;""),"",IF(OR(NOT(OR(LEN(TRIM('Raw Data'!B223:X223))&gt;0)),OR('Raw Data'!V223="",LEN(TRIM('Raw Data'!V223))=0)),"",IF('Raw Data'!V223 = Configuration!$I$2,"",_xlfn.REGEXEXTRACT(CELL("address",'Raw Data'!V223),"\$([A-Z]+)\$[0-9]+"))))</f>
        <v/>
      </c>
      <c r="W223" s="7"/>
      <c r="X223" s="7"/>
    </row>
    <row r="224" spans="2:24" x14ac:dyDescent="0.25">
      <c r="B224" s="7"/>
      <c r="C224" s="7" t="str" cm="1">
        <f t="array" aca="1" ref="C224" ca="1">IF(OR('Raw Data'!C224="",LEN(TRIM('Raw Data'!C224))=0,Validate_Empty!C224&lt;&gt;"",Validate_Value!C224&lt;&gt;""),"",IF(OR(NOT(OR(LEN(TRIM('Raw Data'!B224:X224))&gt;0)),OR('Raw Data'!C224="",LEN(TRIM('Raw Data'!C224))=0)),"",IF(OR(AND('Raw Data'!B224="Main Contract", LEFT('Raw Data'!C224, LEN("Payment"))="Payment"),AND('Raw Data'!B224="Change Order", LEFT('Raw Data'!C224, LEN("CO Payment No."))="CO Payment No.")),"",_xlfn.REGEXEXTRACT(CELL("address",'Raw Data'!C224),"\$([A-Z]+)\$[0-9]+"))))</f>
        <v/>
      </c>
      <c r="D224" s="7"/>
      <c r="E224" s="7"/>
      <c r="F224" s="7"/>
      <c r="G224" s="7"/>
      <c r="H224" s="7"/>
      <c r="I224" s="7"/>
      <c r="J224" s="7"/>
      <c r="K224" s="7"/>
      <c r="L224" s="7"/>
      <c r="M224" s="7" t="str" cm="1">
        <f t="array" aca="1" ref="M224" ca="1">IF(OR('Raw Data'!M224="",LEN(TRIM('Raw Data'!M224))=0,Validate_Empty!M224&lt;&gt;"",Validate_Value!M224&lt;&gt;""),"",IF(OR(NOT(OR(LEN(TRIM('Raw Data'!B224:X224))&gt;0)),OR('Raw Data'!M224="",LEN(TRIM('Raw Data'!M224))=0)),"",IF('Raw Data'!M224 = SUM('Raw Data'!K224:L224),"",_xlfn.REGEXEXTRACT(CELL("address",'Raw Data'!M224),"\$([A-Z]+)\$[0-9]+"))))</f>
        <v/>
      </c>
      <c r="N224" s="7"/>
      <c r="O224" s="7"/>
      <c r="P224" s="7" t="str" cm="1">
        <f t="array" aca="1" ref="P224" ca="1">IF(OR('Raw Data'!P224="",LEN(TRIM('Raw Data'!P224))=0,Validate_Empty!P224&lt;&gt;"",Validate_Value!P224&lt;&gt;""),"",IF(OR(NOT(OR(LEN(TRIM('Raw Data'!B224:X224))&gt;0)),OR('Raw Data'!P224="",LEN(TRIM('Raw Data'!P224))=0)),"",IF(AND('Raw Data'!J224 + Configuration!$G$2 + 5 &gt;= 'Raw Data'!P224,'Raw Data'!J224 + Configuration!$G$2 - 5 &lt;= 'Raw Data'!P224),"",_xlfn.REGEXEXTRACT(CELL("address",'Raw Data'!P224),"\$([A-Z]+)\$[0-9]+"))))</f>
        <v/>
      </c>
      <c r="Q224" s="7"/>
      <c r="R224" s="7"/>
      <c r="S224" s="7"/>
      <c r="T224" s="7" t="str" cm="1">
        <f t="array" aca="1" ref="T224" ca="1">IF(OR('Raw Data'!T224="",LEN(TRIM('Raw Data'!T224))=0,Validate_Empty!T224&lt;&gt;"",Validate_Value!T224&lt;&gt;""),"",IF(OR(NOT(OR(LEN(TRIM('Raw Data'!B224:X224))&gt;0)),OR('Raw Data'!T224="",LEN(TRIM('Raw Data'!T224))=0)),"",IF('Raw Data'!T224 = SUM('Raw Data'!R224:S224),"",_xlfn.REGEXEXTRACT(CELL("address",'Raw Data'!T224),"\$([A-Z]+)\$[0-9]+"))))</f>
        <v/>
      </c>
      <c r="U224" s="7" t="str" cm="1">
        <f t="array" aca="1" ref="U224" ca="1">IF(OR('Raw Data'!U224="",LEN(TRIM('Raw Data'!U224))=0,Validate_Empty!U224&lt;&gt;"",Validate_Value!U224&lt;&gt;""),"",IF(OR(NOT(OR(LEN(TRIM('Raw Data'!B224:X224))&gt;0)),OR('Raw Data'!T224="",LEN(TRIM('Raw Data'!T224))=0)),"",IF(ISNUMBER(SEARCH('Raw Data'!U224, Configuration!$H$2)),"",_xlfn.REGEXEXTRACT(CELL("address",'Raw Data'!U224),"\$([A-Z]+)\$[0-9]+"))))</f>
        <v/>
      </c>
      <c r="V224" s="7" t="str" cm="1">
        <f t="array" aca="1" ref="V224" ca="1">IF(OR('Raw Data'!V224="",LEN(TRIM('Raw Data'!V224))=0,Validate_Empty!V224&lt;&gt;"",Validate_Value!V224&lt;&gt;""),"",IF(OR(NOT(OR(LEN(TRIM('Raw Data'!B224:X224))&gt;0)),OR('Raw Data'!V224="",LEN(TRIM('Raw Data'!V224))=0)),"",IF('Raw Data'!V224 = Configuration!$I$2,"",_xlfn.REGEXEXTRACT(CELL("address",'Raw Data'!V224),"\$([A-Z]+)\$[0-9]+"))))</f>
        <v/>
      </c>
      <c r="W224" s="7"/>
      <c r="X224" s="7"/>
    </row>
    <row r="225" spans="2:24" x14ac:dyDescent="0.25">
      <c r="B225" s="7"/>
      <c r="C225" s="7" t="str" cm="1">
        <f t="array" aca="1" ref="C225" ca="1">IF(OR('Raw Data'!C225="",LEN(TRIM('Raw Data'!C225))=0,Validate_Empty!C225&lt;&gt;"",Validate_Value!C225&lt;&gt;""),"",IF(OR(NOT(OR(LEN(TRIM('Raw Data'!B225:X225))&gt;0)),OR('Raw Data'!C225="",LEN(TRIM('Raw Data'!C225))=0)),"",IF(OR(AND('Raw Data'!B225="Main Contract", LEFT('Raw Data'!C225, LEN("Payment"))="Payment"),AND('Raw Data'!B225="Change Order", LEFT('Raw Data'!C225, LEN("CO Payment No."))="CO Payment No.")),"",_xlfn.REGEXEXTRACT(CELL("address",'Raw Data'!C225),"\$([A-Z]+)\$[0-9]+"))))</f>
        <v/>
      </c>
      <c r="D225" s="7"/>
      <c r="E225" s="7"/>
      <c r="F225" s="7"/>
      <c r="G225" s="7"/>
      <c r="H225" s="7"/>
      <c r="I225" s="7"/>
      <c r="J225" s="7"/>
      <c r="K225" s="7"/>
      <c r="L225" s="7"/>
      <c r="M225" s="7" t="str" cm="1">
        <f t="array" aca="1" ref="M225" ca="1">IF(OR('Raw Data'!M225="",LEN(TRIM('Raw Data'!M225))=0,Validate_Empty!M225&lt;&gt;"",Validate_Value!M225&lt;&gt;""),"",IF(OR(NOT(OR(LEN(TRIM('Raw Data'!B225:X225))&gt;0)),OR('Raw Data'!M225="",LEN(TRIM('Raw Data'!M225))=0)),"",IF('Raw Data'!M225 = SUM('Raw Data'!K225:L225),"",_xlfn.REGEXEXTRACT(CELL("address",'Raw Data'!M225),"\$([A-Z]+)\$[0-9]+"))))</f>
        <v/>
      </c>
      <c r="N225" s="7"/>
      <c r="O225" s="7"/>
      <c r="P225" s="7" t="str" cm="1">
        <f t="array" aca="1" ref="P225" ca="1">IF(OR('Raw Data'!P225="",LEN(TRIM('Raw Data'!P225))=0,Validate_Empty!P225&lt;&gt;"",Validate_Value!P225&lt;&gt;""),"",IF(OR(NOT(OR(LEN(TRIM('Raw Data'!B225:X225))&gt;0)),OR('Raw Data'!P225="",LEN(TRIM('Raw Data'!P225))=0)),"",IF(AND('Raw Data'!J225 + Configuration!$G$2 + 5 &gt;= 'Raw Data'!P225,'Raw Data'!J225 + Configuration!$G$2 - 5 &lt;= 'Raw Data'!P225),"",_xlfn.REGEXEXTRACT(CELL("address",'Raw Data'!P225),"\$([A-Z]+)\$[0-9]+"))))</f>
        <v/>
      </c>
      <c r="Q225" s="7"/>
      <c r="R225" s="7"/>
      <c r="S225" s="7"/>
      <c r="T225" s="7" t="str" cm="1">
        <f t="array" aca="1" ref="T225" ca="1">IF(OR('Raw Data'!T225="",LEN(TRIM('Raw Data'!T225))=0,Validate_Empty!T225&lt;&gt;"",Validate_Value!T225&lt;&gt;""),"",IF(OR(NOT(OR(LEN(TRIM('Raw Data'!B225:X225))&gt;0)),OR('Raw Data'!T225="",LEN(TRIM('Raw Data'!T225))=0)),"",IF('Raw Data'!T225 = SUM('Raw Data'!R225:S225),"",_xlfn.REGEXEXTRACT(CELL("address",'Raw Data'!T225),"\$([A-Z]+)\$[0-9]+"))))</f>
        <v/>
      </c>
      <c r="U225" s="7" t="str" cm="1">
        <f t="array" aca="1" ref="U225" ca="1">IF(OR('Raw Data'!U225="",LEN(TRIM('Raw Data'!U225))=0,Validate_Empty!U225&lt;&gt;"",Validate_Value!U225&lt;&gt;""),"",IF(OR(NOT(OR(LEN(TRIM('Raw Data'!B225:X225))&gt;0)),OR('Raw Data'!T225="",LEN(TRIM('Raw Data'!T225))=0)),"",IF(ISNUMBER(SEARCH('Raw Data'!U225, Configuration!$H$2)),"",_xlfn.REGEXEXTRACT(CELL("address",'Raw Data'!U225),"\$([A-Z]+)\$[0-9]+"))))</f>
        <v/>
      </c>
      <c r="V225" s="7" t="str" cm="1">
        <f t="array" aca="1" ref="V225" ca="1">IF(OR('Raw Data'!V225="",LEN(TRIM('Raw Data'!V225))=0,Validate_Empty!V225&lt;&gt;"",Validate_Value!V225&lt;&gt;""),"",IF(OR(NOT(OR(LEN(TRIM('Raw Data'!B225:X225))&gt;0)),OR('Raw Data'!V225="",LEN(TRIM('Raw Data'!V225))=0)),"",IF('Raw Data'!V225 = Configuration!$I$2,"",_xlfn.REGEXEXTRACT(CELL("address",'Raw Data'!V225),"\$([A-Z]+)\$[0-9]+"))))</f>
        <v/>
      </c>
      <c r="W225" s="7"/>
      <c r="X225" s="7"/>
    </row>
    <row r="226" spans="2:24" x14ac:dyDescent="0.25">
      <c r="B226" s="7"/>
      <c r="C226" s="7" t="str" cm="1">
        <f t="array" aca="1" ref="C226" ca="1">IF(OR('Raw Data'!C226="",LEN(TRIM('Raw Data'!C226))=0,Validate_Empty!C226&lt;&gt;"",Validate_Value!C226&lt;&gt;""),"",IF(OR(NOT(OR(LEN(TRIM('Raw Data'!B226:X226))&gt;0)),OR('Raw Data'!C226="",LEN(TRIM('Raw Data'!C226))=0)),"",IF(OR(AND('Raw Data'!B226="Main Contract", LEFT('Raw Data'!C226, LEN("Payment"))="Payment"),AND('Raw Data'!B226="Change Order", LEFT('Raw Data'!C226, LEN("CO Payment No."))="CO Payment No.")),"",_xlfn.REGEXEXTRACT(CELL("address",'Raw Data'!C226),"\$([A-Z]+)\$[0-9]+"))))</f>
        <v/>
      </c>
      <c r="D226" s="7"/>
      <c r="E226" s="7"/>
      <c r="F226" s="7"/>
      <c r="G226" s="7"/>
      <c r="H226" s="7"/>
      <c r="I226" s="7"/>
      <c r="J226" s="7"/>
      <c r="K226" s="7"/>
      <c r="L226" s="7"/>
      <c r="M226" s="7" t="str" cm="1">
        <f t="array" aca="1" ref="M226" ca="1">IF(OR('Raw Data'!M226="",LEN(TRIM('Raw Data'!M226))=0,Validate_Empty!M226&lt;&gt;"",Validate_Value!M226&lt;&gt;""),"",IF(OR(NOT(OR(LEN(TRIM('Raw Data'!B226:X226))&gt;0)),OR('Raw Data'!M226="",LEN(TRIM('Raw Data'!M226))=0)),"",IF('Raw Data'!M226 = SUM('Raw Data'!K226:L226),"",_xlfn.REGEXEXTRACT(CELL("address",'Raw Data'!M226),"\$([A-Z]+)\$[0-9]+"))))</f>
        <v/>
      </c>
      <c r="N226" s="7"/>
      <c r="O226" s="7"/>
      <c r="P226" s="7" t="str" cm="1">
        <f t="array" aca="1" ref="P226" ca="1">IF(OR('Raw Data'!P226="",LEN(TRIM('Raw Data'!P226))=0,Validate_Empty!P226&lt;&gt;"",Validate_Value!P226&lt;&gt;""),"",IF(OR(NOT(OR(LEN(TRIM('Raw Data'!B226:X226))&gt;0)),OR('Raw Data'!P226="",LEN(TRIM('Raw Data'!P226))=0)),"",IF(AND('Raw Data'!J226 + Configuration!$G$2 + 5 &gt;= 'Raw Data'!P226,'Raw Data'!J226 + Configuration!$G$2 - 5 &lt;= 'Raw Data'!P226),"",_xlfn.REGEXEXTRACT(CELL("address",'Raw Data'!P226),"\$([A-Z]+)\$[0-9]+"))))</f>
        <v/>
      </c>
      <c r="Q226" s="7"/>
      <c r="R226" s="7"/>
      <c r="S226" s="7"/>
      <c r="T226" s="7" t="str" cm="1">
        <f t="array" aca="1" ref="T226" ca="1">IF(OR('Raw Data'!T226="",LEN(TRIM('Raw Data'!T226))=0,Validate_Empty!T226&lt;&gt;"",Validate_Value!T226&lt;&gt;""),"",IF(OR(NOT(OR(LEN(TRIM('Raw Data'!B226:X226))&gt;0)),OR('Raw Data'!T226="",LEN(TRIM('Raw Data'!T226))=0)),"",IF('Raw Data'!T226 = SUM('Raw Data'!R226:S226),"",_xlfn.REGEXEXTRACT(CELL("address",'Raw Data'!T226),"\$([A-Z]+)\$[0-9]+"))))</f>
        <v/>
      </c>
      <c r="U226" s="7" t="str" cm="1">
        <f t="array" aca="1" ref="U226" ca="1">IF(OR('Raw Data'!U226="",LEN(TRIM('Raw Data'!U226))=0,Validate_Empty!U226&lt;&gt;"",Validate_Value!U226&lt;&gt;""),"",IF(OR(NOT(OR(LEN(TRIM('Raw Data'!B226:X226))&gt;0)),OR('Raw Data'!T226="",LEN(TRIM('Raw Data'!T226))=0)),"",IF(ISNUMBER(SEARCH('Raw Data'!U226, Configuration!$H$2)),"",_xlfn.REGEXEXTRACT(CELL("address",'Raw Data'!U226),"\$([A-Z]+)\$[0-9]+"))))</f>
        <v/>
      </c>
      <c r="V226" s="7" t="str" cm="1">
        <f t="array" aca="1" ref="V226" ca="1">IF(OR('Raw Data'!V226="",LEN(TRIM('Raw Data'!V226))=0,Validate_Empty!V226&lt;&gt;"",Validate_Value!V226&lt;&gt;""),"",IF(OR(NOT(OR(LEN(TRIM('Raw Data'!B226:X226))&gt;0)),OR('Raw Data'!V226="",LEN(TRIM('Raw Data'!V226))=0)),"",IF('Raw Data'!V226 = Configuration!$I$2,"",_xlfn.REGEXEXTRACT(CELL("address",'Raw Data'!V226),"\$([A-Z]+)\$[0-9]+"))))</f>
        <v/>
      </c>
      <c r="W226" s="7"/>
      <c r="X226" s="7"/>
    </row>
    <row r="227" spans="2:24" x14ac:dyDescent="0.25">
      <c r="B227" s="7"/>
      <c r="C227" s="7" t="str" cm="1">
        <f t="array" aca="1" ref="C227" ca="1">IF(OR('Raw Data'!C227="",LEN(TRIM('Raw Data'!C227))=0,Validate_Empty!C227&lt;&gt;"",Validate_Value!C227&lt;&gt;""),"",IF(OR(NOT(OR(LEN(TRIM('Raw Data'!B227:X227))&gt;0)),OR('Raw Data'!C227="",LEN(TRIM('Raw Data'!C227))=0)),"",IF(OR(AND('Raw Data'!B227="Main Contract", LEFT('Raw Data'!C227, LEN("Payment"))="Payment"),AND('Raw Data'!B227="Change Order", LEFT('Raw Data'!C227, LEN("CO Payment No."))="CO Payment No.")),"",_xlfn.REGEXEXTRACT(CELL("address",'Raw Data'!C227),"\$([A-Z]+)\$[0-9]+"))))</f>
        <v/>
      </c>
      <c r="D227" s="7"/>
      <c r="E227" s="7"/>
      <c r="F227" s="7"/>
      <c r="G227" s="7"/>
      <c r="H227" s="7"/>
      <c r="I227" s="7"/>
      <c r="J227" s="7"/>
      <c r="K227" s="7"/>
      <c r="L227" s="7"/>
      <c r="M227" s="7" t="str" cm="1">
        <f t="array" aca="1" ref="M227" ca="1">IF(OR('Raw Data'!M227="",LEN(TRIM('Raw Data'!M227))=0,Validate_Empty!M227&lt;&gt;"",Validate_Value!M227&lt;&gt;""),"",IF(OR(NOT(OR(LEN(TRIM('Raw Data'!B227:X227))&gt;0)),OR('Raw Data'!M227="",LEN(TRIM('Raw Data'!M227))=0)),"",IF('Raw Data'!M227 = SUM('Raw Data'!K227:L227),"",_xlfn.REGEXEXTRACT(CELL("address",'Raw Data'!M227),"\$([A-Z]+)\$[0-9]+"))))</f>
        <v/>
      </c>
      <c r="N227" s="7"/>
      <c r="O227" s="7"/>
      <c r="P227" s="7" t="str" cm="1">
        <f t="array" aca="1" ref="P227" ca="1">IF(OR('Raw Data'!P227="",LEN(TRIM('Raw Data'!P227))=0,Validate_Empty!P227&lt;&gt;"",Validate_Value!P227&lt;&gt;""),"",IF(OR(NOT(OR(LEN(TRIM('Raw Data'!B227:X227))&gt;0)),OR('Raw Data'!P227="",LEN(TRIM('Raw Data'!P227))=0)),"",IF(AND('Raw Data'!J227 + Configuration!$G$2 + 5 &gt;= 'Raw Data'!P227,'Raw Data'!J227 + Configuration!$G$2 - 5 &lt;= 'Raw Data'!P227),"",_xlfn.REGEXEXTRACT(CELL("address",'Raw Data'!P227),"\$([A-Z]+)\$[0-9]+"))))</f>
        <v/>
      </c>
      <c r="Q227" s="7"/>
      <c r="R227" s="7"/>
      <c r="S227" s="7"/>
      <c r="T227" s="7" t="str" cm="1">
        <f t="array" aca="1" ref="T227" ca="1">IF(OR('Raw Data'!T227="",LEN(TRIM('Raw Data'!T227))=0,Validate_Empty!T227&lt;&gt;"",Validate_Value!T227&lt;&gt;""),"",IF(OR(NOT(OR(LEN(TRIM('Raw Data'!B227:X227))&gt;0)),OR('Raw Data'!T227="",LEN(TRIM('Raw Data'!T227))=0)),"",IF('Raw Data'!T227 = SUM('Raw Data'!R227:S227),"",_xlfn.REGEXEXTRACT(CELL("address",'Raw Data'!T227),"\$([A-Z]+)\$[0-9]+"))))</f>
        <v/>
      </c>
      <c r="U227" s="7" t="str" cm="1">
        <f t="array" aca="1" ref="U227" ca="1">IF(OR('Raw Data'!U227="",LEN(TRIM('Raw Data'!U227))=0,Validate_Empty!U227&lt;&gt;"",Validate_Value!U227&lt;&gt;""),"",IF(OR(NOT(OR(LEN(TRIM('Raw Data'!B227:X227))&gt;0)),OR('Raw Data'!T227="",LEN(TRIM('Raw Data'!T227))=0)),"",IF(ISNUMBER(SEARCH('Raw Data'!U227, Configuration!$H$2)),"",_xlfn.REGEXEXTRACT(CELL("address",'Raw Data'!U227),"\$([A-Z]+)\$[0-9]+"))))</f>
        <v/>
      </c>
      <c r="V227" s="7" t="str" cm="1">
        <f t="array" aca="1" ref="V227" ca="1">IF(OR('Raw Data'!V227="",LEN(TRIM('Raw Data'!V227))=0,Validate_Empty!V227&lt;&gt;"",Validate_Value!V227&lt;&gt;""),"",IF(OR(NOT(OR(LEN(TRIM('Raw Data'!B227:X227))&gt;0)),OR('Raw Data'!V227="",LEN(TRIM('Raw Data'!V227))=0)),"",IF('Raw Data'!V227 = Configuration!$I$2,"",_xlfn.REGEXEXTRACT(CELL("address",'Raw Data'!V227),"\$([A-Z]+)\$[0-9]+"))))</f>
        <v/>
      </c>
      <c r="W227" s="7"/>
      <c r="X227" s="7"/>
    </row>
    <row r="228" spans="2:24" x14ac:dyDescent="0.25">
      <c r="B228" s="7"/>
      <c r="C228" s="7" t="str" cm="1">
        <f t="array" aca="1" ref="C228" ca="1">IF(OR('Raw Data'!C228="",LEN(TRIM('Raw Data'!C228))=0,Validate_Empty!C228&lt;&gt;"",Validate_Value!C228&lt;&gt;""),"",IF(OR(NOT(OR(LEN(TRIM('Raw Data'!B228:X228))&gt;0)),OR('Raw Data'!C228="",LEN(TRIM('Raw Data'!C228))=0)),"",IF(OR(AND('Raw Data'!B228="Main Contract", LEFT('Raw Data'!C228, LEN("Payment"))="Payment"),AND('Raw Data'!B228="Change Order", LEFT('Raw Data'!C228, LEN("CO Payment No."))="CO Payment No.")),"",_xlfn.REGEXEXTRACT(CELL("address",'Raw Data'!C228),"\$([A-Z]+)\$[0-9]+"))))</f>
        <v/>
      </c>
      <c r="D228" s="7"/>
      <c r="E228" s="7"/>
      <c r="F228" s="7"/>
      <c r="G228" s="7"/>
      <c r="H228" s="7"/>
      <c r="I228" s="7"/>
      <c r="J228" s="7"/>
      <c r="K228" s="7"/>
      <c r="L228" s="7"/>
      <c r="M228" s="7" t="str" cm="1">
        <f t="array" aca="1" ref="M228" ca="1">IF(OR('Raw Data'!M228="",LEN(TRIM('Raw Data'!M228))=0,Validate_Empty!M228&lt;&gt;"",Validate_Value!M228&lt;&gt;""),"",IF(OR(NOT(OR(LEN(TRIM('Raw Data'!B228:X228))&gt;0)),OR('Raw Data'!M228="",LEN(TRIM('Raw Data'!M228))=0)),"",IF('Raw Data'!M228 = SUM('Raw Data'!K228:L228),"",_xlfn.REGEXEXTRACT(CELL("address",'Raw Data'!M228),"\$([A-Z]+)\$[0-9]+"))))</f>
        <v/>
      </c>
      <c r="N228" s="7"/>
      <c r="O228" s="7"/>
      <c r="P228" s="7" t="str" cm="1">
        <f t="array" aca="1" ref="P228" ca="1">IF(OR('Raw Data'!P228="",LEN(TRIM('Raw Data'!P228))=0,Validate_Empty!P228&lt;&gt;"",Validate_Value!P228&lt;&gt;""),"",IF(OR(NOT(OR(LEN(TRIM('Raw Data'!B228:X228))&gt;0)),OR('Raw Data'!P228="",LEN(TRIM('Raw Data'!P228))=0)),"",IF(AND('Raw Data'!J228 + Configuration!$G$2 + 5 &gt;= 'Raw Data'!P228,'Raw Data'!J228 + Configuration!$G$2 - 5 &lt;= 'Raw Data'!P228),"",_xlfn.REGEXEXTRACT(CELL("address",'Raw Data'!P228),"\$([A-Z]+)\$[0-9]+"))))</f>
        <v/>
      </c>
      <c r="Q228" s="7"/>
      <c r="R228" s="7"/>
      <c r="S228" s="7"/>
      <c r="T228" s="7" t="str" cm="1">
        <f t="array" aca="1" ref="T228" ca="1">IF(OR('Raw Data'!T228="",LEN(TRIM('Raw Data'!T228))=0,Validate_Empty!T228&lt;&gt;"",Validate_Value!T228&lt;&gt;""),"",IF(OR(NOT(OR(LEN(TRIM('Raw Data'!B228:X228))&gt;0)),OR('Raw Data'!T228="",LEN(TRIM('Raw Data'!T228))=0)),"",IF('Raw Data'!T228 = SUM('Raw Data'!R228:S228),"",_xlfn.REGEXEXTRACT(CELL("address",'Raw Data'!T228),"\$([A-Z]+)\$[0-9]+"))))</f>
        <v/>
      </c>
      <c r="U228" s="7" t="str" cm="1">
        <f t="array" aca="1" ref="U228" ca="1">IF(OR('Raw Data'!U228="",LEN(TRIM('Raw Data'!U228))=0,Validate_Empty!U228&lt;&gt;"",Validate_Value!U228&lt;&gt;""),"",IF(OR(NOT(OR(LEN(TRIM('Raw Data'!B228:X228))&gt;0)),OR('Raw Data'!T228="",LEN(TRIM('Raw Data'!T228))=0)),"",IF(ISNUMBER(SEARCH('Raw Data'!U228, Configuration!$H$2)),"",_xlfn.REGEXEXTRACT(CELL("address",'Raw Data'!U228),"\$([A-Z]+)\$[0-9]+"))))</f>
        <v/>
      </c>
      <c r="V228" s="7" t="str" cm="1">
        <f t="array" aca="1" ref="V228" ca="1">IF(OR('Raw Data'!V228="",LEN(TRIM('Raw Data'!V228))=0,Validate_Empty!V228&lt;&gt;"",Validate_Value!V228&lt;&gt;""),"",IF(OR(NOT(OR(LEN(TRIM('Raw Data'!B228:X228))&gt;0)),OR('Raw Data'!V228="",LEN(TRIM('Raw Data'!V228))=0)),"",IF('Raw Data'!V228 = Configuration!$I$2,"",_xlfn.REGEXEXTRACT(CELL("address",'Raw Data'!V228),"\$([A-Z]+)\$[0-9]+"))))</f>
        <v/>
      </c>
      <c r="W228" s="7"/>
      <c r="X228" s="7"/>
    </row>
    <row r="229" spans="2:24" x14ac:dyDescent="0.25">
      <c r="B229" s="7"/>
      <c r="C229" s="7" t="str" cm="1">
        <f t="array" aca="1" ref="C229" ca="1">IF(OR('Raw Data'!C229="",LEN(TRIM('Raw Data'!C229))=0,Validate_Empty!C229&lt;&gt;"",Validate_Value!C229&lt;&gt;""),"",IF(OR(NOT(OR(LEN(TRIM('Raw Data'!B229:X229))&gt;0)),OR('Raw Data'!C229="",LEN(TRIM('Raw Data'!C229))=0)),"",IF(OR(AND('Raw Data'!B229="Main Contract", LEFT('Raw Data'!C229, LEN("Payment"))="Payment"),AND('Raw Data'!B229="Change Order", LEFT('Raw Data'!C229, LEN("CO Payment No."))="CO Payment No.")),"",_xlfn.REGEXEXTRACT(CELL("address",'Raw Data'!C229),"\$([A-Z]+)\$[0-9]+"))))</f>
        <v/>
      </c>
      <c r="D229" s="7"/>
      <c r="E229" s="7"/>
      <c r="F229" s="7"/>
      <c r="G229" s="7"/>
      <c r="H229" s="7"/>
      <c r="I229" s="7"/>
      <c r="J229" s="7"/>
      <c r="K229" s="7"/>
      <c r="L229" s="7"/>
      <c r="M229" s="7" t="str" cm="1">
        <f t="array" aca="1" ref="M229" ca="1">IF(OR('Raw Data'!M229="",LEN(TRIM('Raw Data'!M229))=0,Validate_Empty!M229&lt;&gt;"",Validate_Value!M229&lt;&gt;""),"",IF(OR(NOT(OR(LEN(TRIM('Raw Data'!B229:X229))&gt;0)),OR('Raw Data'!M229="",LEN(TRIM('Raw Data'!M229))=0)),"",IF('Raw Data'!M229 = SUM('Raw Data'!K229:L229),"",_xlfn.REGEXEXTRACT(CELL("address",'Raw Data'!M229),"\$([A-Z]+)\$[0-9]+"))))</f>
        <v/>
      </c>
      <c r="N229" s="7"/>
      <c r="O229" s="7"/>
      <c r="P229" s="7" t="str" cm="1">
        <f t="array" aca="1" ref="P229" ca="1">IF(OR('Raw Data'!P229="",LEN(TRIM('Raw Data'!P229))=0,Validate_Empty!P229&lt;&gt;"",Validate_Value!P229&lt;&gt;""),"",IF(OR(NOT(OR(LEN(TRIM('Raw Data'!B229:X229))&gt;0)),OR('Raw Data'!P229="",LEN(TRIM('Raw Data'!P229))=0)),"",IF(AND('Raw Data'!J229 + Configuration!$G$2 + 5 &gt;= 'Raw Data'!P229,'Raw Data'!J229 + Configuration!$G$2 - 5 &lt;= 'Raw Data'!P229),"",_xlfn.REGEXEXTRACT(CELL("address",'Raw Data'!P229),"\$([A-Z]+)\$[0-9]+"))))</f>
        <v/>
      </c>
      <c r="Q229" s="7"/>
      <c r="R229" s="7"/>
      <c r="S229" s="7"/>
      <c r="T229" s="7" t="str" cm="1">
        <f t="array" aca="1" ref="T229" ca="1">IF(OR('Raw Data'!T229="",LEN(TRIM('Raw Data'!T229))=0,Validate_Empty!T229&lt;&gt;"",Validate_Value!T229&lt;&gt;""),"",IF(OR(NOT(OR(LEN(TRIM('Raw Data'!B229:X229))&gt;0)),OR('Raw Data'!T229="",LEN(TRIM('Raw Data'!T229))=0)),"",IF('Raw Data'!T229 = SUM('Raw Data'!R229:S229),"",_xlfn.REGEXEXTRACT(CELL("address",'Raw Data'!T229),"\$([A-Z]+)\$[0-9]+"))))</f>
        <v/>
      </c>
      <c r="U229" s="7" t="str" cm="1">
        <f t="array" aca="1" ref="U229" ca="1">IF(OR('Raw Data'!U229="",LEN(TRIM('Raw Data'!U229))=0,Validate_Empty!U229&lt;&gt;"",Validate_Value!U229&lt;&gt;""),"",IF(OR(NOT(OR(LEN(TRIM('Raw Data'!B229:X229))&gt;0)),OR('Raw Data'!T229="",LEN(TRIM('Raw Data'!T229))=0)),"",IF(ISNUMBER(SEARCH('Raw Data'!U229, Configuration!$H$2)),"",_xlfn.REGEXEXTRACT(CELL("address",'Raw Data'!U229),"\$([A-Z]+)\$[0-9]+"))))</f>
        <v/>
      </c>
      <c r="V229" s="7" t="str" cm="1">
        <f t="array" aca="1" ref="V229" ca="1">IF(OR('Raw Data'!V229="",LEN(TRIM('Raw Data'!V229))=0,Validate_Empty!V229&lt;&gt;"",Validate_Value!V229&lt;&gt;""),"",IF(OR(NOT(OR(LEN(TRIM('Raw Data'!B229:X229))&gt;0)),OR('Raw Data'!V229="",LEN(TRIM('Raw Data'!V229))=0)),"",IF('Raw Data'!V229 = Configuration!$I$2,"",_xlfn.REGEXEXTRACT(CELL("address",'Raw Data'!V229),"\$([A-Z]+)\$[0-9]+"))))</f>
        <v/>
      </c>
      <c r="W229" s="7"/>
      <c r="X229" s="7"/>
    </row>
    <row r="230" spans="2:24" x14ac:dyDescent="0.25">
      <c r="B230" s="7"/>
      <c r="C230" s="7" t="str" cm="1">
        <f t="array" aca="1" ref="C230" ca="1">IF(OR('Raw Data'!C230="",LEN(TRIM('Raw Data'!C230))=0,Validate_Empty!C230&lt;&gt;"",Validate_Value!C230&lt;&gt;""),"",IF(OR(NOT(OR(LEN(TRIM('Raw Data'!B230:X230))&gt;0)),OR('Raw Data'!C230="",LEN(TRIM('Raw Data'!C230))=0)),"",IF(OR(AND('Raw Data'!B230="Main Contract", LEFT('Raw Data'!C230, LEN("Payment"))="Payment"),AND('Raw Data'!B230="Change Order", LEFT('Raw Data'!C230, LEN("CO Payment No."))="CO Payment No.")),"",_xlfn.REGEXEXTRACT(CELL("address",'Raw Data'!C230),"\$([A-Z]+)\$[0-9]+"))))</f>
        <v/>
      </c>
      <c r="D230" s="7"/>
      <c r="E230" s="7"/>
      <c r="F230" s="7"/>
      <c r="G230" s="7"/>
      <c r="H230" s="7"/>
      <c r="I230" s="7"/>
      <c r="J230" s="7"/>
      <c r="K230" s="7"/>
      <c r="L230" s="7"/>
      <c r="M230" s="7" t="str" cm="1">
        <f t="array" aca="1" ref="M230" ca="1">IF(OR('Raw Data'!M230="",LEN(TRIM('Raw Data'!M230))=0,Validate_Empty!M230&lt;&gt;"",Validate_Value!M230&lt;&gt;""),"",IF(OR(NOT(OR(LEN(TRIM('Raw Data'!B230:X230))&gt;0)),OR('Raw Data'!M230="",LEN(TRIM('Raw Data'!M230))=0)),"",IF('Raw Data'!M230 = SUM('Raw Data'!K230:L230),"",_xlfn.REGEXEXTRACT(CELL("address",'Raw Data'!M230),"\$([A-Z]+)\$[0-9]+"))))</f>
        <v/>
      </c>
      <c r="N230" s="7"/>
      <c r="O230" s="7"/>
      <c r="P230" s="7" t="str" cm="1">
        <f t="array" aca="1" ref="P230" ca="1">IF(OR('Raw Data'!P230="",LEN(TRIM('Raw Data'!P230))=0,Validate_Empty!P230&lt;&gt;"",Validate_Value!P230&lt;&gt;""),"",IF(OR(NOT(OR(LEN(TRIM('Raw Data'!B230:X230))&gt;0)),OR('Raw Data'!P230="",LEN(TRIM('Raw Data'!P230))=0)),"",IF(AND('Raw Data'!J230 + Configuration!$G$2 + 5 &gt;= 'Raw Data'!P230,'Raw Data'!J230 + Configuration!$G$2 - 5 &lt;= 'Raw Data'!P230),"",_xlfn.REGEXEXTRACT(CELL("address",'Raw Data'!P230),"\$([A-Z]+)\$[0-9]+"))))</f>
        <v/>
      </c>
      <c r="Q230" s="7"/>
      <c r="R230" s="7"/>
      <c r="S230" s="7"/>
      <c r="T230" s="7" t="str" cm="1">
        <f t="array" aca="1" ref="T230" ca="1">IF(OR('Raw Data'!T230="",LEN(TRIM('Raw Data'!T230))=0,Validate_Empty!T230&lt;&gt;"",Validate_Value!T230&lt;&gt;""),"",IF(OR(NOT(OR(LEN(TRIM('Raw Data'!B230:X230))&gt;0)),OR('Raw Data'!T230="",LEN(TRIM('Raw Data'!T230))=0)),"",IF('Raw Data'!T230 = SUM('Raw Data'!R230:S230),"",_xlfn.REGEXEXTRACT(CELL("address",'Raw Data'!T230),"\$([A-Z]+)\$[0-9]+"))))</f>
        <v/>
      </c>
      <c r="U230" s="7" t="str" cm="1">
        <f t="array" aca="1" ref="U230" ca="1">IF(OR('Raw Data'!U230="",LEN(TRIM('Raw Data'!U230))=0,Validate_Empty!U230&lt;&gt;"",Validate_Value!U230&lt;&gt;""),"",IF(OR(NOT(OR(LEN(TRIM('Raw Data'!B230:X230))&gt;0)),OR('Raw Data'!T230="",LEN(TRIM('Raw Data'!T230))=0)),"",IF(ISNUMBER(SEARCH('Raw Data'!U230, Configuration!$H$2)),"",_xlfn.REGEXEXTRACT(CELL("address",'Raw Data'!U230),"\$([A-Z]+)\$[0-9]+"))))</f>
        <v/>
      </c>
      <c r="V230" s="7" t="str" cm="1">
        <f t="array" aca="1" ref="V230" ca="1">IF(OR('Raw Data'!V230="",LEN(TRIM('Raw Data'!V230))=0,Validate_Empty!V230&lt;&gt;"",Validate_Value!V230&lt;&gt;""),"",IF(OR(NOT(OR(LEN(TRIM('Raw Data'!B230:X230))&gt;0)),OR('Raw Data'!V230="",LEN(TRIM('Raw Data'!V230))=0)),"",IF('Raw Data'!V230 = Configuration!$I$2,"",_xlfn.REGEXEXTRACT(CELL("address",'Raw Data'!V230),"\$([A-Z]+)\$[0-9]+"))))</f>
        <v/>
      </c>
      <c r="W230" s="7"/>
      <c r="X230" s="7"/>
    </row>
    <row r="231" spans="2:24" x14ac:dyDescent="0.25">
      <c r="B231" s="7"/>
      <c r="C231" s="7" t="str" cm="1">
        <f t="array" aca="1" ref="C231" ca="1">IF(OR('Raw Data'!C231="",LEN(TRIM('Raw Data'!C231))=0,Validate_Empty!C231&lt;&gt;"",Validate_Value!C231&lt;&gt;""),"",IF(OR(NOT(OR(LEN(TRIM('Raw Data'!B231:X231))&gt;0)),OR('Raw Data'!C231="",LEN(TRIM('Raw Data'!C231))=0)),"",IF(OR(AND('Raw Data'!B231="Main Contract", LEFT('Raw Data'!C231, LEN("Payment"))="Payment"),AND('Raw Data'!B231="Change Order", LEFT('Raw Data'!C231, LEN("CO Payment No."))="CO Payment No.")),"",_xlfn.REGEXEXTRACT(CELL("address",'Raw Data'!C231),"\$([A-Z]+)\$[0-9]+"))))</f>
        <v/>
      </c>
      <c r="D231" s="7"/>
      <c r="E231" s="7"/>
      <c r="F231" s="7"/>
      <c r="G231" s="7"/>
      <c r="H231" s="7"/>
      <c r="I231" s="7"/>
      <c r="J231" s="7"/>
      <c r="K231" s="7"/>
      <c r="L231" s="7"/>
      <c r="M231" s="7" t="str" cm="1">
        <f t="array" aca="1" ref="M231" ca="1">IF(OR('Raw Data'!M231="",LEN(TRIM('Raw Data'!M231))=0,Validate_Empty!M231&lt;&gt;"",Validate_Value!M231&lt;&gt;""),"",IF(OR(NOT(OR(LEN(TRIM('Raw Data'!B231:X231))&gt;0)),OR('Raw Data'!M231="",LEN(TRIM('Raw Data'!M231))=0)),"",IF('Raw Data'!M231 = SUM('Raw Data'!K231:L231),"",_xlfn.REGEXEXTRACT(CELL("address",'Raw Data'!M231),"\$([A-Z]+)\$[0-9]+"))))</f>
        <v/>
      </c>
      <c r="N231" s="7"/>
      <c r="O231" s="7"/>
      <c r="P231" s="7" t="str" cm="1">
        <f t="array" aca="1" ref="P231" ca="1">IF(OR('Raw Data'!P231="",LEN(TRIM('Raw Data'!P231))=0,Validate_Empty!P231&lt;&gt;"",Validate_Value!P231&lt;&gt;""),"",IF(OR(NOT(OR(LEN(TRIM('Raw Data'!B231:X231))&gt;0)),OR('Raw Data'!P231="",LEN(TRIM('Raw Data'!P231))=0)),"",IF(AND('Raw Data'!J231 + Configuration!$G$2 + 5 &gt;= 'Raw Data'!P231,'Raw Data'!J231 + Configuration!$G$2 - 5 &lt;= 'Raw Data'!P231),"",_xlfn.REGEXEXTRACT(CELL("address",'Raw Data'!P231),"\$([A-Z]+)\$[0-9]+"))))</f>
        <v/>
      </c>
      <c r="Q231" s="7"/>
      <c r="R231" s="7"/>
      <c r="S231" s="7"/>
      <c r="T231" s="7" t="str" cm="1">
        <f t="array" aca="1" ref="T231" ca="1">IF(OR('Raw Data'!T231="",LEN(TRIM('Raw Data'!T231))=0,Validate_Empty!T231&lt;&gt;"",Validate_Value!T231&lt;&gt;""),"",IF(OR(NOT(OR(LEN(TRIM('Raw Data'!B231:X231))&gt;0)),OR('Raw Data'!T231="",LEN(TRIM('Raw Data'!T231))=0)),"",IF('Raw Data'!T231 = SUM('Raw Data'!R231:S231),"",_xlfn.REGEXEXTRACT(CELL("address",'Raw Data'!T231),"\$([A-Z]+)\$[0-9]+"))))</f>
        <v/>
      </c>
      <c r="U231" s="7" t="str" cm="1">
        <f t="array" aca="1" ref="U231" ca="1">IF(OR('Raw Data'!U231="",LEN(TRIM('Raw Data'!U231))=0,Validate_Empty!U231&lt;&gt;"",Validate_Value!U231&lt;&gt;""),"",IF(OR(NOT(OR(LEN(TRIM('Raw Data'!B231:X231))&gt;0)),OR('Raw Data'!T231="",LEN(TRIM('Raw Data'!T231))=0)),"",IF(ISNUMBER(SEARCH('Raw Data'!U231, Configuration!$H$2)),"",_xlfn.REGEXEXTRACT(CELL("address",'Raw Data'!U231),"\$([A-Z]+)\$[0-9]+"))))</f>
        <v/>
      </c>
      <c r="V231" s="7" t="str" cm="1">
        <f t="array" aca="1" ref="V231" ca="1">IF(OR('Raw Data'!V231="",LEN(TRIM('Raw Data'!V231))=0,Validate_Empty!V231&lt;&gt;"",Validate_Value!V231&lt;&gt;""),"",IF(OR(NOT(OR(LEN(TRIM('Raw Data'!B231:X231))&gt;0)),OR('Raw Data'!V231="",LEN(TRIM('Raw Data'!V231))=0)),"",IF('Raw Data'!V231 = Configuration!$I$2,"",_xlfn.REGEXEXTRACT(CELL("address",'Raw Data'!V231),"\$([A-Z]+)\$[0-9]+"))))</f>
        <v/>
      </c>
      <c r="W231" s="7"/>
      <c r="X231" s="7"/>
    </row>
    <row r="232" spans="2:24" x14ac:dyDescent="0.25">
      <c r="B232" s="7"/>
      <c r="C232" s="7" t="str" cm="1">
        <f t="array" aca="1" ref="C232" ca="1">IF(OR('Raw Data'!C232="",LEN(TRIM('Raw Data'!C232))=0,Validate_Empty!C232&lt;&gt;"",Validate_Value!C232&lt;&gt;""),"",IF(OR(NOT(OR(LEN(TRIM('Raw Data'!B232:X232))&gt;0)),OR('Raw Data'!C232="",LEN(TRIM('Raw Data'!C232))=0)),"",IF(OR(AND('Raw Data'!B232="Main Contract", LEFT('Raw Data'!C232, LEN("Payment"))="Payment"),AND('Raw Data'!B232="Change Order", LEFT('Raw Data'!C232, LEN("CO Payment No."))="CO Payment No.")),"",_xlfn.REGEXEXTRACT(CELL("address",'Raw Data'!C232),"\$([A-Z]+)\$[0-9]+"))))</f>
        <v/>
      </c>
      <c r="D232" s="7"/>
      <c r="E232" s="7"/>
      <c r="F232" s="7"/>
      <c r="G232" s="7"/>
      <c r="H232" s="7"/>
      <c r="I232" s="7"/>
      <c r="J232" s="7"/>
      <c r="K232" s="7"/>
      <c r="L232" s="7"/>
      <c r="M232" s="7" t="str" cm="1">
        <f t="array" aca="1" ref="M232" ca="1">IF(OR('Raw Data'!M232="",LEN(TRIM('Raw Data'!M232))=0,Validate_Empty!M232&lt;&gt;"",Validate_Value!M232&lt;&gt;""),"",IF(OR(NOT(OR(LEN(TRIM('Raw Data'!B232:X232))&gt;0)),OR('Raw Data'!M232="",LEN(TRIM('Raw Data'!M232))=0)),"",IF('Raw Data'!M232 = SUM('Raw Data'!K232:L232),"",_xlfn.REGEXEXTRACT(CELL("address",'Raw Data'!M232),"\$([A-Z]+)\$[0-9]+"))))</f>
        <v/>
      </c>
      <c r="N232" s="7"/>
      <c r="O232" s="7"/>
      <c r="P232" s="7" t="str" cm="1">
        <f t="array" aca="1" ref="P232" ca="1">IF(OR('Raw Data'!P232="",LEN(TRIM('Raw Data'!P232))=0,Validate_Empty!P232&lt;&gt;"",Validate_Value!P232&lt;&gt;""),"",IF(OR(NOT(OR(LEN(TRIM('Raw Data'!B232:X232))&gt;0)),OR('Raw Data'!P232="",LEN(TRIM('Raw Data'!P232))=0)),"",IF(AND('Raw Data'!J232 + Configuration!$G$2 + 5 &gt;= 'Raw Data'!P232,'Raw Data'!J232 + Configuration!$G$2 - 5 &lt;= 'Raw Data'!P232),"",_xlfn.REGEXEXTRACT(CELL("address",'Raw Data'!P232),"\$([A-Z]+)\$[0-9]+"))))</f>
        <v/>
      </c>
      <c r="Q232" s="7"/>
      <c r="R232" s="7"/>
      <c r="S232" s="7"/>
      <c r="T232" s="7" t="str" cm="1">
        <f t="array" aca="1" ref="T232" ca="1">IF(OR('Raw Data'!T232="",LEN(TRIM('Raw Data'!T232))=0,Validate_Empty!T232&lt;&gt;"",Validate_Value!T232&lt;&gt;""),"",IF(OR(NOT(OR(LEN(TRIM('Raw Data'!B232:X232))&gt;0)),OR('Raw Data'!T232="",LEN(TRIM('Raw Data'!T232))=0)),"",IF('Raw Data'!T232 = SUM('Raw Data'!R232:S232),"",_xlfn.REGEXEXTRACT(CELL("address",'Raw Data'!T232),"\$([A-Z]+)\$[0-9]+"))))</f>
        <v/>
      </c>
      <c r="U232" s="7" t="str" cm="1">
        <f t="array" aca="1" ref="U232" ca="1">IF(OR('Raw Data'!U232="",LEN(TRIM('Raw Data'!U232))=0,Validate_Empty!U232&lt;&gt;"",Validate_Value!U232&lt;&gt;""),"",IF(OR(NOT(OR(LEN(TRIM('Raw Data'!B232:X232))&gt;0)),OR('Raw Data'!T232="",LEN(TRIM('Raw Data'!T232))=0)),"",IF(ISNUMBER(SEARCH('Raw Data'!U232, Configuration!$H$2)),"",_xlfn.REGEXEXTRACT(CELL("address",'Raw Data'!U232),"\$([A-Z]+)\$[0-9]+"))))</f>
        <v/>
      </c>
      <c r="V232" s="7" t="str" cm="1">
        <f t="array" aca="1" ref="V232" ca="1">IF(OR('Raw Data'!V232="",LEN(TRIM('Raw Data'!V232))=0,Validate_Empty!V232&lt;&gt;"",Validate_Value!V232&lt;&gt;""),"",IF(OR(NOT(OR(LEN(TRIM('Raw Data'!B232:X232))&gt;0)),OR('Raw Data'!V232="",LEN(TRIM('Raw Data'!V232))=0)),"",IF('Raw Data'!V232 = Configuration!$I$2,"",_xlfn.REGEXEXTRACT(CELL("address",'Raw Data'!V232),"\$([A-Z]+)\$[0-9]+"))))</f>
        <v/>
      </c>
      <c r="W232" s="7"/>
      <c r="X232" s="7"/>
    </row>
    <row r="233" spans="2:24" x14ac:dyDescent="0.25">
      <c r="B233" s="7"/>
      <c r="C233" s="7" t="str" cm="1">
        <f t="array" aca="1" ref="C233" ca="1">IF(OR('Raw Data'!C233="",LEN(TRIM('Raw Data'!C233))=0,Validate_Empty!C233&lt;&gt;"",Validate_Value!C233&lt;&gt;""),"",IF(OR(NOT(OR(LEN(TRIM('Raw Data'!B233:X233))&gt;0)),OR('Raw Data'!C233="",LEN(TRIM('Raw Data'!C233))=0)),"",IF(OR(AND('Raw Data'!B233="Main Contract", LEFT('Raw Data'!C233, LEN("Payment"))="Payment"),AND('Raw Data'!B233="Change Order", LEFT('Raw Data'!C233, LEN("CO Payment No."))="CO Payment No.")),"",_xlfn.REGEXEXTRACT(CELL("address",'Raw Data'!C233),"\$([A-Z]+)\$[0-9]+"))))</f>
        <v/>
      </c>
      <c r="D233" s="7"/>
      <c r="E233" s="7"/>
      <c r="F233" s="7"/>
      <c r="G233" s="7"/>
      <c r="H233" s="7"/>
      <c r="I233" s="7"/>
      <c r="J233" s="7"/>
      <c r="K233" s="7"/>
      <c r="L233" s="7"/>
      <c r="M233" s="7" t="str" cm="1">
        <f t="array" aca="1" ref="M233" ca="1">IF(OR('Raw Data'!M233="",LEN(TRIM('Raw Data'!M233))=0,Validate_Empty!M233&lt;&gt;"",Validate_Value!M233&lt;&gt;""),"",IF(OR(NOT(OR(LEN(TRIM('Raw Data'!B233:X233))&gt;0)),OR('Raw Data'!M233="",LEN(TRIM('Raw Data'!M233))=0)),"",IF('Raw Data'!M233 = SUM('Raw Data'!K233:L233),"",_xlfn.REGEXEXTRACT(CELL("address",'Raw Data'!M233),"\$([A-Z]+)\$[0-9]+"))))</f>
        <v/>
      </c>
      <c r="N233" s="7"/>
      <c r="O233" s="7"/>
      <c r="P233" s="7" t="str" cm="1">
        <f t="array" aca="1" ref="P233" ca="1">IF(OR('Raw Data'!P233="",LEN(TRIM('Raw Data'!P233))=0,Validate_Empty!P233&lt;&gt;"",Validate_Value!P233&lt;&gt;""),"",IF(OR(NOT(OR(LEN(TRIM('Raw Data'!B233:X233))&gt;0)),OR('Raw Data'!P233="",LEN(TRIM('Raw Data'!P233))=0)),"",IF(AND('Raw Data'!J233 + Configuration!$G$2 + 5 &gt;= 'Raw Data'!P233,'Raw Data'!J233 + Configuration!$G$2 - 5 &lt;= 'Raw Data'!P233),"",_xlfn.REGEXEXTRACT(CELL("address",'Raw Data'!P233),"\$([A-Z]+)\$[0-9]+"))))</f>
        <v/>
      </c>
      <c r="Q233" s="7"/>
      <c r="R233" s="7"/>
      <c r="S233" s="7"/>
      <c r="T233" s="7" t="str" cm="1">
        <f t="array" aca="1" ref="T233" ca="1">IF(OR('Raw Data'!T233="",LEN(TRIM('Raw Data'!T233))=0,Validate_Empty!T233&lt;&gt;"",Validate_Value!T233&lt;&gt;""),"",IF(OR(NOT(OR(LEN(TRIM('Raw Data'!B233:X233))&gt;0)),OR('Raw Data'!T233="",LEN(TRIM('Raw Data'!T233))=0)),"",IF('Raw Data'!T233 = SUM('Raw Data'!R233:S233),"",_xlfn.REGEXEXTRACT(CELL("address",'Raw Data'!T233),"\$([A-Z]+)\$[0-9]+"))))</f>
        <v/>
      </c>
      <c r="U233" s="7" t="str" cm="1">
        <f t="array" aca="1" ref="U233" ca="1">IF(OR('Raw Data'!U233="",LEN(TRIM('Raw Data'!U233))=0,Validate_Empty!U233&lt;&gt;"",Validate_Value!U233&lt;&gt;""),"",IF(OR(NOT(OR(LEN(TRIM('Raw Data'!B233:X233))&gt;0)),OR('Raw Data'!T233="",LEN(TRIM('Raw Data'!T233))=0)),"",IF(ISNUMBER(SEARCH('Raw Data'!U233, Configuration!$H$2)),"",_xlfn.REGEXEXTRACT(CELL("address",'Raw Data'!U233),"\$([A-Z]+)\$[0-9]+"))))</f>
        <v/>
      </c>
      <c r="V233" s="7" t="str" cm="1">
        <f t="array" aca="1" ref="V233" ca="1">IF(OR('Raw Data'!V233="",LEN(TRIM('Raw Data'!V233))=0,Validate_Empty!V233&lt;&gt;"",Validate_Value!V233&lt;&gt;""),"",IF(OR(NOT(OR(LEN(TRIM('Raw Data'!B233:X233))&gt;0)),OR('Raw Data'!V233="",LEN(TRIM('Raw Data'!V233))=0)),"",IF('Raw Data'!V233 = Configuration!$I$2,"",_xlfn.REGEXEXTRACT(CELL("address",'Raw Data'!V233),"\$([A-Z]+)\$[0-9]+"))))</f>
        <v/>
      </c>
      <c r="W233" s="7"/>
      <c r="X233" s="7"/>
    </row>
    <row r="234" spans="2:24" x14ac:dyDescent="0.25">
      <c r="B234" s="7"/>
      <c r="C234" s="7" t="str" cm="1">
        <f t="array" aca="1" ref="C234" ca="1">IF(OR('Raw Data'!C234="",LEN(TRIM('Raw Data'!C234))=0,Validate_Empty!C234&lt;&gt;"",Validate_Value!C234&lt;&gt;""),"",IF(OR(NOT(OR(LEN(TRIM('Raw Data'!B234:X234))&gt;0)),OR('Raw Data'!C234="",LEN(TRIM('Raw Data'!C234))=0)),"",IF(OR(AND('Raw Data'!B234="Main Contract", LEFT('Raw Data'!C234, LEN("Payment"))="Payment"),AND('Raw Data'!B234="Change Order", LEFT('Raw Data'!C234, LEN("CO Payment No."))="CO Payment No.")),"",_xlfn.REGEXEXTRACT(CELL("address",'Raw Data'!C234),"\$([A-Z]+)\$[0-9]+"))))</f>
        <v/>
      </c>
      <c r="D234" s="7"/>
      <c r="E234" s="7"/>
      <c r="F234" s="7"/>
      <c r="G234" s="7"/>
      <c r="H234" s="7"/>
      <c r="I234" s="7"/>
      <c r="J234" s="7"/>
      <c r="K234" s="7"/>
      <c r="L234" s="7"/>
      <c r="M234" s="7" t="str" cm="1">
        <f t="array" aca="1" ref="M234" ca="1">IF(OR('Raw Data'!M234="",LEN(TRIM('Raw Data'!M234))=0,Validate_Empty!M234&lt;&gt;"",Validate_Value!M234&lt;&gt;""),"",IF(OR(NOT(OR(LEN(TRIM('Raw Data'!B234:X234))&gt;0)),OR('Raw Data'!M234="",LEN(TRIM('Raw Data'!M234))=0)),"",IF('Raw Data'!M234 = SUM('Raw Data'!K234:L234),"",_xlfn.REGEXEXTRACT(CELL("address",'Raw Data'!M234),"\$([A-Z]+)\$[0-9]+"))))</f>
        <v/>
      </c>
      <c r="N234" s="7"/>
      <c r="O234" s="7"/>
      <c r="P234" s="7" t="str" cm="1">
        <f t="array" aca="1" ref="P234" ca="1">IF(OR('Raw Data'!P234="",LEN(TRIM('Raw Data'!P234))=0,Validate_Empty!P234&lt;&gt;"",Validate_Value!P234&lt;&gt;""),"",IF(OR(NOT(OR(LEN(TRIM('Raw Data'!B234:X234))&gt;0)),OR('Raw Data'!P234="",LEN(TRIM('Raw Data'!P234))=0)),"",IF(AND('Raw Data'!J234 + Configuration!$G$2 + 5 &gt;= 'Raw Data'!P234,'Raw Data'!J234 + Configuration!$G$2 - 5 &lt;= 'Raw Data'!P234),"",_xlfn.REGEXEXTRACT(CELL("address",'Raw Data'!P234),"\$([A-Z]+)\$[0-9]+"))))</f>
        <v/>
      </c>
      <c r="Q234" s="7"/>
      <c r="R234" s="7"/>
      <c r="S234" s="7"/>
      <c r="T234" s="7" t="str" cm="1">
        <f t="array" aca="1" ref="T234" ca="1">IF(OR('Raw Data'!T234="",LEN(TRIM('Raw Data'!T234))=0,Validate_Empty!T234&lt;&gt;"",Validate_Value!T234&lt;&gt;""),"",IF(OR(NOT(OR(LEN(TRIM('Raw Data'!B234:X234))&gt;0)),OR('Raw Data'!T234="",LEN(TRIM('Raw Data'!T234))=0)),"",IF('Raw Data'!T234 = SUM('Raw Data'!R234:S234),"",_xlfn.REGEXEXTRACT(CELL("address",'Raw Data'!T234),"\$([A-Z]+)\$[0-9]+"))))</f>
        <v/>
      </c>
      <c r="U234" s="7" t="str" cm="1">
        <f t="array" aca="1" ref="U234" ca="1">IF(OR('Raw Data'!U234="",LEN(TRIM('Raw Data'!U234))=0,Validate_Empty!U234&lt;&gt;"",Validate_Value!U234&lt;&gt;""),"",IF(OR(NOT(OR(LEN(TRIM('Raw Data'!B234:X234))&gt;0)),OR('Raw Data'!T234="",LEN(TRIM('Raw Data'!T234))=0)),"",IF(ISNUMBER(SEARCH('Raw Data'!U234, Configuration!$H$2)),"",_xlfn.REGEXEXTRACT(CELL("address",'Raw Data'!U234),"\$([A-Z]+)\$[0-9]+"))))</f>
        <v/>
      </c>
      <c r="V234" s="7" t="str" cm="1">
        <f t="array" aca="1" ref="V234" ca="1">IF(OR('Raw Data'!V234="",LEN(TRIM('Raw Data'!V234))=0,Validate_Empty!V234&lt;&gt;"",Validate_Value!V234&lt;&gt;""),"",IF(OR(NOT(OR(LEN(TRIM('Raw Data'!B234:X234))&gt;0)),OR('Raw Data'!V234="",LEN(TRIM('Raw Data'!V234))=0)),"",IF('Raw Data'!V234 = Configuration!$I$2,"",_xlfn.REGEXEXTRACT(CELL("address",'Raw Data'!V234),"\$([A-Z]+)\$[0-9]+"))))</f>
        <v/>
      </c>
      <c r="W234" s="7"/>
      <c r="X234" s="7"/>
    </row>
    <row r="235" spans="2:24" x14ac:dyDescent="0.25">
      <c r="B235" s="7"/>
      <c r="C235" s="7" t="str" cm="1">
        <f t="array" aca="1" ref="C235" ca="1">IF(OR('Raw Data'!C235="",LEN(TRIM('Raw Data'!C235))=0,Validate_Empty!C235&lt;&gt;"",Validate_Value!C235&lt;&gt;""),"",IF(OR(NOT(OR(LEN(TRIM('Raw Data'!B235:X235))&gt;0)),OR('Raw Data'!C235="",LEN(TRIM('Raw Data'!C235))=0)),"",IF(OR(AND('Raw Data'!B235="Main Contract", LEFT('Raw Data'!C235, LEN("Payment"))="Payment"),AND('Raw Data'!B235="Change Order", LEFT('Raw Data'!C235, LEN("CO Payment No."))="CO Payment No.")),"",_xlfn.REGEXEXTRACT(CELL("address",'Raw Data'!C235),"\$([A-Z]+)\$[0-9]+"))))</f>
        <v/>
      </c>
      <c r="D235" s="7"/>
      <c r="E235" s="7"/>
      <c r="F235" s="7"/>
      <c r="G235" s="7"/>
      <c r="H235" s="7"/>
      <c r="I235" s="7"/>
      <c r="J235" s="7"/>
      <c r="K235" s="7"/>
      <c r="L235" s="7"/>
      <c r="M235" s="7" t="str" cm="1">
        <f t="array" aca="1" ref="M235" ca="1">IF(OR('Raw Data'!M235="",LEN(TRIM('Raw Data'!M235))=0,Validate_Empty!M235&lt;&gt;"",Validate_Value!M235&lt;&gt;""),"",IF(OR(NOT(OR(LEN(TRIM('Raw Data'!B235:X235))&gt;0)),OR('Raw Data'!M235="",LEN(TRIM('Raw Data'!M235))=0)),"",IF('Raw Data'!M235 = SUM('Raw Data'!K235:L235),"",_xlfn.REGEXEXTRACT(CELL("address",'Raw Data'!M235),"\$([A-Z]+)\$[0-9]+"))))</f>
        <v/>
      </c>
      <c r="N235" s="7"/>
      <c r="O235" s="7"/>
      <c r="P235" s="7" t="str" cm="1">
        <f t="array" aca="1" ref="P235" ca="1">IF(OR('Raw Data'!P235="",LEN(TRIM('Raw Data'!P235))=0,Validate_Empty!P235&lt;&gt;"",Validate_Value!P235&lt;&gt;""),"",IF(OR(NOT(OR(LEN(TRIM('Raw Data'!B235:X235))&gt;0)),OR('Raw Data'!P235="",LEN(TRIM('Raw Data'!P235))=0)),"",IF(AND('Raw Data'!J235 + Configuration!$G$2 + 5 &gt;= 'Raw Data'!P235,'Raw Data'!J235 + Configuration!$G$2 - 5 &lt;= 'Raw Data'!P235),"",_xlfn.REGEXEXTRACT(CELL("address",'Raw Data'!P235),"\$([A-Z]+)\$[0-9]+"))))</f>
        <v/>
      </c>
      <c r="Q235" s="7"/>
      <c r="R235" s="7"/>
      <c r="S235" s="7"/>
      <c r="T235" s="7" t="str" cm="1">
        <f t="array" aca="1" ref="T235" ca="1">IF(OR('Raw Data'!T235="",LEN(TRIM('Raw Data'!T235))=0,Validate_Empty!T235&lt;&gt;"",Validate_Value!T235&lt;&gt;""),"",IF(OR(NOT(OR(LEN(TRIM('Raw Data'!B235:X235))&gt;0)),OR('Raw Data'!T235="",LEN(TRIM('Raw Data'!T235))=0)),"",IF('Raw Data'!T235 = SUM('Raw Data'!R235:S235),"",_xlfn.REGEXEXTRACT(CELL("address",'Raw Data'!T235),"\$([A-Z]+)\$[0-9]+"))))</f>
        <v/>
      </c>
      <c r="U235" s="7" t="str" cm="1">
        <f t="array" aca="1" ref="U235" ca="1">IF(OR('Raw Data'!U235="",LEN(TRIM('Raw Data'!U235))=0,Validate_Empty!U235&lt;&gt;"",Validate_Value!U235&lt;&gt;""),"",IF(OR(NOT(OR(LEN(TRIM('Raw Data'!B235:X235))&gt;0)),OR('Raw Data'!T235="",LEN(TRIM('Raw Data'!T235))=0)),"",IF(ISNUMBER(SEARCH('Raw Data'!U235, Configuration!$H$2)),"",_xlfn.REGEXEXTRACT(CELL("address",'Raw Data'!U235),"\$([A-Z]+)\$[0-9]+"))))</f>
        <v/>
      </c>
      <c r="V235" s="7" t="str" cm="1">
        <f t="array" aca="1" ref="V235" ca="1">IF(OR('Raw Data'!V235="",LEN(TRIM('Raw Data'!V235))=0,Validate_Empty!V235&lt;&gt;"",Validate_Value!V235&lt;&gt;""),"",IF(OR(NOT(OR(LEN(TRIM('Raw Data'!B235:X235))&gt;0)),OR('Raw Data'!V235="",LEN(TRIM('Raw Data'!V235))=0)),"",IF('Raw Data'!V235 = Configuration!$I$2,"",_xlfn.REGEXEXTRACT(CELL("address",'Raw Data'!V235),"\$([A-Z]+)\$[0-9]+"))))</f>
        <v/>
      </c>
      <c r="W235" s="7"/>
      <c r="X235" s="7"/>
    </row>
    <row r="236" spans="2:24" x14ac:dyDescent="0.25">
      <c r="B236" s="7"/>
      <c r="C236" s="7" t="str" cm="1">
        <f t="array" aca="1" ref="C236" ca="1">IF(OR('Raw Data'!C236="",LEN(TRIM('Raw Data'!C236))=0,Validate_Empty!C236&lt;&gt;"",Validate_Value!C236&lt;&gt;""),"",IF(OR(NOT(OR(LEN(TRIM('Raw Data'!B236:X236))&gt;0)),OR('Raw Data'!C236="",LEN(TRIM('Raw Data'!C236))=0)),"",IF(OR(AND('Raw Data'!B236="Main Contract", LEFT('Raw Data'!C236, LEN("Payment"))="Payment"),AND('Raw Data'!B236="Change Order", LEFT('Raw Data'!C236, LEN("CO Payment No."))="CO Payment No.")),"",_xlfn.REGEXEXTRACT(CELL("address",'Raw Data'!C236),"\$([A-Z]+)\$[0-9]+"))))</f>
        <v/>
      </c>
      <c r="D236" s="7"/>
      <c r="E236" s="7"/>
      <c r="F236" s="7"/>
      <c r="G236" s="7"/>
      <c r="H236" s="7"/>
      <c r="I236" s="7"/>
      <c r="J236" s="7"/>
      <c r="K236" s="7"/>
      <c r="L236" s="7"/>
      <c r="M236" s="7" t="str" cm="1">
        <f t="array" aca="1" ref="M236" ca="1">IF(OR('Raw Data'!M236="",LEN(TRIM('Raw Data'!M236))=0,Validate_Empty!M236&lt;&gt;"",Validate_Value!M236&lt;&gt;""),"",IF(OR(NOT(OR(LEN(TRIM('Raw Data'!B236:X236))&gt;0)),OR('Raw Data'!M236="",LEN(TRIM('Raw Data'!M236))=0)),"",IF('Raw Data'!M236 = SUM('Raw Data'!K236:L236),"",_xlfn.REGEXEXTRACT(CELL("address",'Raw Data'!M236),"\$([A-Z]+)\$[0-9]+"))))</f>
        <v/>
      </c>
      <c r="N236" s="7"/>
      <c r="O236" s="7"/>
      <c r="P236" s="7" t="str" cm="1">
        <f t="array" aca="1" ref="P236" ca="1">IF(OR('Raw Data'!P236="",LEN(TRIM('Raw Data'!P236))=0,Validate_Empty!P236&lt;&gt;"",Validate_Value!P236&lt;&gt;""),"",IF(OR(NOT(OR(LEN(TRIM('Raw Data'!B236:X236))&gt;0)),OR('Raw Data'!P236="",LEN(TRIM('Raw Data'!P236))=0)),"",IF(AND('Raw Data'!J236 + Configuration!$G$2 + 5 &gt;= 'Raw Data'!P236,'Raw Data'!J236 + Configuration!$G$2 - 5 &lt;= 'Raw Data'!P236),"",_xlfn.REGEXEXTRACT(CELL("address",'Raw Data'!P236),"\$([A-Z]+)\$[0-9]+"))))</f>
        <v/>
      </c>
      <c r="Q236" s="7"/>
      <c r="R236" s="7"/>
      <c r="S236" s="7"/>
      <c r="T236" s="7" t="str" cm="1">
        <f t="array" aca="1" ref="T236" ca="1">IF(OR('Raw Data'!T236="",LEN(TRIM('Raw Data'!T236))=0,Validate_Empty!T236&lt;&gt;"",Validate_Value!T236&lt;&gt;""),"",IF(OR(NOT(OR(LEN(TRIM('Raw Data'!B236:X236))&gt;0)),OR('Raw Data'!T236="",LEN(TRIM('Raw Data'!T236))=0)),"",IF('Raw Data'!T236 = SUM('Raw Data'!R236:S236),"",_xlfn.REGEXEXTRACT(CELL("address",'Raw Data'!T236),"\$([A-Z]+)\$[0-9]+"))))</f>
        <v/>
      </c>
      <c r="U236" s="7" t="str" cm="1">
        <f t="array" aca="1" ref="U236" ca="1">IF(OR('Raw Data'!U236="",LEN(TRIM('Raw Data'!U236))=0,Validate_Empty!U236&lt;&gt;"",Validate_Value!U236&lt;&gt;""),"",IF(OR(NOT(OR(LEN(TRIM('Raw Data'!B236:X236))&gt;0)),OR('Raw Data'!T236="",LEN(TRIM('Raw Data'!T236))=0)),"",IF(ISNUMBER(SEARCH('Raw Data'!U236, Configuration!$H$2)),"",_xlfn.REGEXEXTRACT(CELL("address",'Raw Data'!U236),"\$([A-Z]+)\$[0-9]+"))))</f>
        <v/>
      </c>
      <c r="V236" s="7" t="str" cm="1">
        <f t="array" aca="1" ref="V236" ca="1">IF(OR('Raw Data'!V236="",LEN(TRIM('Raw Data'!V236))=0,Validate_Empty!V236&lt;&gt;"",Validate_Value!V236&lt;&gt;""),"",IF(OR(NOT(OR(LEN(TRIM('Raw Data'!B236:X236))&gt;0)),OR('Raw Data'!V236="",LEN(TRIM('Raw Data'!V236))=0)),"",IF('Raw Data'!V236 = Configuration!$I$2,"",_xlfn.REGEXEXTRACT(CELL("address",'Raw Data'!V236),"\$([A-Z]+)\$[0-9]+"))))</f>
        <v/>
      </c>
      <c r="W236" s="7"/>
      <c r="X236" s="7"/>
    </row>
    <row r="237" spans="2:24" x14ac:dyDescent="0.25">
      <c r="B237" s="7"/>
      <c r="C237" s="7" t="str" cm="1">
        <f t="array" aca="1" ref="C237" ca="1">IF(OR('Raw Data'!C237="",LEN(TRIM('Raw Data'!C237))=0,Validate_Empty!C237&lt;&gt;"",Validate_Value!C237&lt;&gt;""),"",IF(OR(NOT(OR(LEN(TRIM('Raw Data'!B237:X237))&gt;0)),OR('Raw Data'!C237="",LEN(TRIM('Raw Data'!C237))=0)),"",IF(OR(AND('Raw Data'!B237="Main Contract", LEFT('Raw Data'!C237, LEN("Payment"))="Payment"),AND('Raw Data'!B237="Change Order", LEFT('Raw Data'!C237, LEN("CO Payment No."))="CO Payment No.")),"",_xlfn.REGEXEXTRACT(CELL("address",'Raw Data'!C237),"\$([A-Z]+)\$[0-9]+"))))</f>
        <v/>
      </c>
      <c r="D237" s="7"/>
      <c r="E237" s="7"/>
      <c r="F237" s="7"/>
      <c r="G237" s="7"/>
      <c r="H237" s="7"/>
      <c r="I237" s="7"/>
      <c r="J237" s="7"/>
      <c r="K237" s="7"/>
      <c r="L237" s="7"/>
      <c r="M237" s="7" t="str" cm="1">
        <f t="array" aca="1" ref="M237" ca="1">IF(OR('Raw Data'!M237="",LEN(TRIM('Raw Data'!M237))=0,Validate_Empty!M237&lt;&gt;"",Validate_Value!M237&lt;&gt;""),"",IF(OR(NOT(OR(LEN(TRIM('Raw Data'!B237:X237))&gt;0)),OR('Raw Data'!M237="",LEN(TRIM('Raw Data'!M237))=0)),"",IF('Raw Data'!M237 = SUM('Raw Data'!K237:L237),"",_xlfn.REGEXEXTRACT(CELL("address",'Raw Data'!M237),"\$([A-Z]+)\$[0-9]+"))))</f>
        <v/>
      </c>
      <c r="N237" s="7"/>
      <c r="O237" s="7"/>
      <c r="P237" s="7" t="str" cm="1">
        <f t="array" aca="1" ref="P237" ca="1">IF(OR('Raw Data'!P237="",LEN(TRIM('Raw Data'!P237))=0,Validate_Empty!P237&lt;&gt;"",Validate_Value!P237&lt;&gt;""),"",IF(OR(NOT(OR(LEN(TRIM('Raw Data'!B237:X237))&gt;0)),OR('Raw Data'!P237="",LEN(TRIM('Raw Data'!P237))=0)),"",IF(AND('Raw Data'!J237 + Configuration!$G$2 + 5 &gt;= 'Raw Data'!P237,'Raw Data'!J237 + Configuration!$G$2 - 5 &lt;= 'Raw Data'!P237),"",_xlfn.REGEXEXTRACT(CELL("address",'Raw Data'!P237),"\$([A-Z]+)\$[0-9]+"))))</f>
        <v/>
      </c>
      <c r="Q237" s="7"/>
      <c r="R237" s="7"/>
      <c r="S237" s="7"/>
      <c r="T237" s="7" t="str" cm="1">
        <f t="array" aca="1" ref="T237" ca="1">IF(OR('Raw Data'!T237="",LEN(TRIM('Raw Data'!T237))=0,Validate_Empty!T237&lt;&gt;"",Validate_Value!T237&lt;&gt;""),"",IF(OR(NOT(OR(LEN(TRIM('Raw Data'!B237:X237))&gt;0)),OR('Raw Data'!T237="",LEN(TRIM('Raw Data'!T237))=0)),"",IF('Raw Data'!T237 = SUM('Raw Data'!R237:S237),"",_xlfn.REGEXEXTRACT(CELL("address",'Raw Data'!T237),"\$([A-Z]+)\$[0-9]+"))))</f>
        <v/>
      </c>
      <c r="U237" s="7" t="str" cm="1">
        <f t="array" aca="1" ref="U237" ca="1">IF(OR('Raw Data'!U237="",LEN(TRIM('Raw Data'!U237))=0,Validate_Empty!U237&lt;&gt;"",Validate_Value!U237&lt;&gt;""),"",IF(OR(NOT(OR(LEN(TRIM('Raw Data'!B237:X237))&gt;0)),OR('Raw Data'!T237="",LEN(TRIM('Raw Data'!T237))=0)),"",IF(ISNUMBER(SEARCH('Raw Data'!U237, Configuration!$H$2)),"",_xlfn.REGEXEXTRACT(CELL("address",'Raw Data'!U237),"\$([A-Z]+)\$[0-9]+"))))</f>
        <v/>
      </c>
      <c r="V237" s="7" t="str" cm="1">
        <f t="array" aca="1" ref="V237" ca="1">IF(OR('Raw Data'!V237="",LEN(TRIM('Raw Data'!V237))=0,Validate_Empty!V237&lt;&gt;"",Validate_Value!V237&lt;&gt;""),"",IF(OR(NOT(OR(LEN(TRIM('Raw Data'!B237:X237))&gt;0)),OR('Raw Data'!V237="",LEN(TRIM('Raw Data'!V237))=0)),"",IF('Raw Data'!V237 = Configuration!$I$2,"",_xlfn.REGEXEXTRACT(CELL("address",'Raw Data'!V237),"\$([A-Z]+)\$[0-9]+"))))</f>
        <v/>
      </c>
      <c r="W237" s="7"/>
      <c r="X237" s="7"/>
    </row>
    <row r="238" spans="2:24" x14ac:dyDescent="0.25">
      <c r="B238" s="7"/>
      <c r="C238" s="7" t="str" cm="1">
        <f t="array" aca="1" ref="C238" ca="1">IF(OR('Raw Data'!C238="",LEN(TRIM('Raw Data'!C238))=0,Validate_Empty!C238&lt;&gt;"",Validate_Value!C238&lt;&gt;""),"",IF(OR(NOT(OR(LEN(TRIM('Raw Data'!B238:X238))&gt;0)),OR('Raw Data'!C238="",LEN(TRIM('Raw Data'!C238))=0)),"",IF(OR(AND('Raw Data'!B238="Main Contract", LEFT('Raw Data'!C238, LEN("Payment"))="Payment"),AND('Raw Data'!B238="Change Order", LEFT('Raw Data'!C238, LEN("CO Payment No."))="CO Payment No.")),"",_xlfn.REGEXEXTRACT(CELL("address",'Raw Data'!C238),"\$([A-Z]+)\$[0-9]+"))))</f>
        <v/>
      </c>
      <c r="D238" s="7"/>
      <c r="E238" s="7"/>
      <c r="F238" s="7"/>
      <c r="G238" s="7"/>
      <c r="H238" s="7"/>
      <c r="I238" s="7"/>
      <c r="J238" s="7"/>
      <c r="K238" s="7"/>
      <c r="L238" s="7"/>
      <c r="M238" s="7" t="str" cm="1">
        <f t="array" aca="1" ref="M238" ca="1">IF(OR('Raw Data'!M238="",LEN(TRIM('Raw Data'!M238))=0,Validate_Empty!M238&lt;&gt;"",Validate_Value!M238&lt;&gt;""),"",IF(OR(NOT(OR(LEN(TRIM('Raw Data'!B238:X238))&gt;0)),OR('Raw Data'!M238="",LEN(TRIM('Raw Data'!M238))=0)),"",IF('Raw Data'!M238 = SUM('Raw Data'!K238:L238),"",_xlfn.REGEXEXTRACT(CELL("address",'Raw Data'!M238),"\$([A-Z]+)\$[0-9]+"))))</f>
        <v/>
      </c>
      <c r="N238" s="7"/>
      <c r="O238" s="7"/>
      <c r="P238" s="7" t="str" cm="1">
        <f t="array" aca="1" ref="P238" ca="1">IF(OR('Raw Data'!P238="",LEN(TRIM('Raw Data'!P238))=0,Validate_Empty!P238&lt;&gt;"",Validate_Value!P238&lt;&gt;""),"",IF(OR(NOT(OR(LEN(TRIM('Raw Data'!B238:X238))&gt;0)),OR('Raw Data'!P238="",LEN(TRIM('Raw Data'!P238))=0)),"",IF(AND('Raw Data'!J238 + Configuration!$G$2 + 5 &gt;= 'Raw Data'!P238,'Raw Data'!J238 + Configuration!$G$2 - 5 &lt;= 'Raw Data'!P238),"",_xlfn.REGEXEXTRACT(CELL("address",'Raw Data'!P238),"\$([A-Z]+)\$[0-9]+"))))</f>
        <v/>
      </c>
      <c r="Q238" s="7"/>
      <c r="R238" s="7"/>
      <c r="S238" s="7"/>
      <c r="T238" s="7" t="str" cm="1">
        <f t="array" aca="1" ref="T238" ca="1">IF(OR('Raw Data'!T238="",LEN(TRIM('Raw Data'!T238))=0,Validate_Empty!T238&lt;&gt;"",Validate_Value!T238&lt;&gt;""),"",IF(OR(NOT(OR(LEN(TRIM('Raw Data'!B238:X238))&gt;0)),OR('Raw Data'!T238="",LEN(TRIM('Raw Data'!T238))=0)),"",IF('Raw Data'!T238 = SUM('Raw Data'!R238:S238),"",_xlfn.REGEXEXTRACT(CELL("address",'Raw Data'!T238),"\$([A-Z]+)\$[0-9]+"))))</f>
        <v/>
      </c>
      <c r="U238" s="7" t="str" cm="1">
        <f t="array" aca="1" ref="U238" ca="1">IF(OR('Raw Data'!U238="",LEN(TRIM('Raw Data'!U238))=0,Validate_Empty!U238&lt;&gt;"",Validate_Value!U238&lt;&gt;""),"",IF(OR(NOT(OR(LEN(TRIM('Raw Data'!B238:X238))&gt;0)),OR('Raw Data'!T238="",LEN(TRIM('Raw Data'!T238))=0)),"",IF(ISNUMBER(SEARCH('Raw Data'!U238, Configuration!$H$2)),"",_xlfn.REGEXEXTRACT(CELL("address",'Raw Data'!U238),"\$([A-Z]+)\$[0-9]+"))))</f>
        <v/>
      </c>
      <c r="V238" s="7" t="str" cm="1">
        <f t="array" aca="1" ref="V238" ca="1">IF(OR('Raw Data'!V238="",LEN(TRIM('Raw Data'!V238))=0,Validate_Empty!V238&lt;&gt;"",Validate_Value!V238&lt;&gt;""),"",IF(OR(NOT(OR(LEN(TRIM('Raw Data'!B238:X238))&gt;0)),OR('Raw Data'!V238="",LEN(TRIM('Raw Data'!V238))=0)),"",IF('Raw Data'!V238 = Configuration!$I$2,"",_xlfn.REGEXEXTRACT(CELL("address",'Raw Data'!V238),"\$([A-Z]+)\$[0-9]+"))))</f>
        <v/>
      </c>
      <c r="W238" s="7"/>
      <c r="X238" s="7"/>
    </row>
    <row r="239" spans="2:24" x14ac:dyDescent="0.25">
      <c r="B239" s="7"/>
      <c r="C239" s="7" t="str" cm="1">
        <f t="array" aca="1" ref="C239" ca="1">IF(OR('Raw Data'!C239="",LEN(TRIM('Raw Data'!C239))=0,Validate_Empty!C239&lt;&gt;"",Validate_Value!C239&lt;&gt;""),"",IF(OR(NOT(OR(LEN(TRIM('Raw Data'!B239:X239))&gt;0)),OR('Raw Data'!C239="",LEN(TRIM('Raw Data'!C239))=0)),"",IF(OR(AND('Raw Data'!B239="Main Contract", LEFT('Raw Data'!C239, LEN("Payment"))="Payment"),AND('Raw Data'!B239="Change Order", LEFT('Raw Data'!C239, LEN("CO Payment No."))="CO Payment No.")),"",_xlfn.REGEXEXTRACT(CELL("address",'Raw Data'!C239),"\$([A-Z]+)\$[0-9]+"))))</f>
        <v/>
      </c>
      <c r="D239" s="7"/>
      <c r="E239" s="7"/>
      <c r="F239" s="7"/>
      <c r="G239" s="7"/>
      <c r="H239" s="7"/>
      <c r="I239" s="7"/>
      <c r="J239" s="7"/>
      <c r="K239" s="7"/>
      <c r="L239" s="7"/>
      <c r="M239" s="7" t="str" cm="1">
        <f t="array" aca="1" ref="M239" ca="1">IF(OR('Raw Data'!M239="",LEN(TRIM('Raw Data'!M239))=0,Validate_Empty!M239&lt;&gt;"",Validate_Value!M239&lt;&gt;""),"",IF(OR(NOT(OR(LEN(TRIM('Raw Data'!B239:X239))&gt;0)),OR('Raw Data'!M239="",LEN(TRIM('Raw Data'!M239))=0)),"",IF('Raw Data'!M239 = SUM('Raw Data'!K239:L239),"",_xlfn.REGEXEXTRACT(CELL("address",'Raw Data'!M239),"\$([A-Z]+)\$[0-9]+"))))</f>
        <v/>
      </c>
      <c r="N239" s="7"/>
      <c r="O239" s="7"/>
      <c r="P239" s="7" t="str" cm="1">
        <f t="array" aca="1" ref="P239" ca="1">IF(OR('Raw Data'!P239="",LEN(TRIM('Raw Data'!P239))=0,Validate_Empty!P239&lt;&gt;"",Validate_Value!P239&lt;&gt;""),"",IF(OR(NOT(OR(LEN(TRIM('Raw Data'!B239:X239))&gt;0)),OR('Raw Data'!P239="",LEN(TRIM('Raw Data'!P239))=0)),"",IF(AND('Raw Data'!J239 + Configuration!$G$2 + 5 &gt;= 'Raw Data'!P239,'Raw Data'!J239 + Configuration!$G$2 - 5 &lt;= 'Raw Data'!P239),"",_xlfn.REGEXEXTRACT(CELL("address",'Raw Data'!P239),"\$([A-Z]+)\$[0-9]+"))))</f>
        <v/>
      </c>
      <c r="Q239" s="7"/>
      <c r="R239" s="7"/>
      <c r="S239" s="7"/>
      <c r="T239" s="7" t="str" cm="1">
        <f t="array" aca="1" ref="T239" ca="1">IF(OR('Raw Data'!T239="",LEN(TRIM('Raw Data'!T239))=0,Validate_Empty!T239&lt;&gt;"",Validate_Value!T239&lt;&gt;""),"",IF(OR(NOT(OR(LEN(TRIM('Raw Data'!B239:X239))&gt;0)),OR('Raw Data'!T239="",LEN(TRIM('Raw Data'!T239))=0)),"",IF('Raw Data'!T239 = SUM('Raw Data'!R239:S239),"",_xlfn.REGEXEXTRACT(CELL("address",'Raw Data'!T239),"\$([A-Z]+)\$[0-9]+"))))</f>
        <v/>
      </c>
      <c r="U239" s="7" t="str" cm="1">
        <f t="array" aca="1" ref="U239" ca="1">IF(OR('Raw Data'!U239="",LEN(TRIM('Raw Data'!U239))=0,Validate_Empty!U239&lt;&gt;"",Validate_Value!U239&lt;&gt;""),"",IF(OR(NOT(OR(LEN(TRIM('Raw Data'!B239:X239))&gt;0)),OR('Raw Data'!T239="",LEN(TRIM('Raw Data'!T239))=0)),"",IF(ISNUMBER(SEARCH('Raw Data'!U239, Configuration!$H$2)),"",_xlfn.REGEXEXTRACT(CELL("address",'Raw Data'!U239),"\$([A-Z]+)\$[0-9]+"))))</f>
        <v/>
      </c>
      <c r="V239" s="7" t="str" cm="1">
        <f t="array" aca="1" ref="V239" ca="1">IF(OR('Raw Data'!V239="",LEN(TRIM('Raw Data'!V239))=0,Validate_Empty!V239&lt;&gt;"",Validate_Value!V239&lt;&gt;""),"",IF(OR(NOT(OR(LEN(TRIM('Raw Data'!B239:X239))&gt;0)),OR('Raw Data'!V239="",LEN(TRIM('Raw Data'!V239))=0)),"",IF('Raw Data'!V239 = Configuration!$I$2,"",_xlfn.REGEXEXTRACT(CELL("address",'Raw Data'!V239),"\$([A-Z]+)\$[0-9]+"))))</f>
        <v/>
      </c>
      <c r="W239" s="7"/>
      <c r="X239" s="7"/>
    </row>
    <row r="240" spans="2:24" x14ac:dyDescent="0.25">
      <c r="B240" s="7"/>
      <c r="C240" s="7" t="str" cm="1">
        <f t="array" aca="1" ref="C240" ca="1">IF(OR('Raw Data'!C240="",LEN(TRIM('Raw Data'!C240))=0,Validate_Empty!C240&lt;&gt;"",Validate_Value!C240&lt;&gt;""),"",IF(OR(NOT(OR(LEN(TRIM('Raw Data'!B240:X240))&gt;0)),OR('Raw Data'!C240="",LEN(TRIM('Raw Data'!C240))=0)),"",IF(OR(AND('Raw Data'!B240="Main Contract", LEFT('Raw Data'!C240, LEN("Payment"))="Payment"),AND('Raw Data'!B240="Change Order", LEFT('Raw Data'!C240, LEN("CO Payment No."))="CO Payment No.")),"",_xlfn.REGEXEXTRACT(CELL("address",'Raw Data'!C240),"\$([A-Z]+)\$[0-9]+"))))</f>
        <v/>
      </c>
      <c r="D240" s="7"/>
      <c r="E240" s="7"/>
      <c r="F240" s="7"/>
      <c r="G240" s="7"/>
      <c r="H240" s="7"/>
      <c r="I240" s="7"/>
      <c r="J240" s="7"/>
      <c r="K240" s="7"/>
      <c r="L240" s="7"/>
      <c r="M240" s="7" t="str" cm="1">
        <f t="array" aca="1" ref="M240" ca="1">IF(OR('Raw Data'!M240="",LEN(TRIM('Raw Data'!M240))=0,Validate_Empty!M240&lt;&gt;"",Validate_Value!M240&lt;&gt;""),"",IF(OR(NOT(OR(LEN(TRIM('Raw Data'!B240:X240))&gt;0)),OR('Raw Data'!M240="",LEN(TRIM('Raw Data'!M240))=0)),"",IF('Raw Data'!M240 = SUM('Raw Data'!K240:L240),"",_xlfn.REGEXEXTRACT(CELL("address",'Raw Data'!M240),"\$([A-Z]+)\$[0-9]+"))))</f>
        <v/>
      </c>
      <c r="N240" s="7"/>
      <c r="O240" s="7"/>
      <c r="P240" s="7" t="str" cm="1">
        <f t="array" aca="1" ref="P240" ca="1">IF(OR('Raw Data'!P240="",LEN(TRIM('Raw Data'!P240))=0,Validate_Empty!P240&lt;&gt;"",Validate_Value!P240&lt;&gt;""),"",IF(OR(NOT(OR(LEN(TRIM('Raw Data'!B240:X240))&gt;0)),OR('Raw Data'!P240="",LEN(TRIM('Raw Data'!P240))=0)),"",IF(AND('Raw Data'!J240 + Configuration!$G$2 + 5 &gt;= 'Raw Data'!P240,'Raw Data'!J240 + Configuration!$G$2 - 5 &lt;= 'Raw Data'!P240),"",_xlfn.REGEXEXTRACT(CELL("address",'Raw Data'!P240),"\$([A-Z]+)\$[0-9]+"))))</f>
        <v/>
      </c>
      <c r="Q240" s="7"/>
      <c r="R240" s="7"/>
      <c r="S240" s="7"/>
      <c r="T240" s="7" t="str" cm="1">
        <f t="array" aca="1" ref="T240" ca="1">IF(OR('Raw Data'!T240="",LEN(TRIM('Raw Data'!T240))=0,Validate_Empty!T240&lt;&gt;"",Validate_Value!T240&lt;&gt;""),"",IF(OR(NOT(OR(LEN(TRIM('Raw Data'!B240:X240))&gt;0)),OR('Raw Data'!T240="",LEN(TRIM('Raw Data'!T240))=0)),"",IF('Raw Data'!T240 = SUM('Raw Data'!R240:S240),"",_xlfn.REGEXEXTRACT(CELL("address",'Raw Data'!T240),"\$([A-Z]+)\$[0-9]+"))))</f>
        <v/>
      </c>
      <c r="U240" s="7" t="str" cm="1">
        <f t="array" aca="1" ref="U240" ca="1">IF(OR('Raw Data'!U240="",LEN(TRIM('Raw Data'!U240))=0,Validate_Empty!U240&lt;&gt;"",Validate_Value!U240&lt;&gt;""),"",IF(OR(NOT(OR(LEN(TRIM('Raw Data'!B240:X240))&gt;0)),OR('Raw Data'!T240="",LEN(TRIM('Raw Data'!T240))=0)),"",IF(ISNUMBER(SEARCH('Raw Data'!U240, Configuration!$H$2)),"",_xlfn.REGEXEXTRACT(CELL("address",'Raw Data'!U240),"\$([A-Z]+)\$[0-9]+"))))</f>
        <v/>
      </c>
      <c r="V240" s="7" t="str" cm="1">
        <f t="array" aca="1" ref="V240" ca="1">IF(OR('Raw Data'!V240="",LEN(TRIM('Raw Data'!V240))=0,Validate_Empty!V240&lt;&gt;"",Validate_Value!V240&lt;&gt;""),"",IF(OR(NOT(OR(LEN(TRIM('Raw Data'!B240:X240))&gt;0)),OR('Raw Data'!V240="",LEN(TRIM('Raw Data'!V240))=0)),"",IF('Raw Data'!V240 = Configuration!$I$2,"",_xlfn.REGEXEXTRACT(CELL("address",'Raw Data'!V240),"\$([A-Z]+)\$[0-9]+"))))</f>
        <v/>
      </c>
      <c r="W240" s="7"/>
      <c r="X240" s="7"/>
    </row>
    <row r="241" spans="2:24" x14ac:dyDescent="0.25">
      <c r="B241" s="7"/>
      <c r="C241" s="7" t="str" cm="1">
        <f t="array" aca="1" ref="C241" ca="1">IF(OR('Raw Data'!C241="",LEN(TRIM('Raw Data'!C241))=0,Validate_Empty!C241&lt;&gt;"",Validate_Value!C241&lt;&gt;""),"",IF(OR(NOT(OR(LEN(TRIM('Raw Data'!B241:X241))&gt;0)),OR('Raw Data'!C241="",LEN(TRIM('Raw Data'!C241))=0)),"",IF(OR(AND('Raw Data'!B241="Main Contract", LEFT('Raw Data'!C241, LEN("Payment"))="Payment"),AND('Raw Data'!B241="Change Order", LEFT('Raw Data'!C241, LEN("CO Payment No."))="CO Payment No.")),"",_xlfn.REGEXEXTRACT(CELL("address",'Raw Data'!C241),"\$([A-Z]+)\$[0-9]+"))))</f>
        <v/>
      </c>
      <c r="D241" s="7"/>
      <c r="E241" s="7"/>
      <c r="F241" s="7"/>
      <c r="G241" s="7"/>
      <c r="H241" s="7"/>
      <c r="I241" s="7"/>
      <c r="J241" s="7"/>
      <c r="K241" s="7"/>
      <c r="L241" s="7"/>
      <c r="M241" s="7" t="str" cm="1">
        <f t="array" aca="1" ref="M241" ca="1">IF(OR('Raw Data'!M241="",LEN(TRIM('Raw Data'!M241))=0,Validate_Empty!M241&lt;&gt;"",Validate_Value!M241&lt;&gt;""),"",IF(OR(NOT(OR(LEN(TRIM('Raw Data'!B241:X241))&gt;0)),OR('Raw Data'!M241="",LEN(TRIM('Raw Data'!M241))=0)),"",IF('Raw Data'!M241 = SUM('Raw Data'!K241:L241),"",_xlfn.REGEXEXTRACT(CELL("address",'Raw Data'!M241),"\$([A-Z]+)\$[0-9]+"))))</f>
        <v/>
      </c>
      <c r="N241" s="7"/>
      <c r="O241" s="7"/>
      <c r="P241" s="7" t="str" cm="1">
        <f t="array" aca="1" ref="P241" ca="1">IF(OR('Raw Data'!P241="",LEN(TRIM('Raw Data'!P241))=0,Validate_Empty!P241&lt;&gt;"",Validate_Value!P241&lt;&gt;""),"",IF(OR(NOT(OR(LEN(TRIM('Raw Data'!B241:X241))&gt;0)),OR('Raw Data'!P241="",LEN(TRIM('Raw Data'!P241))=0)),"",IF(AND('Raw Data'!J241 + Configuration!$G$2 + 5 &gt;= 'Raw Data'!P241,'Raw Data'!J241 + Configuration!$G$2 - 5 &lt;= 'Raw Data'!P241),"",_xlfn.REGEXEXTRACT(CELL("address",'Raw Data'!P241),"\$([A-Z]+)\$[0-9]+"))))</f>
        <v/>
      </c>
      <c r="Q241" s="7"/>
      <c r="R241" s="7"/>
      <c r="S241" s="7"/>
      <c r="T241" s="7" t="str" cm="1">
        <f t="array" aca="1" ref="T241" ca="1">IF(OR('Raw Data'!T241="",LEN(TRIM('Raw Data'!T241))=0,Validate_Empty!T241&lt;&gt;"",Validate_Value!T241&lt;&gt;""),"",IF(OR(NOT(OR(LEN(TRIM('Raw Data'!B241:X241))&gt;0)),OR('Raw Data'!T241="",LEN(TRIM('Raw Data'!T241))=0)),"",IF('Raw Data'!T241 = SUM('Raw Data'!R241:S241),"",_xlfn.REGEXEXTRACT(CELL("address",'Raw Data'!T241),"\$([A-Z]+)\$[0-9]+"))))</f>
        <v/>
      </c>
      <c r="U241" s="7" t="str" cm="1">
        <f t="array" aca="1" ref="U241" ca="1">IF(OR('Raw Data'!U241="",LEN(TRIM('Raw Data'!U241))=0,Validate_Empty!U241&lt;&gt;"",Validate_Value!U241&lt;&gt;""),"",IF(OR(NOT(OR(LEN(TRIM('Raw Data'!B241:X241))&gt;0)),OR('Raw Data'!T241="",LEN(TRIM('Raw Data'!T241))=0)),"",IF(ISNUMBER(SEARCH('Raw Data'!U241, Configuration!$H$2)),"",_xlfn.REGEXEXTRACT(CELL("address",'Raw Data'!U241),"\$([A-Z]+)\$[0-9]+"))))</f>
        <v/>
      </c>
      <c r="V241" s="7" t="str" cm="1">
        <f t="array" aca="1" ref="V241" ca="1">IF(OR('Raw Data'!V241="",LEN(TRIM('Raw Data'!V241))=0,Validate_Empty!V241&lt;&gt;"",Validate_Value!V241&lt;&gt;""),"",IF(OR(NOT(OR(LEN(TRIM('Raw Data'!B241:X241))&gt;0)),OR('Raw Data'!V241="",LEN(TRIM('Raw Data'!V241))=0)),"",IF('Raw Data'!V241 = Configuration!$I$2,"",_xlfn.REGEXEXTRACT(CELL("address",'Raw Data'!V241),"\$([A-Z]+)\$[0-9]+"))))</f>
        <v/>
      </c>
      <c r="W241" s="7"/>
      <c r="X241" s="7"/>
    </row>
    <row r="242" spans="2:24" x14ac:dyDescent="0.25">
      <c r="B242" s="7"/>
      <c r="C242" s="7" t="str" cm="1">
        <f t="array" aca="1" ref="C242" ca="1">IF(OR('Raw Data'!C242="",LEN(TRIM('Raw Data'!C242))=0,Validate_Empty!C242&lt;&gt;"",Validate_Value!C242&lt;&gt;""),"",IF(OR(NOT(OR(LEN(TRIM('Raw Data'!B242:X242))&gt;0)),OR('Raw Data'!C242="",LEN(TRIM('Raw Data'!C242))=0)),"",IF(OR(AND('Raw Data'!B242="Main Contract", LEFT('Raw Data'!C242, LEN("Payment"))="Payment"),AND('Raw Data'!B242="Change Order", LEFT('Raw Data'!C242, LEN("CO Payment No."))="CO Payment No.")),"",_xlfn.REGEXEXTRACT(CELL("address",'Raw Data'!C242),"\$([A-Z]+)\$[0-9]+"))))</f>
        <v/>
      </c>
      <c r="D242" s="7"/>
      <c r="E242" s="7"/>
      <c r="F242" s="7"/>
      <c r="G242" s="7"/>
      <c r="H242" s="7"/>
      <c r="I242" s="7"/>
      <c r="J242" s="7"/>
      <c r="K242" s="7"/>
      <c r="L242" s="7"/>
      <c r="M242" s="7" t="str" cm="1">
        <f t="array" aca="1" ref="M242" ca="1">IF(OR('Raw Data'!M242="",LEN(TRIM('Raw Data'!M242))=0,Validate_Empty!M242&lt;&gt;"",Validate_Value!M242&lt;&gt;""),"",IF(OR(NOT(OR(LEN(TRIM('Raw Data'!B242:X242))&gt;0)),OR('Raw Data'!M242="",LEN(TRIM('Raw Data'!M242))=0)),"",IF('Raw Data'!M242 = SUM('Raw Data'!K242:L242),"",_xlfn.REGEXEXTRACT(CELL("address",'Raw Data'!M242),"\$([A-Z]+)\$[0-9]+"))))</f>
        <v/>
      </c>
      <c r="N242" s="7"/>
      <c r="O242" s="7"/>
      <c r="P242" s="7" t="str" cm="1">
        <f t="array" aca="1" ref="P242" ca="1">IF(OR('Raw Data'!P242="",LEN(TRIM('Raw Data'!P242))=0,Validate_Empty!P242&lt;&gt;"",Validate_Value!P242&lt;&gt;""),"",IF(OR(NOT(OR(LEN(TRIM('Raw Data'!B242:X242))&gt;0)),OR('Raw Data'!P242="",LEN(TRIM('Raw Data'!P242))=0)),"",IF(AND('Raw Data'!J242 + Configuration!$G$2 + 5 &gt;= 'Raw Data'!P242,'Raw Data'!J242 + Configuration!$G$2 - 5 &lt;= 'Raw Data'!P242),"",_xlfn.REGEXEXTRACT(CELL("address",'Raw Data'!P242),"\$([A-Z]+)\$[0-9]+"))))</f>
        <v/>
      </c>
      <c r="Q242" s="7"/>
      <c r="R242" s="7"/>
      <c r="S242" s="7"/>
      <c r="T242" s="7" t="str" cm="1">
        <f t="array" aca="1" ref="T242" ca="1">IF(OR('Raw Data'!T242="",LEN(TRIM('Raw Data'!T242))=0,Validate_Empty!T242&lt;&gt;"",Validate_Value!T242&lt;&gt;""),"",IF(OR(NOT(OR(LEN(TRIM('Raw Data'!B242:X242))&gt;0)),OR('Raw Data'!T242="",LEN(TRIM('Raw Data'!T242))=0)),"",IF('Raw Data'!T242 = SUM('Raw Data'!R242:S242),"",_xlfn.REGEXEXTRACT(CELL("address",'Raw Data'!T242),"\$([A-Z]+)\$[0-9]+"))))</f>
        <v/>
      </c>
      <c r="U242" s="7" t="str" cm="1">
        <f t="array" aca="1" ref="U242" ca="1">IF(OR('Raw Data'!U242="",LEN(TRIM('Raw Data'!U242))=0,Validate_Empty!U242&lt;&gt;"",Validate_Value!U242&lt;&gt;""),"",IF(OR(NOT(OR(LEN(TRIM('Raw Data'!B242:X242))&gt;0)),OR('Raw Data'!T242="",LEN(TRIM('Raw Data'!T242))=0)),"",IF(ISNUMBER(SEARCH('Raw Data'!U242, Configuration!$H$2)),"",_xlfn.REGEXEXTRACT(CELL("address",'Raw Data'!U242),"\$([A-Z]+)\$[0-9]+"))))</f>
        <v/>
      </c>
      <c r="V242" s="7" t="str" cm="1">
        <f t="array" aca="1" ref="V242" ca="1">IF(OR('Raw Data'!V242="",LEN(TRIM('Raw Data'!V242))=0,Validate_Empty!V242&lt;&gt;"",Validate_Value!V242&lt;&gt;""),"",IF(OR(NOT(OR(LEN(TRIM('Raw Data'!B242:X242))&gt;0)),OR('Raw Data'!V242="",LEN(TRIM('Raw Data'!V242))=0)),"",IF('Raw Data'!V242 = Configuration!$I$2,"",_xlfn.REGEXEXTRACT(CELL("address",'Raw Data'!V242),"\$([A-Z]+)\$[0-9]+"))))</f>
        <v/>
      </c>
      <c r="W242" s="7"/>
      <c r="X242" s="7"/>
    </row>
    <row r="243" spans="2:24" x14ac:dyDescent="0.25">
      <c r="B243" s="7"/>
      <c r="C243" s="7" t="str" cm="1">
        <f t="array" aca="1" ref="C243" ca="1">IF(OR('Raw Data'!C243="",LEN(TRIM('Raw Data'!C243))=0,Validate_Empty!C243&lt;&gt;"",Validate_Value!C243&lt;&gt;""),"",IF(OR(NOT(OR(LEN(TRIM('Raw Data'!B243:X243))&gt;0)),OR('Raw Data'!C243="",LEN(TRIM('Raw Data'!C243))=0)),"",IF(OR(AND('Raw Data'!B243="Main Contract", LEFT('Raw Data'!C243, LEN("Payment"))="Payment"),AND('Raw Data'!B243="Change Order", LEFT('Raw Data'!C243, LEN("CO Payment No."))="CO Payment No.")),"",_xlfn.REGEXEXTRACT(CELL("address",'Raw Data'!C243),"\$([A-Z]+)\$[0-9]+"))))</f>
        <v/>
      </c>
      <c r="D243" s="7"/>
      <c r="E243" s="7"/>
      <c r="F243" s="7"/>
      <c r="G243" s="7"/>
      <c r="H243" s="7"/>
      <c r="I243" s="7"/>
      <c r="J243" s="7"/>
      <c r="K243" s="7"/>
      <c r="L243" s="7"/>
      <c r="M243" s="7" t="str" cm="1">
        <f t="array" aca="1" ref="M243" ca="1">IF(OR('Raw Data'!M243="",LEN(TRIM('Raw Data'!M243))=0,Validate_Empty!M243&lt;&gt;"",Validate_Value!M243&lt;&gt;""),"",IF(OR(NOT(OR(LEN(TRIM('Raw Data'!B243:X243))&gt;0)),OR('Raw Data'!M243="",LEN(TRIM('Raw Data'!M243))=0)),"",IF('Raw Data'!M243 = SUM('Raw Data'!K243:L243),"",_xlfn.REGEXEXTRACT(CELL("address",'Raw Data'!M243),"\$([A-Z]+)\$[0-9]+"))))</f>
        <v/>
      </c>
      <c r="N243" s="7"/>
      <c r="O243" s="7"/>
      <c r="P243" s="7" t="str" cm="1">
        <f t="array" aca="1" ref="P243" ca="1">IF(OR('Raw Data'!P243="",LEN(TRIM('Raw Data'!P243))=0,Validate_Empty!P243&lt;&gt;"",Validate_Value!P243&lt;&gt;""),"",IF(OR(NOT(OR(LEN(TRIM('Raw Data'!B243:X243))&gt;0)),OR('Raw Data'!P243="",LEN(TRIM('Raw Data'!P243))=0)),"",IF(AND('Raw Data'!J243 + Configuration!$G$2 + 5 &gt;= 'Raw Data'!P243,'Raw Data'!J243 + Configuration!$G$2 - 5 &lt;= 'Raw Data'!P243),"",_xlfn.REGEXEXTRACT(CELL("address",'Raw Data'!P243),"\$([A-Z]+)\$[0-9]+"))))</f>
        <v/>
      </c>
      <c r="Q243" s="7"/>
      <c r="R243" s="7"/>
      <c r="S243" s="7"/>
      <c r="T243" s="7" t="str" cm="1">
        <f t="array" aca="1" ref="T243" ca="1">IF(OR('Raw Data'!T243="",LEN(TRIM('Raw Data'!T243))=0,Validate_Empty!T243&lt;&gt;"",Validate_Value!T243&lt;&gt;""),"",IF(OR(NOT(OR(LEN(TRIM('Raw Data'!B243:X243))&gt;0)),OR('Raw Data'!T243="",LEN(TRIM('Raw Data'!T243))=0)),"",IF('Raw Data'!T243 = SUM('Raw Data'!R243:S243),"",_xlfn.REGEXEXTRACT(CELL("address",'Raw Data'!T243),"\$([A-Z]+)\$[0-9]+"))))</f>
        <v/>
      </c>
      <c r="U243" s="7" t="str" cm="1">
        <f t="array" aca="1" ref="U243" ca="1">IF(OR('Raw Data'!U243="",LEN(TRIM('Raw Data'!U243))=0,Validate_Empty!U243&lt;&gt;"",Validate_Value!U243&lt;&gt;""),"",IF(OR(NOT(OR(LEN(TRIM('Raw Data'!B243:X243))&gt;0)),OR('Raw Data'!T243="",LEN(TRIM('Raw Data'!T243))=0)),"",IF(ISNUMBER(SEARCH('Raw Data'!U243, Configuration!$H$2)),"",_xlfn.REGEXEXTRACT(CELL("address",'Raw Data'!U243),"\$([A-Z]+)\$[0-9]+"))))</f>
        <v/>
      </c>
      <c r="V243" s="7" t="str" cm="1">
        <f t="array" aca="1" ref="V243" ca="1">IF(OR('Raw Data'!V243="",LEN(TRIM('Raw Data'!V243))=0,Validate_Empty!V243&lt;&gt;"",Validate_Value!V243&lt;&gt;""),"",IF(OR(NOT(OR(LEN(TRIM('Raw Data'!B243:X243))&gt;0)),OR('Raw Data'!V243="",LEN(TRIM('Raw Data'!V243))=0)),"",IF('Raw Data'!V243 = Configuration!$I$2,"",_xlfn.REGEXEXTRACT(CELL("address",'Raw Data'!V243),"\$([A-Z]+)\$[0-9]+"))))</f>
        <v/>
      </c>
      <c r="W243" s="7"/>
      <c r="X243" s="7"/>
    </row>
    <row r="244" spans="2:24" x14ac:dyDescent="0.25">
      <c r="B244" s="7"/>
      <c r="C244" s="7" t="str" cm="1">
        <f t="array" aca="1" ref="C244" ca="1">IF(OR('Raw Data'!C244="",LEN(TRIM('Raw Data'!C244))=0,Validate_Empty!C244&lt;&gt;"",Validate_Value!C244&lt;&gt;""),"",IF(OR(NOT(OR(LEN(TRIM('Raw Data'!B244:X244))&gt;0)),OR('Raw Data'!C244="",LEN(TRIM('Raw Data'!C244))=0)),"",IF(OR(AND('Raw Data'!B244="Main Contract", LEFT('Raw Data'!C244, LEN("Payment"))="Payment"),AND('Raw Data'!B244="Change Order", LEFT('Raw Data'!C244, LEN("CO Payment No."))="CO Payment No.")),"",_xlfn.REGEXEXTRACT(CELL("address",'Raw Data'!C244),"\$([A-Z]+)\$[0-9]+"))))</f>
        <v/>
      </c>
      <c r="D244" s="7"/>
      <c r="E244" s="7"/>
      <c r="F244" s="7"/>
      <c r="G244" s="7"/>
      <c r="H244" s="7"/>
      <c r="I244" s="7"/>
      <c r="J244" s="7"/>
      <c r="K244" s="7"/>
      <c r="L244" s="7"/>
      <c r="M244" s="7" t="str" cm="1">
        <f t="array" aca="1" ref="M244" ca="1">IF(OR('Raw Data'!M244="",LEN(TRIM('Raw Data'!M244))=0,Validate_Empty!M244&lt;&gt;"",Validate_Value!M244&lt;&gt;""),"",IF(OR(NOT(OR(LEN(TRIM('Raw Data'!B244:X244))&gt;0)),OR('Raw Data'!M244="",LEN(TRIM('Raw Data'!M244))=0)),"",IF('Raw Data'!M244 = SUM('Raw Data'!K244:L244),"",_xlfn.REGEXEXTRACT(CELL("address",'Raw Data'!M244),"\$([A-Z]+)\$[0-9]+"))))</f>
        <v/>
      </c>
      <c r="N244" s="7"/>
      <c r="O244" s="7"/>
      <c r="P244" s="7" t="str" cm="1">
        <f t="array" aca="1" ref="P244" ca="1">IF(OR('Raw Data'!P244="",LEN(TRIM('Raw Data'!P244))=0,Validate_Empty!P244&lt;&gt;"",Validate_Value!P244&lt;&gt;""),"",IF(OR(NOT(OR(LEN(TRIM('Raw Data'!B244:X244))&gt;0)),OR('Raw Data'!P244="",LEN(TRIM('Raw Data'!P244))=0)),"",IF(AND('Raw Data'!J244 + Configuration!$G$2 + 5 &gt;= 'Raw Data'!P244,'Raw Data'!J244 + Configuration!$G$2 - 5 &lt;= 'Raw Data'!P244),"",_xlfn.REGEXEXTRACT(CELL("address",'Raw Data'!P244),"\$([A-Z]+)\$[0-9]+"))))</f>
        <v/>
      </c>
      <c r="Q244" s="7"/>
      <c r="R244" s="7"/>
      <c r="S244" s="7"/>
      <c r="T244" s="7" t="str" cm="1">
        <f t="array" aca="1" ref="T244" ca="1">IF(OR('Raw Data'!T244="",LEN(TRIM('Raw Data'!T244))=0,Validate_Empty!T244&lt;&gt;"",Validate_Value!T244&lt;&gt;""),"",IF(OR(NOT(OR(LEN(TRIM('Raw Data'!B244:X244))&gt;0)),OR('Raw Data'!T244="",LEN(TRIM('Raw Data'!T244))=0)),"",IF('Raw Data'!T244 = SUM('Raw Data'!R244:S244),"",_xlfn.REGEXEXTRACT(CELL("address",'Raw Data'!T244),"\$([A-Z]+)\$[0-9]+"))))</f>
        <v/>
      </c>
      <c r="U244" s="7" t="str" cm="1">
        <f t="array" aca="1" ref="U244" ca="1">IF(OR('Raw Data'!U244="",LEN(TRIM('Raw Data'!U244))=0,Validate_Empty!U244&lt;&gt;"",Validate_Value!U244&lt;&gt;""),"",IF(OR(NOT(OR(LEN(TRIM('Raw Data'!B244:X244))&gt;0)),OR('Raw Data'!T244="",LEN(TRIM('Raw Data'!T244))=0)),"",IF(ISNUMBER(SEARCH('Raw Data'!U244, Configuration!$H$2)),"",_xlfn.REGEXEXTRACT(CELL("address",'Raw Data'!U244),"\$([A-Z]+)\$[0-9]+"))))</f>
        <v/>
      </c>
      <c r="V244" s="7" t="str" cm="1">
        <f t="array" aca="1" ref="V244" ca="1">IF(OR('Raw Data'!V244="",LEN(TRIM('Raw Data'!V244))=0,Validate_Empty!V244&lt;&gt;"",Validate_Value!V244&lt;&gt;""),"",IF(OR(NOT(OR(LEN(TRIM('Raw Data'!B244:X244))&gt;0)),OR('Raw Data'!V244="",LEN(TRIM('Raw Data'!V244))=0)),"",IF('Raw Data'!V244 = Configuration!$I$2,"",_xlfn.REGEXEXTRACT(CELL("address",'Raw Data'!V244),"\$([A-Z]+)\$[0-9]+"))))</f>
        <v/>
      </c>
      <c r="W244" s="7"/>
      <c r="X244" s="7"/>
    </row>
    <row r="245" spans="2:24" x14ac:dyDescent="0.25">
      <c r="B245" s="7"/>
      <c r="C245" s="7" t="str" cm="1">
        <f t="array" aca="1" ref="C245" ca="1">IF(OR('Raw Data'!C245="",LEN(TRIM('Raw Data'!C245))=0,Validate_Empty!C245&lt;&gt;"",Validate_Value!C245&lt;&gt;""),"",IF(OR(NOT(OR(LEN(TRIM('Raw Data'!B245:X245))&gt;0)),OR('Raw Data'!C245="",LEN(TRIM('Raw Data'!C245))=0)),"",IF(OR(AND('Raw Data'!B245="Main Contract", LEFT('Raw Data'!C245, LEN("Payment"))="Payment"),AND('Raw Data'!B245="Change Order", LEFT('Raw Data'!C245, LEN("CO Payment No."))="CO Payment No.")),"",_xlfn.REGEXEXTRACT(CELL("address",'Raw Data'!C245),"\$([A-Z]+)\$[0-9]+"))))</f>
        <v/>
      </c>
      <c r="D245" s="7"/>
      <c r="E245" s="7"/>
      <c r="F245" s="7"/>
      <c r="G245" s="7"/>
      <c r="H245" s="7"/>
      <c r="I245" s="7"/>
      <c r="J245" s="7"/>
      <c r="K245" s="7"/>
      <c r="L245" s="7"/>
      <c r="M245" s="7" t="str" cm="1">
        <f t="array" aca="1" ref="M245" ca="1">IF(OR('Raw Data'!M245="",LEN(TRIM('Raw Data'!M245))=0,Validate_Empty!M245&lt;&gt;"",Validate_Value!M245&lt;&gt;""),"",IF(OR(NOT(OR(LEN(TRIM('Raw Data'!B245:X245))&gt;0)),OR('Raw Data'!M245="",LEN(TRIM('Raw Data'!M245))=0)),"",IF('Raw Data'!M245 = SUM('Raw Data'!K245:L245),"",_xlfn.REGEXEXTRACT(CELL("address",'Raw Data'!M245),"\$([A-Z]+)\$[0-9]+"))))</f>
        <v/>
      </c>
      <c r="N245" s="7"/>
      <c r="O245" s="7"/>
      <c r="P245" s="7" t="str" cm="1">
        <f t="array" aca="1" ref="P245" ca="1">IF(OR('Raw Data'!P245="",LEN(TRIM('Raw Data'!P245))=0,Validate_Empty!P245&lt;&gt;"",Validate_Value!P245&lt;&gt;""),"",IF(OR(NOT(OR(LEN(TRIM('Raw Data'!B245:X245))&gt;0)),OR('Raw Data'!P245="",LEN(TRIM('Raw Data'!P245))=0)),"",IF(AND('Raw Data'!J245 + Configuration!$G$2 + 5 &gt;= 'Raw Data'!P245,'Raw Data'!J245 + Configuration!$G$2 - 5 &lt;= 'Raw Data'!P245),"",_xlfn.REGEXEXTRACT(CELL("address",'Raw Data'!P245),"\$([A-Z]+)\$[0-9]+"))))</f>
        <v/>
      </c>
      <c r="Q245" s="7"/>
      <c r="R245" s="7"/>
      <c r="S245" s="7"/>
      <c r="T245" s="7" t="str" cm="1">
        <f t="array" aca="1" ref="T245" ca="1">IF(OR('Raw Data'!T245="",LEN(TRIM('Raw Data'!T245))=0,Validate_Empty!T245&lt;&gt;"",Validate_Value!T245&lt;&gt;""),"",IF(OR(NOT(OR(LEN(TRIM('Raw Data'!B245:X245))&gt;0)),OR('Raw Data'!T245="",LEN(TRIM('Raw Data'!T245))=0)),"",IF('Raw Data'!T245 = SUM('Raw Data'!R245:S245),"",_xlfn.REGEXEXTRACT(CELL("address",'Raw Data'!T245),"\$([A-Z]+)\$[0-9]+"))))</f>
        <v/>
      </c>
      <c r="U245" s="7" t="str" cm="1">
        <f t="array" aca="1" ref="U245" ca="1">IF(OR('Raw Data'!U245="",LEN(TRIM('Raw Data'!U245))=0,Validate_Empty!U245&lt;&gt;"",Validate_Value!U245&lt;&gt;""),"",IF(OR(NOT(OR(LEN(TRIM('Raw Data'!B245:X245))&gt;0)),OR('Raw Data'!T245="",LEN(TRIM('Raw Data'!T245))=0)),"",IF(ISNUMBER(SEARCH('Raw Data'!U245, Configuration!$H$2)),"",_xlfn.REGEXEXTRACT(CELL("address",'Raw Data'!U245),"\$([A-Z]+)\$[0-9]+"))))</f>
        <v/>
      </c>
      <c r="V245" s="7" t="str" cm="1">
        <f t="array" aca="1" ref="V245" ca="1">IF(OR('Raw Data'!V245="",LEN(TRIM('Raw Data'!V245))=0,Validate_Empty!V245&lt;&gt;"",Validate_Value!V245&lt;&gt;""),"",IF(OR(NOT(OR(LEN(TRIM('Raw Data'!B245:X245))&gt;0)),OR('Raw Data'!V245="",LEN(TRIM('Raw Data'!V245))=0)),"",IF('Raw Data'!V245 = Configuration!$I$2,"",_xlfn.REGEXEXTRACT(CELL("address",'Raw Data'!V245),"\$([A-Z]+)\$[0-9]+"))))</f>
        <v/>
      </c>
      <c r="W245" s="7"/>
      <c r="X245" s="7"/>
    </row>
    <row r="246" spans="2:24" x14ac:dyDescent="0.25">
      <c r="B246" s="7"/>
      <c r="C246" s="7" t="str" cm="1">
        <f t="array" aca="1" ref="C246" ca="1">IF(OR('Raw Data'!C246="",LEN(TRIM('Raw Data'!C246))=0,Validate_Empty!C246&lt;&gt;"",Validate_Value!C246&lt;&gt;""),"",IF(OR(NOT(OR(LEN(TRIM('Raw Data'!B246:X246))&gt;0)),OR('Raw Data'!C246="",LEN(TRIM('Raw Data'!C246))=0)),"",IF(OR(AND('Raw Data'!B246="Main Contract", LEFT('Raw Data'!C246, LEN("Payment"))="Payment"),AND('Raw Data'!B246="Change Order", LEFT('Raw Data'!C246, LEN("CO Payment No."))="CO Payment No.")),"",_xlfn.REGEXEXTRACT(CELL("address",'Raw Data'!C246),"\$([A-Z]+)\$[0-9]+"))))</f>
        <v/>
      </c>
      <c r="D246" s="7"/>
      <c r="E246" s="7"/>
      <c r="F246" s="7"/>
      <c r="G246" s="7"/>
      <c r="H246" s="7"/>
      <c r="I246" s="7"/>
      <c r="J246" s="7"/>
      <c r="K246" s="7"/>
      <c r="L246" s="7"/>
      <c r="M246" s="7" t="str" cm="1">
        <f t="array" aca="1" ref="M246" ca="1">IF(OR('Raw Data'!M246="",LEN(TRIM('Raw Data'!M246))=0,Validate_Empty!M246&lt;&gt;"",Validate_Value!M246&lt;&gt;""),"",IF(OR(NOT(OR(LEN(TRIM('Raw Data'!B246:X246))&gt;0)),OR('Raw Data'!M246="",LEN(TRIM('Raw Data'!M246))=0)),"",IF('Raw Data'!M246 = SUM('Raw Data'!K246:L246),"",_xlfn.REGEXEXTRACT(CELL("address",'Raw Data'!M246),"\$([A-Z]+)\$[0-9]+"))))</f>
        <v/>
      </c>
      <c r="N246" s="7"/>
      <c r="O246" s="7"/>
      <c r="P246" s="7" t="str" cm="1">
        <f t="array" aca="1" ref="P246" ca="1">IF(OR('Raw Data'!P246="",LEN(TRIM('Raw Data'!P246))=0,Validate_Empty!P246&lt;&gt;"",Validate_Value!P246&lt;&gt;""),"",IF(OR(NOT(OR(LEN(TRIM('Raw Data'!B246:X246))&gt;0)),OR('Raw Data'!P246="",LEN(TRIM('Raw Data'!P246))=0)),"",IF(AND('Raw Data'!J246 + Configuration!$G$2 + 5 &gt;= 'Raw Data'!P246,'Raw Data'!J246 + Configuration!$G$2 - 5 &lt;= 'Raw Data'!P246),"",_xlfn.REGEXEXTRACT(CELL("address",'Raw Data'!P246),"\$([A-Z]+)\$[0-9]+"))))</f>
        <v/>
      </c>
      <c r="Q246" s="7"/>
      <c r="R246" s="7"/>
      <c r="S246" s="7"/>
      <c r="T246" s="7" t="str" cm="1">
        <f t="array" aca="1" ref="T246" ca="1">IF(OR('Raw Data'!T246="",LEN(TRIM('Raw Data'!T246))=0,Validate_Empty!T246&lt;&gt;"",Validate_Value!T246&lt;&gt;""),"",IF(OR(NOT(OR(LEN(TRIM('Raw Data'!B246:X246))&gt;0)),OR('Raw Data'!T246="",LEN(TRIM('Raw Data'!T246))=0)),"",IF('Raw Data'!T246 = SUM('Raw Data'!R246:S246),"",_xlfn.REGEXEXTRACT(CELL("address",'Raw Data'!T246),"\$([A-Z]+)\$[0-9]+"))))</f>
        <v/>
      </c>
      <c r="U246" s="7" t="str" cm="1">
        <f t="array" aca="1" ref="U246" ca="1">IF(OR('Raw Data'!U246="",LEN(TRIM('Raw Data'!U246))=0,Validate_Empty!U246&lt;&gt;"",Validate_Value!U246&lt;&gt;""),"",IF(OR(NOT(OR(LEN(TRIM('Raw Data'!B246:X246))&gt;0)),OR('Raw Data'!T246="",LEN(TRIM('Raw Data'!T246))=0)),"",IF(ISNUMBER(SEARCH('Raw Data'!U246, Configuration!$H$2)),"",_xlfn.REGEXEXTRACT(CELL("address",'Raw Data'!U246),"\$([A-Z]+)\$[0-9]+"))))</f>
        <v/>
      </c>
      <c r="V246" s="7" t="str" cm="1">
        <f t="array" aca="1" ref="V246" ca="1">IF(OR('Raw Data'!V246="",LEN(TRIM('Raw Data'!V246))=0,Validate_Empty!V246&lt;&gt;"",Validate_Value!V246&lt;&gt;""),"",IF(OR(NOT(OR(LEN(TRIM('Raw Data'!B246:X246))&gt;0)),OR('Raw Data'!V246="",LEN(TRIM('Raw Data'!V246))=0)),"",IF('Raw Data'!V246 = Configuration!$I$2,"",_xlfn.REGEXEXTRACT(CELL("address",'Raw Data'!V246),"\$([A-Z]+)\$[0-9]+"))))</f>
        <v/>
      </c>
      <c r="W246" s="7"/>
      <c r="X246" s="7"/>
    </row>
    <row r="247" spans="2:24" x14ac:dyDescent="0.25">
      <c r="B247" s="7"/>
      <c r="C247" s="7" t="str" cm="1">
        <f t="array" aca="1" ref="C247" ca="1">IF(OR('Raw Data'!C247="",LEN(TRIM('Raw Data'!C247))=0,Validate_Empty!C247&lt;&gt;"",Validate_Value!C247&lt;&gt;""),"",IF(OR(NOT(OR(LEN(TRIM('Raw Data'!B247:X247))&gt;0)),OR('Raw Data'!C247="",LEN(TRIM('Raw Data'!C247))=0)),"",IF(OR(AND('Raw Data'!B247="Main Contract", LEFT('Raw Data'!C247, LEN("Payment"))="Payment"),AND('Raw Data'!B247="Change Order", LEFT('Raw Data'!C247, LEN("CO Payment No."))="CO Payment No.")),"",_xlfn.REGEXEXTRACT(CELL("address",'Raw Data'!C247),"\$([A-Z]+)\$[0-9]+"))))</f>
        <v/>
      </c>
      <c r="D247" s="7"/>
      <c r="E247" s="7"/>
      <c r="F247" s="7"/>
      <c r="G247" s="7"/>
      <c r="H247" s="7"/>
      <c r="I247" s="7"/>
      <c r="J247" s="7"/>
      <c r="K247" s="7"/>
      <c r="L247" s="7"/>
      <c r="M247" s="7" t="str" cm="1">
        <f t="array" aca="1" ref="M247" ca="1">IF(OR('Raw Data'!M247="",LEN(TRIM('Raw Data'!M247))=0,Validate_Empty!M247&lt;&gt;"",Validate_Value!M247&lt;&gt;""),"",IF(OR(NOT(OR(LEN(TRIM('Raw Data'!B247:X247))&gt;0)),OR('Raw Data'!M247="",LEN(TRIM('Raw Data'!M247))=0)),"",IF('Raw Data'!M247 = SUM('Raw Data'!K247:L247),"",_xlfn.REGEXEXTRACT(CELL("address",'Raw Data'!M247),"\$([A-Z]+)\$[0-9]+"))))</f>
        <v/>
      </c>
      <c r="N247" s="7"/>
      <c r="O247" s="7"/>
      <c r="P247" s="7" t="str" cm="1">
        <f t="array" aca="1" ref="P247" ca="1">IF(OR('Raw Data'!P247="",LEN(TRIM('Raw Data'!P247))=0,Validate_Empty!P247&lt;&gt;"",Validate_Value!P247&lt;&gt;""),"",IF(OR(NOT(OR(LEN(TRIM('Raw Data'!B247:X247))&gt;0)),OR('Raw Data'!P247="",LEN(TRIM('Raw Data'!P247))=0)),"",IF(AND('Raw Data'!J247 + Configuration!$G$2 + 5 &gt;= 'Raw Data'!P247,'Raw Data'!J247 + Configuration!$G$2 - 5 &lt;= 'Raw Data'!P247),"",_xlfn.REGEXEXTRACT(CELL("address",'Raw Data'!P247),"\$([A-Z]+)\$[0-9]+"))))</f>
        <v/>
      </c>
      <c r="Q247" s="7"/>
      <c r="R247" s="7"/>
      <c r="S247" s="7"/>
      <c r="T247" s="7" t="str" cm="1">
        <f t="array" aca="1" ref="T247" ca="1">IF(OR('Raw Data'!T247="",LEN(TRIM('Raw Data'!T247))=0,Validate_Empty!T247&lt;&gt;"",Validate_Value!T247&lt;&gt;""),"",IF(OR(NOT(OR(LEN(TRIM('Raw Data'!B247:X247))&gt;0)),OR('Raw Data'!T247="",LEN(TRIM('Raw Data'!T247))=0)),"",IF('Raw Data'!T247 = SUM('Raw Data'!R247:S247),"",_xlfn.REGEXEXTRACT(CELL("address",'Raw Data'!T247),"\$([A-Z]+)\$[0-9]+"))))</f>
        <v/>
      </c>
      <c r="U247" s="7" t="str" cm="1">
        <f t="array" aca="1" ref="U247" ca="1">IF(OR('Raw Data'!U247="",LEN(TRIM('Raw Data'!U247))=0,Validate_Empty!U247&lt;&gt;"",Validate_Value!U247&lt;&gt;""),"",IF(OR(NOT(OR(LEN(TRIM('Raw Data'!B247:X247))&gt;0)),OR('Raw Data'!T247="",LEN(TRIM('Raw Data'!T247))=0)),"",IF(ISNUMBER(SEARCH('Raw Data'!U247, Configuration!$H$2)),"",_xlfn.REGEXEXTRACT(CELL("address",'Raw Data'!U247),"\$([A-Z]+)\$[0-9]+"))))</f>
        <v/>
      </c>
      <c r="V247" s="7" t="str" cm="1">
        <f t="array" aca="1" ref="V247" ca="1">IF(OR('Raw Data'!V247="",LEN(TRIM('Raw Data'!V247))=0,Validate_Empty!V247&lt;&gt;"",Validate_Value!V247&lt;&gt;""),"",IF(OR(NOT(OR(LEN(TRIM('Raw Data'!B247:X247))&gt;0)),OR('Raw Data'!V247="",LEN(TRIM('Raw Data'!V247))=0)),"",IF('Raw Data'!V247 = Configuration!$I$2,"",_xlfn.REGEXEXTRACT(CELL("address",'Raw Data'!V247),"\$([A-Z]+)\$[0-9]+"))))</f>
        <v/>
      </c>
      <c r="W247" s="7"/>
      <c r="X247" s="7"/>
    </row>
    <row r="248" spans="2:24" x14ac:dyDescent="0.25">
      <c r="B248" s="7"/>
      <c r="C248" s="7" t="str" cm="1">
        <f t="array" aca="1" ref="C248" ca="1">IF(OR('Raw Data'!C248="",LEN(TRIM('Raw Data'!C248))=0,Validate_Empty!C248&lt;&gt;"",Validate_Value!C248&lt;&gt;""),"",IF(OR(NOT(OR(LEN(TRIM('Raw Data'!B248:X248))&gt;0)),OR('Raw Data'!C248="",LEN(TRIM('Raw Data'!C248))=0)),"",IF(OR(AND('Raw Data'!B248="Main Contract", LEFT('Raw Data'!C248, LEN("Payment"))="Payment"),AND('Raw Data'!B248="Change Order", LEFT('Raw Data'!C248, LEN("CO Payment No."))="CO Payment No.")),"",_xlfn.REGEXEXTRACT(CELL("address",'Raw Data'!C248),"\$([A-Z]+)\$[0-9]+"))))</f>
        <v/>
      </c>
      <c r="D248" s="7"/>
      <c r="E248" s="7"/>
      <c r="F248" s="7"/>
      <c r="G248" s="7"/>
      <c r="H248" s="7"/>
      <c r="I248" s="7"/>
      <c r="J248" s="7"/>
      <c r="K248" s="7"/>
      <c r="L248" s="7"/>
      <c r="M248" s="7" t="str" cm="1">
        <f t="array" aca="1" ref="M248" ca="1">IF(OR('Raw Data'!M248="",LEN(TRIM('Raw Data'!M248))=0,Validate_Empty!M248&lt;&gt;"",Validate_Value!M248&lt;&gt;""),"",IF(OR(NOT(OR(LEN(TRIM('Raw Data'!B248:X248))&gt;0)),OR('Raw Data'!M248="",LEN(TRIM('Raw Data'!M248))=0)),"",IF('Raw Data'!M248 = SUM('Raw Data'!K248:L248),"",_xlfn.REGEXEXTRACT(CELL("address",'Raw Data'!M248),"\$([A-Z]+)\$[0-9]+"))))</f>
        <v/>
      </c>
      <c r="N248" s="7"/>
      <c r="O248" s="7"/>
      <c r="P248" s="7" t="str" cm="1">
        <f t="array" aca="1" ref="P248" ca="1">IF(OR('Raw Data'!P248="",LEN(TRIM('Raw Data'!P248))=0,Validate_Empty!P248&lt;&gt;"",Validate_Value!P248&lt;&gt;""),"",IF(OR(NOT(OR(LEN(TRIM('Raw Data'!B248:X248))&gt;0)),OR('Raw Data'!P248="",LEN(TRIM('Raw Data'!P248))=0)),"",IF(AND('Raw Data'!J248 + Configuration!$G$2 + 5 &gt;= 'Raw Data'!P248,'Raw Data'!J248 + Configuration!$G$2 - 5 &lt;= 'Raw Data'!P248),"",_xlfn.REGEXEXTRACT(CELL("address",'Raw Data'!P248),"\$([A-Z]+)\$[0-9]+"))))</f>
        <v/>
      </c>
      <c r="Q248" s="7"/>
      <c r="R248" s="7"/>
      <c r="S248" s="7"/>
      <c r="T248" s="7" t="str" cm="1">
        <f t="array" aca="1" ref="T248" ca="1">IF(OR('Raw Data'!T248="",LEN(TRIM('Raw Data'!T248))=0,Validate_Empty!T248&lt;&gt;"",Validate_Value!T248&lt;&gt;""),"",IF(OR(NOT(OR(LEN(TRIM('Raw Data'!B248:X248))&gt;0)),OR('Raw Data'!T248="",LEN(TRIM('Raw Data'!T248))=0)),"",IF('Raw Data'!T248 = SUM('Raw Data'!R248:S248),"",_xlfn.REGEXEXTRACT(CELL("address",'Raw Data'!T248),"\$([A-Z]+)\$[0-9]+"))))</f>
        <v/>
      </c>
      <c r="U248" s="7" t="str" cm="1">
        <f t="array" aca="1" ref="U248" ca="1">IF(OR('Raw Data'!U248="",LEN(TRIM('Raw Data'!U248))=0,Validate_Empty!U248&lt;&gt;"",Validate_Value!U248&lt;&gt;""),"",IF(OR(NOT(OR(LEN(TRIM('Raw Data'!B248:X248))&gt;0)),OR('Raw Data'!T248="",LEN(TRIM('Raw Data'!T248))=0)),"",IF(ISNUMBER(SEARCH('Raw Data'!U248, Configuration!$H$2)),"",_xlfn.REGEXEXTRACT(CELL("address",'Raw Data'!U248),"\$([A-Z]+)\$[0-9]+"))))</f>
        <v/>
      </c>
      <c r="V248" s="7" t="str" cm="1">
        <f t="array" aca="1" ref="V248" ca="1">IF(OR('Raw Data'!V248="",LEN(TRIM('Raw Data'!V248))=0,Validate_Empty!V248&lt;&gt;"",Validate_Value!V248&lt;&gt;""),"",IF(OR(NOT(OR(LEN(TRIM('Raw Data'!B248:X248))&gt;0)),OR('Raw Data'!V248="",LEN(TRIM('Raw Data'!V248))=0)),"",IF('Raw Data'!V248 = Configuration!$I$2,"",_xlfn.REGEXEXTRACT(CELL("address",'Raw Data'!V248),"\$([A-Z]+)\$[0-9]+"))))</f>
        <v/>
      </c>
      <c r="W248" s="7"/>
      <c r="X248" s="7"/>
    </row>
    <row r="249" spans="2:24" x14ac:dyDescent="0.25">
      <c r="B249" s="7"/>
      <c r="C249" s="7" t="str" cm="1">
        <f t="array" aca="1" ref="C249" ca="1">IF(OR('Raw Data'!C249="",LEN(TRIM('Raw Data'!C249))=0,Validate_Empty!C249&lt;&gt;"",Validate_Value!C249&lt;&gt;""),"",IF(OR(NOT(OR(LEN(TRIM('Raw Data'!B249:X249))&gt;0)),OR('Raw Data'!C249="",LEN(TRIM('Raw Data'!C249))=0)),"",IF(OR(AND('Raw Data'!B249="Main Contract", LEFT('Raw Data'!C249, LEN("Payment"))="Payment"),AND('Raw Data'!B249="Change Order", LEFT('Raw Data'!C249, LEN("CO Payment No."))="CO Payment No.")),"",_xlfn.REGEXEXTRACT(CELL("address",'Raw Data'!C249),"\$([A-Z]+)\$[0-9]+"))))</f>
        <v/>
      </c>
      <c r="D249" s="7"/>
      <c r="E249" s="7"/>
      <c r="F249" s="7"/>
      <c r="G249" s="7"/>
      <c r="H249" s="7"/>
      <c r="I249" s="7"/>
      <c r="J249" s="7"/>
      <c r="K249" s="7"/>
      <c r="L249" s="7"/>
      <c r="M249" s="7" t="str" cm="1">
        <f t="array" aca="1" ref="M249" ca="1">IF(OR('Raw Data'!M249="",LEN(TRIM('Raw Data'!M249))=0,Validate_Empty!M249&lt;&gt;"",Validate_Value!M249&lt;&gt;""),"",IF(OR(NOT(OR(LEN(TRIM('Raw Data'!B249:X249))&gt;0)),OR('Raw Data'!M249="",LEN(TRIM('Raw Data'!M249))=0)),"",IF('Raw Data'!M249 = SUM('Raw Data'!K249:L249),"",_xlfn.REGEXEXTRACT(CELL("address",'Raw Data'!M249),"\$([A-Z]+)\$[0-9]+"))))</f>
        <v/>
      </c>
      <c r="N249" s="7"/>
      <c r="O249" s="7"/>
      <c r="P249" s="7" t="str" cm="1">
        <f t="array" aca="1" ref="P249" ca="1">IF(OR('Raw Data'!P249="",LEN(TRIM('Raw Data'!P249))=0,Validate_Empty!P249&lt;&gt;"",Validate_Value!P249&lt;&gt;""),"",IF(OR(NOT(OR(LEN(TRIM('Raw Data'!B249:X249))&gt;0)),OR('Raw Data'!P249="",LEN(TRIM('Raw Data'!P249))=0)),"",IF(AND('Raw Data'!J249 + Configuration!$G$2 + 5 &gt;= 'Raw Data'!P249,'Raw Data'!J249 + Configuration!$G$2 - 5 &lt;= 'Raw Data'!P249),"",_xlfn.REGEXEXTRACT(CELL("address",'Raw Data'!P249),"\$([A-Z]+)\$[0-9]+"))))</f>
        <v/>
      </c>
      <c r="Q249" s="7"/>
      <c r="R249" s="7"/>
      <c r="S249" s="7"/>
      <c r="T249" s="7" t="str" cm="1">
        <f t="array" aca="1" ref="T249" ca="1">IF(OR('Raw Data'!T249="",LEN(TRIM('Raw Data'!T249))=0,Validate_Empty!T249&lt;&gt;"",Validate_Value!T249&lt;&gt;""),"",IF(OR(NOT(OR(LEN(TRIM('Raw Data'!B249:X249))&gt;0)),OR('Raw Data'!T249="",LEN(TRIM('Raw Data'!T249))=0)),"",IF('Raw Data'!T249 = SUM('Raw Data'!R249:S249),"",_xlfn.REGEXEXTRACT(CELL("address",'Raw Data'!T249),"\$([A-Z]+)\$[0-9]+"))))</f>
        <v/>
      </c>
      <c r="U249" s="7" t="str" cm="1">
        <f t="array" aca="1" ref="U249" ca="1">IF(OR('Raw Data'!U249="",LEN(TRIM('Raw Data'!U249))=0,Validate_Empty!U249&lt;&gt;"",Validate_Value!U249&lt;&gt;""),"",IF(OR(NOT(OR(LEN(TRIM('Raw Data'!B249:X249))&gt;0)),OR('Raw Data'!T249="",LEN(TRIM('Raw Data'!T249))=0)),"",IF(ISNUMBER(SEARCH('Raw Data'!U249, Configuration!$H$2)),"",_xlfn.REGEXEXTRACT(CELL("address",'Raw Data'!U249),"\$([A-Z]+)\$[0-9]+"))))</f>
        <v/>
      </c>
      <c r="V249" s="7" t="str" cm="1">
        <f t="array" aca="1" ref="V249" ca="1">IF(OR('Raw Data'!V249="",LEN(TRIM('Raw Data'!V249))=0,Validate_Empty!V249&lt;&gt;"",Validate_Value!V249&lt;&gt;""),"",IF(OR(NOT(OR(LEN(TRIM('Raw Data'!B249:X249))&gt;0)),OR('Raw Data'!V249="",LEN(TRIM('Raw Data'!V249))=0)),"",IF('Raw Data'!V249 = Configuration!$I$2,"",_xlfn.REGEXEXTRACT(CELL("address",'Raw Data'!V249),"\$([A-Z]+)\$[0-9]+"))))</f>
        <v/>
      </c>
      <c r="W249" s="7"/>
      <c r="X249" s="7"/>
    </row>
    <row r="250" spans="2:24" x14ac:dyDescent="0.25">
      <c r="B250" s="7"/>
      <c r="C250" s="7" t="str" cm="1">
        <f t="array" aca="1" ref="C250" ca="1">IF(OR('Raw Data'!C250="",LEN(TRIM('Raw Data'!C250))=0,Validate_Empty!C250&lt;&gt;"",Validate_Value!C250&lt;&gt;""),"",IF(OR(NOT(OR(LEN(TRIM('Raw Data'!B250:X250))&gt;0)),OR('Raw Data'!C250="",LEN(TRIM('Raw Data'!C250))=0)),"",IF(OR(AND('Raw Data'!B250="Main Contract", LEFT('Raw Data'!C250, LEN("Payment"))="Payment"),AND('Raw Data'!B250="Change Order", LEFT('Raw Data'!C250, LEN("CO Payment No."))="CO Payment No.")),"",_xlfn.REGEXEXTRACT(CELL("address",'Raw Data'!C250),"\$([A-Z]+)\$[0-9]+"))))</f>
        <v/>
      </c>
      <c r="D250" s="7"/>
      <c r="E250" s="7"/>
      <c r="F250" s="7"/>
      <c r="G250" s="7"/>
      <c r="H250" s="7"/>
      <c r="I250" s="7"/>
      <c r="J250" s="7"/>
      <c r="K250" s="7"/>
      <c r="L250" s="7"/>
      <c r="M250" s="7" t="str" cm="1">
        <f t="array" aca="1" ref="M250" ca="1">IF(OR('Raw Data'!M250="",LEN(TRIM('Raw Data'!M250))=0,Validate_Empty!M250&lt;&gt;"",Validate_Value!M250&lt;&gt;""),"",IF(OR(NOT(OR(LEN(TRIM('Raw Data'!B250:X250))&gt;0)),OR('Raw Data'!M250="",LEN(TRIM('Raw Data'!M250))=0)),"",IF('Raw Data'!M250 = SUM('Raw Data'!K250:L250),"",_xlfn.REGEXEXTRACT(CELL("address",'Raw Data'!M250),"\$([A-Z]+)\$[0-9]+"))))</f>
        <v/>
      </c>
      <c r="N250" s="7"/>
      <c r="O250" s="7"/>
      <c r="P250" s="7" t="str" cm="1">
        <f t="array" aca="1" ref="P250" ca="1">IF(OR('Raw Data'!P250="",LEN(TRIM('Raw Data'!P250))=0,Validate_Empty!P250&lt;&gt;"",Validate_Value!P250&lt;&gt;""),"",IF(OR(NOT(OR(LEN(TRIM('Raw Data'!B250:X250))&gt;0)),OR('Raw Data'!P250="",LEN(TRIM('Raw Data'!P250))=0)),"",IF(AND('Raw Data'!J250 + Configuration!$G$2 + 5 &gt;= 'Raw Data'!P250,'Raw Data'!J250 + Configuration!$G$2 - 5 &lt;= 'Raw Data'!P250),"",_xlfn.REGEXEXTRACT(CELL("address",'Raw Data'!P250),"\$([A-Z]+)\$[0-9]+"))))</f>
        <v/>
      </c>
      <c r="Q250" s="7"/>
      <c r="R250" s="7"/>
      <c r="S250" s="7"/>
      <c r="T250" s="7" t="str" cm="1">
        <f t="array" aca="1" ref="T250" ca="1">IF(OR('Raw Data'!T250="",LEN(TRIM('Raw Data'!T250))=0,Validate_Empty!T250&lt;&gt;"",Validate_Value!T250&lt;&gt;""),"",IF(OR(NOT(OR(LEN(TRIM('Raw Data'!B250:X250))&gt;0)),OR('Raw Data'!T250="",LEN(TRIM('Raw Data'!T250))=0)),"",IF('Raw Data'!T250 = SUM('Raw Data'!R250:S250),"",_xlfn.REGEXEXTRACT(CELL("address",'Raw Data'!T250),"\$([A-Z]+)\$[0-9]+"))))</f>
        <v/>
      </c>
      <c r="U250" s="7" t="str" cm="1">
        <f t="array" aca="1" ref="U250" ca="1">IF(OR('Raw Data'!U250="",LEN(TRIM('Raw Data'!U250))=0,Validate_Empty!U250&lt;&gt;"",Validate_Value!U250&lt;&gt;""),"",IF(OR(NOT(OR(LEN(TRIM('Raw Data'!B250:X250))&gt;0)),OR('Raw Data'!T250="",LEN(TRIM('Raw Data'!T250))=0)),"",IF(ISNUMBER(SEARCH('Raw Data'!U250, Configuration!$H$2)),"",_xlfn.REGEXEXTRACT(CELL("address",'Raw Data'!U250),"\$([A-Z]+)\$[0-9]+"))))</f>
        <v/>
      </c>
      <c r="V250" s="7" t="str" cm="1">
        <f t="array" aca="1" ref="V250" ca="1">IF(OR('Raw Data'!V250="",LEN(TRIM('Raw Data'!V250))=0,Validate_Empty!V250&lt;&gt;"",Validate_Value!V250&lt;&gt;""),"",IF(OR(NOT(OR(LEN(TRIM('Raw Data'!B250:X250))&gt;0)),OR('Raw Data'!V250="",LEN(TRIM('Raw Data'!V250))=0)),"",IF('Raw Data'!V250 = Configuration!$I$2,"",_xlfn.REGEXEXTRACT(CELL("address",'Raw Data'!V250),"\$([A-Z]+)\$[0-9]+"))))</f>
        <v/>
      </c>
      <c r="W250" s="7"/>
      <c r="X250" s="7"/>
    </row>
    <row r="251" spans="2:24" x14ac:dyDescent="0.25">
      <c r="B251" s="7"/>
      <c r="C251" s="7" t="str" cm="1">
        <f t="array" aca="1" ref="C251" ca="1">IF(OR('Raw Data'!C251="",LEN(TRIM('Raw Data'!C251))=0,Validate_Empty!C251&lt;&gt;"",Validate_Value!C251&lt;&gt;""),"",IF(OR(NOT(OR(LEN(TRIM('Raw Data'!B251:X251))&gt;0)),OR('Raw Data'!C251="",LEN(TRIM('Raw Data'!C251))=0)),"",IF(OR(AND('Raw Data'!B251="Main Contract", LEFT('Raw Data'!C251, LEN("Payment"))="Payment"),AND('Raw Data'!B251="Change Order", LEFT('Raw Data'!C251, LEN("CO Payment No."))="CO Payment No.")),"",_xlfn.REGEXEXTRACT(CELL("address",'Raw Data'!C251),"\$([A-Z]+)\$[0-9]+"))))</f>
        <v/>
      </c>
      <c r="D251" s="7"/>
      <c r="E251" s="7"/>
      <c r="F251" s="7"/>
      <c r="G251" s="7"/>
      <c r="H251" s="7"/>
      <c r="I251" s="7"/>
      <c r="J251" s="7"/>
      <c r="K251" s="7"/>
      <c r="L251" s="7"/>
      <c r="M251" s="7" t="str" cm="1">
        <f t="array" aca="1" ref="M251" ca="1">IF(OR('Raw Data'!M251="",LEN(TRIM('Raw Data'!M251))=0,Validate_Empty!M251&lt;&gt;"",Validate_Value!M251&lt;&gt;""),"",IF(OR(NOT(OR(LEN(TRIM('Raw Data'!B251:X251))&gt;0)),OR('Raw Data'!M251="",LEN(TRIM('Raw Data'!M251))=0)),"",IF('Raw Data'!M251 = SUM('Raw Data'!K251:L251),"",_xlfn.REGEXEXTRACT(CELL("address",'Raw Data'!M251),"\$([A-Z]+)\$[0-9]+"))))</f>
        <v/>
      </c>
      <c r="N251" s="7"/>
      <c r="O251" s="7"/>
      <c r="P251" s="7" t="str" cm="1">
        <f t="array" aca="1" ref="P251" ca="1">IF(OR('Raw Data'!P251="",LEN(TRIM('Raw Data'!P251))=0,Validate_Empty!P251&lt;&gt;"",Validate_Value!P251&lt;&gt;""),"",IF(OR(NOT(OR(LEN(TRIM('Raw Data'!B251:X251))&gt;0)),OR('Raw Data'!P251="",LEN(TRIM('Raw Data'!P251))=0)),"",IF(AND('Raw Data'!J251 + Configuration!$G$2 + 5 &gt;= 'Raw Data'!P251,'Raw Data'!J251 + Configuration!$G$2 - 5 &lt;= 'Raw Data'!P251),"",_xlfn.REGEXEXTRACT(CELL("address",'Raw Data'!P251),"\$([A-Z]+)\$[0-9]+"))))</f>
        <v/>
      </c>
      <c r="Q251" s="7"/>
      <c r="R251" s="7"/>
      <c r="S251" s="7"/>
      <c r="T251" s="7" t="str" cm="1">
        <f t="array" aca="1" ref="T251" ca="1">IF(OR('Raw Data'!T251="",LEN(TRIM('Raw Data'!T251))=0,Validate_Empty!T251&lt;&gt;"",Validate_Value!T251&lt;&gt;""),"",IF(OR(NOT(OR(LEN(TRIM('Raw Data'!B251:X251))&gt;0)),OR('Raw Data'!T251="",LEN(TRIM('Raw Data'!T251))=0)),"",IF('Raw Data'!T251 = SUM('Raw Data'!R251:S251),"",_xlfn.REGEXEXTRACT(CELL("address",'Raw Data'!T251),"\$([A-Z]+)\$[0-9]+"))))</f>
        <v/>
      </c>
      <c r="U251" s="7" t="str" cm="1">
        <f t="array" aca="1" ref="U251" ca="1">IF(OR('Raw Data'!U251="",LEN(TRIM('Raw Data'!U251))=0,Validate_Empty!U251&lt;&gt;"",Validate_Value!U251&lt;&gt;""),"",IF(OR(NOT(OR(LEN(TRIM('Raw Data'!B251:X251))&gt;0)),OR('Raw Data'!T251="",LEN(TRIM('Raw Data'!T251))=0)),"",IF(ISNUMBER(SEARCH('Raw Data'!U251, Configuration!$H$2)),"",_xlfn.REGEXEXTRACT(CELL("address",'Raw Data'!U251),"\$([A-Z]+)\$[0-9]+"))))</f>
        <v/>
      </c>
      <c r="V251" s="7" t="str" cm="1">
        <f t="array" aca="1" ref="V251" ca="1">IF(OR('Raw Data'!V251="",LEN(TRIM('Raw Data'!V251))=0,Validate_Empty!V251&lt;&gt;"",Validate_Value!V251&lt;&gt;""),"",IF(OR(NOT(OR(LEN(TRIM('Raw Data'!B251:X251))&gt;0)),OR('Raw Data'!V251="",LEN(TRIM('Raw Data'!V251))=0)),"",IF('Raw Data'!V251 = Configuration!$I$2,"",_xlfn.REGEXEXTRACT(CELL("address",'Raw Data'!V251),"\$([A-Z]+)\$[0-9]+"))))</f>
        <v/>
      </c>
      <c r="W251" s="7"/>
      <c r="X251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0192F-A56D-4459-9698-E119FF9DABF7}">
  <dimension ref="B10:X251"/>
  <sheetViews>
    <sheetView topLeftCell="A4" zoomScale="55" zoomScaleNormal="55" workbookViewId="0">
      <selection activeCell="L8" sqref="L8"/>
    </sheetView>
  </sheetViews>
  <sheetFormatPr defaultRowHeight="15" x14ac:dyDescent="0.25"/>
  <cols>
    <col min="2" max="6" width="15.5703125" style="8" customWidth="1"/>
    <col min="7" max="24" width="15.5703125" customWidth="1"/>
  </cols>
  <sheetData>
    <row r="10" spans="2:24" s="8" customFormat="1" x14ac:dyDescent="0.25">
      <c r="B10" s="14"/>
      <c r="C10" s="14"/>
      <c r="D10" s="14"/>
      <c r="E10" s="14"/>
      <c r="F10" s="14"/>
      <c r="G10" s="14"/>
      <c r="H10" s="7"/>
      <c r="I10" s="14"/>
      <c r="J10" s="14"/>
      <c r="K10" s="7"/>
      <c r="L10" s="7"/>
      <c r="M10" s="14"/>
      <c r="N10" s="7"/>
      <c r="O10" s="7"/>
      <c r="P10" s="14"/>
      <c r="Q10" s="14"/>
      <c r="R10" s="7"/>
      <c r="S10" s="7"/>
      <c r="T10" s="14"/>
      <c r="U10" s="14"/>
      <c r="V10" s="14"/>
      <c r="W10" s="7"/>
      <c r="X10" s="14"/>
    </row>
    <row r="11" spans="2:24" x14ac:dyDescent="0.25">
      <c r="B11" s="1" t="s">
        <v>0</v>
      </c>
      <c r="C11" s="1" t="s">
        <v>1</v>
      </c>
      <c r="D11" s="11" t="s">
        <v>2</v>
      </c>
      <c r="E11" s="1" t="s">
        <v>3</v>
      </c>
      <c r="F11" s="1" t="s">
        <v>4</v>
      </c>
      <c r="G11" s="1" t="s">
        <v>5</v>
      </c>
      <c r="H11" s="11" t="s">
        <v>6</v>
      </c>
      <c r="I11" s="1" t="s">
        <v>7</v>
      </c>
      <c r="J11" s="1" t="s">
        <v>8</v>
      </c>
      <c r="K11" s="1" t="s">
        <v>9</v>
      </c>
      <c r="L11" s="1" t="s">
        <v>10</v>
      </c>
      <c r="M11" s="11" t="s">
        <v>11</v>
      </c>
      <c r="N11" s="1" t="s">
        <v>12</v>
      </c>
      <c r="O11" s="1" t="s">
        <v>13</v>
      </c>
      <c r="P11" s="11" t="s">
        <v>14</v>
      </c>
      <c r="Q11" s="1" t="s">
        <v>15</v>
      </c>
      <c r="R11" s="1" t="s">
        <v>16</v>
      </c>
      <c r="S11" s="11" t="s">
        <v>17</v>
      </c>
      <c r="T11" s="1" t="s">
        <v>18</v>
      </c>
      <c r="U11" s="1" t="s">
        <v>19</v>
      </c>
      <c r="V11" s="11" t="s">
        <v>20</v>
      </c>
      <c r="W11" s="1" t="s">
        <v>21</v>
      </c>
      <c r="X11" s="11" t="s">
        <v>22</v>
      </c>
    </row>
    <row r="12" spans="2:24" x14ac:dyDescent="0.25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</row>
    <row r="13" spans="2:24" x14ac:dyDescent="0.25"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</row>
    <row r="14" spans="2:24" x14ac:dyDescent="0.25"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</row>
    <row r="15" spans="2:24" x14ac:dyDescent="0.25"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</row>
    <row r="16" spans="2:24" x14ac:dyDescent="0.25"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</row>
    <row r="17" spans="2:24" x14ac:dyDescent="0.25"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</row>
    <row r="18" spans="2:24" x14ac:dyDescent="0.25"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</row>
    <row r="19" spans="2:24" x14ac:dyDescent="0.25"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</row>
    <row r="20" spans="2:24" x14ac:dyDescent="0.25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</row>
    <row r="21" spans="2:24" x14ac:dyDescent="0.25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</row>
    <row r="22" spans="2:24" x14ac:dyDescent="0.25"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</row>
    <row r="23" spans="2:24" x14ac:dyDescent="0.25"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</row>
    <row r="24" spans="2:24" x14ac:dyDescent="0.25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</row>
    <row r="25" spans="2:24" x14ac:dyDescent="0.25"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</row>
    <row r="26" spans="2:24" x14ac:dyDescent="0.25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</row>
    <row r="27" spans="2:24" x14ac:dyDescent="0.25"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</row>
    <row r="28" spans="2:24" x14ac:dyDescent="0.25"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</row>
    <row r="29" spans="2:24" x14ac:dyDescent="0.25"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</row>
    <row r="30" spans="2:24" x14ac:dyDescent="0.25"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</row>
    <row r="31" spans="2:24" x14ac:dyDescent="0.25"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</row>
    <row r="32" spans="2:24" x14ac:dyDescent="0.25"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</row>
    <row r="33" spans="2:24" x14ac:dyDescent="0.25"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</row>
    <row r="34" spans="2:24" x14ac:dyDescent="0.25"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</row>
    <row r="35" spans="2:24" x14ac:dyDescent="0.25"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</row>
    <row r="36" spans="2:24" x14ac:dyDescent="0.25"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</row>
    <row r="37" spans="2:24" x14ac:dyDescent="0.25"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</row>
    <row r="38" spans="2:24" x14ac:dyDescent="0.25"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</row>
    <row r="39" spans="2:24" x14ac:dyDescent="0.25"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</row>
    <row r="40" spans="2:24" x14ac:dyDescent="0.25"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</row>
    <row r="41" spans="2:24" x14ac:dyDescent="0.25"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</row>
    <row r="42" spans="2:24" x14ac:dyDescent="0.25"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</row>
    <row r="43" spans="2:24" x14ac:dyDescent="0.25"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</row>
    <row r="44" spans="2:24" x14ac:dyDescent="0.25"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</row>
    <row r="45" spans="2:24" x14ac:dyDescent="0.25"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</row>
    <row r="46" spans="2:24" x14ac:dyDescent="0.25"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</row>
    <row r="47" spans="2:24" x14ac:dyDescent="0.25"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</row>
    <row r="48" spans="2:24" x14ac:dyDescent="0.25"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</row>
    <row r="49" spans="2:24" x14ac:dyDescent="0.25"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</row>
    <row r="50" spans="2:24" x14ac:dyDescent="0.25"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</row>
    <row r="51" spans="2:24" x14ac:dyDescent="0.25"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</row>
    <row r="52" spans="2:24" x14ac:dyDescent="0.25"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</row>
    <row r="53" spans="2:24" x14ac:dyDescent="0.25"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</row>
    <row r="54" spans="2:24" x14ac:dyDescent="0.25"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</row>
    <row r="55" spans="2:24" x14ac:dyDescent="0.25"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</row>
    <row r="56" spans="2:24" x14ac:dyDescent="0.25"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</row>
    <row r="57" spans="2:24" x14ac:dyDescent="0.25"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</row>
    <row r="58" spans="2:24" x14ac:dyDescent="0.25"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</row>
    <row r="59" spans="2:24" x14ac:dyDescent="0.25"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</row>
    <row r="60" spans="2:24" x14ac:dyDescent="0.25"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</row>
    <row r="61" spans="2:24" x14ac:dyDescent="0.25"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</row>
    <row r="62" spans="2:24" x14ac:dyDescent="0.25"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</row>
    <row r="63" spans="2:24" x14ac:dyDescent="0.25"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</row>
    <row r="64" spans="2:24" x14ac:dyDescent="0.25"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</row>
    <row r="65" spans="2:24" x14ac:dyDescent="0.25"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</row>
    <row r="66" spans="2:24" x14ac:dyDescent="0.25"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</row>
    <row r="67" spans="2:24" x14ac:dyDescent="0.25"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</row>
    <row r="68" spans="2:24" x14ac:dyDescent="0.25"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</row>
    <row r="69" spans="2:24" x14ac:dyDescent="0.25"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</row>
    <row r="70" spans="2:24" x14ac:dyDescent="0.25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</row>
    <row r="71" spans="2:24" x14ac:dyDescent="0.25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</row>
    <row r="72" spans="2:24" x14ac:dyDescent="0.25"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</row>
    <row r="73" spans="2:24" x14ac:dyDescent="0.25"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</row>
    <row r="74" spans="2:24" x14ac:dyDescent="0.25"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</row>
    <row r="75" spans="2:24" x14ac:dyDescent="0.25"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</row>
    <row r="76" spans="2:24" x14ac:dyDescent="0.25"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</row>
    <row r="77" spans="2:24" x14ac:dyDescent="0.25"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</row>
    <row r="78" spans="2:24" x14ac:dyDescent="0.25"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</row>
    <row r="79" spans="2:24" x14ac:dyDescent="0.25"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</row>
    <row r="80" spans="2:24" x14ac:dyDescent="0.25"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</row>
    <row r="81" spans="2:24" x14ac:dyDescent="0.25"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</row>
    <row r="82" spans="2:24" x14ac:dyDescent="0.25"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</row>
    <row r="83" spans="2:24" x14ac:dyDescent="0.25"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</row>
    <row r="84" spans="2:24" x14ac:dyDescent="0.25"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</row>
    <row r="85" spans="2:24" x14ac:dyDescent="0.25"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</row>
    <row r="86" spans="2:24" x14ac:dyDescent="0.25"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</row>
    <row r="87" spans="2:24" x14ac:dyDescent="0.25"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</row>
    <row r="88" spans="2:24" x14ac:dyDescent="0.25"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</row>
    <row r="89" spans="2:24" x14ac:dyDescent="0.25"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</row>
    <row r="90" spans="2:24" x14ac:dyDescent="0.25"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</row>
    <row r="91" spans="2:24" x14ac:dyDescent="0.25"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</row>
    <row r="92" spans="2:24" x14ac:dyDescent="0.25"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</row>
    <row r="93" spans="2:24" x14ac:dyDescent="0.25"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</row>
    <row r="94" spans="2:24" x14ac:dyDescent="0.25"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</row>
    <row r="95" spans="2:24" x14ac:dyDescent="0.25"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</row>
    <row r="96" spans="2:24" x14ac:dyDescent="0.25"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</row>
    <row r="97" spans="2:24" x14ac:dyDescent="0.25"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</row>
    <row r="98" spans="2:24" x14ac:dyDescent="0.25"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</row>
    <row r="99" spans="2:24" x14ac:dyDescent="0.25"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</row>
    <row r="100" spans="2:24" x14ac:dyDescent="0.25"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</row>
    <row r="101" spans="2:24" x14ac:dyDescent="0.25"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</row>
    <row r="102" spans="2:24" x14ac:dyDescent="0.25"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</row>
    <row r="103" spans="2:24" x14ac:dyDescent="0.25"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</row>
    <row r="104" spans="2:24" x14ac:dyDescent="0.25"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</row>
    <row r="105" spans="2:24" x14ac:dyDescent="0.25"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</row>
    <row r="106" spans="2:24" x14ac:dyDescent="0.25"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</row>
    <row r="107" spans="2:24" x14ac:dyDescent="0.25"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</row>
    <row r="108" spans="2:24" x14ac:dyDescent="0.25"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</row>
    <row r="109" spans="2:24" x14ac:dyDescent="0.25"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</row>
    <row r="110" spans="2:24" x14ac:dyDescent="0.25"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</row>
    <row r="111" spans="2:24" x14ac:dyDescent="0.25"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</row>
    <row r="112" spans="2:24" x14ac:dyDescent="0.25"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</row>
    <row r="113" spans="2:24" x14ac:dyDescent="0.25"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</row>
    <row r="114" spans="2:24" x14ac:dyDescent="0.25"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</row>
    <row r="115" spans="2:24" x14ac:dyDescent="0.25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</row>
    <row r="116" spans="2:24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</row>
    <row r="117" spans="2:24" x14ac:dyDescent="0.25"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</row>
    <row r="118" spans="2:24" x14ac:dyDescent="0.25"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</row>
    <row r="119" spans="2:24" x14ac:dyDescent="0.25"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</row>
    <row r="120" spans="2:24" x14ac:dyDescent="0.25"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</row>
    <row r="121" spans="2:24" x14ac:dyDescent="0.25"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</row>
    <row r="122" spans="2:24" x14ac:dyDescent="0.25"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</row>
    <row r="123" spans="2:24" x14ac:dyDescent="0.25"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</row>
    <row r="124" spans="2:24" x14ac:dyDescent="0.25"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</row>
    <row r="125" spans="2:24" x14ac:dyDescent="0.25"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</row>
    <row r="126" spans="2:24" x14ac:dyDescent="0.25"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</row>
    <row r="127" spans="2:24" x14ac:dyDescent="0.25"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</row>
    <row r="128" spans="2:24" x14ac:dyDescent="0.25"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</row>
    <row r="129" spans="2:24" x14ac:dyDescent="0.25"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</row>
    <row r="130" spans="2:24" x14ac:dyDescent="0.25"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</row>
    <row r="131" spans="2:24" x14ac:dyDescent="0.25"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</row>
    <row r="132" spans="2:24" x14ac:dyDescent="0.25"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</row>
    <row r="133" spans="2:24" x14ac:dyDescent="0.25"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</row>
    <row r="134" spans="2:24" x14ac:dyDescent="0.25"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</row>
    <row r="135" spans="2:24" x14ac:dyDescent="0.25"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</row>
    <row r="136" spans="2:24" x14ac:dyDescent="0.25"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</row>
    <row r="137" spans="2:24" x14ac:dyDescent="0.25"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</row>
    <row r="138" spans="2:24" x14ac:dyDescent="0.25"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</row>
    <row r="139" spans="2:24" x14ac:dyDescent="0.25"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</row>
    <row r="140" spans="2:24" x14ac:dyDescent="0.25"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</row>
    <row r="141" spans="2:24" x14ac:dyDescent="0.25"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</row>
    <row r="142" spans="2:24" x14ac:dyDescent="0.25"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</row>
    <row r="143" spans="2:24" x14ac:dyDescent="0.25"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</row>
    <row r="144" spans="2:24" x14ac:dyDescent="0.25"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</row>
    <row r="145" spans="2:24" x14ac:dyDescent="0.25"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</row>
    <row r="146" spans="2:24" x14ac:dyDescent="0.25"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</row>
    <row r="147" spans="2:24" x14ac:dyDescent="0.25"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</row>
    <row r="148" spans="2:24" x14ac:dyDescent="0.25"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</row>
    <row r="149" spans="2:24" x14ac:dyDescent="0.25"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</row>
    <row r="150" spans="2:24" x14ac:dyDescent="0.25"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</row>
    <row r="151" spans="2:24" x14ac:dyDescent="0.25"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</row>
    <row r="152" spans="2:24" x14ac:dyDescent="0.25"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</row>
    <row r="153" spans="2:24" x14ac:dyDescent="0.25"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</row>
    <row r="154" spans="2:24" x14ac:dyDescent="0.25"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</row>
    <row r="155" spans="2:24" x14ac:dyDescent="0.25"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</row>
    <row r="156" spans="2:24" x14ac:dyDescent="0.25"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</row>
    <row r="157" spans="2:24" x14ac:dyDescent="0.25"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</row>
    <row r="158" spans="2:24" x14ac:dyDescent="0.25"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</row>
    <row r="159" spans="2:24" x14ac:dyDescent="0.25"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</row>
    <row r="160" spans="2:24" x14ac:dyDescent="0.25"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</row>
    <row r="161" spans="2:24" x14ac:dyDescent="0.25"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</row>
    <row r="162" spans="2:24" x14ac:dyDescent="0.25"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</row>
    <row r="163" spans="2:24" x14ac:dyDescent="0.25"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</row>
    <row r="164" spans="2:24" x14ac:dyDescent="0.25"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</row>
    <row r="165" spans="2:24" x14ac:dyDescent="0.25"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</row>
    <row r="166" spans="2:24" x14ac:dyDescent="0.25"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</row>
    <row r="167" spans="2:24" x14ac:dyDescent="0.25"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</row>
    <row r="168" spans="2:24" x14ac:dyDescent="0.25"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</row>
    <row r="169" spans="2:24" x14ac:dyDescent="0.25"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</row>
    <row r="170" spans="2:24" x14ac:dyDescent="0.25"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</row>
    <row r="171" spans="2:24" x14ac:dyDescent="0.25"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</row>
    <row r="172" spans="2:24" x14ac:dyDescent="0.25"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</row>
    <row r="173" spans="2:24" x14ac:dyDescent="0.25"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</row>
    <row r="174" spans="2:24" x14ac:dyDescent="0.25"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</row>
    <row r="175" spans="2:24" x14ac:dyDescent="0.25"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</row>
    <row r="176" spans="2:24" x14ac:dyDescent="0.25"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</row>
    <row r="177" spans="2:24" x14ac:dyDescent="0.25"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</row>
    <row r="178" spans="2:24" x14ac:dyDescent="0.25"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</row>
    <row r="179" spans="2:24" x14ac:dyDescent="0.25"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</row>
    <row r="180" spans="2:24" x14ac:dyDescent="0.25"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</row>
    <row r="181" spans="2:24" x14ac:dyDescent="0.25"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</row>
    <row r="182" spans="2:24" x14ac:dyDescent="0.25"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</row>
    <row r="183" spans="2:24" x14ac:dyDescent="0.25"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</row>
    <row r="184" spans="2:24" x14ac:dyDescent="0.25"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</row>
    <row r="185" spans="2:24" x14ac:dyDescent="0.25"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</row>
    <row r="186" spans="2:24" x14ac:dyDescent="0.25"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</row>
    <row r="187" spans="2:24" x14ac:dyDescent="0.25"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</row>
    <row r="188" spans="2:24" x14ac:dyDescent="0.25"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</row>
    <row r="189" spans="2:24" x14ac:dyDescent="0.25"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</row>
    <row r="190" spans="2:24" x14ac:dyDescent="0.25"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</row>
    <row r="191" spans="2:24" x14ac:dyDescent="0.25"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</row>
    <row r="192" spans="2:24" x14ac:dyDescent="0.25"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</row>
    <row r="193" spans="2:24" x14ac:dyDescent="0.25"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</row>
    <row r="194" spans="2:24" x14ac:dyDescent="0.25"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</row>
    <row r="195" spans="2:24" x14ac:dyDescent="0.25"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</row>
    <row r="196" spans="2:24" x14ac:dyDescent="0.25"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</row>
    <row r="197" spans="2:24" x14ac:dyDescent="0.25"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</row>
    <row r="198" spans="2:24" x14ac:dyDescent="0.25"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</row>
    <row r="199" spans="2:24" x14ac:dyDescent="0.25"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</row>
    <row r="200" spans="2:24" x14ac:dyDescent="0.25"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</row>
    <row r="201" spans="2:24" x14ac:dyDescent="0.25"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</row>
    <row r="202" spans="2:24" x14ac:dyDescent="0.25"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</row>
    <row r="203" spans="2:24" x14ac:dyDescent="0.25"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</row>
    <row r="204" spans="2:24" x14ac:dyDescent="0.25"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</row>
    <row r="205" spans="2:24" x14ac:dyDescent="0.25"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</row>
    <row r="206" spans="2:24" x14ac:dyDescent="0.25"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</row>
    <row r="207" spans="2:24" x14ac:dyDescent="0.25"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</row>
    <row r="208" spans="2:24" x14ac:dyDescent="0.25"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</row>
    <row r="209" spans="2:24" x14ac:dyDescent="0.25"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</row>
    <row r="210" spans="2:24" x14ac:dyDescent="0.25"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</row>
    <row r="211" spans="2:24" x14ac:dyDescent="0.25"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</row>
    <row r="212" spans="2:24" x14ac:dyDescent="0.25"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</row>
    <row r="213" spans="2:24" x14ac:dyDescent="0.25"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</row>
    <row r="214" spans="2:24" x14ac:dyDescent="0.25"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</row>
    <row r="215" spans="2:24" x14ac:dyDescent="0.25"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</row>
    <row r="216" spans="2:24" x14ac:dyDescent="0.25"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</row>
    <row r="217" spans="2:24" x14ac:dyDescent="0.25"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</row>
    <row r="218" spans="2:24" x14ac:dyDescent="0.25"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</row>
    <row r="219" spans="2:24" x14ac:dyDescent="0.25"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</row>
    <row r="220" spans="2:24" x14ac:dyDescent="0.25"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</row>
    <row r="221" spans="2:24" x14ac:dyDescent="0.25"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</row>
    <row r="222" spans="2:24" x14ac:dyDescent="0.25"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</row>
    <row r="223" spans="2:24" x14ac:dyDescent="0.25"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</row>
    <row r="224" spans="2:24" x14ac:dyDescent="0.25"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</row>
    <row r="225" spans="2:24" x14ac:dyDescent="0.25"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</row>
    <row r="226" spans="2:24" x14ac:dyDescent="0.25"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</row>
    <row r="227" spans="2:24" x14ac:dyDescent="0.25"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</row>
    <row r="228" spans="2:24" x14ac:dyDescent="0.25"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</row>
    <row r="229" spans="2:24" x14ac:dyDescent="0.25"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</row>
    <row r="230" spans="2:24" x14ac:dyDescent="0.25"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</row>
    <row r="231" spans="2:24" x14ac:dyDescent="0.25"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</row>
    <row r="232" spans="2:24" x14ac:dyDescent="0.25"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</row>
    <row r="233" spans="2:24" x14ac:dyDescent="0.25"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</row>
    <row r="234" spans="2:24" x14ac:dyDescent="0.25"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</row>
    <row r="235" spans="2:24" x14ac:dyDescent="0.25"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</row>
    <row r="236" spans="2:24" x14ac:dyDescent="0.25"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</row>
    <row r="237" spans="2:24" x14ac:dyDescent="0.25"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</row>
    <row r="238" spans="2:24" x14ac:dyDescent="0.25"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</row>
    <row r="239" spans="2:24" x14ac:dyDescent="0.25"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</row>
    <row r="240" spans="2:24" x14ac:dyDescent="0.25"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</row>
    <row r="241" spans="2:24" x14ac:dyDescent="0.25"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</row>
    <row r="242" spans="2:24" x14ac:dyDescent="0.25"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</row>
    <row r="243" spans="2:24" x14ac:dyDescent="0.25"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</row>
    <row r="244" spans="2:24" x14ac:dyDescent="0.25"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</row>
    <row r="245" spans="2:24" x14ac:dyDescent="0.25"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</row>
    <row r="246" spans="2:24" x14ac:dyDescent="0.25"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</row>
    <row r="247" spans="2:24" x14ac:dyDescent="0.25"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</row>
    <row r="248" spans="2:24" x14ac:dyDescent="0.25"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</row>
    <row r="249" spans="2:24" x14ac:dyDescent="0.25"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</row>
    <row r="250" spans="2:24" x14ac:dyDescent="0.25"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</row>
    <row r="251" spans="2:24" x14ac:dyDescent="0.25"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F7655-DA7E-4A90-A02C-6B7AEBAD1D99}">
  <sheetPr codeName="Sheet4"/>
  <dimension ref="A1:I3"/>
  <sheetViews>
    <sheetView tabSelected="1" topLeftCell="D1" workbookViewId="0">
      <selection activeCell="G6" sqref="G6"/>
    </sheetView>
  </sheetViews>
  <sheetFormatPr defaultRowHeight="15" x14ac:dyDescent="0.25"/>
  <cols>
    <col min="1" max="1" width="17.28515625" customWidth="1"/>
    <col min="2" max="2" width="14.85546875" customWidth="1"/>
    <col min="3" max="3" width="13.5703125" customWidth="1"/>
    <col min="4" max="4" width="27.85546875" customWidth="1"/>
    <col min="5" max="5" width="25.85546875" customWidth="1"/>
    <col min="6" max="6" width="54.42578125" bestFit="1" customWidth="1"/>
    <col min="7" max="7" width="15.140625" bestFit="1" customWidth="1"/>
    <col min="8" max="8" width="27" bestFit="1" customWidth="1"/>
    <col min="9" max="9" width="21.42578125" customWidth="1"/>
  </cols>
  <sheetData>
    <row r="1" spans="1:9" x14ac:dyDescent="0.25">
      <c r="A1" t="s">
        <v>86</v>
      </c>
      <c r="B1" t="s">
        <v>73</v>
      </c>
      <c r="C1" t="s">
        <v>74</v>
      </c>
      <c r="D1" t="s">
        <v>75</v>
      </c>
      <c r="E1" t="s">
        <v>76</v>
      </c>
      <c r="F1" t="s">
        <v>77</v>
      </c>
      <c r="G1" s="16" t="s">
        <v>78</v>
      </c>
      <c r="H1" s="17" t="s">
        <v>87</v>
      </c>
      <c r="I1" s="17" t="s">
        <v>79</v>
      </c>
    </row>
    <row r="2" spans="1:9" x14ac:dyDescent="0.25">
      <c r="A2">
        <v>2</v>
      </c>
      <c r="B2" t="s">
        <v>80</v>
      </c>
      <c r="C2" t="s">
        <v>81</v>
      </c>
      <c r="D2" s="4">
        <v>45292</v>
      </c>
      <c r="E2" s="4">
        <v>46388</v>
      </c>
      <c r="F2" t="s">
        <v>82</v>
      </c>
      <c r="G2" s="8">
        <v>30</v>
      </c>
      <c r="H2" s="8" t="s">
        <v>88</v>
      </c>
      <c r="I2" s="8">
        <v>35.700000000000003</v>
      </c>
    </row>
    <row r="3" spans="1:9" x14ac:dyDescent="0.25">
      <c r="F3" t="s">
        <v>89</v>
      </c>
      <c r="G3" s="8" t="s">
        <v>83</v>
      </c>
      <c r="H3" s="8" t="s">
        <v>84</v>
      </c>
      <c r="I3" s="8" t="s">
        <v>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BDF99-03FB-4B12-8D59-8F0C5E7B91E3}">
  <sheetPr codeName="Sheet5"/>
  <dimension ref="B1:I300"/>
  <sheetViews>
    <sheetView zoomScaleNormal="100" workbookViewId="0">
      <selection activeCell="I10" sqref="I10"/>
    </sheetView>
  </sheetViews>
  <sheetFormatPr defaultRowHeight="15" x14ac:dyDescent="0.25"/>
  <cols>
    <col min="8" max="8" width="7.140625" bestFit="1" customWidth="1"/>
  </cols>
  <sheetData>
    <row r="1" spans="2:9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2:9" x14ac:dyDescent="0.25">
      <c r="B2" t="str" cm="1">
        <f t="array" aca="1" ref="B2" ca="1">IF('Raw Data'!B2="",_xlfn.REGEXEXTRACT(CELL("address",'Raw Data'!B2),"\$([A-Z]+)\$[0-9]+"),"")</f>
        <v>$B$2</v>
      </c>
      <c r="C2" t="str" cm="1">
        <f t="array" aca="1" ref="C2" ca="1">IF('Raw Data'!C2="",_xlfn.REGEXEXTRACT(CELL("address",'Raw Data'!C2),"\$([A-Z]+)\$[0-9]+"),"")</f>
        <v>$C$2</v>
      </c>
      <c r="D2" t="str" cm="1">
        <f t="array" aca="1" ref="D2" ca="1">IF('Raw Data'!D2="",_xlfn.REGEXEXTRACT(CELL("address",'Raw Data'!D2),"\$([A-Z]+)\$[0-9]+"),"")</f>
        <v>$D$2</v>
      </c>
      <c r="E2" t="str" cm="1">
        <f t="array" aca="1" ref="E2" ca="1">IF('Raw Data'!E2="",_xlfn.REGEXEXTRACT(CELL("address",'Raw Data'!E2),"\$([A-Z]+)\$[0-9]+"),"")</f>
        <v>$E$2</v>
      </c>
      <c r="F2" t="str" cm="1">
        <f t="array" aca="1" ref="F2" ca="1">IF('Raw Data'!F2="",_xlfn.REGEXEXTRACT(CELL("address",'Raw Data'!F2),"\$([A-Z]+)\$[0-9]+"),"")</f>
        <v>$F$2</v>
      </c>
      <c r="G2" t="e" cm="1">
        <f t="array" aca="1" ref="G2" ca="1">IF('Raw Data'!#REF!="",_xlfn.REGEXEXTRACT(CELL("address",'Raw Data'!#REF!),"\$([A-Z]+)\$[0-9]+"),"")</f>
        <v>#REF!</v>
      </c>
      <c r="H2" t="str" cm="1">
        <f t="array" aca="1" ref="H2" ca="1">IF('Raw Data'!G2="",_xlfn.REGEXEXTRACT(CELL("address",'Raw Data'!G2),"\$([A-Z]+)\$[0-9]+"),"")</f>
        <v>$G$2</v>
      </c>
      <c r="I2" t="str" cm="1">
        <f t="array" aca="1" ref="I2" ca="1">IF('Raw Data'!H2="",_xlfn.REGEXEXTRACT(CELL("address",'Raw Data'!H2),"\$([A-Z]+)\$[0-9]+"),"")</f>
        <v>$H$2</v>
      </c>
    </row>
    <row r="3" spans="2:9" x14ac:dyDescent="0.25">
      <c r="B3" t="str" cm="1">
        <f t="array" aca="1" ref="B3" ca="1">IF('Raw Data'!B3="",_xlfn.REGEXEXTRACT(CELL("address",'Raw Data'!B3),"\$([A-Z]+)\$[0-9]+"),"")</f>
        <v>$B$3</v>
      </c>
      <c r="C3" t="str" cm="1">
        <f t="array" aca="1" ref="C3" ca="1">IF('Raw Data'!C3="",_xlfn.REGEXEXTRACT(CELL("address",'Raw Data'!C3),"\$([A-Z]+)\$[0-9]+"),"")</f>
        <v>$C$3</v>
      </c>
      <c r="D3" t="str" cm="1">
        <f t="array" aca="1" ref="D3" ca="1">IF('Raw Data'!D3="",_xlfn.REGEXEXTRACT(CELL("address",'Raw Data'!D3),"\$([A-Z]+)\$[0-9]+"),"")</f>
        <v>$D$3</v>
      </c>
      <c r="E3" t="str" cm="1">
        <f t="array" aca="1" ref="E3" ca="1">IF('Raw Data'!E3="",_xlfn.REGEXEXTRACT(CELL("address",'Raw Data'!E3),"\$([A-Z]+)\$[0-9]+"),"")</f>
        <v>$E$3</v>
      </c>
      <c r="F3" t="str" cm="1">
        <f t="array" aca="1" ref="F3" ca="1">IF('Raw Data'!F3="",_xlfn.REGEXEXTRACT(CELL("address",'Raw Data'!F3),"\$([A-Z]+)\$[0-9]+"),"")</f>
        <v>$F$3</v>
      </c>
      <c r="G3" t="e" cm="1">
        <f t="array" aca="1" ref="G3" ca="1">IF('Raw Data'!#REF!="",_xlfn.REGEXEXTRACT(CELL("address",'Raw Data'!#REF!),"\$([A-Z]+)\$[0-9]+"),"")</f>
        <v>#REF!</v>
      </c>
      <c r="H3" t="str" cm="1">
        <f t="array" aca="1" ref="H3" ca="1">IF('Raw Data'!G3="",_xlfn.REGEXEXTRACT(CELL("address",'Raw Data'!G3),"\$([A-Z]+)\$[0-9]+"),"")</f>
        <v>$G$3</v>
      </c>
      <c r="I3" t="str" cm="1">
        <f t="array" aca="1" ref="I3" ca="1">IF('Raw Data'!H3="",_xlfn.REGEXEXTRACT(CELL("address",'Raw Data'!H3),"\$([A-Z]+)\$[0-9]+"),"")</f>
        <v>$H$3</v>
      </c>
    </row>
    <row r="4" spans="2:9" x14ac:dyDescent="0.25">
      <c r="B4" t="str" cm="1">
        <f t="array" aca="1" ref="B4" ca="1">IF('Raw Data'!B4="",_xlfn.REGEXEXTRACT(CELL("address",'Raw Data'!B4),"\$([A-Z]+)\$[0-9]+"),"")</f>
        <v>$B$4</v>
      </c>
      <c r="C4" t="str" cm="1">
        <f t="array" aca="1" ref="C4" ca="1">IF('Raw Data'!C4="",_xlfn.REGEXEXTRACT(CELL("address",'Raw Data'!C4),"\$([A-Z]+)\$[0-9]+"),"")</f>
        <v>$C$4</v>
      </c>
      <c r="D4" t="str" cm="1">
        <f t="array" aca="1" ref="D4" ca="1">IF('Raw Data'!D4="",_xlfn.REGEXEXTRACT(CELL("address",'Raw Data'!D4),"\$([A-Z]+)\$[0-9]+"),"")</f>
        <v>$D$4</v>
      </c>
      <c r="E4" t="str" cm="1">
        <f t="array" aca="1" ref="E4" ca="1">IF('Raw Data'!E4="",_xlfn.REGEXEXTRACT(CELL("address",'Raw Data'!E4),"\$([A-Z]+)\$[0-9]+"),"")</f>
        <v>$E$4</v>
      </c>
      <c r="F4" t="str" cm="1">
        <f t="array" aca="1" ref="F4" ca="1">IF('Raw Data'!F4="",_xlfn.REGEXEXTRACT(CELL("address",'Raw Data'!F4),"\$([A-Z]+)\$[0-9]+"),"")</f>
        <v>$F$4</v>
      </c>
      <c r="G4" t="e" cm="1">
        <f t="array" aca="1" ref="G4" ca="1">IF('Raw Data'!#REF!="",_xlfn.REGEXEXTRACT(CELL("address",'Raw Data'!#REF!),"\$([A-Z]+)\$[0-9]+"),"")</f>
        <v>#REF!</v>
      </c>
      <c r="H4" t="str" cm="1">
        <f t="array" aca="1" ref="H4" ca="1">IF('Raw Data'!G4="",_xlfn.REGEXEXTRACT(CELL("address",'Raw Data'!G4),"\$([A-Z]+)\$[0-9]+"),"")</f>
        <v>$G$4</v>
      </c>
      <c r="I4" t="str" cm="1">
        <f t="array" aca="1" ref="I4" ca="1">IF('Raw Data'!H4="",_xlfn.REGEXEXTRACT(CELL("address",'Raw Data'!H4),"\$([A-Z]+)\$[0-9]+"),"")</f>
        <v>$H$4</v>
      </c>
    </row>
    <row r="5" spans="2:9" x14ac:dyDescent="0.25">
      <c r="B5" t="str" cm="1">
        <f t="array" aca="1" ref="B5" ca="1">IF('Raw Data'!B5="",_xlfn.REGEXEXTRACT(CELL("address",'Raw Data'!B5),"\$([A-Z]+)\$[0-9]+"),"")</f>
        <v>$B$5</v>
      </c>
      <c r="C5" t="str" cm="1">
        <f t="array" aca="1" ref="C5" ca="1">IF('Raw Data'!C5="",_xlfn.REGEXEXTRACT(CELL("address",'Raw Data'!C5),"\$([A-Z]+)\$[0-9]+"),"")</f>
        <v>$C$5</v>
      </c>
      <c r="D5" t="str" cm="1">
        <f t="array" aca="1" ref="D5" ca="1">IF('Raw Data'!D5="",_xlfn.REGEXEXTRACT(CELL("address",'Raw Data'!D5),"\$([A-Z]+)\$[0-9]+"),"")</f>
        <v>$D$5</v>
      </c>
      <c r="E5" t="str" cm="1">
        <f t="array" aca="1" ref="E5" ca="1">IF('Raw Data'!E5="",_xlfn.REGEXEXTRACT(CELL("address",'Raw Data'!E5),"\$([A-Z]+)\$[0-9]+"),"")</f>
        <v>$E$5</v>
      </c>
      <c r="F5" t="str" cm="1">
        <f t="array" aca="1" ref="F5" ca="1">IF('Raw Data'!F5="",_xlfn.REGEXEXTRACT(CELL("address",'Raw Data'!F5),"\$([A-Z]+)\$[0-9]+"),"")</f>
        <v>$F$5</v>
      </c>
      <c r="G5" t="e" cm="1">
        <f t="array" aca="1" ref="G5" ca="1">IF('Raw Data'!#REF!="",_xlfn.REGEXEXTRACT(CELL("address",'Raw Data'!#REF!),"\$([A-Z]+)\$[0-9]+"),"")</f>
        <v>#REF!</v>
      </c>
      <c r="H5" t="str" cm="1">
        <f t="array" aca="1" ref="H5" ca="1">IF('Raw Data'!G5="",_xlfn.REGEXEXTRACT(CELL("address",'Raw Data'!G5),"\$([A-Z]+)\$[0-9]+"),"")</f>
        <v>$G$5</v>
      </c>
      <c r="I5" t="str" cm="1">
        <f t="array" aca="1" ref="I5" ca="1">IF('Raw Data'!H5="",_xlfn.REGEXEXTRACT(CELL("address",'Raw Data'!H5),"\$([A-Z]+)\$[0-9]+"),"")</f>
        <v>$H$5</v>
      </c>
    </row>
    <row r="6" spans="2:9" x14ac:dyDescent="0.25">
      <c r="B6" t="str" cm="1">
        <f t="array" aca="1" ref="B6" ca="1">IF('Raw Data'!B6="",_xlfn.REGEXEXTRACT(CELL("address",'Raw Data'!B6),"\$([A-Z]+)\$[0-9]+"),"")</f>
        <v>$B$6</v>
      </c>
      <c r="C6" t="str" cm="1">
        <f t="array" aca="1" ref="C6" ca="1">IF('Raw Data'!C6="",_xlfn.REGEXEXTRACT(CELL("address",'Raw Data'!C6),"\$([A-Z]+)\$[0-9]+"),"")</f>
        <v>$C$6</v>
      </c>
      <c r="D6" t="str" cm="1">
        <f t="array" aca="1" ref="D6" ca="1">IF('Raw Data'!D6="",_xlfn.REGEXEXTRACT(CELL("address",'Raw Data'!D6),"\$([A-Z]+)\$[0-9]+"),"")</f>
        <v>$D$6</v>
      </c>
      <c r="E6" t="str" cm="1">
        <f t="array" aca="1" ref="E6" ca="1">IF('Raw Data'!E6="",_xlfn.REGEXEXTRACT(CELL("address",'Raw Data'!E6),"\$([A-Z]+)\$[0-9]+"),"")</f>
        <v>$E$6</v>
      </c>
      <c r="F6" t="str" cm="1">
        <f t="array" aca="1" ref="F6" ca="1">IF('Raw Data'!F6="",_xlfn.REGEXEXTRACT(CELL("address",'Raw Data'!F6),"\$([A-Z]+)\$[0-9]+"),"")</f>
        <v>$F$6</v>
      </c>
      <c r="G6" t="e" cm="1">
        <f t="array" aca="1" ref="G6" ca="1">IF('Raw Data'!#REF!="",_xlfn.REGEXEXTRACT(CELL("address",'Raw Data'!#REF!),"\$([A-Z]+)\$[0-9]+"),"")</f>
        <v>#REF!</v>
      </c>
      <c r="H6" t="str" cm="1">
        <f t="array" aca="1" ref="H6" ca="1">IF('Raw Data'!G6="",_xlfn.REGEXEXTRACT(CELL("address",'Raw Data'!G6),"\$([A-Z]+)\$[0-9]+"),"")</f>
        <v>$G$6</v>
      </c>
      <c r="I6" t="str" cm="1">
        <f t="array" aca="1" ref="I6" ca="1">IF('Raw Data'!H6="",_xlfn.REGEXEXTRACT(CELL("address",'Raw Data'!H6),"\$([A-Z]+)\$[0-9]+"),"")</f>
        <v>$H$6</v>
      </c>
    </row>
    <row r="7" spans="2:9" x14ac:dyDescent="0.25">
      <c r="B7" t="str" cm="1">
        <f t="array" aca="1" ref="B7" ca="1">IF('Raw Data'!B8="",_xlfn.REGEXEXTRACT(CELL("address",'Raw Data'!B8),"\$([A-Z]+)\$[0-9]+"),"")</f>
        <v>$B$8</v>
      </c>
      <c r="C7" t="str" cm="1">
        <f t="array" aca="1" ref="C7" ca="1">IF('Raw Data'!C8="",_xlfn.REGEXEXTRACT(CELL("address",'Raw Data'!C8),"\$([A-Z]+)\$[0-9]+"),"")</f>
        <v>$C$8</v>
      </c>
      <c r="D7" t="str" cm="1">
        <f t="array" aca="1" ref="D7" ca="1">IF('Raw Data'!D8="",_xlfn.REGEXEXTRACT(CELL("address",'Raw Data'!D8),"\$([A-Z]+)\$[0-9]+"),"")</f>
        <v>$D$8</v>
      </c>
      <c r="E7" t="str" cm="1">
        <f t="array" aca="1" ref="E7" ca="1">IF('Raw Data'!E8="",_xlfn.REGEXEXTRACT(CELL("address",'Raw Data'!E8),"\$([A-Z]+)\$[0-9]+"),"")</f>
        <v>$E$8</v>
      </c>
      <c r="F7" t="str" cm="1">
        <f t="array" aca="1" ref="F7" ca="1">IF('Raw Data'!F8="",_xlfn.REGEXEXTRACT(CELL("address",'Raw Data'!F8),"\$([A-Z]+)\$[0-9]+"),"")</f>
        <v>$F$8</v>
      </c>
      <c r="G7" t="e" cm="1">
        <f t="array" aca="1" ref="G7" ca="1">IF('Raw Data'!#REF!="",_xlfn.REGEXEXTRACT(CELL("address",'Raw Data'!#REF!),"\$([A-Z]+)\$[0-9]+"),"")</f>
        <v>#REF!</v>
      </c>
      <c r="H7" t="str" cm="1">
        <f t="array" aca="1" ref="H7" ca="1">IF('Raw Data'!G8="",_xlfn.REGEXEXTRACT(CELL("address",'Raw Data'!G8),"\$([A-Z]+)\$[0-9]+"),"")</f>
        <v>$G$8</v>
      </c>
      <c r="I7" t="str" cm="1">
        <f t="array" aca="1" ref="I7" ca="1">IF('Raw Data'!H8="",_xlfn.REGEXEXTRACT(CELL("address",'Raw Data'!H8),"\$([A-Z]+)\$[0-9]+"),"")</f>
        <v>$H$8</v>
      </c>
    </row>
    <row r="8" spans="2:9" x14ac:dyDescent="0.25">
      <c r="B8" t="str" cm="1">
        <f t="array" aca="1" ref="B8" ca="1">IF('Raw Data'!B10="",_xlfn.REGEXEXTRACT(CELL("address",'Raw Data'!B10),"\$([A-Z]+)\$[0-9]+"),"")</f>
        <v>$B$10</v>
      </c>
      <c r="C8" t="str" cm="1">
        <f t="array" aca="1" ref="C8" ca="1">IF('Raw Data'!C10="",_xlfn.REGEXEXTRACT(CELL("address",'Raw Data'!C10),"\$([A-Z]+)\$[0-9]+"),"")</f>
        <v>$C$10</v>
      </c>
      <c r="D8" t="str" cm="1">
        <f t="array" aca="1" ref="D8" ca="1">IF('Raw Data'!D10="",_xlfn.REGEXEXTRACT(CELL("address",'Raw Data'!D10),"\$([A-Z]+)\$[0-9]+"),"")</f>
        <v>$D$10</v>
      </c>
      <c r="E8" t="str" cm="1">
        <f t="array" aca="1" ref="E8" ca="1">IF('Raw Data'!E10="",_xlfn.REGEXEXTRACT(CELL("address",'Raw Data'!E10),"\$([A-Z]+)\$[0-9]+"),"")</f>
        <v>$E$10</v>
      </c>
      <c r="F8" t="str" cm="1">
        <f t="array" aca="1" ref="F8" ca="1">IF('Raw Data'!F10="",_xlfn.REGEXEXTRACT(CELL("address",'Raw Data'!F10),"\$([A-Z]+)\$[0-9]+"),"")</f>
        <v>$F$10</v>
      </c>
      <c r="G8" t="e" cm="1">
        <f t="array" aca="1" ref="G8" ca="1">IF('Raw Data'!#REF!="",_xlfn.REGEXEXTRACT(CELL("address",'Raw Data'!#REF!),"\$([A-Z]+)\$[0-9]+"),"")</f>
        <v>#REF!</v>
      </c>
      <c r="H8" t="str" cm="1">
        <f t="array" aca="1" ref="H8" ca="1">IF('Raw Data'!G10="",_xlfn.REGEXEXTRACT(CELL("address",'Raw Data'!G10),"\$([A-Z]+)\$[0-9]+"),"")</f>
        <v>$G$10</v>
      </c>
      <c r="I8" t="str" cm="1">
        <f t="array" aca="1" ref="I8" ca="1">IF('Raw Data'!H10="",_xlfn.REGEXEXTRACT(CELL("address",'Raw Data'!H10),"\$([A-Z]+)\$[0-9]+"),"")</f>
        <v>$H$10</v>
      </c>
    </row>
    <row r="9" spans="2:9" x14ac:dyDescent="0.25">
      <c r="B9" t="e" cm="1">
        <f t="array" aca="1" ref="B9" ca="1">IF('Raw Data'!#REF!="",_xlfn.REGEXEXTRACT(CELL("address",'Raw Data'!#REF!),"\$([A-Z]+)\$[0-9]+"),"")</f>
        <v>#REF!</v>
      </c>
      <c r="C9" t="e" cm="1">
        <f t="array" aca="1" ref="C9" ca="1">IF('Raw Data'!#REF!="",_xlfn.REGEXEXTRACT(CELL("address",'Raw Data'!#REF!),"\$([A-Z]+)\$[0-9]+"),"")</f>
        <v>#REF!</v>
      </c>
      <c r="D9" t="e" cm="1">
        <f t="array" aca="1" ref="D9" ca="1">IF('Raw Data'!#REF!="",_xlfn.REGEXEXTRACT(CELL("address",'Raw Data'!#REF!),"\$([A-Z]+)\$[0-9]+"),"")</f>
        <v>#REF!</v>
      </c>
      <c r="E9" t="e" cm="1">
        <f t="array" aca="1" ref="E9" ca="1">IF('Raw Data'!#REF!="",_xlfn.REGEXEXTRACT(CELL("address",'Raw Data'!#REF!),"\$([A-Z]+)\$[0-9]+"),"")</f>
        <v>#REF!</v>
      </c>
      <c r="F9" t="e" cm="1">
        <f t="array" aca="1" ref="F9" ca="1">IF('Raw Data'!#REF!="",_xlfn.REGEXEXTRACT(CELL("address",'Raw Data'!#REF!),"\$([A-Z]+)\$[0-9]+"),"")</f>
        <v>#REF!</v>
      </c>
      <c r="G9" t="e" cm="1">
        <f t="array" aca="1" ref="G9" ca="1">IF('Raw Data'!#REF!="",_xlfn.REGEXEXTRACT(CELL("address",'Raw Data'!#REF!),"\$([A-Z]+)\$[0-9]+"),"")</f>
        <v>#REF!</v>
      </c>
      <c r="H9" t="str" cm="1">
        <f t="array" aca="1" ref="H9" ca="1">IF('Raw Data'!G11="",_xlfn.REGEXEXTRACT(CELL("address",'Raw Data'!G11),"\$([A-Z]+)\$[0-9]+"),"")</f>
        <v/>
      </c>
      <c r="I9" t="str" cm="1">
        <f t="array" aca="1" ref="I9" ca="1">IF('Raw Data'!H11="",_xlfn.REGEXEXTRACT(CELL("address",'Raw Data'!H11),"\$([A-Z]+)\$[0-9]+"),"")</f>
        <v/>
      </c>
    </row>
    <row r="10" spans="2:9" x14ac:dyDescent="0.25">
      <c r="B10" t="str" cm="1">
        <f t="array" aca="1" ref="B10" ca="1">IF('Raw Data'!B12="",_xlfn.REGEXEXTRACT(CELL("address",'Raw Data'!B12),"\$([A-Z]+)\$[0-9]+"),"")</f>
        <v/>
      </c>
      <c r="C10" t="str" cm="1">
        <f t="array" aca="1" ref="C10" ca="1">IF('Raw Data'!C12="",_xlfn.REGEXEXTRACT(CELL("address",'Raw Data'!C12),"\$([A-Z]+)\$[0-9]+"),"")</f>
        <v/>
      </c>
      <c r="D10" t="str" cm="1">
        <f t="array" aca="1" ref="D10" ca="1">IF('Raw Data'!D12="",_xlfn.REGEXEXTRACT(CELL("address",'Raw Data'!D12),"\$([A-Z]+)\$[0-9]+"),"")</f>
        <v/>
      </c>
      <c r="E10" t="str" cm="1">
        <f t="array" aca="1" ref="E10" ca="1">IF('Raw Data'!E12="",_xlfn.REGEXEXTRACT(CELL("address",'Raw Data'!E12),"\$([A-Z]+)\$[0-9]+"),"")</f>
        <v>$E$12</v>
      </c>
      <c r="F10" t="str" cm="1">
        <f t="array" aca="1" ref="F10" ca="1">IF('Raw Data'!F12="",_xlfn.REGEXEXTRACT(CELL("address",'Raw Data'!F12),"\$([A-Z]+)\$[0-9]+"),"")</f>
        <v>$F$12</v>
      </c>
      <c r="G10" t="e" cm="1">
        <f t="array" aca="1" ref="G10" ca="1">IF('Raw Data'!#REF!="",_xlfn.REGEXEXTRACT(CELL("address",'Raw Data'!#REF!),"\$([A-Z]+)\$[0-9]+"),"")</f>
        <v>#REF!</v>
      </c>
      <c r="H10" t="str" cm="1">
        <f t="array" aca="1" ref="H10" ca="1">IF('Raw Data'!G12="",_xlfn.REGEXEXTRACT(CELL("address",'Raw Data'!G12),"\$([A-Z]+)\$[0-9]+"),"")</f>
        <v>$G$12</v>
      </c>
      <c r="I10" t="str" cm="1">
        <f t="array" aca="1" ref="I10" ca="1">IF('Raw Data'!H12="",_xlfn.REGEXEXTRACT(CELL("address",'Raw Data'!H12),"\$([A-Z]+)\$[0-9]+"),"")</f>
        <v>$H$12</v>
      </c>
    </row>
    <row r="11" spans="2:9" x14ac:dyDescent="0.25">
      <c r="B11" t="str" cm="1">
        <f t="array" aca="1" ref="B11" ca="1">IF('Raw Data'!B13="",_xlfn.REGEXEXTRACT(CELL("address",'Raw Data'!B13),"\$([A-Z]+)\$[0-9]+"),"")</f>
        <v/>
      </c>
      <c r="C11" t="str" cm="1">
        <f t="array" aca="1" ref="C11" ca="1">IF('Raw Data'!C13="",_xlfn.REGEXEXTRACT(CELL("address",'Raw Data'!C13),"\$([A-Z]+)\$[0-9]+"),"")</f>
        <v/>
      </c>
      <c r="D11" t="str" cm="1">
        <f t="array" aca="1" ref="D11" ca="1">IF('Raw Data'!D13="",_xlfn.REGEXEXTRACT(CELL("address",'Raw Data'!D13),"\$([A-Z]+)\$[0-9]+"),"")</f>
        <v/>
      </c>
      <c r="E11" t="str" cm="1">
        <f t="array" aca="1" ref="E11" ca="1">IF('Raw Data'!E13="",_xlfn.REGEXEXTRACT(CELL("address",'Raw Data'!E13),"\$([A-Z]+)\$[0-9]+"),"")</f>
        <v/>
      </c>
      <c r="F11" t="str" cm="1">
        <f t="array" aca="1" ref="F11" ca="1">IF('Raw Data'!F13="",_xlfn.REGEXEXTRACT(CELL("address",'Raw Data'!F13),"\$([A-Z]+)\$[0-9]+"),"")</f>
        <v/>
      </c>
      <c r="G11" t="e" cm="1">
        <f t="array" aca="1" ref="G11" ca="1">IF('Raw Data'!#REF!="",_xlfn.REGEXEXTRACT(CELL("address",'Raw Data'!#REF!),"\$([A-Z]+)\$[0-9]+"),"")</f>
        <v>#REF!</v>
      </c>
      <c r="H11" t="str" cm="1">
        <f t="array" aca="1" ref="H11" ca="1">IF('Raw Data'!G13="",_xlfn.REGEXEXTRACT(CELL("address",'Raw Data'!G13),"\$([A-Z]+)\$[0-9]+"),"")</f>
        <v/>
      </c>
      <c r="I11" t="str" cm="1">
        <f t="array" aca="1" ref="I11" ca="1">IF('Raw Data'!H13="",_xlfn.REGEXEXTRACT(CELL("address",'Raw Data'!H13),"\$([A-Z]+)\$[0-9]+"),"")</f>
        <v>$H$13</v>
      </c>
    </row>
    <row r="12" spans="2:9" x14ac:dyDescent="0.25">
      <c r="B12" t="str" cm="1">
        <f t="array" aca="1" ref="B12" ca="1">IF('Raw Data'!B14="",_xlfn.REGEXEXTRACT(CELL("address",'Raw Data'!B14),"\$([A-Z]+)\$[0-9]+"),"")</f>
        <v/>
      </c>
      <c r="C12" t="str" cm="1">
        <f t="array" aca="1" ref="C12" ca="1">IF('Raw Data'!C14="",_xlfn.REGEXEXTRACT(CELL("address",'Raw Data'!C14),"\$([A-Z]+)\$[0-9]+"),"")</f>
        <v/>
      </c>
      <c r="D12" t="str" cm="1">
        <f t="array" aca="1" ref="D12" ca="1">IF('Raw Data'!D14="",_xlfn.REGEXEXTRACT(CELL("address",'Raw Data'!D14),"\$([A-Z]+)\$[0-9]+"),"")</f>
        <v/>
      </c>
      <c r="E12" t="str" cm="1">
        <f t="array" aca="1" ref="E12" ca="1">IF('Raw Data'!E14="",_xlfn.REGEXEXTRACT(CELL("address",'Raw Data'!E14),"\$([A-Z]+)\$[0-9]+"),"")</f>
        <v/>
      </c>
      <c r="F12" t="str" cm="1">
        <f t="array" aca="1" ref="F12" ca="1">IF('Raw Data'!F14="",_xlfn.REGEXEXTRACT(CELL("address",'Raw Data'!F14),"\$([A-Z]+)\$[0-9]+"),"")</f>
        <v/>
      </c>
      <c r="G12" t="e" cm="1">
        <f t="array" aca="1" ref="G12" ca="1">IF('Raw Data'!#REF!="",_xlfn.REGEXEXTRACT(CELL("address",'Raw Data'!#REF!),"\$([A-Z]+)\$[0-9]+"),"")</f>
        <v>#REF!</v>
      </c>
      <c r="H12" t="str" cm="1">
        <f t="array" aca="1" ref="H12" ca="1">IF('Raw Data'!G14="",_xlfn.REGEXEXTRACT(CELL("address",'Raw Data'!G14),"\$([A-Z]+)\$[0-9]+"),"")</f>
        <v/>
      </c>
      <c r="I12" t="str" cm="1">
        <f t="array" aca="1" ref="I12" ca="1">IF('Raw Data'!H14="",_xlfn.REGEXEXTRACT(CELL("address",'Raw Data'!H14),"\$([A-Z]+)\$[0-9]+"),"")</f>
        <v>$H$14</v>
      </c>
    </row>
    <row r="13" spans="2:9" x14ac:dyDescent="0.25">
      <c r="B13" t="str" cm="1">
        <f t="array" aca="1" ref="B13" ca="1">IF('Raw Data'!B15="",_xlfn.REGEXEXTRACT(CELL("address",'Raw Data'!B15),"\$([A-Z]+)\$[0-9]+"),"")</f>
        <v/>
      </c>
      <c r="C13" t="str" cm="1">
        <f t="array" aca="1" ref="C13" ca="1">IF('Raw Data'!C15="",_xlfn.REGEXEXTRACT(CELL("address",'Raw Data'!C15),"\$([A-Z]+)\$[0-9]+"),"")</f>
        <v/>
      </c>
      <c r="D13" t="str" cm="1">
        <f t="array" aca="1" ref="D13" ca="1">IF('Raw Data'!D15="",_xlfn.REGEXEXTRACT(CELL("address",'Raw Data'!D15),"\$([A-Z]+)\$[0-9]+"),"")</f>
        <v/>
      </c>
      <c r="E13" t="str" cm="1">
        <f t="array" aca="1" ref="E13" ca="1">IF('Raw Data'!E15="",_xlfn.REGEXEXTRACT(CELL("address",'Raw Data'!E15),"\$([A-Z]+)\$[0-9]+"),"")</f>
        <v/>
      </c>
      <c r="F13" t="str" cm="1">
        <f t="array" aca="1" ref="F13" ca="1">IF('Raw Data'!F15="",_xlfn.REGEXEXTRACT(CELL("address",'Raw Data'!F15),"\$([A-Z]+)\$[0-9]+"),"")</f>
        <v/>
      </c>
      <c r="G13" t="e" cm="1">
        <f t="array" aca="1" ref="G13" ca="1">IF('Raw Data'!#REF!="",_xlfn.REGEXEXTRACT(CELL("address",'Raw Data'!#REF!),"\$([A-Z]+)\$[0-9]+"),"")</f>
        <v>#REF!</v>
      </c>
      <c r="H13" t="str" cm="1">
        <f t="array" aca="1" ref="H13" ca="1">IF('Raw Data'!G15="",_xlfn.REGEXEXTRACT(CELL("address",'Raw Data'!G15),"\$([A-Z]+)\$[0-9]+"),"")</f>
        <v/>
      </c>
      <c r="I13" t="str" cm="1">
        <f t="array" aca="1" ref="I13" ca="1">IF('Raw Data'!H15="",_xlfn.REGEXEXTRACT(CELL("address",'Raw Data'!H15),"\$([A-Z]+)\$[0-9]+"),"")</f>
        <v>$H$15</v>
      </c>
    </row>
    <row r="14" spans="2:9" x14ac:dyDescent="0.25">
      <c r="B14" t="str" cm="1">
        <f t="array" aca="1" ref="B14" ca="1">IF('Raw Data'!B16="",_xlfn.REGEXEXTRACT(CELL("address",'Raw Data'!B16),"\$([A-Z]+)\$[0-9]+"),"")</f>
        <v/>
      </c>
      <c r="C14" t="str" cm="1">
        <f t="array" aca="1" ref="C14" ca="1">IF('Raw Data'!C16="",_xlfn.REGEXEXTRACT(CELL("address",'Raw Data'!C16),"\$([A-Z]+)\$[0-9]+"),"")</f>
        <v/>
      </c>
      <c r="D14" t="str" cm="1">
        <f t="array" aca="1" ref="D14" ca="1">IF('Raw Data'!D16="",_xlfn.REGEXEXTRACT(CELL("address",'Raw Data'!D16),"\$([A-Z]+)\$[0-9]+"),"")</f>
        <v/>
      </c>
      <c r="E14" t="str" cm="1">
        <f t="array" aca="1" ref="E14" ca="1">IF('Raw Data'!E16="",_xlfn.REGEXEXTRACT(CELL("address",'Raw Data'!E16),"\$([A-Z]+)\$[0-9]+"),"")</f>
        <v/>
      </c>
      <c r="F14" t="str" cm="1">
        <f t="array" aca="1" ref="F14" ca="1">IF('Raw Data'!F16="",_xlfn.REGEXEXTRACT(CELL("address",'Raw Data'!F16),"\$([A-Z]+)\$[0-9]+"),"")</f>
        <v/>
      </c>
      <c r="G14" t="e" cm="1">
        <f t="array" aca="1" ref="G14" ca="1">IF('Raw Data'!#REF!="",_xlfn.REGEXEXTRACT(CELL("address",'Raw Data'!#REF!),"\$([A-Z]+)\$[0-9]+"),"")</f>
        <v>#REF!</v>
      </c>
      <c r="H14" t="str" cm="1">
        <f t="array" aca="1" ref="H14" ca="1">IF('Raw Data'!G16="",_xlfn.REGEXEXTRACT(CELL("address",'Raw Data'!G16),"\$([A-Z]+)\$[0-9]+"),"")</f>
        <v/>
      </c>
      <c r="I14" t="str" cm="1">
        <f t="array" aca="1" ref="I14" ca="1">IF('Raw Data'!H16="",_xlfn.REGEXEXTRACT(CELL("address",'Raw Data'!H16),"\$([A-Z]+)\$[0-9]+"),"")</f>
        <v>$H$16</v>
      </c>
    </row>
    <row r="15" spans="2:9" x14ac:dyDescent="0.25">
      <c r="B15" t="str" cm="1">
        <f t="array" aca="1" ref="B15" ca="1">IF('Raw Data'!B17="",_xlfn.REGEXEXTRACT(CELL("address",'Raw Data'!B17),"\$([A-Z]+)\$[0-9]+"),"")</f>
        <v/>
      </c>
      <c r="C15" t="str" cm="1">
        <f t="array" aca="1" ref="C15" ca="1">IF('Raw Data'!C17="",_xlfn.REGEXEXTRACT(CELL("address",'Raw Data'!C17),"\$([A-Z]+)\$[0-9]+"),"")</f>
        <v/>
      </c>
      <c r="D15" t="str" cm="1">
        <f t="array" aca="1" ref="D15" ca="1">IF('Raw Data'!D17="",_xlfn.REGEXEXTRACT(CELL("address",'Raw Data'!D17),"\$([A-Z]+)\$[0-9]+"),"")</f>
        <v/>
      </c>
      <c r="E15" t="str" cm="1">
        <f t="array" aca="1" ref="E15" ca="1">IF('Raw Data'!E17="",_xlfn.REGEXEXTRACT(CELL("address",'Raw Data'!E17),"\$([A-Z]+)\$[0-9]+"),"")</f>
        <v/>
      </c>
      <c r="F15" t="str" cm="1">
        <f t="array" aca="1" ref="F15" ca="1">IF('Raw Data'!F17="",_xlfn.REGEXEXTRACT(CELL("address",'Raw Data'!F17),"\$([A-Z]+)\$[0-9]+"),"")</f>
        <v/>
      </c>
      <c r="G15" t="e" cm="1">
        <f t="array" aca="1" ref="G15" ca="1">IF('Raw Data'!#REF!="",_xlfn.REGEXEXTRACT(CELL("address",'Raw Data'!#REF!),"\$([A-Z]+)\$[0-9]+"),"")</f>
        <v>#REF!</v>
      </c>
      <c r="H15" t="str" cm="1">
        <f t="array" aca="1" ref="H15" ca="1">IF('Raw Data'!G17="",_xlfn.REGEXEXTRACT(CELL("address",'Raw Data'!G17),"\$([A-Z]+)\$[0-9]+"),"")</f>
        <v/>
      </c>
      <c r="I15" t="str" cm="1">
        <f t="array" aca="1" ref="I15" ca="1">IF('Raw Data'!H17="",_xlfn.REGEXEXTRACT(CELL("address",'Raw Data'!H17),"\$([A-Z]+)\$[0-9]+"),"")</f>
        <v>$H$17</v>
      </c>
    </row>
    <row r="16" spans="2:9" x14ac:dyDescent="0.25">
      <c r="B16" t="str" cm="1">
        <f t="array" aca="1" ref="B16" ca="1">IF('Raw Data'!B18="",_xlfn.REGEXEXTRACT(CELL("address",'Raw Data'!B18),"\$([A-Z]+)\$[0-9]+"),"")</f>
        <v/>
      </c>
      <c r="C16" t="str" cm="1">
        <f t="array" aca="1" ref="C16" ca="1">IF('Raw Data'!C18="",_xlfn.REGEXEXTRACT(CELL("address",'Raw Data'!C18),"\$([A-Z]+)\$[0-9]+"),"")</f>
        <v/>
      </c>
      <c r="D16" t="str" cm="1">
        <f t="array" aca="1" ref="D16" ca="1">IF('Raw Data'!D18="",_xlfn.REGEXEXTRACT(CELL("address",'Raw Data'!D18),"\$([A-Z]+)\$[0-9]+"),"")</f>
        <v/>
      </c>
      <c r="E16" t="str" cm="1">
        <f t="array" aca="1" ref="E16" ca="1">IF('Raw Data'!E18="",_xlfn.REGEXEXTRACT(CELL("address",'Raw Data'!E18),"\$([A-Z]+)\$[0-9]+"),"")</f>
        <v/>
      </c>
      <c r="F16" t="str" cm="1">
        <f t="array" aca="1" ref="F16" ca="1">IF('Raw Data'!F18="",_xlfn.REGEXEXTRACT(CELL("address",'Raw Data'!F18),"\$([A-Z]+)\$[0-9]+"),"")</f>
        <v/>
      </c>
      <c r="G16" t="e" cm="1">
        <f t="array" aca="1" ref="G16" ca="1">IF('Raw Data'!#REF!="",_xlfn.REGEXEXTRACT(CELL("address",'Raw Data'!#REF!),"\$([A-Z]+)\$[0-9]+"),"")</f>
        <v>#REF!</v>
      </c>
      <c r="H16" t="str" cm="1">
        <f t="array" aca="1" ref="H16" ca="1">IF('Raw Data'!G18="",_xlfn.REGEXEXTRACT(CELL("address",'Raw Data'!G18),"\$([A-Z]+)\$[0-9]+"),"")</f>
        <v/>
      </c>
      <c r="I16" t="str" cm="1">
        <f t="array" aca="1" ref="I16" ca="1">IF('Raw Data'!H18="",_xlfn.REGEXEXTRACT(CELL("address",'Raw Data'!H18),"\$([A-Z]+)\$[0-9]+"),"")</f>
        <v>$H$18</v>
      </c>
    </row>
    <row r="17" spans="2:9" x14ac:dyDescent="0.25">
      <c r="B17" t="str" cm="1">
        <f t="array" aca="1" ref="B17" ca="1">IF('Raw Data'!B19="",_xlfn.REGEXEXTRACT(CELL("address",'Raw Data'!B19),"\$([A-Z]+)\$[0-9]+"),"")</f>
        <v/>
      </c>
      <c r="C17" t="str" cm="1">
        <f t="array" aca="1" ref="C17" ca="1">IF('Raw Data'!C19="",_xlfn.REGEXEXTRACT(CELL("address",'Raw Data'!C19),"\$([A-Z]+)\$[0-9]+"),"")</f>
        <v/>
      </c>
      <c r="D17" t="str" cm="1">
        <f t="array" aca="1" ref="D17" ca="1">IF('Raw Data'!D19="",_xlfn.REGEXEXTRACT(CELL("address",'Raw Data'!D19),"\$([A-Z]+)\$[0-9]+"),"")</f>
        <v/>
      </c>
      <c r="E17" t="str" cm="1">
        <f t="array" aca="1" ref="E17" ca="1">IF('Raw Data'!E19="",_xlfn.REGEXEXTRACT(CELL("address",'Raw Data'!E19),"\$([A-Z]+)\$[0-9]+"),"")</f>
        <v/>
      </c>
      <c r="F17" t="str" cm="1">
        <f t="array" aca="1" ref="F17" ca="1">IF('Raw Data'!F19="",_xlfn.REGEXEXTRACT(CELL("address",'Raw Data'!F19),"\$([A-Z]+)\$[0-9]+"),"")</f>
        <v/>
      </c>
      <c r="G17" t="e" cm="1">
        <f t="array" aca="1" ref="G17" ca="1">IF('Raw Data'!#REF!="",_xlfn.REGEXEXTRACT(CELL("address",'Raw Data'!#REF!),"\$([A-Z]+)\$[0-9]+"),"")</f>
        <v>#REF!</v>
      </c>
      <c r="H17" t="str" cm="1">
        <f t="array" aca="1" ref="H17" ca="1">IF('Raw Data'!G19="",_xlfn.REGEXEXTRACT(CELL("address",'Raw Data'!G19),"\$([A-Z]+)\$[0-9]+"),"")</f>
        <v/>
      </c>
      <c r="I17" t="str" cm="1">
        <f t="array" aca="1" ref="I17" ca="1">IF('Raw Data'!H19="",_xlfn.REGEXEXTRACT(CELL("address",'Raw Data'!H19),"\$([A-Z]+)\$[0-9]+"),"")</f>
        <v>$H$19</v>
      </c>
    </row>
    <row r="18" spans="2:9" x14ac:dyDescent="0.25">
      <c r="B18" t="str" cm="1">
        <f t="array" aca="1" ref="B18" ca="1">IF('Raw Data'!B20="",_xlfn.REGEXEXTRACT(CELL("address",'Raw Data'!B20),"\$([A-Z]+)\$[0-9]+"),"")</f>
        <v/>
      </c>
      <c r="C18" t="str" cm="1">
        <f t="array" aca="1" ref="C18" ca="1">IF('Raw Data'!C20="",_xlfn.REGEXEXTRACT(CELL("address",'Raw Data'!C20),"\$([A-Z]+)\$[0-9]+"),"")</f>
        <v/>
      </c>
      <c r="D18" t="str" cm="1">
        <f t="array" aca="1" ref="D18" ca="1">IF('Raw Data'!D20="",_xlfn.REGEXEXTRACT(CELL("address",'Raw Data'!D20),"\$([A-Z]+)\$[0-9]+"),"")</f>
        <v/>
      </c>
      <c r="E18" t="str" cm="1">
        <f t="array" aca="1" ref="E18" ca="1">IF('Raw Data'!E20="",_xlfn.REGEXEXTRACT(CELL("address",'Raw Data'!E20),"\$([A-Z]+)\$[0-9]+"),"")</f>
        <v/>
      </c>
      <c r="F18" t="str" cm="1">
        <f t="array" aca="1" ref="F18" ca="1">IF('Raw Data'!F20="",_xlfn.REGEXEXTRACT(CELL("address",'Raw Data'!F20),"\$([A-Z]+)\$[0-9]+"),"")</f>
        <v/>
      </c>
      <c r="G18" t="e" cm="1">
        <f t="array" aca="1" ref="G18" ca="1">IF('Raw Data'!#REF!="",_xlfn.REGEXEXTRACT(CELL("address",'Raw Data'!#REF!),"\$([A-Z]+)\$[0-9]+"),"")</f>
        <v>#REF!</v>
      </c>
      <c r="H18" t="str" cm="1">
        <f t="array" aca="1" ref="H18" ca="1">IF('Raw Data'!G20="",_xlfn.REGEXEXTRACT(CELL("address",'Raw Data'!G20),"\$([A-Z]+)\$[0-9]+"),"")</f>
        <v/>
      </c>
      <c r="I18" t="str" cm="1">
        <f t="array" aca="1" ref="I18" ca="1">IF('Raw Data'!H20="",_xlfn.REGEXEXTRACT(CELL("address",'Raw Data'!H20),"\$([A-Z]+)\$[0-9]+"),"")</f>
        <v>$H$20</v>
      </c>
    </row>
    <row r="19" spans="2:9" x14ac:dyDescent="0.25">
      <c r="B19" t="str" cm="1">
        <f t="array" aca="1" ref="B19" ca="1">IF('Raw Data'!B21="",_xlfn.REGEXEXTRACT(CELL("address",'Raw Data'!B21),"\$([A-Z]+)\$[0-9]+"),"")</f>
        <v/>
      </c>
      <c r="C19" t="str" cm="1">
        <f t="array" aca="1" ref="C19" ca="1">IF('Raw Data'!C21="",_xlfn.REGEXEXTRACT(CELL("address",'Raw Data'!C21),"\$([A-Z]+)\$[0-9]+"),"")</f>
        <v/>
      </c>
      <c r="D19" t="str" cm="1">
        <f t="array" aca="1" ref="D19" ca="1">IF('Raw Data'!D21="",_xlfn.REGEXEXTRACT(CELL("address",'Raw Data'!D21),"\$([A-Z]+)\$[0-9]+"),"")</f>
        <v/>
      </c>
      <c r="E19" t="str" cm="1">
        <f t="array" aca="1" ref="E19" ca="1">IF('Raw Data'!E21="",_xlfn.REGEXEXTRACT(CELL("address",'Raw Data'!E21),"\$([A-Z]+)\$[0-9]+"),"")</f>
        <v/>
      </c>
      <c r="F19" t="str" cm="1">
        <f t="array" aca="1" ref="F19" ca="1">IF('Raw Data'!F21="",_xlfn.REGEXEXTRACT(CELL("address",'Raw Data'!F21),"\$([A-Z]+)\$[0-9]+"),"")</f>
        <v/>
      </c>
      <c r="G19" t="e" cm="1">
        <f t="array" aca="1" ref="G19" ca="1">IF('Raw Data'!#REF!="",_xlfn.REGEXEXTRACT(CELL("address",'Raw Data'!#REF!),"\$([A-Z]+)\$[0-9]+"),"")</f>
        <v>#REF!</v>
      </c>
      <c r="H19" t="str" cm="1">
        <f t="array" aca="1" ref="H19" ca="1">IF('Raw Data'!G21="",_xlfn.REGEXEXTRACT(CELL("address",'Raw Data'!G21),"\$([A-Z]+)\$[0-9]+"),"")</f>
        <v/>
      </c>
      <c r="I19" t="str" cm="1">
        <f t="array" aca="1" ref="I19" ca="1">IF('Raw Data'!H21="",_xlfn.REGEXEXTRACT(CELL("address",'Raw Data'!H21),"\$([A-Z]+)\$[0-9]+"),"")</f>
        <v>$H$21</v>
      </c>
    </row>
    <row r="20" spans="2:9" x14ac:dyDescent="0.25">
      <c r="B20" t="str" cm="1">
        <f t="array" aca="1" ref="B20" ca="1">IF('Raw Data'!B22="",_xlfn.REGEXEXTRACT(CELL("address",'Raw Data'!B22),"\$([A-Z]+)\$[0-9]+"),"")</f>
        <v/>
      </c>
      <c r="C20" t="str" cm="1">
        <f t="array" aca="1" ref="C20" ca="1">IF('Raw Data'!C22="",_xlfn.REGEXEXTRACT(CELL("address",'Raw Data'!C22),"\$([A-Z]+)\$[0-9]+"),"")</f>
        <v/>
      </c>
      <c r="D20" t="str" cm="1">
        <f t="array" aca="1" ref="D20" ca="1">IF('Raw Data'!D22="",_xlfn.REGEXEXTRACT(CELL("address",'Raw Data'!D22),"\$([A-Z]+)\$[0-9]+"),"")</f>
        <v/>
      </c>
      <c r="E20" t="str" cm="1">
        <f t="array" aca="1" ref="E20" ca="1">IF('Raw Data'!E22="",_xlfn.REGEXEXTRACT(CELL("address",'Raw Data'!E22),"\$([A-Z]+)\$[0-9]+"),"")</f>
        <v/>
      </c>
      <c r="F20" t="str" cm="1">
        <f t="array" aca="1" ref="F20" ca="1">IF('Raw Data'!F22="",_xlfn.REGEXEXTRACT(CELL("address",'Raw Data'!F22),"\$([A-Z]+)\$[0-9]+"),"")</f>
        <v/>
      </c>
      <c r="G20" t="e" cm="1">
        <f t="array" aca="1" ref="G20" ca="1">IF('Raw Data'!#REF!="",_xlfn.REGEXEXTRACT(CELL("address",'Raw Data'!#REF!),"\$([A-Z]+)\$[0-9]+"),"")</f>
        <v>#REF!</v>
      </c>
      <c r="H20" t="str" cm="1">
        <f t="array" aca="1" ref="H20" ca="1">IF('Raw Data'!G22="",_xlfn.REGEXEXTRACT(CELL("address",'Raw Data'!G22),"\$([A-Z]+)\$[0-9]+"),"")</f>
        <v/>
      </c>
      <c r="I20" t="str" cm="1">
        <f t="array" aca="1" ref="I20" ca="1">IF('Raw Data'!H22="",_xlfn.REGEXEXTRACT(CELL("address",'Raw Data'!H22),"\$([A-Z]+)\$[0-9]+"),"")</f>
        <v>$H$22</v>
      </c>
    </row>
    <row r="21" spans="2:9" x14ac:dyDescent="0.25">
      <c r="B21" t="str" cm="1">
        <f t="array" aca="1" ref="B21" ca="1">IF('Raw Data'!B23="",_xlfn.REGEXEXTRACT(CELL("address",'Raw Data'!B23),"\$([A-Z]+)\$[0-9]+"),"")</f>
        <v/>
      </c>
      <c r="C21" t="str" cm="1">
        <f t="array" aca="1" ref="C21" ca="1">IF('Raw Data'!C23="",_xlfn.REGEXEXTRACT(CELL("address",'Raw Data'!C23),"\$([A-Z]+)\$[0-9]+"),"")</f>
        <v/>
      </c>
      <c r="D21" t="str" cm="1">
        <f t="array" aca="1" ref="D21" ca="1">IF('Raw Data'!D23="",_xlfn.REGEXEXTRACT(CELL("address",'Raw Data'!D23),"\$([A-Z]+)\$[0-9]+"),"")</f>
        <v>$D$23</v>
      </c>
      <c r="E21" t="str" cm="1">
        <f t="array" aca="1" ref="E21" ca="1">IF('Raw Data'!E23="",_xlfn.REGEXEXTRACT(CELL("address",'Raw Data'!E23),"\$([A-Z]+)\$[0-9]+"),"")</f>
        <v>$E$23</v>
      </c>
      <c r="F21" t="str" cm="1">
        <f t="array" aca="1" ref="F21" ca="1">IF('Raw Data'!F23="",_xlfn.REGEXEXTRACT(CELL("address",'Raw Data'!F23),"\$([A-Z]+)\$[0-9]+"),"")</f>
        <v>$F$23</v>
      </c>
      <c r="G21" t="e" cm="1">
        <f t="array" aca="1" ref="G21" ca="1">IF('Raw Data'!#REF!="",_xlfn.REGEXEXTRACT(CELL("address",'Raw Data'!#REF!),"\$([A-Z]+)\$[0-9]+"),"")</f>
        <v>#REF!</v>
      </c>
      <c r="H21" t="str" cm="1">
        <f t="array" aca="1" ref="H21" ca="1">IF('Raw Data'!G23="",_xlfn.REGEXEXTRACT(CELL("address",'Raw Data'!G23),"\$([A-Z]+)\$[0-9]+"),"")</f>
        <v>$G$23</v>
      </c>
      <c r="I21" t="str" cm="1">
        <f t="array" aca="1" ref="I21" ca="1">IF('Raw Data'!H23="",_xlfn.REGEXEXTRACT(CELL("address",'Raw Data'!H23),"\$([A-Z]+)\$[0-9]+"),"")</f>
        <v>$H$23</v>
      </c>
    </row>
    <row r="22" spans="2:9" x14ac:dyDescent="0.25">
      <c r="B22" t="str" cm="1">
        <f t="array" aca="1" ref="B22" ca="1">IF('Raw Data'!B24="",_xlfn.REGEXEXTRACT(CELL("address",'Raw Data'!B24),"\$([A-Z]+)\$[0-9]+"),"")</f>
        <v/>
      </c>
      <c r="C22" t="str" cm="1">
        <f t="array" aca="1" ref="C22" ca="1">IF('Raw Data'!C24="",_xlfn.REGEXEXTRACT(CELL("address",'Raw Data'!C24),"\$([A-Z]+)\$[0-9]+"),"")</f>
        <v/>
      </c>
      <c r="D22" t="str" cm="1">
        <f t="array" aca="1" ref="D22" ca="1">IF('Raw Data'!D24="",_xlfn.REGEXEXTRACT(CELL("address",'Raw Data'!D24),"\$([A-Z]+)\$[0-9]+"),"")</f>
        <v>$D$24</v>
      </c>
      <c r="E22" t="str" cm="1">
        <f t="array" aca="1" ref="E22" ca="1">IF('Raw Data'!E24="",_xlfn.REGEXEXTRACT(CELL("address",'Raw Data'!E24),"\$([A-Z]+)\$[0-9]+"),"")</f>
        <v>$E$24</v>
      </c>
      <c r="F22" t="str" cm="1">
        <f t="array" aca="1" ref="F22" ca="1">IF('Raw Data'!F24="",_xlfn.REGEXEXTRACT(CELL("address",'Raw Data'!F24),"\$([A-Z]+)\$[0-9]+"),"")</f>
        <v>$F$24</v>
      </c>
      <c r="G22" t="e" cm="1">
        <f t="array" aca="1" ref="G22" ca="1">IF('Raw Data'!#REF!="",_xlfn.REGEXEXTRACT(CELL("address",'Raw Data'!#REF!),"\$([A-Z]+)\$[0-9]+"),"")</f>
        <v>#REF!</v>
      </c>
      <c r="H22" t="str" cm="1">
        <f t="array" aca="1" ref="H22" ca="1">IF('Raw Data'!G24="",_xlfn.REGEXEXTRACT(CELL("address",'Raw Data'!G24),"\$([A-Z]+)\$[0-9]+"),"")</f>
        <v>$G$24</v>
      </c>
      <c r="I22" t="str" cm="1">
        <f t="array" aca="1" ref="I22" ca="1">IF('Raw Data'!H24="",_xlfn.REGEXEXTRACT(CELL("address",'Raw Data'!H24),"\$([A-Z]+)\$[0-9]+"),"")</f>
        <v>$H$24</v>
      </c>
    </row>
    <row r="23" spans="2:9" x14ac:dyDescent="0.25">
      <c r="B23" t="str" cm="1">
        <f t="array" aca="1" ref="B23" ca="1">IF('Raw Data'!B25="",_xlfn.REGEXEXTRACT(CELL("address",'Raw Data'!B25),"\$([A-Z]+)\$[0-9]+"),"")</f>
        <v/>
      </c>
      <c r="C23" t="str" cm="1">
        <f t="array" aca="1" ref="C23" ca="1">IF('Raw Data'!C25="",_xlfn.REGEXEXTRACT(CELL("address",'Raw Data'!C25),"\$([A-Z]+)\$[0-9]+"),"")</f>
        <v/>
      </c>
      <c r="D23" t="str" cm="1">
        <f t="array" aca="1" ref="D23" ca="1">IF('Raw Data'!D25="",_xlfn.REGEXEXTRACT(CELL("address",'Raw Data'!D25),"\$([A-Z]+)\$[0-9]+"),"")</f>
        <v>$D$25</v>
      </c>
      <c r="E23" t="str" cm="1">
        <f t="array" aca="1" ref="E23" ca="1">IF('Raw Data'!E25="",_xlfn.REGEXEXTRACT(CELL("address",'Raw Data'!E25),"\$([A-Z]+)\$[0-9]+"),"")</f>
        <v>$E$25</v>
      </c>
      <c r="F23" t="str" cm="1">
        <f t="array" aca="1" ref="F23" ca="1">IF('Raw Data'!F25="",_xlfn.REGEXEXTRACT(CELL("address",'Raw Data'!F25),"\$([A-Z]+)\$[0-9]+"),"")</f>
        <v>$F$25</v>
      </c>
      <c r="G23" t="e" cm="1">
        <f t="array" aca="1" ref="G23" ca="1">IF('Raw Data'!#REF!="",_xlfn.REGEXEXTRACT(CELL("address",'Raw Data'!#REF!),"\$([A-Z]+)\$[0-9]+"),"")</f>
        <v>#REF!</v>
      </c>
      <c r="H23" t="str" cm="1">
        <f t="array" aca="1" ref="H23" ca="1">IF('Raw Data'!G25="",_xlfn.REGEXEXTRACT(CELL("address",'Raw Data'!G25),"\$([A-Z]+)\$[0-9]+"),"")</f>
        <v>$G$25</v>
      </c>
      <c r="I23" t="str" cm="1">
        <f t="array" aca="1" ref="I23" ca="1">IF('Raw Data'!H25="",_xlfn.REGEXEXTRACT(CELL("address",'Raw Data'!H25),"\$([A-Z]+)\$[0-9]+"),"")</f>
        <v>$H$25</v>
      </c>
    </row>
    <row r="24" spans="2:9" x14ac:dyDescent="0.25">
      <c r="B24" t="str" cm="1">
        <f t="array" aca="1" ref="B24" ca="1">IF('Raw Data'!B26="",_xlfn.REGEXEXTRACT(CELL("address",'Raw Data'!B26),"\$([A-Z]+)\$[0-9]+"),"")</f>
        <v/>
      </c>
      <c r="C24" t="str" cm="1">
        <f t="array" aca="1" ref="C24" ca="1">IF('Raw Data'!C26="",_xlfn.REGEXEXTRACT(CELL("address",'Raw Data'!C26),"\$([A-Z]+)\$[0-9]+"),"")</f>
        <v/>
      </c>
      <c r="D24" t="str" cm="1">
        <f t="array" aca="1" ref="D24" ca="1">IF('Raw Data'!D26="",_xlfn.REGEXEXTRACT(CELL("address",'Raw Data'!D26),"\$([A-Z]+)\$[0-9]+"),"")</f>
        <v>$D$26</v>
      </c>
      <c r="E24" t="str" cm="1">
        <f t="array" aca="1" ref="E24" ca="1">IF('Raw Data'!E26="",_xlfn.REGEXEXTRACT(CELL("address",'Raw Data'!E26),"\$([A-Z]+)\$[0-9]+"),"")</f>
        <v>$E$26</v>
      </c>
      <c r="F24" t="str" cm="1">
        <f t="array" aca="1" ref="F24" ca="1">IF('Raw Data'!F26="",_xlfn.REGEXEXTRACT(CELL("address",'Raw Data'!F26),"\$([A-Z]+)\$[0-9]+"),"")</f>
        <v>$F$26</v>
      </c>
      <c r="G24" t="e" cm="1">
        <f t="array" aca="1" ref="G24" ca="1">IF('Raw Data'!#REF!="",_xlfn.REGEXEXTRACT(CELL("address",'Raw Data'!#REF!),"\$([A-Z]+)\$[0-9]+"),"")</f>
        <v>#REF!</v>
      </c>
      <c r="H24" t="str" cm="1">
        <f t="array" aca="1" ref="H24" ca="1">IF('Raw Data'!G26="",_xlfn.REGEXEXTRACT(CELL("address",'Raw Data'!G26),"\$([A-Z]+)\$[0-9]+"),"")</f>
        <v>$G$26</v>
      </c>
      <c r="I24" t="str" cm="1">
        <f t="array" aca="1" ref="I24" ca="1">IF('Raw Data'!H26="",_xlfn.REGEXEXTRACT(CELL("address",'Raw Data'!H26),"\$([A-Z]+)\$[0-9]+"),"")</f>
        <v>$H$26</v>
      </c>
    </row>
    <row r="25" spans="2:9" x14ac:dyDescent="0.25">
      <c r="B25" t="str" cm="1">
        <f t="array" aca="1" ref="B25" ca="1">IF('Raw Data'!B27="",_xlfn.REGEXEXTRACT(CELL("address",'Raw Data'!B27),"\$([A-Z]+)\$[0-9]+"),"")</f>
        <v/>
      </c>
      <c r="C25" t="str" cm="1">
        <f t="array" aca="1" ref="C25" ca="1">IF('Raw Data'!C27="",_xlfn.REGEXEXTRACT(CELL("address",'Raw Data'!C27),"\$([A-Z]+)\$[0-9]+"),"")</f>
        <v/>
      </c>
      <c r="D25" t="str" cm="1">
        <f t="array" aca="1" ref="D25" ca="1">IF('Raw Data'!D27="",_xlfn.REGEXEXTRACT(CELL("address",'Raw Data'!D27),"\$([A-Z]+)\$[0-9]+"),"")</f>
        <v>$D$27</v>
      </c>
      <c r="E25" t="str" cm="1">
        <f t="array" aca="1" ref="E25" ca="1">IF('Raw Data'!E27="",_xlfn.REGEXEXTRACT(CELL("address",'Raw Data'!E27),"\$([A-Z]+)\$[0-9]+"),"")</f>
        <v>$E$27</v>
      </c>
      <c r="F25" t="str" cm="1">
        <f t="array" aca="1" ref="F25" ca="1">IF('Raw Data'!F27="",_xlfn.REGEXEXTRACT(CELL("address",'Raw Data'!F27),"\$([A-Z]+)\$[0-9]+"),"")</f>
        <v>$F$27</v>
      </c>
      <c r="G25" t="e" cm="1">
        <f t="array" aca="1" ref="G25" ca="1">IF('Raw Data'!#REF!="",_xlfn.REGEXEXTRACT(CELL("address",'Raw Data'!#REF!),"\$([A-Z]+)\$[0-9]+"),"")</f>
        <v>#REF!</v>
      </c>
      <c r="H25" t="str" cm="1">
        <f t="array" aca="1" ref="H25" ca="1">IF('Raw Data'!G27="",_xlfn.REGEXEXTRACT(CELL("address",'Raw Data'!G27),"\$([A-Z]+)\$[0-9]+"),"")</f>
        <v>$G$27</v>
      </c>
      <c r="I25" t="str" cm="1">
        <f t="array" aca="1" ref="I25" ca="1">IF('Raw Data'!H27="",_xlfn.REGEXEXTRACT(CELL("address",'Raw Data'!H27),"\$([A-Z]+)\$[0-9]+"),"")</f>
        <v>$H$27</v>
      </c>
    </row>
    <row r="26" spans="2:9" x14ac:dyDescent="0.25">
      <c r="B26" t="str" cm="1">
        <f t="array" aca="1" ref="B26" ca="1">IF('Raw Data'!B28="",_xlfn.REGEXEXTRACT(CELL("address",'Raw Data'!B28),"\$([A-Z]+)\$[0-9]+"),"")</f>
        <v/>
      </c>
      <c r="C26" t="str" cm="1">
        <f t="array" aca="1" ref="C26" ca="1">IF('Raw Data'!C28="",_xlfn.REGEXEXTRACT(CELL("address",'Raw Data'!C28),"\$([A-Z]+)\$[0-9]+"),"")</f>
        <v/>
      </c>
      <c r="D26" t="str" cm="1">
        <f t="array" aca="1" ref="D26" ca="1">IF('Raw Data'!D28="",_xlfn.REGEXEXTRACT(CELL("address",'Raw Data'!D28),"\$([A-Z]+)\$[0-9]+"),"")</f>
        <v>$D$28</v>
      </c>
      <c r="E26" t="str" cm="1">
        <f t="array" aca="1" ref="E26" ca="1">IF('Raw Data'!E28="",_xlfn.REGEXEXTRACT(CELL("address",'Raw Data'!E28),"\$([A-Z]+)\$[0-9]+"),"")</f>
        <v>$E$28</v>
      </c>
      <c r="F26" t="str" cm="1">
        <f t="array" aca="1" ref="F26" ca="1">IF('Raw Data'!F28="",_xlfn.REGEXEXTRACT(CELL("address",'Raw Data'!F28),"\$([A-Z]+)\$[0-9]+"),"")</f>
        <v>$F$28</v>
      </c>
      <c r="G26" t="e" cm="1">
        <f t="array" aca="1" ref="G26" ca="1">IF('Raw Data'!#REF!="",_xlfn.REGEXEXTRACT(CELL("address",'Raw Data'!#REF!),"\$([A-Z]+)\$[0-9]+"),"")</f>
        <v>#REF!</v>
      </c>
      <c r="H26" t="str" cm="1">
        <f t="array" aca="1" ref="H26" ca="1">IF('Raw Data'!G28="",_xlfn.REGEXEXTRACT(CELL("address",'Raw Data'!G28),"\$([A-Z]+)\$[0-9]+"),"")</f>
        <v>$G$28</v>
      </c>
      <c r="I26" t="str" cm="1">
        <f t="array" aca="1" ref="I26" ca="1">IF('Raw Data'!H28="",_xlfn.REGEXEXTRACT(CELL("address",'Raw Data'!H28),"\$([A-Z]+)\$[0-9]+"),"")</f>
        <v>$H$28</v>
      </c>
    </row>
    <row r="27" spans="2:9" x14ac:dyDescent="0.25">
      <c r="B27" t="str" cm="1">
        <f t="array" aca="1" ref="B27" ca="1">IF('Raw Data'!B29="",_xlfn.REGEXEXTRACT(CELL("address",'Raw Data'!B29),"\$([A-Z]+)\$[0-9]+"),"")</f>
        <v/>
      </c>
      <c r="C27" t="str" cm="1">
        <f t="array" aca="1" ref="C27" ca="1">IF('Raw Data'!C29="",_xlfn.REGEXEXTRACT(CELL("address",'Raw Data'!C29),"\$([A-Z]+)\$[0-9]+"),"")</f>
        <v/>
      </c>
      <c r="D27" t="str" cm="1">
        <f t="array" aca="1" ref="D27" ca="1">IF('Raw Data'!D29="",_xlfn.REGEXEXTRACT(CELL("address",'Raw Data'!D29),"\$([A-Z]+)\$[0-9]+"),"")</f>
        <v>$D$29</v>
      </c>
      <c r="E27" t="str" cm="1">
        <f t="array" aca="1" ref="E27" ca="1">IF('Raw Data'!E29="",_xlfn.REGEXEXTRACT(CELL("address",'Raw Data'!E29),"\$([A-Z]+)\$[0-9]+"),"")</f>
        <v>$E$29</v>
      </c>
      <c r="F27" t="str" cm="1">
        <f t="array" aca="1" ref="F27" ca="1">IF('Raw Data'!F29="",_xlfn.REGEXEXTRACT(CELL("address",'Raw Data'!F29),"\$([A-Z]+)\$[0-9]+"),"")</f>
        <v>$F$29</v>
      </c>
      <c r="G27" t="e" cm="1">
        <f t="array" aca="1" ref="G27" ca="1">IF('Raw Data'!#REF!="",_xlfn.REGEXEXTRACT(CELL("address",'Raw Data'!#REF!),"\$([A-Z]+)\$[0-9]+"),"")</f>
        <v>#REF!</v>
      </c>
      <c r="H27" t="str" cm="1">
        <f t="array" aca="1" ref="H27" ca="1">IF('Raw Data'!G29="",_xlfn.REGEXEXTRACT(CELL("address",'Raw Data'!G29),"\$([A-Z]+)\$[0-9]+"),"")</f>
        <v>$G$29</v>
      </c>
      <c r="I27" t="str" cm="1">
        <f t="array" aca="1" ref="I27" ca="1">IF('Raw Data'!H29="",_xlfn.REGEXEXTRACT(CELL("address",'Raw Data'!H29),"\$([A-Z]+)\$[0-9]+"),"")</f>
        <v>$H$29</v>
      </c>
    </row>
    <row r="28" spans="2:9" x14ac:dyDescent="0.25">
      <c r="B28" t="str" cm="1">
        <f t="array" aca="1" ref="B28" ca="1">IF('Raw Data'!B30="",_xlfn.REGEXEXTRACT(CELL("address",'Raw Data'!B30),"\$([A-Z]+)\$[0-9]+"),"")</f>
        <v/>
      </c>
      <c r="C28" t="str" cm="1">
        <f t="array" aca="1" ref="C28" ca="1">IF('Raw Data'!C30="",_xlfn.REGEXEXTRACT(CELL("address",'Raw Data'!C30),"\$([A-Z]+)\$[0-9]+"),"")</f>
        <v/>
      </c>
      <c r="D28" t="str" cm="1">
        <f t="array" aca="1" ref="D28" ca="1">IF('Raw Data'!D30="",_xlfn.REGEXEXTRACT(CELL("address",'Raw Data'!D30),"\$([A-Z]+)\$[0-9]+"),"")</f>
        <v>$D$30</v>
      </c>
      <c r="E28" t="str" cm="1">
        <f t="array" aca="1" ref="E28" ca="1">IF('Raw Data'!E30="",_xlfn.REGEXEXTRACT(CELL("address",'Raw Data'!E30),"\$([A-Z]+)\$[0-9]+"),"")</f>
        <v>$E$30</v>
      </c>
      <c r="F28" t="str" cm="1">
        <f t="array" aca="1" ref="F28" ca="1">IF('Raw Data'!F30="",_xlfn.REGEXEXTRACT(CELL("address",'Raw Data'!F30),"\$([A-Z]+)\$[0-9]+"),"")</f>
        <v>$F$30</v>
      </c>
      <c r="G28" t="e" cm="1">
        <f t="array" aca="1" ref="G28" ca="1">IF('Raw Data'!#REF!="",_xlfn.REGEXEXTRACT(CELL("address",'Raw Data'!#REF!),"\$([A-Z]+)\$[0-9]+"),"")</f>
        <v>#REF!</v>
      </c>
      <c r="H28" t="str" cm="1">
        <f t="array" aca="1" ref="H28" ca="1">IF('Raw Data'!G30="",_xlfn.REGEXEXTRACT(CELL("address",'Raw Data'!G30),"\$([A-Z]+)\$[0-9]+"),"")</f>
        <v>$G$30</v>
      </c>
      <c r="I28" t="str" cm="1">
        <f t="array" aca="1" ref="I28" ca="1">IF('Raw Data'!H30="",_xlfn.REGEXEXTRACT(CELL("address",'Raw Data'!H30),"\$([A-Z]+)\$[0-9]+"),"")</f>
        <v>$H$30</v>
      </c>
    </row>
    <row r="29" spans="2:9" x14ac:dyDescent="0.25">
      <c r="B29" t="str" cm="1">
        <f t="array" aca="1" ref="B29" ca="1">IF('Raw Data'!B31="",_xlfn.REGEXEXTRACT(CELL("address",'Raw Data'!B31),"\$([A-Z]+)\$[0-9]+"),"")</f>
        <v/>
      </c>
      <c r="C29" t="str" cm="1">
        <f t="array" aca="1" ref="C29" ca="1">IF('Raw Data'!C31="",_xlfn.REGEXEXTRACT(CELL("address",'Raw Data'!C31),"\$([A-Z]+)\$[0-9]+"),"")</f>
        <v/>
      </c>
      <c r="D29" t="str" cm="1">
        <f t="array" aca="1" ref="D29" ca="1">IF('Raw Data'!D31="",_xlfn.REGEXEXTRACT(CELL("address",'Raw Data'!D31),"\$([A-Z]+)\$[0-9]+"),"")</f>
        <v>$D$31</v>
      </c>
      <c r="E29" t="str" cm="1">
        <f t="array" aca="1" ref="E29" ca="1">IF('Raw Data'!E31="",_xlfn.REGEXEXTRACT(CELL("address",'Raw Data'!E31),"\$([A-Z]+)\$[0-9]+"),"")</f>
        <v>$E$31</v>
      </c>
      <c r="F29" t="str" cm="1">
        <f t="array" aca="1" ref="F29" ca="1">IF('Raw Data'!F31="",_xlfn.REGEXEXTRACT(CELL("address",'Raw Data'!F31),"\$([A-Z]+)\$[0-9]+"),"")</f>
        <v>$F$31</v>
      </c>
      <c r="G29" t="e" cm="1">
        <f t="array" aca="1" ref="G29" ca="1">IF('Raw Data'!#REF!="",_xlfn.REGEXEXTRACT(CELL("address",'Raw Data'!#REF!),"\$([A-Z]+)\$[0-9]+"),"")</f>
        <v>#REF!</v>
      </c>
      <c r="H29" t="str" cm="1">
        <f t="array" aca="1" ref="H29" ca="1">IF('Raw Data'!G31="",_xlfn.REGEXEXTRACT(CELL("address",'Raw Data'!G31),"\$([A-Z]+)\$[0-9]+"),"")</f>
        <v>$G$31</v>
      </c>
      <c r="I29" t="str" cm="1">
        <f t="array" aca="1" ref="I29" ca="1">IF('Raw Data'!H31="",_xlfn.REGEXEXTRACT(CELL("address",'Raw Data'!H31),"\$([A-Z]+)\$[0-9]+"),"")</f>
        <v>$H$31</v>
      </c>
    </row>
    <row r="30" spans="2:9" x14ac:dyDescent="0.25">
      <c r="B30" t="str" cm="1">
        <f t="array" aca="1" ref="B30" ca="1">IF('Raw Data'!B32="",_xlfn.REGEXEXTRACT(CELL("address",'Raw Data'!B32),"\$([A-Z]+)\$[0-9]+"),"")</f>
        <v/>
      </c>
      <c r="C30" t="str" cm="1">
        <f t="array" aca="1" ref="C30" ca="1">IF('Raw Data'!C32="",_xlfn.REGEXEXTRACT(CELL("address",'Raw Data'!C32),"\$([A-Z]+)\$[0-9]+"),"")</f>
        <v/>
      </c>
      <c r="D30" t="str" cm="1">
        <f t="array" aca="1" ref="D30" ca="1">IF('Raw Data'!D32="",_xlfn.REGEXEXTRACT(CELL("address",'Raw Data'!D32),"\$([A-Z]+)\$[0-9]+"),"")</f>
        <v>$D$32</v>
      </c>
      <c r="E30" t="str" cm="1">
        <f t="array" aca="1" ref="E30" ca="1">IF('Raw Data'!E32="",_xlfn.REGEXEXTRACT(CELL("address",'Raw Data'!E32),"\$([A-Z]+)\$[0-9]+"),"")</f>
        <v>$E$32</v>
      </c>
      <c r="F30" t="str" cm="1">
        <f t="array" aca="1" ref="F30" ca="1">IF('Raw Data'!F32="",_xlfn.REGEXEXTRACT(CELL("address",'Raw Data'!F32),"\$([A-Z]+)\$[0-9]+"),"")</f>
        <v>$F$32</v>
      </c>
      <c r="G30" t="e" cm="1">
        <f t="array" aca="1" ref="G30" ca="1">IF('Raw Data'!#REF!="",_xlfn.REGEXEXTRACT(CELL("address",'Raw Data'!#REF!),"\$([A-Z]+)\$[0-9]+"),"")</f>
        <v>#REF!</v>
      </c>
      <c r="H30" t="str" cm="1">
        <f t="array" aca="1" ref="H30" ca="1">IF('Raw Data'!G32="",_xlfn.REGEXEXTRACT(CELL("address",'Raw Data'!G32),"\$([A-Z]+)\$[0-9]+"),"")</f>
        <v>$G$32</v>
      </c>
      <c r="I30" t="str" cm="1">
        <f t="array" aca="1" ref="I30" ca="1">IF('Raw Data'!H32="",_xlfn.REGEXEXTRACT(CELL("address",'Raw Data'!H32),"\$([A-Z]+)\$[0-9]+"),"")</f>
        <v>$H$32</v>
      </c>
    </row>
    <row r="31" spans="2:9" x14ac:dyDescent="0.25">
      <c r="B31" t="str" cm="1">
        <f t="array" aca="1" ref="B31" ca="1">IF('Raw Data'!B33="",_xlfn.REGEXEXTRACT(CELL("address",'Raw Data'!B33),"\$([A-Z]+)\$[0-9]+"),"")</f>
        <v/>
      </c>
      <c r="C31" t="str" cm="1">
        <f t="array" aca="1" ref="C31" ca="1">IF('Raw Data'!C33="",_xlfn.REGEXEXTRACT(CELL("address",'Raw Data'!C33),"\$([A-Z]+)\$[0-9]+"),"")</f>
        <v/>
      </c>
      <c r="D31" t="str" cm="1">
        <f t="array" aca="1" ref="D31" ca="1">IF('Raw Data'!D33="",_xlfn.REGEXEXTRACT(CELL("address",'Raw Data'!D33),"\$([A-Z]+)\$[0-9]+"),"")</f>
        <v>$D$33</v>
      </c>
      <c r="E31" t="str" cm="1">
        <f t="array" aca="1" ref="E31" ca="1">IF('Raw Data'!E33="",_xlfn.REGEXEXTRACT(CELL("address",'Raw Data'!E33),"\$([A-Z]+)\$[0-9]+"),"")</f>
        <v>$E$33</v>
      </c>
      <c r="F31" t="str" cm="1">
        <f t="array" aca="1" ref="F31" ca="1">IF('Raw Data'!F33="",_xlfn.REGEXEXTRACT(CELL("address",'Raw Data'!F33),"\$([A-Z]+)\$[0-9]+"),"")</f>
        <v>$F$33</v>
      </c>
      <c r="G31" t="e" cm="1">
        <f t="array" aca="1" ref="G31" ca="1">IF('Raw Data'!#REF!="",_xlfn.REGEXEXTRACT(CELL("address",'Raw Data'!#REF!),"\$([A-Z]+)\$[0-9]+"),"")</f>
        <v>#REF!</v>
      </c>
      <c r="H31" t="str" cm="1">
        <f t="array" aca="1" ref="H31" ca="1">IF('Raw Data'!G33="",_xlfn.REGEXEXTRACT(CELL("address",'Raw Data'!G33),"\$([A-Z]+)\$[0-9]+"),"")</f>
        <v>$G$33</v>
      </c>
      <c r="I31" t="str" cm="1">
        <f t="array" aca="1" ref="I31" ca="1">IF('Raw Data'!H33="",_xlfn.REGEXEXTRACT(CELL("address",'Raw Data'!H33),"\$([A-Z]+)\$[0-9]+"),"")</f>
        <v>$H$33</v>
      </c>
    </row>
    <row r="32" spans="2:9" x14ac:dyDescent="0.25">
      <c r="B32" t="str" cm="1">
        <f t="array" aca="1" ref="B32" ca="1">IF('Raw Data'!B34="",_xlfn.REGEXEXTRACT(CELL("address",'Raw Data'!B34),"\$([A-Z]+)\$[0-9]+"),"")</f>
        <v/>
      </c>
      <c r="C32" t="str" cm="1">
        <f t="array" aca="1" ref="C32" ca="1">IF('Raw Data'!C34="",_xlfn.REGEXEXTRACT(CELL("address",'Raw Data'!C34),"\$([A-Z]+)\$[0-9]+"),"")</f>
        <v/>
      </c>
      <c r="D32" t="str" cm="1">
        <f t="array" aca="1" ref="D32" ca="1">IF('Raw Data'!D34="",_xlfn.REGEXEXTRACT(CELL("address",'Raw Data'!D34),"\$([A-Z]+)\$[0-9]+"),"")</f>
        <v>$D$34</v>
      </c>
      <c r="E32" t="str" cm="1">
        <f t="array" aca="1" ref="E32" ca="1">IF('Raw Data'!E34="",_xlfn.REGEXEXTRACT(CELL("address",'Raw Data'!E34),"\$([A-Z]+)\$[0-9]+"),"")</f>
        <v>$E$34</v>
      </c>
      <c r="F32" t="str" cm="1">
        <f t="array" aca="1" ref="F32" ca="1">IF('Raw Data'!F34="",_xlfn.REGEXEXTRACT(CELL("address",'Raw Data'!F34),"\$([A-Z]+)\$[0-9]+"),"")</f>
        <v>$F$34</v>
      </c>
      <c r="G32" t="e" cm="1">
        <f t="array" aca="1" ref="G32" ca="1">IF('Raw Data'!#REF!="",_xlfn.REGEXEXTRACT(CELL("address",'Raw Data'!#REF!),"\$([A-Z]+)\$[0-9]+"),"")</f>
        <v>#REF!</v>
      </c>
      <c r="H32" t="str" cm="1">
        <f t="array" aca="1" ref="H32" ca="1">IF('Raw Data'!G34="",_xlfn.REGEXEXTRACT(CELL("address",'Raw Data'!G34),"\$([A-Z]+)\$[0-9]+"),"")</f>
        <v>$G$34</v>
      </c>
      <c r="I32" t="str" cm="1">
        <f t="array" aca="1" ref="I32" ca="1">IF('Raw Data'!H34="",_xlfn.REGEXEXTRACT(CELL("address",'Raw Data'!H34),"\$([A-Z]+)\$[0-9]+"),"")</f>
        <v>$H$34</v>
      </c>
    </row>
    <row r="33" spans="2:9" x14ac:dyDescent="0.25">
      <c r="B33" t="str" cm="1">
        <f t="array" aca="1" ref="B33" ca="1">IF('Raw Data'!B35="",_xlfn.REGEXEXTRACT(CELL("address",'Raw Data'!B35),"\$([A-Z]+)\$[0-9]+"),"")</f>
        <v/>
      </c>
      <c r="C33" t="str" cm="1">
        <f t="array" aca="1" ref="C33" ca="1">IF('Raw Data'!C35="",_xlfn.REGEXEXTRACT(CELL("address",'Raw Data'!C35),"\$([A-Z]+)\$[0-9]+"),"")</f>
        <v/>
      </c>
      <c r="D33" t="str" cm="1">
        <f t="array" aca="1" ref="D33" ca="1">IF('Raw Data'!D35="",_xlfn.REGEXEXTRACT(CELL("address",'Raw Data'!D35),"\$([A-Z]+)\$[0-9]+"),"")</f>
        <v>$D$35</v>
      </c>
      <c r="E33" t="str" cm="1">
        <f t="array" aca="1" ref="E33" ca="1">IF('Raw Data'!E35="",_xlfn.REGEXEXTRACT(CELL("address",'Raw Data'!E35),"\$([A-Z]+)\$[0-9]+"),"")</f>
        <v>$E$35</v>
      </c>
      <c r="F33" t="str" cm="1">
        <f t="array" aca="1" ref="F33" ca="1">IF('Raw Data'!F35="",_xlfn.REGEXEXTRACT(CELL("address",'Raw Data'!F35),"\$([A-Z]+)\$[0-9]+"),"")</f>
        <v>$F$35</v>
      </c>
      <c r="G33" t="e" cm="1">
        <f t="array" aca="1" ref="G33" ca="1">IF('Raw Data'!#REF!="",_xlfn.REGEXEXTRACT(CELL("address",'Raw Data'!#REF!),"\$([A-Z]+)\$[0-9]+"),"")</f>
        <v>#REF!</v>
      </c>
      <c r="H33" t="str" cm="1">
        <f t="array" aca="1" ref="H33" ca="1">IF('Raw Data'!G35="",_xlfn.REGEXEXTRACT(CELL("address",'Raw Data'!G35),"\$([A-Z]+)\$[0-9]+"),"")</f>
        <v>$G$35</v>
      </c>
      <c r="I33" t="str" cm="1">
        <f t="array" aca="1" ref="I33" ca="1">IF('Raw Data'!H35="",_xlfn.REGEXEXTRACT(CELL("address",'Raw Data'!H35),"\$([A-Z]+)\$[0-9]+"),"")</f>
        <v>$H$35</v>
      </c>
    </row>
    <row r="34" spans="2:9" x14ac:dyDescent="0.25">
      <c r="B34" t="str" cm="1">
        <f t="array" aca="1" ref="B34" ca="1">IF('Raw Data'!B36="",_xlfn.REGEXEXTRACT(CELL("address",'Raw Data'!B36),"\$([A-Z]+)\$[0-9]+"),"")</f>
        <v/>
      </c>
      <c r="C34" t="str" cm="1">
        <f t="array" aca="1" ref="C34" ca="1">IF('Raw Data'!C36="",_xlfn.REGEXEXTRACT(CELL("address",'Raw Data'!C36),"\$([A-Z]+)\$[0-9]+"),"")</f>
        <v/>
      </c>
      <c r="D34" t="str" cm="1">
        <f t="array" aca="1" ref="D34" ca="1">IF('Raw Data'!D36="",_xlfn.REGEXEXTRACT(CELL("address",'Raw Data'!D36),"\$([A-Z]+)\$[0-9]+"),"")</f>
        <v>$D$36</v>
      </c>
      <c r="E34" t="str" cm="1">
        <f t="array" aca="1" ref="E34" ca="1">IF('Raw Data'!E36="",_xlfn.REGEXEXTRACT(CELL("address",'Raw Data'!E36),"\$([A-Z]+)\$[0-9]+"),"")</f>
        <v>$E$36</v>
      </c>
      <c r="F34" t="str" cm="1">
        <f t="array" aca="1" ref="F34" ca="1">IF('Raw Data'!F36="",_xlfn.REGEXEXTRACT(CELL("address",'Raw Data'!F36),"\$([A-Z]+)\$[0-9]+"),"")</f>
        <v>$F$36</v>
      </c>
      <c r="G34" t="e" cm="1">
        <f t="array" aca="1" ref="G34" ca="1">IF('Raw Data'!#REF!="",_xlfn.REGEXEXTRACT(CELL("address",'Raw Data'!#REF!),"\$([A-Z]+)\$[0-9]+"),"")</f>
        <v>#REF!</v>
      </c>
      <c r="H34" t="str" cm="1">
        <f t="array" aca="1" ref="H34" ca="1">IF('Raw Data'!G36="",_xlfn.REGEXEXTRACT(CELL("address",'Raw Data'!G36),"\$([A-Z]+)\$[0-9]+"),"")</f>
        <v>$G$36</v>
      </c>
      <c r="I34" t="str" cm="1">
        <f t="array" aca="1" ref="I34" ca="1">IF('Raw Data'!H36="",_xlfn.REGEXEXTRACT(CELL("address",'Raw Data'!H36),"\$([A-Z]+)\$[0-9]+"),"")</f>
        <v>$H$36</v>
      </c>
    </row>
    <row r="35" spans="2:9" x14ac:dyDescent="0.25">
      <c r="B35" t="str" cm="1">
        <f t="array" aca="1" ref="B35" ca="1">IF('Raw Data'!B37="",_xlfn.REGEXEXTRACT(CELL("address",'Raw Data'!B37),"\$([A-Z]+)\$[0-9]+"),"")</f>
        <v/>
      </c>
      <c r="C35" t="str" cm="1">
        <f t="array" aca="1" ref="C35" ca="1">IF('Raw Data'!C37="",_xlfn.REGEXEXTRACT(CELL("address",'Raw Data'!C37),"\$([A-Z]+)\$[0-9]+"),"")</f>
        <v/>
      </c>
      <c r="D35" t="str" cm="1">
        <f t="array" aca="1" ref="D35" ca="1">IF('Raw Data'!D37="",_xlfn.REGEXEXTRACT(CELL("address",'Raw Data'!D37),"\$([A-Z]+)\$[0-9]+"),"")</f>
        <v>$D$37</v>
      </c>
      <c r="E35" t="str" cm="1">
        <f t="array" aca="1" ref="E35" ca="1">IF('Raw Data'!E37="",_xlfn.REGEXEXTRACT(CELL("address",'Raw Data'!E37),"\$([A-Z]+)\$[0-9]+"),"")</f>
        <v>$E$37</v>
      </c>
      <c r="F35" t="str" cm="1">
        <f t="array" aca="1" ref="F35" ca="1">IF('Raw Data'!F37="",_xlfn.REGEXEXTRACT(CELL("address",'Raw Data'!F37),"\$([A-Z]+)\$[0-9]+"),"")</f>
        <v>$F$37</v>
      </c>
      <c r="G35" t="e" cm="1">
        <f t="array" aca="1" ref="G35" ca="1">IF('Raw Data'!#REF!="",_xlfn.REGEXEXTRACT(CELL("address",'Raw Data'!#REF!),"\$([A-Z]+)\$[0-9]+"),"")</f>
        <v>#REF!</v>
      </c>
      <c r="H35" t="str" cm="1">
        <f t="array" aca="1" ref="H35" ca="1">IF('Raw Data'!G37="",_xlfn.REGEXEXTRACT(CELL("address",'Raw Data'!G37),"\$([A-Z]+)\$[0-9]+"),"")</f>
        <v>$G$37</v>
      </c>
      <c r="I35" t="str" cm="1">
        <f t="array" aca="1" ref="I35" ca="1">IF('Raw Data'!H37="",_xlfn.REGEXEXTRACT(CELL("address",'Raw Data'!H37),"\$([A-Z]+)\$[0-9]+"),"")</f>
        <v>$H$37</v>
      </c>
    </row>
    <row r="36" spans="2:9" x14ac:dyDescent="0.25">
      <c r="B36" t="str" cm="1">
        <f t="array" aca="1" ref="B36" ca="1">IF('Raw Data'!B38="",_xlfn.REGEXEXTRACT(CELL("address",'Raw Data'!B38),"\$([A-Z]+)\$[0-9]+"),"")</f>
        <v/>
      </c>
      <c r="C36" t="str" cm="1">
        <f t="array" aca="1" ref="C36" ca="1">IF('Raw Data'!C38="",_xlfn.REGEXEXTRACT(CELL("address",'Raw Data'!C38),"\$([A-Z]+)\$[0-9]+"),"")</f>
        <v/>
      </c>
      <c r="D36" t="str" cm="1">
        <f t="array" aca="1" ref="D36" ca="1">IF('Raw Data'!D38="",_xlfn.REGEXEXTRACT(CELL("address",'Raw Data'!D38),"\$([A-Z]+)\$[0-9]+"),"")</f>
        <v>$D$38</v>
      </c>
      <c r="E36" t="str" cm="1">
        <f t="array" aca="1" ref="E36" ca="1">IF('Raw Data'!E38="",_xlfn.REGEXEXTRACT(CELL("address",'Raw Data'!E38),"\$([A-Z]+)\$[0-9]+"),"")</f>
        <v>$E$38</v>
      </c>
      <c r="F36" t="str" cm="1">
        <f t="array" aca="1" ref="F36" ca="1">IF('Raw Data'!F38="",_xlfn.REGEXEXTRACT(CELL("address",'Raw Data'!F38),"\$([A-Z]+)\$[0-9]+"),"")</f>
        <v>$F$38</v>
      </c>
      <c r="G36" t="e" cm="1">
        <f t="array" aca="1" ref="G36" ca="1">IF('Raw Data'!#REF!="",_xlfn.REGEXEXTRACT(CELL("address",'Raw Data'!#REF!),"\$([A-Z]+)\$[0-9]+"),"")</f>
        <v>#REF!</v>
      </c>
      <c r="H36" t="str" cm="1">
        <f t="array" aca="1" ref="H36" ca="1">IF('Raw Data'!G38="",_xlfn.REGEXEXTRACT(CELL("address",'Raw Data'!G38),"\$([A-Z]+)\$[0-9]+"),"")</f>
        <v>$G$38</v>
      </c>
      <c r="I36" t="str" cm="1">
        <f t="array" aca="1" ref="I36" ca="1">IF('Raw Data'!H38="",_xlfn.REGEXEXTRACT(CELL("address",'Raw Data'!H38),"\$([A-Z]+)\$[0-9]+"),"")</f>
        <v>$H$38</v>
      </c>
    </row>
    <row r="37" spans="2:9" x14ac:dyDescent="0.25">
      <c r="B37" t="str" cm="1">
        <f t="array" aca="1" ref="B37" ca="1">IF('Raw Data'!B39="",_xlfn.REGEXEXTRACT(CELL("address",'Raw Data'!B39),"\$([A-Z]+)\$[0-9]+"),"")</f>
        <v/>
      </c>
      <c r="C37" t="str" cm="1">
        <f t="array" aca="1" ref="C37" ca="1">IF('Raw Data'!C39="",_xlfn.REGEXEXTRACT(CELL("address",'Raw Data'!C39),"\$([A-Z]+)\$[0-9]+"),"")</f>
        <v/>
      </c>
      <c r="D37" t="str" cm="1">
        <f t="array" aca="1" ref="D37" ca="1">IF('Raw Data'!D39="",_xlfn.REGEXEXTRACT(CELL("address",'Raw Data'!D39),"\$([A-Z]+)\$[0-9]+"),"")</f>
        <v>$D$39</v>
      </c>
      <c r="E37" t="str" cm="1">
        <f t="array" aca="1" ref="E37" ca="1">IF('Raw Data'!E39="",_xlfn.REGEXEXTRACT(CELL("address",'Raw Data'!E39),"\$([A-Z]+)\$[0-9]+"),"")</f>
        <v>$E$39</v>
      </c>
      <c r="F37" t="str" cm="1">
        <f t="array" aca="1" ref="F37" ca="1">IF('Raw Data'!F39="",_xlfn.REGEXEXTRACT(CELL("address",'Raw Data'!F39),"\$([A-Z]+)\$[0-9]+"),"")</f>
        <v>$F$39</v>
      </c>
      <c r="G37" t="e" cm="1">
        <f t="array" aca="1" ref="G37" ca="1">IF('Raw Data'!#REF!="",_xlfn.REGEXEXTRACT(CELL("address",'Raw Data'!#REF!),"\$([A-Z]+)\$[0-9]+"),"")</f>
        <v>#REF!</v>
      </c>
      <c r="H37" t="str" cm="1">
        <f t="array" aca="1" ref="H37" ca="1">IF('Raw Data'!G39="",_xlfn.REGEXEXTRACT(CELL("address",'Raw Data'!G39),"\$([A-Z]+)\$[0-9]+"),"")</f>
        <v>$G$39</v>
      </c>
      <c r="I37" t="str" cm="1">
        <f t="array" aca="1" ref="I37" ca="1">IF('Raw Data'!H39="",_xlfn.REGEXEXTRACT(CELL("address",'Raw Data'!H39),"\$([A-Z]+)\$[0-9]+"),"")</f>
        <v>$H$39</v>
      </c>
    </row>
    <row r="38" spans="2:9" x14ac:dyDescent="0.25">
      <c r="B38" t="str" cm="1">
        <f t="array" aca="1" ref="B38" ca="1">IF('Raw Data'!B40="",_xlfn.REGEXEXTRACT(CELL("address",'Raw Data'!B40),"\$([A-Z]+)\$[0-9]+"),"")</f>
        <v/>
      </c>
      <c r="C38" t="str" cm="1">
        <f t="array" aca="1" ref="C38" ca="1">IF('Raw Data'!C40="",_xlfn.REGEXEXTRACT(CELL("address",'Raw Data'!C40),"\$([A-Z]+)\$[0-9]+"),"")</f>
        <v/>
      </c>
      <c r="D38" t="str" cm="1">
        <f t="array" aca="1" ref="D38" ca="1">IF('Raw Data'!D40="",_xlfn.REGEXEXTRACT(CELL("address",'Raw Data'!D40),"\$([A-Z]+)\$[0-9]+"),"")</f>
        <v>$D$40</v>
      </c>
      <c r="E38" t="str" cm="1">
        <f t="array" aca="1" ref="E38" ca="1">IF('Raw Data'!E40="",_xlfn.REGEXEXTRACT(CELL("address",'Raw Data'!E40),"\$([A-Z]+)\$[0-9]+"),"")</f>
        <v>$E$40</v>
      </c>
      <c r="F38" t="str" cm="1">
        <f t="array" aca="1" ref="F38" ca="1">IF('Raw Data'!F40="",_xlfn.REGEXEXTRACT(CELL("address",'Raw Data'!F40),"\$([A-Z]+)\$[0-9]+"),"")</f>
        <v>$F$40</v>
      </c>
      <c r="G38" t="e" cm="1">
        <f t="array" aca="1" ref="G38" ca="1">IF('Raw Data'!#REF!="",_xlfn.REGEXEXTRACT(CELL("address",'Raw Data'!#REF!),"\$([A-Z]+)\$[0-9]+"),"")</f>
        <v>#REF!</v>
      </c>
      <c r="H38" t="str" cm="1">
        <f t="array" aca="1" ref="H38" ca="1">IF('Raw Data'!G40="",_xlfn.REGEXEXTRACT(CELL("address",'Raw Data'!G40),"\$([A-Z]+)\$[0-9]+"),"")</f>
        <v>$G$40</v>
      </c>
      <c r="I38" t="str" cm="1">
        <f t="array" aca="1" ref="I38" ca="1">IF('Raw Data'!H40="",_xlfn.REGEXEXTRACT(CELL("address",'Raw Data'!H40),"\$([A-Z]+)\$[0-9]+"),"")</f>
        <v>$H$40</v>
      </c>
    </row>
    <row r="39" spans="2:9" x14ac:dyDescent="0.25">
      <c r="B39" t="str" cm="1">
        <f t="array" aca="1" ref="B39" ca="1">IF('Raw Data'!B41="",_xlfn.REGEXEXTRACT(CELL("address",'Raw Data'!B41),"\$([A-Z]+)\$[0-9]+"),"")</f>
        <v/>
      </c>
      <c r="C39" t="str" cm="1">
        <f t="array" aca="1" ref="C39" ca="1">IF('Raw Data'!C41="",_xlfn.REGEXEXTRACT(CELL("address",'Raw Data'!C41),"\$([A-Z]+)\$[0-9]+"),"")</f>
        <v/>
      </c>
      <c r="D39" t="str" cm="1">
        <f t="array" aca="1" ref="D39" ca="1">IF('Raw Data'!D41="",_xlfn.REGEXEXTRACT(CELL("address",'Raw Data'!D41),"\$([A-Z]+)\$[0-9]+"),"")</f>
        <v>$D$41</v>
      </c>
      <c r="E39" t="str" cm="1">
        <f t="array" aca="1" ref="E39" ca="1">IF('Raw Data'!E41="",_xlfn.REGEXEXTRACT(CELL("address",'Raw Data'!E41),"\$([A-Z]+)\$[0-9]+"),"")</f>
        <v>$E$41</v>
      </c>
      <c r="F39" t="str" cm="1">
        <f t="array" aca="1" ref="F39" ca="1">IF('Raw Data'!F41="",_xlfn.REGEXEXTRACT(CELL("address",'Raw Data'!F41),"\$([A-Z]+)\$[0-9]+"),"")</f>
        <v>$F$41</v>
      </c>
      <c r="G39" t="e" cm="1">
        <f t="array" aca="1" ref="G39" ca="1">IF('Raw Data'!#REF!="",_xlfn.REGEXEXTRACT(CELL("address",'Raw Data'!#REF!),"\$([A-Z]+)\$[0-9]+"),"")</f>
        <v>#REF!</v>
      </c>
      <c r="H39" t="str" cm="1">
        <f t="array" aca="1" ref="H39" ca="1">IF('Raw Data'!G41="",_xlfn.REGEXEXTRACT(CELL("address",'Raw Data'!G41),"\$([A-Z]+)\$[0-9]+"),"")</f>
        <v>$G$41</v>
      </c>
      <c r="I39" t="str" cm="1">
        <f t="array" aca="1" ref="I39" ca="1">IF('Raw Data'!H41="",_xlfn.REGEXEXTRACT(CELL("address",'Raw Data'!H41),"\$([A-Z]+)\$[0-9]+"),"")</f>
        <v>$H$41</v>
      </c>
    </row>
    <row r="40" spans="2:9" x14ac:dyDescent="0.25">
      <c r="B40" t="str" cm="1">
        <f t="array" aca="1" ref="B40" ca="1">IF('Raw Data'!B42="",_xlfn.REGEXEXTRACT(CELL("address",'Raw Data'!B42),"\$([A-Z]+)\$[0-9]+"),"")</f>
        <v>$B$42</v>
      </c>
      <c r="C40" t="str" cm="1">
        <f t="array" aca="1" ref="C40" ca="1">IF('Raw Data'!C42="",_xlfn.REGEXEXTRACT(CELL("address",'Raw Data'!C42),"\$([A-Z]+)\$[0-9]+"),"")</f>
        <v>$C$42</v>
      </c>
      <c r="D40" t="str" cm="1">
        <f t="array" aca="1" ref="D40" ca="1">IF('Raw Data'!D42="",_xlfn.REGEXEXTRACT(CELL("address",'Raw Data'!D42),"\$([A-Z]+)\$[0-9]+"),"")</f>
        <v>$D$42</v>
      </c>
      <c r="E40" t="str" cm="1">
        <f t="array" aca="1" ref="E40" ca="1">IF('Raw Data'!E42="",_xlfn.REGEXEXTRACT(CELL("address",'Raw Data'!E42),"\$([A-Z]+)\$[0-9]+"),"")</f>
        <v>$E$42</v>
      </c>
      <c r="F40" t="str" cm="1">
        <f t="array" aca="1" ref="F40" ca="1">IF('Raw Data'!F42="",_xlfn.REGEXEXTRACT(CELL("address",'Raw Data'!F42),"\$([A-Z]+)\$[0-9]+"),"")</f>
        <v>$F$42</v>
      </c>
      <c r="G40" t="e" cm="1">
        <f t="array" aca="1" ref="G40" ca="1">IF('Raw Data'!#REF!="",_xlfn.REGEXEXTRACT(CELL("address",'Raw Data'!#REF!),"\$([A-Z]+)\$[0-9]+"),"")</f>
        <v>#REF!</v>
      </c>
      <c r="H40" t="str" cm="1">
        <f t="array" aca="1" ref="H40" ca="1">IF('Raw Data'!G42="",_xlfn.REGEXEXTRACT(CELL("address",'Raw Data'!G42),"\$([A-Z]+)\$[0-9]+"),"")</f>
        <v>$G$42</v>
      </c>
      <c r="I40" t="str" cm="1">
        <f t="array" aca="1" ref="I40" ca="1">IF('Raw Data'!H42="",_xlfn.REGEXEXTRACT(CELL("address",'Raw Data'!H42),"\$([A-Z]+)\$[0-9]+"),"")</f>
        <v>$H$42</v>
      </c>
    </row>
    <row r="41" spans="2:9" x14ac:dyDescent="0.25">
      <c r="B41" t="str" cm="1">
        <f t="array" aca="1" ref="B41" ca="1">IF('Raw Data'!B43="",_xlfn.REGEXEXTRACT(CELL("address",'Raw Data'!B43),"\$([A-Z]+)\$[0-9]+"),"")</f>
        <v>$B$43</v>
      </c>
      <c r="C41" t="str" cm="1">
        <f t="array" aca="1" ref="C41" ca="1">IF('Raw Data'!C43="",_xlfn.REGEXEXTRACT(CELL("address",'Raw Data'!C43),"\$([A-Z]+)\$[0-9]+"),"")</f>
        <v>$C$43</v>
      </c>
      <c r="D41" t="str" cm="1">
        <f t="array" aca="1" ref="D41" ca="1">IF('Raw Data'!D43="",_xlfn.REGEXEXTRACT(CELL("address",'Raw Data'!D43),"\$([A-Z]+)\$[0-9]+"),"")</f>
        <v>$D$43</v>
      </c>
      <c r="E41" t="str" cm="1">
        <f t="array" aca="1" ref="E41" ca="1">IF('Raw Data'!E43="",_xlfn.REGEXEXTRACT(CELL("address",'Raw Data'!E43),"\$([A-Z]+)\$[0-9]+"),"")</f>
        <v>$E$43</v>
      </c>
      <c r="F41" t="str" cm="1">
        <f t="array" aca="1" ref="F41" ca="1">IF('Raw Data'!F43="",_xlfn.REGEXEXTRACT(CELL("address",'Raw Data'!F43),"\$([A-Z]+)\$[0-9]+"),"")</f>
        <v>$F$43</v>
      </c>
      <c r="G41" t="e" cm="1">
        <f t="array" aca="1" ref="G41" ca="1">IF('Raw Data'!#REF!="",_xlfn.REGEXEXTRACT(CELL("address",'Raw Data'!#REF!),"\$([A-Z]+)\$[0-9]+"),"")</f>
        <v>#REF!</v>
      </c>
      <c r="H41" t="str" cm="1">
        <f t="array" aca="1" ref="H41" ca="1">IF('Raw Data'!G43="",_xlfn.REGEXEXTRACT(CELL("address",'Raw Data'!G43),"\$([A-Z]+)\$[0-9]+"),"")</f>
        <v>$G$43</v>
      </c>
      <c r="I41" t="str" cm="1">
        <f t="array" aca="1" ref="I41" ca="1">IF('Raw Data'!H43="",_xlfn.REGEXEXTRACT(CELL("address",'Raw Data'!H43),"\$([A-Z]+)\$[0-9]+"),"")</f>
        <v>$H$43</v>
      </c>
    </row>
    <row r="42" spans="2:9" x14ac:dyDescent="0.25">
      <c r="B42" t="str" cm="1">
        <f t="array" aca="1" ref="B42" ca="1">IF('Raw Data'!B44="",_xlfn.REGEXEXTRACT(CELL("address",'Raw Data'!B44),"\$([A-Z]+)\$[0-9]+"),"")</f>
        <v>$B$44</v>
      </c>
      <c r="C42" t="str" cm="1">
        <f t="array" aca="1" ref="C42" ca="1">IF('Raw Data'!C44="",_xlfn.REGEXEXTRACT(CELL("address",'Raw Data'!C44),"\$([A-Z]+)\$[0-9]+"),"")</f>
        <v>$C$44</v>
      </c>
      <c r="D42" t="str" cm="1">
        <f t="array" aca="1" ref="D42" ca="1">IF('Raw Data'!D44="",_xlfn.REGEXEXTRACT(CELL("address",'Raw Data'!D44),"\$([A-Z]+)\$[0-9]+"),"")</f>
        <v>$D$44</v>
      </c>
      <c r="E42" t="str" cm="1">
        <f t="array" aca="1" ref="E42" ca="1">IF('Raw Data'!E44="",_xlfn.REGEXEXTRACT(CELL("address",'Raw Data'!E44),"\$([A-Z]+)\$[0-9]+"),"")</f>
        <v>$E$44</v>
      </c>
      <c r="F42" t="str" cm="1">
        <f t="array" aca="1" ref="F42" ca="1">IF('Raw Data'!F44="",_xlfn.REGEXEXTRACT(CELL("address",'Raw Data'!F44),"\$([A-Z]+)\$[0-9]+"),"")</f>
        <v>$F$44</v>
      </c>
      <c r="G42" t="e" cm="1">
        <f t="array" aca="1" ref="G42" ca="1">IF('Raw Data'!#REF!="",_xlfn.REGEXEXTRACT(CELL("address",'Raw Data'!#REF!),"\$([A-Z]+)\$[0-9]+"),"")</f>
        <v>#REF!</v>
      </c>
      <c r="H42" t="str" cm="1">
        <f t="array" aca="1" ref="H42" ca="1">IF('Raw Data'!G44="",_xlfn.REGEXEXTRACT(CELL("address",'Raw Data'!G44),"\$([A-Z]+)\$[0-9]+"),"")</f>
        <v>$G$44</v>
      </c>
      <c r="I42" t="str" cm="1">
        <f t="array" aca="1" ref="I42" ca="1">IF('Raw Data'!H44="",_xlfn.REGEXEXTRACT(CELL("address",'Raw Data'!H44),"\$([A-Z]+)\$[0-9]+"),"")</f>
        <v>$H$44</v>
      </c>
    </row>
    <row r="43" spans="2:9" x14ac:dyDescent="0.25">
      <c r="B43" t="str" cm="1">
        <f t="array" aca="1" ref="B43" ca="1">IF('Raw Data'!B45="",_xlfn.REGEXEXTRACT(CELL("address",'Raw Data'!B45),"\$([A-Z]+)\$[0-9]+"),"")</f>
        <v>$B$45</v>
      </c>
      <c r="C43" t="str" cm="1">
        <f t="array" aca="1" ref="C43" ca="1">IF('Raw Data'!C45="",_xlfn.REGEXEXTRACT(CELL("address",'Raw Data'!C45),"\$([A-Z]+)\$[0-9]+"),"")</f>
        <v>$C$45</v>
      </c>
      <c r="D43" t="str" cm="1">
        <f t="array" aca="1" ref="D43" ca="1">IF('Raw Data'!D45="",_xlfn.REGEXEXTRACT(CELL("address",'Raw Data'!D45),"\$([A-Z]+)\$[0-9]+"),"")</f>
        <v>$D$45</v>
      </c>
      <c r="E43" t="str" cm="1">
        <f t="array" aca="1" ref="E43" ca="1">IF('Raw Data'!E45="",_xlfn.REGEXEXTRACT(CELL("address",'Raw Data'!E45),"\$([A-Z]+)\$[0-9]+"),"")</f>
        <v>$E$45</v>
      </c>
      <c r="F43" t="str" cm="1">
        <f t="array" aca="1" ref="F43" ca="1">IF('Raw Data'!F45="",_xlfn.REGEXEXTRACT(CELL("address",'Raw Data'!F45),"\$([A-Z]+)\$[0-9]+"),"")</f>
        <v>$F$45</v>
      </c>
      <c r="G43" t="e" cm="1">
        <f t="array" aca="1" ref="G43" ca="1">IF('Raw Data'!#REF!="",_xlfn.REGEXEXTRACT(CELL("address",'Raw Data'!#REF!),"\$([A-Z]+)\$[0-9]+"),"")</f>
        <v>#REF!</v>
      </c>
      <c r="H43" t="str" cm="1">
        <f t="array" aca="1" ref="H43" ca="1">IF('Raw Data'!G45="",_xlfn.REGEXEXTRACT(CELL("address",'Raw Data'!G45),"\$([A-Z]+)\$[0-9]+"),"")</f>
        <v>$G$45</v>
      </c>
      <c r="I43" t="str" cm="1">
        <f t="array" aca="1" ref="I43" ca="1">IF('Raw Data'!H45="",_xlfn.REGEXEXTRACT(CELL("address",'Raw Data'!H45),"\$([A-Z]+)\$[0-9]+"),"")</f>
        <v>$H$45</v>
      </c>
    </row>
    <row r="44" spans="2:9" x14ac:dyDescent="0.25">
      <c r="B44" t="str" cm="1">
        <f t="array" aca="1" ref="B44" ca="1">IF('Raw Data'!B46="",_xlfn.REGEXEXTRACT(CELL("address",'Raw Data'!B46),"\$([A-Z]+)\$[0-9]+"),"")</f>
        <v>$B$46</v>
      </c>
      <c r="C44" t="str" cm="1">
        <f t="array" aca="1" ref="C44" ca="1">IF('Raw Data'!C46="",_xlfn.REGEXEXTRACT(CELL("address",'Raw Data'!C46),"\$([A-Z]+)\$[0-9]+"),"")</f>
        <v>$C$46</v>
      </c>
      <c r="D44" t="str" cm="1">
        <f t="array" aca="1" ref="D44" ca="1">IF('Raw Data'!D46="",_xlfn.REGEXEXTRACT(CELL("address",'Raw Data'!D46),"\$([A-Z]+)\$[0-9]+"),"")</f>
        <v>$D$46</v>
      </c>
      <c r="E44" t="str" cm="1">
        <f t="array" aca="1" ref="E44" ca="1">IF('Raw Data'!E46="",_xlfn.REGEXEXTRACT(CELL("address",'Raw Data'!E46),"\$([A-Z]+)\$[0-9]+"),"")</f>
        <v>$E$46</v>
      </c>
      <c r="F44" t="str" cm="1">
        <f t="array" aca="1" ref="F44" ca="1">IF('Raw Data'!F46="",_xlfn.REGEXEXTRACT(CELL("address",'Raw Data'!F46),"\$([A-Z]+)\$[0-9]+"),"")</f>
        <v>$F$46</v>
      </c>
      <c r="G44" t="e" cm="1">
        <f t="array" aca="1" ref="G44" ca="1">IF('Raw Data'!#REF!="",_xlfn.REGEXEXTRACT(CELL("address",'Raw Data'!#REF!),"\$([A-Z]+)\$[0-9]+"),"")</f>
        <v>#REF!</v>
      </c>
      <c r="H44" t="str" cm="1">
        <f t="array" aca="1" ref="H44" ca="1">IF('Raw Data'!G46="",_xlfn.REGEXEXTRACT(CELL("address",'Raw Data'!G46),"\$([A-Z]+)\$[0-9]+"),"")</f>
        <v>$G$46</v>
      </c>
      <c r="I44" t="str" cm="1">
        <f t="array" aca="1" ref="I44" ca="1">IF('Raw Data'!H46="",_xlfn.REGEXEXTRACT(CELL("address",'Raw Data'!H46),"\$([A-Z]+)\$[0-9]+"),"")</f>
        <v>$H$46</v>
      </c>
    </row>
    <row r="45" spans="2:9" x14ac:dyDescent="0.25">
      <c r="B45" t="str" cm="1">
        <f t="array" aca="1" ref="B45" ca="1">IF('Raw Data'!B47="",_xlfn.REGEXEXTRACT(CELL("address",'Raw Data'!B47),"\$([A-Z]+)\$[0-9]+"),"")</f>
        <v>$B$47</v>
      </c>
      <c r="C45" t="str" cm="1">
        <f t="array" aca="1" ref="C45" ca="1">IF('Raw Data'!C47="",_xlfn.REGEXEXTRACT(CELL("address",'Raw Data'!C47),"\$([A-Z]+)\$[0-9]+"),"")</f>
        <v>$C$47</v>
      </c>
      <c r="D45" t="str" cm="1">
        <f t="array" aca="1" ref="D45" ca="1">IF('Raw Data'!D47="",_xlfn.REGEXEXTRACT(CELL("address",'Raw Data'!D47),"\$([A-Z]+)\$[0-9]+"),"")</f>
        <v>$D$47</v>
      </c>
      <c r="E45" t="str" cm="1">
        <f t="array" aca="1" ref="E45" ca="1">IF('Raw Data'!E47="",_xlfn.REGEXEXTRACT(CELL("address",'Raw Data'!E47),"\$([A-Z]+)\$[0-9]+"),"")</f>
        <v>$E$47</v>
      </c>
      <c r="F45" t="str" cm="1">
        <f t="array" aca="1" ref="F45" ca="1">IF('Raw Data'!F47="",_xlfn.REGEXEXTRACT(CELL("address",'Raw Data'!F47),"\$([A-Z]+)\$[0-9]+"),"")</f>
        <v>$F$47</v>
      </c>
      <c r="G45" t="e" cm="1">
        <f t="array" aca="1" ref="G45" ca="1">IF('Raw Data'!#REF!="",_xlfn.REGEXEXTRACT(CELL("address",'Raw Data'!#REF!),"\$([A-Z]+)\$[0-9]+"),"")</f>
        <v>#REF!</v>
      </c>
      <c r="H45" t="str" cm="1">
        <f t="array" aca="1" ref="H45" ca="1">IF('Raw Data'!G47="",_xlfn.REGEXEXTRACT(CELL("address",'Raw Data'!G47),"\$([A-Z]+)\$[0-9]+"),"")</f>
        <v>$G$47</v>
      </c>
      <c r="I45" t="str" cm="1">
        <f t="array" aca="1" ref="I45" ca="1">IF('Raw Data'!H47="",_xlfn.REGEXEXTRACT(CELL("address",'Raw Data'!H47),"\$([A-Z]+)\$[0-9]+"),"")</f>
        <v>$H$47</v>
      </c>
    </row>
    <row r="46" spans="2:9" x14ac:dyDescent="0.25">
      <c r="B46" t="str" cm="1">
        <f t="array" aca="1" ref="B46" ca="1">IF('Raw Data'!B48="",_xlfn.REGEXEXTRACT(CELL("address",'Raw Data'!B48),"\$([A-Z]+)\$[0-9]+"),"")</f>
        <v>$B$48</v>
      </c>
      <c r="C46" t="str" cm="1">
        <f t="array" aca="1" ref="C46" ca="1">IF('Raw Data'!C48="",_xlfn.REGEXEXTRACT(CELL("address",'Raw Data'!C48),"\$([A-Z]+)\$[0-9]+"),"")</f>
        <v>$C$48</v>
      </c>
      <c r="D46" t="str" cm="1">
        <f t="array" aca="1" ref="D46" ca="1">IF('Raw Data'!D48="",_xlfn.REGEXEXTRACT(CELL("address",'Raw Data'!D48),"\$([A-Z]+)\$[0-9]+"),"")</f>
        <v>$D$48</v>
      </c>
      <c r="E46" t="str" cm="1">
        <f t="array" aca="1" ref="E46" ca="1">IF('Raw Data'!E48="",_xlfn.REGEXEXTRACT(CELL("address",'Raw Data'!E48),"\$([A-Z]+)\$[0-9]+"),"")</f>
        <v>$E$48</v>
      </c>
      <c r="F46" t="str" cm="1">
        <f t="array" aca="1" ref="F46" ca="1">IF('Raw Data'!F48="",_xlfn.REGEXEXTRACT(CELL("address",'Raw Data'!F48),"\$([A-Z]+)\$[0-9]+"),"")</f>
        <v>$F$48</v>
      </c>
      <c r="G46" t="e" cm="1">
        <f t="array" aca="1" ref="G46" ca="1">IF('Raw Data'!#REF!="",_xlfn.REGEXEXTRACT(CELL("address",'Raw Data'!#REF!),"\$([A-Z]+)\$[0-9]+"),"")</f>
        <v>#REF!</v>
      </c>
      <c r="H46" t="str" cm="1">
        <f t="array" aca="1" ref="H46" ca="1">IF('Raw Data'!G48="",_xlfn.REGEXEXTRACT(CELL("address",'Raw Data'!G48),"\$([A-Z]+)\$[0-9]+"),"")</f>
        <v>$G$48</v>
      </c>
      <c r="I46" t="str" cm="1">
        <f t="array" aca="1" ref="I46" ca="1">IF('Raw Data'!H48="",_xlfn.REGEXEXTRACT(CELL("address",'Raw Data'!H48),"\$([A-Z]+)\$[0-9]+"),"")</f>
        <v>$H$48</v>
      </c>
    </row>
    <row r="47" spans="2:9" x14ac:dyDescent="0.25">
      <c r="B47" t="str" cm="1">
        <f t="array" aca="1" ref="B47" ca="1">IF('Raw Data'!B49="",_xlfn.REGEXEXTRACT(CELL("address",'Raw Data'!B49),"\$([A-Z]+)\$[0-9]+"),"")</f>
        <v>$B$49</v>
      </c>
      <c r="C47" t="str" cm="1">
        <f t="array" aca="1" ref="C47" ca="1">IF('Raw Data'!C49="",_xlfn.REGEXEXTRACT(CELL("address",'Raw Data'!C49),"\$([A-Z]+)\$[0-9]+"),"")</f>
        <v>$C$49</v>
      </c>
      <c r="D47" t="str" cm="1">
        <f t="array" aca="1" ref="D47" ca="1">IF('Raw Data'!D49="",_xlfn.REGEXEXTRACT(CELL("address",'Raw Data'!D49),"\$([A-Z]+)\$[0-9]+"),"")</f>
        <v>$D$49</v>
      </c>
      <c r="E47" t="str" cm="1">
        <f t="array" aca="1" ref="E47" ca="1">IF('Raw Data'!E49="",_xlfn.REGEXEXTRACT(CELL("address",'Raw Data'!E49),"\$([A-Z]+)\$[0-9]+"),"")</f>
        <v>$E$49</v>
      </c>
      <c r="F47" t="str" cm="1">
        <f t="array" aca="1" ref="F47" ca="1">IF('Raw Data'!F49="",_xlfn.REGEXEXTRACT(CELL("address",'Raw Data'!F49),"\$([A-Z]+)\$[0-9]+"),"")</f>
        <v>$F$49</v>
      </c>
      <c r="G47" t="e" cm="1">
        <f t="array" aca="1" ref="G47" ca="1">IF('Raw Data'!#REF!="",_xlfn.REGEXEXTRACT(CELL("address",'Raw Data'!#REF!),"\$([A-Z]+)\$[0-9]+"),"")</f>
        <v>#REF!</v>
      </c>
      <c r="H47" t="str" cm="1">
        <f t="array" aca="1" ref="H47" ca="1">IF('Raw Data'!G49="",_xlfn.REGEXEXTRACT(CELL("address",'Raw Data'!G49),"\$([A-Z]+)\$[0-9]+"),"")</f>
        <v>$G$49</v>
      </c>
      <c r="I47" t="str" cm="1">
        <f t="array" aca="1" ref="I47" ca="1">IF('Raw Data'!H49="",_xlfn.REGEXEXTRACT(CELL("address",'Raw Data'!H49),"\$([A-Z]+)\$[0-9]+"),"")</f>
        <v>$H$49</v>
      </c>
    </row>
    <row r="48" spans="2:9" x14ac:dyDescent="0.25">
      <c r="B48" t="str" cm="1">
        <f t="array" aca="1" ref="B48" ca="1">IF('Raw Data'!B50="",_xlfn.REGEXEXTRACT(CELL("address",'Raw Data'!B50),"\$([A-Z]+)\$[0-9]+"),"")</f>
        <v>$B$50</v>
      </c>
      <c r="C48" t="str" cm="1">
        <f t="array" aca="1" ref="C48" ca="1">IF('Raw Data'!C50="",_xlfn.REGEXEXTRACT(CELL("address",'Raw Data'!C50),"\$([A-Z]+)\$[0-9]+"),"")</f>
        <v>$C$50</v>
      </c>
      <c r="D48" t="str" cm="1">
        <f t="array" aca="1" ref="D48" ca="1">IF('Raw Data'!D50="",_xlfn.REGEXEXTRACT(CELL("address",'Raw Data'!D50),"\$([A-Z]+)\$[0-9]+"),"")</f>
        <v>$D$50</v>
      </c>
      <c r="E48" t="str" cm="1">
        <f t="array" aca="1" ref="E48" ca="1">IF('Raw Data'!E50="",_xlfn.REGEXEXTRACT(CELL("address",'Raw Data'!E50),"\$([A-Z]+)\$[0-9]+"),"")</f>
        <v>$E$50</v>
      </c>
      <c r="F48" t="str" cm="1">
        <f t="array" aca="1" ref="F48" ca="1">IF('Raw Data'!F50="",_xlfn.REGEXEXTRACT(CELL("address",'Raw Data'!F50),"\$([A-Z]+)\$[0-9]+"),"")</f>
        <v>$F$50</v>
      </c>
      <c r="G48" t="e" cm="1">
        <f t="array" aca="1" ref="G48" ca="1">IF('Raw Data'!#REF!="",_xlfn.REGEXEXTRACT(CELL("address",'Raw Data'!#REF!),"\$([A-Z]+)\$[0-9]+"),"")</f>
        <v>#REF!</v>
      </c>
      <c r="H48" t="str" cm="1">
        <f t="array" aca="1" ref="H48" ca="1">IF('Raw Data'!G50="",_xlfn.REGEXEXTRACT(CELL("address",'Raw Data'!G50),"\$([A-Z]+)\$[0-9]+"),"")</f>
        <v>$G$50</v>
      </c>
      <c r="I48" t="str" cm="1">
        <f t="array" aca="1" ref="I48" ca="1">IF('Raw Data'!H50="",_xlfn.REGEXEXTRACT(CELL("address",'Raw Data'!H50),"\$([A-Z]+)\$[0-9]+"),"")</f>
        <v>$H$50</v>
      </c>
    </row>
    <row r="49" spans="2:9" x14ac:dyDescent="0.25">
      <c r="B49" t="str" cm="1">
        <f t="array" aca="1" ref="B49" ca="1">IF('Raw Data'!B51="",_xlfn.REGEXEXTRACT(CELL("address",'Raw Data'!B51),"\$([A-Z]+)\$[0-9]+"),"")</f>
        <v>$B$51</v>
      </c>
      <c r="C49" t="str" cm="1">
        <f t="array" aca="1" ref="C49" ca="1">IF('Raw Data'!C51="",_xlfn.REGEXEXTRACT(CELL("address",'Raw Data'!C51),"\$([A-Z]+)\$[0-9]+"),"")</f>
        <v>$C$51</v>
      </c>
      <c r="D49" t="str" cm="1">
        <f t="array" aca="1" ref="D49" ca="1">IF('Raw Data'!D51="",_xlfn.REGEXEXTRACT(CELL("address",'Raw Data'!D51),"\$([A-Z]+)\$[0-9]+"),"")</f>
        <v>$D$51</v>
      </c>
      <c r="E49" t="str" cm="1">
        <f t="array" aca="1" ref="E49" ca="1">IF('Raw Data'!E51="",_xlfn.REGEXEXTRACT(CELL("address",'Raw Data'!E51),"\$([A-Z]+)\$[0-9]+"),"")</f>
        <v>$E$51</v>
      </c>
      <c r="F49" t="str" cm="1">
        <f t="array" aca="1" ref="F49" ca="1">IF('Raw Data'!F51="",_xlfn.REGEXEXTRACT(CELL("address",'Raw Data'!F51),"\$([A-Z]+)\$[0-9]+"),"")</f>
        <v>$F$51</v>
      </c>
      <c r="G49" t="e" cm="1">
        <f t="array" aca="1" ref="G49" ca="1">IF('Raw Data'!#REF!="",_xlfn.REGEXEXTRACT(CELL("address",'Raw Data'!#REF!),"\$([A-Z]+)\$[0-9]+"),"")</f>
        <v>#REF!</v>
      </c>
      <c r="H49" t="str" cm="1">
        <f t="array" aca="1" ref="H49" ca="1">IF('Raw Data'!G51="",_xlfn.REGEXEXTRACT(CELL("address",'Raw Data'!G51),"\$([A-Z]+)\$[0-9]+"),"")</f>
        <v>$G$51</v>
      </c>
      <c r="I49" t="str" cm="1">
        <f t="array" aca="1" ref="I49" ca="1">IF('Raw Data'!H51="",_xlfn.REGEXEXTRACT(CELL("address",'Raw Data'!H51),"\$([A-Z]+)\$[0-9]+"),"")</f>
        <v>$H$51</v>
      </c>
    </row>
    <row r="50" spans="2:9" x14ac:dyDescent="0.25">
      <c r="B50" t="str" cm="1">
        <f t="array" aca="1" ref="B50" ca="1">IF('Raw Data'!B52="",_xlfn.REGEXEXTRACT(CELL("address",'Raw Data'!B52),"\$([A-Z]+)\$[0-9]+"),"")</f>
        <v>$B$52</v>
      </c>
      <c r="C50" t="str" cm="1">
        <f t="array" aca="1" ref="C50" ca="1">IF('Raw Data'!C52="",_xlfn.REGEXEXTRACT(CELL("address",'Raw Data'!C52),"\$([A-Z]+)\$[0-9]+"),"")</f>
        <v>$C$52</v>
      </c>
      <c r="D50" t="str" cm="1">
        <f t="array" aca="1" ref="D50" ca="1">IF('Raw Data'!D52="",_xlfn.REGEXEXTRACT(CELL("address",'Raw Data'!D52),"\$([A-Z]+)\$[0-9]+"),"")</f>
        <v>$D$52</v>
      </c>
      <c r="E50" t="str" cm="1">
        <f t="array" aca="1" ref="E50" ca="1">IF('Raw Data'!E52="",_xlfn.REGEXEXTRACT(CELL("address",'Raw Data'!E52),"\$([A-Z]+)\$[0-9]+"),"")</f>
        <v>$E$52</v>
      </c>
      <c r="F50" t="str" cm="1">
        <f t="array" aca="1" ref="F50" ca="1">IF('Raw Data'!F52="",_xlfn.REGEXEXTRACT(CELL("address",'Raw Data'!F52),"\$([A-Z]+)\$[0-9]+"),"")</f>
        <v>$F$52</v>
      </c>
      <c r="G50" t="e" cm="1">
        <f t="array" aca="1" ref="G50" ca="1">IF('Raw Data'!#REF!="",_xlfn.REGEXEXTRACT(CELL("address",'Raw Data'!#REF!),"\$([A-Z]+)\$[0-9]+"),"")</f>
        <v>#REF!</v>
      </c>
      <c r="H50" t="str" cm="1">
        <f t="array" aca="1" ref="H50" ca="1">IF('Raw Data'!G52="",_xlfn.REGEXEXTRACT(CELL("address",'Raw Data'!G52),"\$([A-Z]+)\$[0-9]+"),"")</f>
        <v>$G$52</v>
      </c>
      <c r="I50" t="str" cm="1">
        <f t="array" aca="1" ref="I50" ca="1">IF('Raw Data'!H52="",_xlfn.REGEXEXTRACT(CELL("address",'Raw Data'!H52),"\$([A-Z]+)\$[0-9]+"),"")</f>
        <v>$H$52</v>
      </c>
    </row>
    <row r="51" spans="2:9" x14ac:dyDescent="0.25">
      <c r="B51" t="str" cm="1">
        <f t="array" aca="1" ref="B51" ca="1">IF('Raw Data'!B53="",_xlfn.REGEXEXTRACT(CELL("address",'Raw Data'!B53),"\$([A-Z]+)\$[0-9]+"),"")</f>
        <v>$B$53</v>
      </c>
      <c r="C51" t="str" cm="1">
        <f t="array" aca="1" ref="C51" ca="1">IF('Raw Data'!C53="",_xlfn.REGEXEXTRACT(CELL("address",'Raw Data'!C53),"\$([A-Z]+)\$[0-9]+"),"")</f>
        <v>$C$53</v>
      </c>
      <c r="D51" t="str" cm="1">
        <f t="array" aca="1" ref="D51" ca="1">IF('Raw Data'!D53="",_xlfn.REGEXEXTRACT(CELL("address",'Raw Data'!D53),"\$([A-Z]+)\$[0-9]+"),"")</f>
        <v>$D$53</v>
      </c>
      <c r="E51" t="str" cm="1">
        <f t="array" aca="1" ref="E51" ca="1">IF('Raw Data'!E53="",_xlfn.REGEXEXTRACT(CELL("address",'Raw Data'!E53),"\$([A-Z]+)\$[0-9]+"),"")</f>
        <v>$E$53</v>
      </c>
      <c r="F51" t="str" cm="1">
        <f t="array" aca="1" ref="F51" ca="1">IF('Raw Data'!F53="",_xlfn.REGEXEXTRACT(CELL("address",'Raw Data'!F53),"\$([A-Z]+)\$[0-9]+"),"")</f>
        <v>$F$53</v>
      </c>
      <c r="G51" t="e" cm="1">
        <f t="array" aca="1" ref="G51" ca="1">IF('Raw Data'!#REF!="",_xlfn.REGEXEXTRACT(CELL("address",'Raw Data'!#REF!),"\$([A-Z]+)\$[0-9]+"),"")</f>
        <v>#REF!</v>
      </c>
      <c r="H51" t="str" cm="1">
        <f t="array" aca="1" ref="H51" ca="1">IF('Raw Data'!G53="",_xlfn.REGEXEXTRACT(CELL("address",'Raw Data'!G53),"\$([A-Z]+)\$[0-9]+"),"")</f>
        <v>$G$53</v>
      </c>
      <c r="I51" t="str" cm="1">
        <f t="array" aca="1" ref="I51" ca="1">IF('Raw Data'!H53="",_xlfn.REGEXEXTRACT(CELL("address",'Raw Data'!H53),"\$([A-Z]+)\$[0-9]+"),"")</f>
        <v>$H$53</v>
      </c>
    </row>
    <row r="52" spans="2:9" x14ac:dyDescent="0.25">
      <c r="B52" t="str" cm="1">
        <f t="array" aca="1" ref="B52" ca="1">IF('Raw Data'!B54="",_xlfn.REGEXEXTRACT(CELL("address",'Raw Data'!B54),"\$([A-Z]+)\$[0-9]+"),"")</f>
        <v>$B$54</v>
      </c>
      <c r="C52" t="str" cm="1">
        <f t="array" aca="1" ref="C52" ca="1">IF('Raw Data'!C54="",_xlfn.REGEXEXTRACT(CELL("address",'Raw Data'!C54),"\$([A-Z]+)\$[0-9]+"),"")</f>
        <v>$C$54</v>
      </c>
      <c r="D52" t="str" cm="1">
        <f t="array" aca="1" ref="D52" ca="1">IF('Raw Data'!D54="",_xlfn.REGEXEXTRACT(CELL("address",'Raw Data'!D54),"\$([A-Z]+)\$[0-9]+"),"")</f>
        <v>$D$54</v>
      </c>
      <c r="E52" t="str" cm="1">
        <f t="array" aca="1" ref="E52" ca="1">IF('Raw Data'!E54="",_xlfn.REGEXEXTRACT(CELL("address",'Raw Data'!E54),"\$([A-Z]+)\$[0-9]+"),"")</f>
        <v>$E$54</v>
      </c>
      <c r="F52" t="str" cm="1">
        <f t="array" aca="1" ref="F52" ca="1">IF('Raw Data'!F54="",_xlfn.REGEXEXTRACT(CELL("address",'Raw Data'!F54),"\$([A-Z]+)\$[0-9]+"),"")</f>
        <v>$F$54</v>
      </c>
      <c r="G52" t="e" cm="1">
        <f t="array" aca="1" ref="G52" ca="1">IF('Raw Data'!#REF!="",_xlfn.REGEXEXTRACT(CELL("address",'Raw Data'!#REF!),"\$([A-Z]+)\$[0-9]+"),"")</f>
        <v>#REF!</v>
      </c>
      <c r="H52" t="str" cm="1">
        <f t="array" aca="1" ref="H52" ca="1">IF('Raw Data'!G54="",_xlfn.REGEXEXTRACT(CELL("address",'Raw Data'!G54),"\$([A-Z]+)\$[0-9]+"),"")</f>
        <v>$G$54</v>
      </c>
      <c r="I52" t="str" cm="1">
        <f t="array" aca="1" ref="I52" ca="1">IF('Raw Data'!H54="",_xlfn.REGEXEXTRACT(CELL("address",'Raw Data'!H54),"\$([A-Z]+)\$[0-9]+"),"")</f>
        <v>$H$54</v>
      </c>
    </row>
    <row r="53" spans="2:9" x14ac:dyDescent="0.25">
      <c r="B53" t="str" cm="1">
        <f t="array" aca="1" ref="B53" ca="1">IF('Raw Data'!B55="",_xlfn.REGEXEXTRACT(CELL("address",'Raw Data'!B55),"\$([A-Z]+)\$[0-9]+"),"")</f>
        <v>$B$55</v>
      </c>
      <c r="C53" t="str" cm="1">
        <f t="array" aca="1" ref="C53" ca="1">IF('Raw Data'!C55="",_xlfn.REGEXEXTRACT(CELL("address",'Raw Data'!C55),"\$([A-Z]+)\$[0-9]+"),"")</f>
        <v>$C$55</v>
      </c>
      <c r="D53" t="str" cm="1">
        <f t="array" aca="1" ref="D53" ca="1">IF('Raw Data'!D55="",_xlfn.REGEXEXTRACT(CELL("address",'Raw Data'!D55),"\$([A-Z]+)\$[0-9]+"),"")</f>
        <v>$D$55</v>
      </c>
      <c r="E53" t="str" cm="1">
        <f t="array" aca="1" ref="E53" ca="1">IF('Raw Data'!E55="",_xlfn.REGEXEXTRACT(CELL("address",'Raw Data'!E55),"\$([A-Z]+)\$[0-9]+"),"")</f>
        <v>$E$55</v>
      </c>
      <c r="F53" t="str" cm="1">
        <f t="array" aca="1" ref="F53" ca="1">IF('Raw Data'!F55="",_xlfn.REGEXEXTRACT(CELL("address",'Raw Data'!F55),"\$([A-Z]+)\$[0-9]+"),"")</f>
        <v>$F$55</v>
      </c>
      <c r="G53" t="e" cm="1">
        <f t="array" aca="1" ref="G53" ca="1">IF('Raw Data'!#REF!="",_xlfn.REGEXEXTRACT(CELL("address",'Raw Data'!#REF!),"\$([A-Z]+)\$[0-9]+"),"")</f>
        <v>#REF!</v>
      </c>
      <c r="H53" t="str" cm="1">
        <f t="array" aca="1" ref="H53" ca="1">IF('Raw Data'!G55="",_xlfn.REGEXEXTRACT(CELL("address",'Raw Data'!G55),"\$([A-Z]+)\$[0-9]+"),"")</f>
        <v>$G$55</v>
      </c>
      <c r="I53" t="str" cm="1">
        <f t="array" aca="1" ref="I53" ca="1">IF('Raw Data'!H55="",_xlfn.REGEXEXTRACT(CELL("address",'Raw Data'!H55),"\$([A-Z]+)\$[0-9]+"),"")</f>
        <v>$H$55</v>
      </c>
    </row>
    <row r="54" spans="2:9" x14ac:dyDescent="0.25">
      <c r="B54" t="str" cm="1">
        <f t="array" aca="1" ref="B54" ca="1">IF('Raw Data'!B56="",_xlfn.REGEXEXTRACT(CELL("address",'Raw Data'!B56),"\$([A-Z]+)\$[0-9]+"),"")</f>
        <v>$B$56</v>
      </c>
      <c r="C54" t="str" cm="1">
        <f t="array" aca="1" ref="C54" ca="1">IF('Raw Data'!C56="",_xlfn.REGEXEXTRACT(CELL("address",'Raw Data'!C56),"\$([A-Z]+)\$[0-9]+"),"")</f>
        <v>$C$56</v>
      </c>
      <c r="D54" t="str" cm="1">
        <f t="array" aca="1" ref="D54" ca="1">IF('Raw Data'!D56="",_xlfn.REGEXEXTRACT(CELL("address",'Raw Data'!D56),"\$([A-Z]+)\$[0-9]+"),"")</f>
        <v>$D$56</v>
      </c>
      <c r="E54" t="str" cm="1">
        <f t="array" aca="1" ref="E54" ca="1">IF('Raw Data'!E56="",_xlfn.REGEXEXTRACT(CELL("address",'Raw Data'!E56),"\$([A-Z]+)\$[0-9]+"),"")</f>
        <v>$E$56</v>
      </c>
      <c r="F54" t="str" cm="1">
        <f t="array" aca="1" ref="F54" ca="1">IF('Raw Data'!F56="",_xlfn.REGEXEXTRACT(CELL("address",'Raw Data'!F56),"\$([A-Z]+)\$[0-9]+"),"")</f>
        <v>$F$56</v>
      </c>
      <c r="G54" t="e" cm="1">
        <f t="array" aca="1" ref="G54" ca="1">IF('Raw Data'!#REF!="",_xlfn.REGEXEXTRACT(CELL("address",'Raw Data'!#REF!),"\$([A-Z]+)\$[0-9]+"),"")</f>
        <v>#REF!</v>
      </c>
      <c r="H54" t="str" cm="1">
        <f t="array" aca="1" ref="H54" ca="1">IF('Raw Data'!G56="",_xlfn.REGEXEXTRACT(CELL("address",'Raw Data'!G56),"\$([A-Z]+)\$[0-9]+"),"")</f>
        <v>$G$56</v>
      </c>
      <c r="I54" t="str" cm="1">
        <f t="array" aca="1" ref="I54" ca="1">IF('Raw Data'!H56="",_xlfn.REGEXEXTRACT(CELL("address",'Raw Data'!H56),"\$([A-Z]+)\$[0-9]+"),"")</f>
        <v>$H$56</v>
      </c>
    </row>
    <row r="55" spans="2:9" x14ac:dyDescent="0.25">
      <c r="B55" t="str" cm="1">
        <f t="array" aca="1" ref="B55" ca="1">IF('Raw Data'!B57="",_xlfn.REGEXEXTRACT(CELL("address",'Raw Data'!B57),"\$([A-Z]+)\$[0-9]+"),"")</f>
        <v>$B$57</v>
      </c>
      <c r="C55" t="str" cm="1">
        <f t="array" aca="1" ref="C55" ca="1">IF('Raw Data'!C57="",_xlfn.REGEXEXTRACT(CELL("address",'Raw Data'!C57),"\$([A-Z]+)\$[0-9]+"),"")</f>
        <v>$C$57</v>
      </c>
      <c r="D55" t="str" cm="1">
        <f t="array" aca="1" ref="D55" ca="1">IF('Raw Data'!D57="",_xlfn.REGEXEXTRACT(CELL("address",'Raw Data'!D57),"\$([A-Z]+)\$[0-9]+"),"")</f>
        <v>$D$57</v>
      </c>
      <c r="E55" t="str" cm="1">
        <f t="array" aca="1" ref="E55" ca="1">IF('Raw Data'!E57="",_xlfn.REGEXEXTRACT(CELL("address",'Raw Data'!E57),"\$([A-Z]+)\$[0-9]+"),"")</f>
        <v>$E$57</v>
      </c>
      <c r="F55" t="str" cm="1">
        <f t="array" aca="1" ref="F55" ca="1">IF('Raw Data'!F57="",_xlfn.REGEXEXTRACT(CELL("address",'Raw Data'!F57),"\$([A-Z]+)\$[0-9]+"),"")</f>
        <v>$F$57</v>
      </c>
      <c r="G55" t="e" cm="1">
        <f t="array" aca="1" ref="G55" ca="1">IF('Raw Data'!#REF!="",_xlfn.REGEXEXTRACT(CELL("address",'Raw Data'!#REF!),"\$([A-Z]+)\$[0-9]+"),"")</f>
        <v>#REF!</v>
      </c>
      <c r="H55" t="str" cm="1">
        <f t="array" aca="1" ref="H55" ca="1">IF('Raw Data'!G57="",_xlfn.REGEXEXTRACT(CELL("address",'Raw Data'!G57),"\$([A-Z]+)\$[0-9]+"),"")</f>
        <v>$G$57</v>
      </c>
      <c r="I55" t="str" cm="1">
        <f t="array" aca="1" ref="I55" ca="1">IF('Raw Data'!H57="",_xlfn.REGEXEXTRACT(CELL("address",'Raw Data'!H57),"\$([A-Z]+)\$[0-9]+"),"")</f>
        <v>$H$57</v>
      </c>
    </row>
    <row r="56" spans="2:9" x14ac:dyDescent="0.25">
      <c r="B56" t="str" cm="1">
        <f t="array" aca="1" ref="B56" ca="1">IF('Raw Data'!B58="",_xlfn.REGEXEXTRACT(CELL("address",'Raw Data'!B58),"\$([A-Z]+)\$[0-9]+"),"")</f>
        <v>$B$58</v>
      </c>
      <c r="C56" t="str" cm="1">
        <f t="array" aca="1" ref="C56" ca="1">IF('Raw Data'!C58="",_xlfn.REGEXEXTRACT(CELL("address",'Raw Data'!C58),"\$([A-Z]+)\$[0-9]+"),"")</f>
        <v>$C$58</v>
      </c>
      <c r="D56" t="str" cm="1">
        <f t="array" aca="1" ref="D56" ca="1">IF('Raw Data'!D58="",_xlfn.REGEXEXTRACT(CELL("address",'Raw Data'!D58),"\$([A-Z]+)\$[0-9]+"),"")</f>
        <v>$D$58</v>
      </c>
      <c r="E56" t="str" cm="1">
        <f t="array" aca="1" ref="E56" ca="1">IF('Raw Data'!E58="",_xlfn.REGEXEXTRACT(CELL("address",'Raw Data'!E58),"\$([A-Z]+)\$[0-9]+"),"")</f>
        <v>$E$58</v>
      </c>
      <c r="F56" t="str" cm="1">
        <f t="array" aca="1" ref="F56" ca="1">IF('Raw Data'!F58="",_xlfn.REGEXEXTRACT(CELL("address",'Raw Data'!F58),"\$([A-Z]+)\$[0-9]+"),"")</f>
        <v>$F$58</v>
      </c>
      <c r="G56" t="e" cm="1">
        <f t="array" aca="1" ref="G56" ca="1">IF('Raw Data'!#REF!="",_xlfn.REGEXEXTRACT(CELL("address",'Raw Data'!#REF!),"\$([A-Z]+)\$[0-9]+"),"")</f>
        <v>#REF!</v>
      </c>
      <c r="H56" t="str" cm="1">
        <f t="array" aca="1" ref="H56" ca="1">IF('Raw Data'!G58="",_xlfn.REGEXEXTRACT(CELL("address",'Raw Data'!G58),"\$([A-Z]+)\$[0-9]+"),"")</f>
        <v>$G$58</v>
      </c>
      <c r="I56" t="str" cm="1">
        <f t="array" aca="1" ref="I56" ca="1">IF('Raw Data'!H58="",_xlfn.REGEXEXTRACT(CELL("address",'Raw Data'!H58),"\$([A-Z]+)\$[0-9]+"),"")</f>
        <v>$H$58</v>
      </c>
    </row>
    <row r="57" spans="2:9" x14ac:dyDescent="0.25">
      <c r="B57" t="str" cm="1">
        <f t="array" aca="1" ref="B57" ca="1">IF('Raw Data'!B59="",_xlfn.REGEXEXTRACT(CELL("address",'Raw Data'!B59),"\$([A-Z]+)\$[0-9]+"),"")</f>
        <v>$B$59</v>
      </c>
      <c r="C57" t="str" cm="1">
        <f t="array" aca="1" ref="C57" ca="1">IF('Raw Data'!C59="",_xlfn.REGEXEXTRACT(CELL("address",'Raw Data'!C59),"\$([A-Z]+)\$[0-9]+"),"")</f>
        <v>$C$59</v>
      </c>
      <c r="D57" t="str" cm="1">
        <f t="array" aca="1" ref="D57" ca="1">IF('Raw Data'!D59="",_xlfn.REGEXEXTRACT(CELL("address",'Raw Data'!D59),"\$([A-Z]+)\$[0-9]+"),"")</f>
        <v>$D$59</v>
      </c>
      <c r="E57" t="str" cm="1">
        <f t="array" aca="1" ref="E57" ca="1">IF('Raw Data'!E59="",_xlfn.REGEXEXTRACT(CELL("address",'Raw Data'!E59),"\$([A-Z]+)\$[0-9]+"),"")</f>
        <v>$E$59</v>
      </c>
      <c r="F57" t="str" cm="1">
        <f t="array" aca="1" ref="F57" ca="1">IF('Raw Data'!F59="",_xlfn.REGEXEXTRACT(CELL("address",'Raw Data'!F59),"\$([A-Z]+)\$[0-9]+"),"")</f>
        <v>$F$59</v>
      </c>
      <c r="G57" t="e" cm="1">
        <f t="array" aca="1" ref="G57" ca="1">IF('Raw Data'!#REF!="",_xlfn.REGEXEXTRACT(CELL("address",'Raw Data'!#REF!),"\$([A-Z]+)\$[0-9]+"),"")</f>
        <v>#REF!</v>
      </c>
      <c r="H57" t="str" cm="1">
        <f t="array" aca="1" ref="H57" ca="1">IF('Raw Data'!G59="",_xlfn.REGEXEXTRACT(CELL("address",'Raw Data'!G59),"\$([A-Z]+)\$[0-9]+"),"")</f>
        <v>$G$59</v>
      </c>
      <c r="I57" t="str" cm="1">
        <f t="array" aca="1" ref="I57" ca="1">IF('Raw Data'!H59="",_xlfn.REGEXEXTRACT(CELL("address",'Raw Data'!H59),"\$([A-Z]+)\$[0-9]+"),"")</f>
        <v>$H$59</v>
      </c>
    </row>
    <row r="58" spans="2:9" x14ac:dyDescent="0.25">
      <c r="B58" t="str" cm="1">
        <f t="array" aca="1" ref="B58" ca="1">IF('Raw Data'!B60="",_xlfn.REGEXEXTRACT(CELL("address",'Raw Data'!B60),"\$([A-Z]+)\$[0-9]+"),"")</f>
        <v>$B$60</v>
      </c>
      <c r="C58" t="str" cm="1">
        <f t="array" aca="1" ref="C58" ca="1">IF('Raw Data'!C60="",_xlfn.REGEXEXTRACT(CELL("address",'Raw Data'!C60),"\$([A-Z]+)\$[0-9]+"),"")</f>
        <v>$C$60</v>
      </c>
      <c r="D58" t="str" cm="1">
        <f t="array" aca="1" ref="D58" ca="1">IF('Raw Data'!D60="",_xlfn.REGEXEXTRACT(CELL("address",'Raw Data'!D60),"\$([A-Z]+)\$[0-9]+"),"")</f>
        <v>$D$60</v>
      </c>
      <c r="E58" t="str" cm="1">
        <f t="array" aca="1" ref="E58" ca="1">IF('Raw Data'!E60="",_xlfn.REGEXEXTRACT(CELL("address",'Raw Data'!E60),"\$([A-Z]+)\$[0-9]+"),"")</f>
        <v>$E$60</v>
      </c>
      <c r="F58" t="str" cm="1">
        <f t="array" aca="1" ref="F58" ca="1">IF('Raw Data'!F60="",_xlfn.REGEXEXTRACT(CELL("address",'Raw Data'!F60),"\$([A-Z]+)\$[0-9]+"),"")</f>
        <v>$F$60</v>
      </c>
      <c r="G58" t="e" cm="1">
        <f t="array" aca="1" ref="G58" ca="1">IF('Raw Data'!#REF!="",_xlfn.REGEXEXTRACT(CELL("address",'Raw Data'!#REF!),"\$([A-Z]+)\$[0-9]+"),"")</f>
        <v>#REF!</v>
      </c>
      <c r="H58" t="str" cm="1">
        <f t="array" aca="1" ref="H58" ca="1">IF('Raw Data'!G60="",_xlfn.REGEXEXTRACT(CELL("address",'Raw Data'!G60),"\$([A-Z]+)\$[0-9]+"),"")</f>
        <v>$G$60</v>
      </c>
      <c r="I58" t="str" cm="1">
        <f t="array" aca="1" ref="I58" ca="1">IF('Raw Data'!H60="",_xlfn.REGEXEXTRACT(CELL("address",'Raw Data'!H60),"\$([A-Z]+)\$[0-9]+"),"")</f>
        <v>$H$60</v>
      </c>
    </row>
    <row r="59" spans="2:9" x14ac:dyDescent="0.25">
      <c r="B59" t="str" cm="1">
        <f t="array" aca="1" ref="B59" ca="1">IF('Raw Data'!B61="",_xlfn.REGEXEXTRACT(CELL("address",'Raw Data'!B61),"\$([A-Z]+)\$[0-9]+"),"")</f>
        <v>$B$61</v>
      </c>
      <c r="C59" t="str" cm="1">
        <f t="array" aca="1" ref="C59" ca="1">IF('Raw Data'!C61="",_xlfn.REGEXEXTRACT(CELL("address",'Raw Data'!C61),"\$([A-Z]+)\$[0-9]+"),"")</f>
        <v>$C$61</v>
      </c>
      <c r="D59" t="str" cm="1">
        <f t="array" aca="1" ref="D59" ca="1">IF('Raw Data'!D61="",_xlfn.REGEXEXTRACT(CELL("address",'Raw Data'!D61),"\$([A-Z]+)\$[0-9]+"),"")</f>
        <v>$D$61</v>
      </c>
      <c r="E59" t="str" cm="1">
        <f t="array" aca="1" ref="E59" ca="1">IF('Raw Data'!E61="",_xlfn.REGEXEXTRACT(CELL("address",'Raw Data'!E61),"\$([A-Z]+)\$[0-9]+"),"")</f>
        <v>$E$61</v>
      </c>
      <c r="F59" t="str" cm="1">
        <f t="array" aca="1" ref="F59" ca="1">IF('Raw Data'!F61="",_xlfn.REGEXEXTRACT(CELL("address",'Raw Data'!F61),"\$([A-Z]+)\$[0-9]+"),"")</f>
        <v>$F$61</v>
      </c>
      <c r="G59" t="e" cm="1">
        <f t="array" aca="1" ref="G59" ca="1">IF('Raw Data'!#REF!="",_xlfn.REGEXEXTRACT(CELL("address",'Raw Data'!#REF!),"\$([A-Z]+)\$[0-9]+"),"")</f>
        <v>#REF!</v>
      </c>
      <c r="H59" t="str" cm="1">
        <f t="array" aca="1" ref="H59" ca="1">IF('Raw Data'!G61="",_xlfn.REGEXEXTRACT(CELL("address",'Raw Data'!G61),"\$([A-Z]+)\$[0-9]+"),"")</f>
        <v>$G$61</v>
      </c>
      <c r="I59" t="str" cm="1">
        <f t="array" aca="1" ref="I59" ca="1">IF('Raw Data'!H61="",_xlfn.REGEXEXTRACT(CELL("address",'Raw Data'!H61),"\$([A-Z]+)\$[0-9]+"),"")</f>
        <v>$H$61</v>
      </c>
    </row>
    <row r="60" spans="2:9" x14ac:dyDescent="0.25">
      <c r="B60" t="str" cm="1">
        <f t="array" aca="1" ref="B60" ca="1">IF('Raw Data'!B62="",_xlfn.REGEXEXTRACT(CELL("address",'Raw Data'!B62),"\$([A-Z]+)\$[0-9]+"),"")</f>
        <v>$B$62</v>
      </c>
      <c r="C60" t="str" cm="1">
        <f t="array" aca="1" ref="C60" ca="1">IF('Raw Data'!C62="",_xlfn.REGEXEXTRACT(CELL("address",'Raw Data'!C62),"\$([A-Z]+)\$[0-9]+"),"")</f>
        <v>$C$62</v>
      </c>
      <c r="D60" t="str" cm="1">
        <f t="array" aca="1" ref="D60" ca="1">IF('Raw Data'!D62="",_xlfn.REGEXEXTRACT(CELL("address",'Raw Data'!D62),"\$([A-Z]+)\$[0-9]+"),"")</f>
        <v>$D$62</v>
      </c>
      <c r="E60" t="str" cm="1">
        <f t="array" aca="1" ref="E60" ca="1">IF('Raw Data'!E62="",_xlfn.REGEXEXTRACT(CELL("address",'Raw Data'!E62),"\$([A-Z]+)\$[0-9]+"),"")</f>
        <v>$E$62</v>
      </c>
      <c r="F60" t="str" cm="1">
        <f t="array" aca="1" ref="F60" ca="1">IF('Raw Data'!F62="",_xlfn.REGEXEXTRACT(CELL("address",'Raw Data'!F62),"\$([A-Z]+)\$[0-9]+"),"")</f>
        <v>$F$62</v>
      </c>
      <c r="G60" t="e" cm="1">
        <f t="array" aca="1" ref="G60" ca="1">IF('Raw Data'!#REF!="",_xlfn.REGEXEXTRACT(CELL("address",'Raw Data'!#REF!),"\$([A-Z]+)\$[0-9]+"),"")</f>
        <v>#REF!</v>
      </c>
      <c r="H60" t="str" cm="1">
        <f t="array" aca="1" ref="H60" ca="1">IF('Raw Data'!G62="",_xlfn.REGEXEXTRACT(CELL("address",'Raw Data'!G62),"\$([A-Z]+)\$[0-9]+"),"")</f>
        <v>$G$62</v>
      </c>
      <c r="I60" t="str" cm="1">
        <f t="array" aca="1" ref="I60" ca="1">IF('Raw Data'!H62="",_xlfn.REGEXEXTRACT(CELL("address",'Raw Data'!H62),"\$([A-Z]+)\$[0-9]+"),"")</f>
        <v>$H$62</v>
      </c>
    </row>
    <row r="61" spans="2:9" x14ac:dyDescent="0.25">
      <c r="B61" t="str" cm="1">
        <f t="array" aca="1" ref="B61" ca="1">IF('Raw Data'!B63="",_xlfn.REGEXEXTRACT(CELL("address",'Raw Data'!B63),"\$([A-Z]+)\$[0-9]+"),"")</f>
        <v>$B$63</v>
      </c>
      <c r="C61" t="str" cm="1">
        <f t="array" aca="1" ref="C61" ca="1">IF('Raw Data'!C63="",_xlfn.REGEXEXTRACT(CELL("address",'Raw Data'!C63),"\$([A-Z]+)\$[0-9]+"),"")</f>
        <v>$C$63</v>
      </c>
      <c r="D61" t="str" cm="1">
        <f t="array" aca="1" ref="D61" ca="1">IF('Raw Data'!D63="",_xlfn.REGEXEXTRACT(CELL("address",'Raw Data'!D63),"\$([A-Z]+)\$[0-9]+"),"")</f>
        <v>$D$63</v>
      </c>
      <c r="E61" t="str" cm="1">
        <f t="array" aca="1" ref="E61" ca="1">IF('Raw Data'!E63="",_xlfn.REGEXEXTRACT(CELL("address",'Raw Data'!E63),"\$([A-Z]+)\$[0-9]+"),"")</f>
        <v>$E$63</v>
      </c>
      <c r="F61" t="str" cm="1">
        <f t="array" aca="1" ref="F61" ca="1">IF('Raw Data'!F63="",_xlfn.REGEXEXTRACT(CELL("address",'Raw Data'!F63),"\$([A-Z]+)\$[0-9]+"),"")</f>
        <v>$F$63</v>
      </c>
      <c r="G61" t="e" cm="1">
        <f t="array" aca="1" ref="G61" ca="1">IF('Raw Data'!#REF!="",_xlfn.REGEXEXTRACT(CELL("address",'Raw Data'!#REF!),"\$([A-Z]+)\$[0-9]+"),"")</f>
        <v>#REF!</v>
      </c>
      <c r="H61" t="str" cm="1">
        <f t="array" aca="1" ref="H61" ca="1">IF('Raw Data'!G63="",_xlfn.REGEXEXTRACT(CELL("address",'Raw Data'!G63),"\$([A-Z]+)\$[0-9]+"),"")</f>
        <v>$G$63</v>
      </c>
      <c r="I61" t="str" cm="1">
        <f t="array" aca="1" ref="I61" ca="1">IF('Raw Data'!H63="",_xlfn.REGEXEXTRACT(CELL("address",'Raw Data'!H63),"\$([A-Z]+)\$[0-9]+"),"")</f>
        <v>$H$63</v>
      </c>
    </row>
    <row r="62" spans="2:9" x14ac:dyDescent="0.25">
      <c r="B62" t="str" cm="1">
        <f t="array" aca="1" ref="B62" ca="1">IF('Raw Data'!B64="",_xlfn.REGEXEXTRACT(CELL("address",'Raw Data'!B64),"\$([A-Z]+)\$[0-9]+"),"")</f>
        <v>$B$64</v>
      </c>
      <c r="C62" t="str" cm="1">
        <f t="array" aca="1" ref="C62" ca="1">IF('Raw Data'!C64="",_xlfn.REGEXEXTRACT(CELL("address",'Raw Data'!C64),"\$([A-Z]+)\$[0-9]+"),"")</f>
        <v>$C$64</v>
      </c>
      <c r="D62" t="str" cm="1">
        <f t="array" aca="1" ref="D62" ca="1">IF('Raw Data'!D64="",_xlfn.REGEXEXTRACT(CELL("address",'Raw Data'!D64),"\$([A-Z]+)\$[0-9]+"),"")</f>
        <v>$D$64</v>
      </c>
      <c r="E62" t="str" cm="1">
        <f t="array" aca="1" ref="E62" ca="1">IF('Raw Data'!E64="",_xlfn.REGEXEXTRACT(CELL("address",'Raw Data'!E64),"\$([A-Z]+)\$[0-9]+"),"")</f>
        <v>$E$64</v>
      </c>
      <c r="F62" t="str" cm="1">
        <f t="array" aca="1" ref="F62" ca="1">IF('Raw Data'!F64="",_xlfn.REGEXEXTRACT(CELL("address",'Raw Data'!F64),"\$([A-Z]+)\$[0-9]+"),"")</f>
        <v>$F$64</v>
      </c>
      <c r="G62" t="e" cm="1">
        <f t="array" aca="1" ref="G62" ca="1">IF('Raw Data'!#REF!="",_xlfn.REGEXEXTRACT(CELL("address",'Raw Data'!#REF!),"\$([A-Z]+)\$[0-9]+"),"")</f>
        <v>#REF!</v>
      </c>
      <c r="H62" t="str" cm="1">
        <f t="array" aca="1" ref="H62" ca="1">IF('Raw Data'!G64="",_xlfn.REGEXEXTRACT(CELL("address",'Raw Data'!G64),"\$([A-Z]+)\$[0-9]+"),"")</f>
        <v>$G$64</v>
      </c>
      <c r="I62" t="str" cm="1">
        <f t="array" aca="1" ref="I62" ca="1">IF('Raw Data'!H64="",_xlfn.REGEXEXTRACT(CELL("address",'Raw Data'!H64),"\$([A-Z]+)\$[0-9]+"),"")</f>
        <v>$H$64</v>
      </c>
    </row>
    <row r="63" spans="2:9" x14ac:dyDescent="0.25">
      <c r="B63" t="str" cm="1">
        <f t="array" aca="1" ref="B63" ca="1">IF('Raw Data'!B65="",_xlfn.REGEXEXTRACT(CELL("address",'Raw Data'!B65),"\$([A-Z]+)\$[0-9]+"),"")</f>
        <v>$B$65</v>
      </c>
      <c r="C63" t="str" cm="1">
        <f t="array" aca="1" ref="C63" ca="1">IF('Raw Data'!C65="",_xlfn.REGEXEXTRACT(CELL("address",'Raw Data'!C65),"\$([A-Z]+)\$[0-9]+"),"")</f>
        <v>$C$65</v>
      </c>
      <c r="D63" t="str" cm="1">
        <f t="array" aca="1" ref="D63" ca="1">IF('Raw Data'!D65="",_xlfn.REGEXEXTRACT(CELL("address",'Raw Data'!D65),"\$([A-Z]+)\$[0-9]+"),"")</f>
        <v>$D$65</v>
      </c>
      <c r="E63" t="str" cm="1">
        <f t="array" aca="1" ref="E63" ca="1">IF('Raw Data'!E65="",_xlfn.REGEXEXTRACT(CELL("address",'Raw Data'!E65),"\$([A-Z]+)\$[0-9]+"),"")</f>
        <v>$E$65</v>
      </c>
      <c r="F63" t="str" cm="1">
        <f t="array" aca="1" ref="F63" ca="1">IF('Raw Data'!F65="",_xlfn.REGEXEXTRACT(CELL("address",'Raw Data'!F65),"\$([A-Z]+)\$[0-9]+"),"")</f>
        <v>$F$65</v>
      </c>
      <c r="G63" t="e" cm="1">
        <f t="array" aca="1" ref="G63" ca="1">IF('Raw Data'!#REF!="",_xlfn.REGEXEXTRACT(CELL("address",'Raw Data'!#REF!),"\$([A-Z]+)\$[0-9]+"),"")</f>
        <v>#REF!</v>
      </c>
      <c r="H63" t="str" cm="1">
        <f t="array" aca="1" ref="H63" ca="1">IF('Raw Data'!G65="",_xlfn.REGEXEXTRACT(CELL("address",'Raw Data'!G65),"\$([A-Z]+)\$[0-9]+"),"")</f>
        <v>$G$65</v>
      </c>
      <c r="I63" t="str" cm="1">
        <f t="array" aca="1" ref="I63" ca="1">IF('Raw Data'!H65="",_xlfn.REGEXEXTRACT(CELL("address",'Raw Data'!H65),"\$([A-Z]+)\$[0-9]+"),"")</f>
        <v>$H$65</v>
      </c>
    </row>
    <row r="64" spans="2:9" x14ac:dyDescent="0.25">
      <c r="B64" t="str" cm="1">
        <f t="array" aca="1" ref="B64" ca="1">IF('Raw Data'!B66="",_xlfn.REGEXEXTRACT(CELL("address",'Raw Data'!B66),"\$([A-Z]+)\$[0-9]+"),"")</f>
        <v>$B$66</v>
      </c>
      <c r="C64" t="str" cm="1">
        <f t="array" aca="1" ref="C64" ca="1">IF('Raw Data'!C66="",_xlfn.REGEXEXTRACT(CELL("address",'Raw Data'!C66),"\$([A-Z]+)\$[0-9]+"),"")</f>
        <v>$C$66</v>
      </c>
      <c r="D64" t="str" cm="1">
        <f t="array" aca="1" ref="D64" ca="1">IF('Raw Data'!D66="",_xlfn.REGEXEXTRACT(CELL("address",'Raw Data'!D66),"\$([A-Z]+)\$[0-9]+"),"")</f>
        <v>$D$66</v>
      </c>
      <c r="E64" t="str" cm="1">
        <f t="array" aca="1" ref="E64" ca="1">IF('Raw Data'!E66="",_xlfn.REGEXEXTRACT(CELL("address",'Raw Data'!E66),"\$([A-Z]+)\$[0-9]+"),"")</f>
        <v>$E$66</v>
      </c>
      <c r="F64" t="str" cm="1">
        <f t="array" aca="1" ref="F64" ca="1">IF('Raw Data'!F66="",_xlfn.REGEXEXTRACT(CELL("address",'Raw Data'!F66),"\$([A-Z]+)\$[0-9]+"),"")</f>
        <v>$F$66</v>
      </c>
      <c r="G64" t="e" cm="1">
        <f t="array" aca="1" ref="G64" ca="1">IF('Raw Data'!#REF!="",_xlfn.REGEXEXTRACT(CELL("address",'Raw Data'!#REF!),"\$([A-Z]+)\$[0-9]+"),"")</f>
        <v>#REF!</v>
      </c>
      <c r="H64" t="str" cm="1">
        <f t="array" aca="1" ref="H64" ca="1">IF('Raw Data'!G66="",_xlfn.REGEXEXTRACT(CELL("address",'Raw Data'!G66),"\$([A-Z]+)\$[0-9]+"),"")</f>
        <v>$G$66</v>
      </c>
      <c r="I64" t="str" cm="1">
        <f t="array" aca="1" ref="I64" ca="1">IF('Raw Data'!H66="",_xlfn.REGEXEXTRACT(CELL("address",'Raw Data'!H66),"\$([A-Z]+)\$[0-9]+"),"")</f>
        <v>$H$66</v>
      </c>
    </row>
    <row r="65" spans="2:9" x14ac:dyDescent="0.25">
      <c r="B65" t="str" cm="1">
        <f t="array" aca="1" ref="B65" ca="1">IF('Raw Data'!B67="",_xlfn.REGEXEXTRACT(CELL("address",'Raw Data'!B67),"\$([A-Z]+)\$[0-9]+"),"")</f>
        <v>$B$67</v>
      </c>
      <c r="C65" t="str" cm="1">
        <f t="array" aca="1" ref="C65" ca="1">IF('Raw Data'!C67="",_xlfn.REGEXEXTRACT(CELL("address",'Raw Data'!C67),"\$([A-Z]+)\$[0-9]+"),"")</f>
        <v>$C$67</v>
      </c>
      <c r="D65" t="str" cm="1">
        <f t="array" aca="1" ref="D65" ca="1">IF('Raw Data'!D67="",_xlfn.REGEXEXTRACT(CELL("address",'Raw Data'!D67),"\$([A-Z]+)\$[0-9]+"),"")</f>
        <v>$D$67</v>
      </c>
      <c r="E65" t="str" cm="1">
        <f t="array" aca="1" ref="E65" ca="1">IF('Raw Data'!E67="",_xlfn.REGEXEXTRACT(CELL("address",'Raw Data'!E67),"\$([A-Z]+)\$[0-9]+"),"")</f>
        <v>$E$67</v>
      </c>
      <c r="F65" t="str" cm="1">
        <f t="array" aca="1" ref="F65" ca="1">IF('Raw Data'!F67="",_xlfn.REGEXEXTRACT(CELL("address",'Raw Data'!F67),"\$([A-Z]+)\$[0-9]+"),"")</f>
        <v>$F$67</v>
      </c>
      <c r="G65" t="e" cm="1">
        <f t="array" aca="1" ref="G65" ca="1">IF('Raw Data'!#REF!="",_xlfn.REGEXEXTRACT(CELL("address",'Raw Data'!#REF!),"\$([A-Z]+)\$[0-9]+"),"")</f>
        <v>#REF!</v>
      </c>
      <c r="H65" t="str" cm="1">
        <f t="array" aca="1" ref="H65" ca="1">IF('Raw Data'!G67="",_xlfn.REGEXEXTRACT(CELL("address",'Raw Data'!G67),"\$([A-Z]+)\$[0-9]+"),"")</f>
        <v>$G$67</v>
      </c>
      <c r="I65" t="str" cm="1">
        <f t="array" aca="1" ref="I65" ca="1">IF('Raw Data'!H67="",_xlfn.REGEXEXTRACT(CELL("address",'Raw Data'!H67),"\$([A-Z]+)\$[0-9]+"),"")</f>
        <v>$H$67</v>
      </c>
    </row>
    <row r="66" spans="2:9" x14ac:dyDescent="0.25">
      <c r="B66" t="str" cm="1">
        <f t="array" aca="1" ref="B66" ca="1">IF('Raw Data'!B68="",_xlfn.REGEXEXTRACT(CELL("address",'Raw Data'!B68),"\$([A-Z]+)\$[0-9]+"),"")</f>
        <v>$B$68</v>
      </c>
      <c r="C66" t="str" cm="1">
        <f t="array" aca="1" ref="C66" ca="1">IF('Raw Data'!C68="",_xlfn.REGEXEXTRACT(CELL("address",'Raw Data'!C68),"\$([A-Z]+)\$[0-9]+"),"")</f>
        <v>$C$68</v>
      </c>
      <c r="D66" t="str" cm="1">
        <f t="array" aca="1" ref="D66" ca="1">IF('Raw Data'!D68="",_xlfn.REGEXEXTRACT(CELL("address",'Raw Data'!D68),"\$([A-Z]+)\$[0-9]+"),"")</f>
        <v>$D$68</v>
      </c>
      <c r="E66" t="str" cm="1">
        <f t="array" aca="1" ref="E66" ca="1">IF('Raw Data'!E68="",_xlfn.REGEXEXTRACT(CELL("address",'Raw Data'!E68),"\$([A-Z]+)\$[0-9]+"),"")</f>
        <v>$E$68</v>
      </c>
      <c r="F66" t="str" cm="1">
        <f t="array" aca="1" ref="F66" ca="1">IF('Raw Data'!F68="",_xlfn.REGEXEXTRACT(CELL("address",'Raw Data'!F68),"\$([A-Z]+)\$[0-9]+"),"")</f>
        <v>$F$68</v>
      </c>
      <c r="G66" t="e" cm="1">
        <f t="array" aca="1" ref="G66" ca="1">IF('Raw Data'!#REF!="",_xlfn.REGEXEXTRACT(CELL("address",'Raw Data'!#REF!),"\$([A-Z]+)\$[0-9]+"),"")</f>
        <v>#REF!</v>
      </c>
      <c r="H66" t="str" cm="1">
        <f t="array" aca="1" ref="H66" ca="1">IF('Raw Data'!G68="",_xlfn.REGEXEXTRACT(CELL("address",'Raw Data'!G68),"\$([A-Z]+)\$[0-9]+"),"")</f>
        <v>$G$68</v>
      </c>
      <c r="I66" t="str" cm="1">
        <f t="array" aca="1" ref="I66" ca="1">IF('Raw Data'!H68="",_xlfn.REGEXEXTRACT(CELL("address",'Raw Data'!H68),"\$([A-Z]+)\$[0-9]+"),"")</f>
        <v>$H$68</v>
      </c>
    </row>
    <row r="67" spans="2:9" x14ac:dyDescent="0.25">
      <c r="B67" t="str" cm="1">
        <f t="array" aca="1" ref="B67" ca="1">IF('Raw Data'!B69="",_xlfn.REGEXEXTRACT(CELL("address",'Raw Data'!B69),"\$([A-Z]+)\$[0-9]+"),"")</f>
        <v>$B$69</v>
      </c>
      <c r="C67" t="str" cm="1">
        <f t="array" aca="1" ref="C67" ca="1">IF('Raw Data'!C69="",_xlfn.REGEXEXTRACT(CELL("address",'Raw Data'!C69),"\$([A-Z]+)\$[0-9]+"),"")</f>
        <v>$C$69</v>
      </c>
      <c r="D67" t="str" cm="1">
        <f t="array" aca="1" ref="D67" ca="1">IF('Raw Data'!D69="",_xlfn.REGEXEXTRACT(CELL("address",'Raw Data'!D69),"\$([A-Z]+)\$[0-9]+"),"")</f>
        <v>$D$69</v>
      </c>
      <c r="E67" t="str" cm="1">
        <f t="array" aca="1" ref="E67" ca="1">IF('Raw Data'!E69="",_xlfn.REGEXEXTRACT(CELL("address",'Raw Data'!E69),"\$([A-Z]+)\$[0-9]+"),"")</f>
        <v>$E$69</v>
      </c>
      <c r="F67" t="str" cm="1">
        <f t="array" aca="1" ref="F67" ca="1">IF('Raw Data'!F69="",_xlfn.REGEXEXTRACT(CELL("address",'Raw Data'!F69),"\$([A-Z]+)\$[0-9]+"),"")</f>
        <v>$F$69</v>
      </c>
      <c r="G67" t="e" cm="1">
        <f t="array" aca="1" ref="G67" ca="1">IF('Raw Data'!#REF!="",_xlfn.REGEXEXTRACT(CELL("address",'Raw Data'!#REF!),"\$([A-Z]+)\$[0-9]+"),"")</f>
        <v>#REF!</v>
      </c>
      <c r="H67" t="str" cm="1">
        <f t="array" aca="1" ref="H67" ca="1">IF('Raw Data'!G69="",_xlfn.REGEXEXTRACT(CELL("address",'Raw Data'!G69),"\$([A-Z]+)\$[0-9]+"),"")</f>
        <v>$G$69</v>
      </c>
      <c r="I67" t="str" cm="1">
        <f t="array" aca="1" ref="I67" ca="1">IF('Raw Data'!H69="",_xlfn.REGEXEXTRACT(CELL("address",'Raw Data'!H69),"\$([A-Z]+)\$[0-9]+"),"")</f>
        <v>$H$69</v>
      </c>
    </row>
    <row r="68" spans="2:9" x14ac:dyDescent="0.25">
      <c r="B68" t="str" cm="1">
        <f t="array" aca="1" ref="B68" ca="1">IF('Raw Data'!B70="",_xlfn.REGEXEXTRACT(CELL("address",'Raw Data'!B70),"\$([A-Z]+)\$[0-9]+"),"")</f>
        <v>$B$70</v>
      </c>
      <c r="C68" t="str" cm="1">
        <f t="array" aca="1" ref="C68" ca="1">IF('Raw Data'!C70="",_xlfn.REGEXEXTRACT(CELL("address",'Raw Data'!C70),"\$([A-Z]+)\$[0-9]+"),"")</f>
        <v>$C$70</v>
      </c>
      <c r="D68" t="str" cm="1">
        <f t="array" aca="1" ref="D68" ca="1">IF('Raw Data'!D70="",_xlfn.REGEXEXTRACT(CELL("address",'Raw Data'!D70),"\$([A-Z]+)\$[0-9]+"),"")</f>
        <v>$D$70</v>
      </c>
      <c r="E68" t="str" cm="1">
        <f t="array" aca="1" ref="E68" ca="1">IF('Raw Data'!E70="",_xlfn.REGEXEXTRACT(CELL("address",'Raw Data'!E70),"\$([A-Z]+)\$[0-9]+"),"")</f>
        <v>$E$70</v>
      </c>
      <c r="F68" t="str" cm="1">
        <f t="array" aca="1" ref="F68" ca="1">IF('Raw Data'!F70="",_xlfn.REGEXEXTRACT(CELL("address",'Raw Data'!F70),"\$([A-Z]+)\$[0-9]+"),"")</f>
        <v>$F$70</v>
      </c>
      <c r="G68" t="e" cm="1">
        <f t="array" aca="1" ref="G68" ca="1">IF('Raw Data'!#REF!="",_xlfn.REGEXEXTRACT(CELL("address",'Raw Data'!#REF!),"\$([A-Z]+)\$[0-9]+"),"")</f>
        <v>#REF!</v>
      </c>
      <c r="H68" t="str" cm="1">
        <f t="array" aca="1" ref="H68" ca="1">IF('Raw Data'!G70="",_xlfn.REGEXEXTRACT(CELL("address",'Raw Data'!G70),"\$([A-Z]+)\$[0-9]+"),"")</f>
        <v>$G$70</v>
      </c>
      <c r="I68" t="str" cm="1">
        <f t="array" aca="1" ref="I68" ca="1">IF('Raw Data'!H70="",_xlfn.REGEXEXTRACT(CELL("address",'Raw Data'!H70),"\$([A-Z]+)\$[0-9]+"),"")</f>
        <v>$H$70</v>
      </c>
    </row>
    <row r="69" spans="2:9" x14ac:dyDescent="0.25">
      <c r="B69" t="str" cm="1">
        <f t="array" aca="1" ref="B69" ca="1">IF('Raw Data'!B71="",_xlfn.REGEXEXTRACT(CELL("address",'Raw Data'!B71),"\$([A-Z]+)\$[0-9]+"),"")</f>
        <v>$B$71</v>
      </c>
      <c r="C69" t="str" cm="1">
        <f t="array" aca="1" ref="C69" ca="1">IF('Raw Data'!C71="",_xlfn.REGEXEXTRACT(CELL("address",'Raw Data'!C71),"\$([A-Z]+)\$[0-9]+"),"")</f>
        <v>$C$71</v>
      </c>
      <c r="D69" t="str" cm="1">
        <f t="array" aca="1" ref="D69" ca="1">IF('Raw Data'!D71="",_xlfn.REGEXEXTRACT(CELL("address",'Raw Data'!D71),"\$([A-Z]+)\$[0-9]+"),"")</f>
        <v>$D$71</v>
      </c>
      <c r="E69" t="str" cm="1">
        <f t="array" aca="1" ref="E69" ca="1">IF('Raw Data'!E71="",_xlfn.REGEXEXTRACT(CELL("address",'Raw Data'!E71),"\$([A-Z]+)\$[0-9]+"),"")</f>
        <v>$E$71</v>
      </c>
      <c r="F69" t="str" cm="1">
        <f t="array" aca="1" ref="F69" ca="1">IF('Raw Data'!F71="",_xlfn.REGEXEXTRACT(CELL("address",'Raw Data'!F71),"\$([A-Z]+)\$[0-9]+"),"")</f>
        <v>$F$71</v>
      </c>
      <c r="G69" t="e" cm="1">
        <f t="array" aca="1" ref="G69" ca="1">IF('Raw Data'!#REF!="",_xlfn.REGEXEXTRACT(CELL("address",'Raw Data'!#REF!),"\$([A-Z]+)\$[0-9]+"),"")</f>
        <v>#REF!</v>
      </c>
      <c r="H69" t="str" cm="1">
        <f t="array" aca="1" ref="H69" ca="1">IF('Raw Data'!G71="",_xlfn.REGEXEXTRACT(CELL("address",'Raw Data'!G71),"\$([A-Z]+)\$[0-9]+"),"")</f>
        <v>$G$71</v>
      </c>
      <c r="I69" t="str" cm="1">
        <f t="array" aca="1" ref="I69" ca="1">IF('Raw Data'!H71="",_xlfn.REGEXEXTRACT(CELL("address",'Raw Data'!H71),"\$([A-Z]+)\$[0-9]+"),"")</f>
        <v>$H$71</v>
      </c>
    </row>
    <row r="70" spans="2:9" x14ac:dyDescent="0.25">
      <c r="B70" t="str" cm="1">
        <f t="array" aca="1" ref="B70" ca="1">IF('Raw Data'!B72="",_xlfn.REGEXEXTRACT(CELL("address",'Raw Data'!B72),"\$([A-Z]+)\$[0-9]+"),"")</f>
        <v>$B$72</v>
      </c>
      <c r="C70" t="str" cm="1">
        <f t="array" aca="1" ref="C70" ca="1">IF('Raw Data'!C72="",_xlfn.REGEXEXTRACT(CELL("address",'Raw Data'!C72),"\$([A-Z]+)\$[0-9]+"),"")</f>
        <v>$C$72</v>
      </c>
      <c r="D70" t="str" cm="1">
        <f t="array" aca="1" ref="D70" ca="1">IF('Raw Data'!D72="",_xlfn.REGEXEXTRACT(CELL("address",'Raw Data'!D72),"\$([A-Z]+)\$[0-9]+"),"")</f>
        <v>$D$72</v>
      </c>
      <c r="E70" t="str" cm="1">
        <f t="array" aca="1" ref="E70" ca="1">IF('Raw Data'!E72="",_xlfn.REGEXEXTRACT(CELL("address",'Raw Data'!E72),"\$([A-Z]+)\$[0-9]+"),"")</f>
        <v>$E$72</v>
      </c>
      <c r="F70" t="str" cm="1">
        <f t="array" aca="1" ref="F70" ca="1">IF('Raw Data'!F72="",_xlfn.REGEXEXTRACT(CELL("address",'Raw Data'!F72),"\$([A-Z]+)\$[0-9]+"),"")</f>
        <v>$F$72</v>
      </c>
      <c r="G70" t="e" cm="1">
        <f t="array" aca="1" ref="G70" ca="1">IF('Raw Data'!#REF!="",_xlfn.REGEXEXTRACT(CELL("address",'Raw Data'!#REF!),"\$([A-Z]+)\$[0-9]+"),"")</f>
        <v>#REF!</v>
      </c>
      <c r="H70" t="str" cm="1">
        <f t="array" aca="1" ref="H70" ca="1">IF('Raw Data'!G72="",_xlfn.REGEXEXTRACT(CELL("address",'Raw Data'!G72),"\$([A-Z]+)\$[0-9]+"),"")</f>
        <v>$G$72</v>
      </c>
      <c r="I70" t="str" cm="1">
        <f t="array" aca="1" ref="I70" ca="1">IF('Raw Data'!H72="",_xlfn.REGEXEXTRACT(CELL("address",'Raw Data'!H72),"\$([A-Z]+)\$[0-9]+"),"")</f>
        <v>$H$72</v>
      </c>
    </row>
    <row r="71" spans="2:9" x14ac:dyDescent="0.25">
      <c r="B71" t="str" cm="1">
        <f t="array" aca="1" ref="B71" ca="1">IF('Raw Data'!B73="",_xlfn.REGEXEXTRACT(CELL("address",'Raw Data'!B73),"\$([A-Z]+)\$[0-9]+"),"")</f>
        <v>$B$73</v>
      </c>
      <c r="C71" t="str" cm="1">
        <f t="array" aca="1" ref="C71" ca="1">IF('Raw Data'!C73="",_xlfn.REGEXEXTRACT(CELL("address",'Raw Data'!C73),"\$([A-Z]+)\$[0-9]+"),"")</f>
        <v>$C$73</v>
      </c>
      <c r="D71" t="str" cm="1">
        <f t="array" aca="1" ref="D71" ca="1">IF('Raw Data'!D73="",_xlfn.REGEXEXTRACT(CELL("address",'Raw Data'!D73),"\$([A-Z]+)\$[0-9]+"),"")</f>
        <v>$D$73</v>
      </c>
      <c r="E71" t="str" cm="1">
        <f t="array" aca="1" ref="E71" ca="1">IF('Raw Data'!E73="",_xlfn.REGEXEXTRACT(CELL("address",'Raw Data'!E73),"\$([A-Z]+)\$[0-9]+"),"")</f>
        <v>$E$73</v>
      </c>
      <c r="F71" t="str" cm="1">
        <f t="array" aca="1" ref="F71" ca="1">IF('Raw Data'!F73="",_xlfn.REGEXEXTRACT(CELL("address",'Raw Data'!F73),"\$([A-Z]+)\$[0-9]+"),"")</f>
        <v>$F$73</v>
      </c>
      <c r="G71" t="e" cm="1">
        <f t="array" aca="1" ref="G71" ca="1">IF('Raw Data'!#REF!="",_xlfn.REGEXEXTRACT(CELL("address",'Raw Data'!#REF!),"\$([A-Z]+)\$[0-9]+"),"")</f>
        <v>#REF!</v>
      </c>
      <c r="H71" t="str" cm="1">
        <f t="array" aca="1" ref="H71" ca="1">IF('Raw Data'!G73="",_xlfn.REGEXEXTRACT(CELL("address",'Raw Data'!G73),"\$([A-Z]+)\$[0-9]+"),"")</f>
        <v>$G$73</v>
      </c>
      <c r="I71" t="str" cm="1">
        <f t="array" aca="1" ref="I71" ca="1">IF('Raw Data'!H73="",_xlfn.REGEXEXTRACT(CELL("address",'Raw Data'!H73),"\$([A-Z]+)\$[0-9]+"),"")</f>
        <v>$H$73</v>
      </c>
    </row>
    <row r="72" spans="2:9" x14ac:dyDescent="0.25">
      <c r="B72" t="str" cm="1">
        <f t="array" aca="1" ref="B72" ca="1">IF('Raw Data'!B74="",_xlfn.REGEXEXTRACT(CELL("address",'Raw Data'!B74),"\$([A-Z]+)\$[0-9]+"),"")</f>
        <v>$B$74</v>
      </c>
      <c r="C72" t="str" cm="1">
        <f t="array" aca="1" ref="C72" ca="1">IF('Raw Data'!C74="",_xlfn.REGEXEXTRACT(CELL("address",'Raw Data'!C74),"\$([A-Z]+)\$[0-9]+"),"")</f>
        <v>$C$74</v>
      </c>
      <c r="D72" t="str" cm="1">
        <f t="array" aca="1" ref="D72" ca="1">IF('Raw Data'!D74="",_xlfn.REGEXEXTRACT(CELL("address",'Raw Data'!D74),"\$([A-Z]+)\$[0-9]+"),"")</f>
        <v>$D$74</v>
      </c>
      <c r="E72" t="str" cm="1">
        <f t="array" aca="1" ref="E72" ca="1">IF('Raw Data'!E74="",_xlfn.REGEXEXTRACT(CELL("address",'Raw Data'!E74),"\$([A-Z]+)\$[0-9]+"),"")</f>
        <v>$E$74</v>
      </c>
      <c r="F72" t="str" cm="1">
        <f t="array" aca="1" ref="F72" ca="1">IF('Raw Data'!F74="",_xlfn.REGEXEXTRACT(CELL("address",'Raw Data'!F74),"\$([A-Z]+)\$[0-9]+"),"")</f>
        <v>$F$74</v>
      </c>
      <c r="G72" t="e" cm="1">
        <f t="array" aca="1" ref="G72" ca="1">IF('Raw Data'!#REF!="",_xlfn.REGEXEXTRACT(CELL("address",'Raw Data'!#REF!),"\$([A-Z]+)\$[0-9]+"),"")</f>
        <v>#REF!</v>
      </c>
      <c r="H72" t="str" cm="1">
        <f t="array" aca="1" ref="H72" ca="1">IF('Raw Data'!G74="",_xlfn.REGEXEXTRACT(CELL("address",'Raw Data'!G74),"\$([A-Z]+)\$[0-9]+"),"")</f>
        <v>$G$74</v>
      </c>
      <c r="I72" t="str" cm="1">
        <f t="array" aca="1" ref="I72" ca="1">IF('Raw Data'!H74="",_xlfn.REGEXEXTRACT(CELL("address",'Raw Data'!H74),"\$([A-Z]+)\$[0-9]+"),"")</f>
        <v>$H$74</v>
      </c>
    </row>
    <row r="73" spans="2:9" x14ac:dyDescent="0.25">
      <c r="B73" t="str" cm="1">
        <f t="array" aca="1" ref="B73" ca="1">IF('Raw Data'!B75="",_xlfn.REGEXEXTRACT(CELL("address",'Raw Data'!B75),"\$([A-Z]+)\$[0-9]+"),"")</f>
        <v>$B$75</v>
      </c>
      <c r="C73" t="str" cm="1">
        <f t="array" aca="1" ref="C73" ca="1">IF('Raw Data'!C75="",_xlfn.REGEXEXTRACT(CELL("address",'Raw Data'!C75),"\$([A-Z]+)\$[0-9]+"),"")</f>
        <v>$C$75</v>
      </c>
      <c r="D73" t="str" cm="1">
        <f t="array" aca="1" ref="D73" ca="1">IF('Raw Data'!D75="",_xlfn.REGEXEXTRACT(CELL("address",'Raw Data'!D75),"\$([A-Z]+)\$[0-9]+"),"")</f>
        <v>$D$75</v>
      </c>
      <c r="E73" t="str" cm="1">
        <f t="array" aca="1" ref="E73" ca="1">IF('Raw Data'!E75="",_xlfn.REGEXEXTRACT(CELL("address",'Raw Data'!E75),"\$([A-Z]+)\$[0-9]+"),"")</f>
        <v>$E$75</v>
      </c>
      <c r="F73" t="str" cm="1">
        <f t="array" aca="1" ref="F73" ca="1">IF('Raw Data'!F75="",_xlfn.REGEXEXTRACT(CELL("address",'Raw Data'!F75),"\$([A-Z]+)\$[0-9]+"),"")</f>
        <v>$F$75</v>
      </c>
      <c r="G73" t="e" cm="1">
        <f t="array" aca="1" ref="G73" ca="1">IF('Raw Data'!#REF!="",_xlfn.REGEXEXTRACT(CELL("address",'Raw Data'!#REF!),"\$([A-Z]+)\$[0-9]+"),"")</f>
        <v>#REF!</v>
      </c>
      <c r="H73" t="str" cm="1">
        <f t="array" aca="1" ref="H73" ca="1">IF('Raw Data'!G75="",_xlfn.REGEXEXTRACT(CELL("address",'Raw Data'!G75),"\$([A-Z]+)\$[0-9]+"),"")</f>
        <v>$G$75</v>
      </c>
      <c r="I73" t="str" cm="1">
        <f t="array" aca="1" ref="I73" ca="1">IF('Raw Data'!H75="",_xlfn.REGEXEXTRACT(CELL("address",'Raw Data'!H75),"\$([A-Z]+)\$[0-9]+"),"")</f>
        <v>$H$75</v>
      </c>
    </row>
    <row r="74" spans="2:9" x14ac:dyDescent="0.25">
      <c r="B74" t="str" cm="1">
        <f t="array" aca="1" ref="B74" ca="1">IF('Raw Data'!B76="",_xlfn.REGEXEXTRACT(CELL("address",'Raw Data'!B76),"\$([A-Z]+)\$[0-9]+"),"")</f>
        <v>$B$76</v>
      </c>
      <c r="C74" t="str" cm="1">
        <f t="array" aca="1" ref="C74" ca="1">IF('Raw Data'!C76="",_xlfn.REGEXEXTRACT(CELL("address",'Raw Data'!C76),"\$([A-Z]+)\$[0-9]+"),"")</f>
        <v>$C$76</v>
      </c>
      <c r="D74" t="str" cm="1">
        <f t="array" aca="1" ref="D74" ca="1">IF('Raw Data'!D76="",_xlfn.REGEXEXTRACT(CELL("address",'Raw Data'!D76),"\$([A-Z]+)\$[0-9]+"),"")</f>
        <v>$D$76</v>
      </c>
      <c r="E74" t="str" cm="1">
        <f t="array" aca="1" ref="E74" ca="1">IF('Raw Data'!E76="",_xlfn.REGEXEXTRACT(CELL("address",'Raw Data'!E76),"\$([A-Z]+)\$[0-9]+"),"")</f>
        <v>$E$76</v>
      </c>
      <c r="F74" t="str" cm="1">
        <f t="array" aca="1" ref="F74" ca="1">IF('Raw Data'!F76="",_xlfn.REGEXEXTRACT(CELL("address",'Raw Data'!F76),"\$([A-Z]+)\$[0-9]+"),"")</f>
        <v>$F$76</v>
      </c>
      <c r="G74" t="e" cm="1">
        <f t="array" aca="1" ref="G74" ca="1">IF('Raw Data'!#REF!="",_xlfn.REGEXEXTRACT(CELL("address",'Raw Data'!#REF!),"\$([A-Z]+)\$[0-9]+"),"")</f>
        <v>#REF!</v>
      </c>
      <c r="H74" t="str" cm="1">
        <f t="array" aca="1" ref="H74" ca="1">IF('Raw Data'!G76="",_xlfn.REGEXEXTRACT(CELL("address",'Raw Data'!G76),"\$([A-Z]+)\$[0-9]+"),"")</f>
        <v>$G$76</v>
      </c>
      <c r="I74" t="str" cm="1">
        <f t="array" aca="1" ref="I74" ca="1">IF('Raw Data'!H76="",_xlfn.REGEXEXTRACT(CELL("address",'Raw Data'!H76),"\$([A-Z]+)\$[0-9]+"),"")</f>
        <v>$H$76</v>
      </c>
    </row>
    <row r="75" spans="2:9" x14ac:dyDescent="0.25">
      <c r="B75" t="str" cm="1">
        <f t="array" aca="1" ref="B75" ca="1">IF('Raw Data'!B77="",_xlfn.REGEXEXTRACT(CELL("address",'Raw Data'!B77),"\$([A-Z]+)\$[0-9]+"),"")</f>
        <v>$B$77</v>
      </c>
      <c r="C75" t="str" cm="1">
        <f t="array" aca="1" ref="C75" ca="1">IF('Raw Data'!C77="",_xlfn.REGEXEXTRACT(CELL("address",'Raw Data'!C77),"\$([A-Z]+)\$[0-9]+"),"")</f>
        <v>$C$77</v>
      </c>
      <c r="D75" t="str" cm="1">
        <f t="array" aca="1" ref="D75" ca="1">IF('Raw Data'!D77="",_xlfn.REGEXEXTRACT(CELL("address",'Raw Data'!D77),"\$([A-Z]+)\$[0-9]+"),"")</f>
        <v>$D$77</v>
      </c>
      <c r="E75" t="str" cm="1">
        <f t="array" aca="1" ref="E75" ca="1">IF('Raw Data'!E77="",_xlfn.REGEXEXTRACT(CELL("address",'Raw Data'!E77),"\$([A-Z]+)\$[0-9]+"),"")</f>
        <v>$E$77</v>
      </c>
      <c r="F75" t="str" cm="1">
        <f t="array" aca="1" ref="F75" ca="1">IF('Raw Data'!F77="",_xlfn.REGEXEXTRACT(CELL("address",'Raw Data'!F77),"\$([A-Z]+)\$[0-9]+"),"")</f>
        <v>$F$77</v>
      </c>
      <c r="G75" t="e" cm="1">
        <f t="array" aca="1" ref="G75" ca="1">IF('Raw Data'!#REF!="",_xlfn.REGEXEXTRACT(CELL("address",'Raw Data'!#REF!),"\$([A-Z]+)\$[0-9]+"),"")</f>
        <v>#REF!</v>
      </c>
      <c r="H75" t="str" cm="1">
        <f t="array" aca="1" ref="H75" ca="1">IF('Raw Data'!G77="",_xlfn.REGEXEXTRACT(CELL("address",'Raw Data'!G77),"\$([A-Z]+)\$[0-9]+"),"")</f>
        <v>$G$77</v>
      </c>
      <c r="I75" t="str" cm="1">
        <f t="array" aca="1" ref="I75" ca="1">IF('Raw Data'!H77="",_xlfn.REGEXEXTRACT(CELL("address",'Raw Data'!H77),"\$([A-Z]+)\$[0-9]+"),"")</f>
        <v>$H$77</v>
      </c>
    </row>
    <row r="76" spans="2:9" x14ac:dyDescent="0.25">
      <c r="B76" t="str" cm="1">
        <f t="array" aca="1" ref="B76" ca="1">IF('Raw Data'!B78="",_xlfn.REGEXEXTRACT(CELL("address",'Raw Data'!B78),"\$([A-Z]+)\$[0-9]+"),"")</f>
        <v>$B$78</v>
      </c>
      <c r="C76" t="str" cm="1">
        <f t="array" aca="1" ref="C76" ca="1">IF('Raw Data'!C78="",_xlfn.REGEXEXTRACT(CELL("address",'Raw Data'!C78),"\$([A-Z]+)\$[0-9]+"),"")</f>
        <v>$C$78</v>
      </c>
      <c r="D76" t="str" cm="1">
        <f t="array" aca="1" ref="D76" ca="1">IF('Raw Data'!D78="",_xlfn.REGEXEXTRACT(CELL("address",'Raw Data'!D78),"\$([A-Z]+)\$[0-9]+"),"")</f>
        <v>$D$78</v>
      </c>
      <c r="E76" t="str" cm="1">
        <f t="array" aca="1" ref="E76" ca="1">IF('Raw Data'!E78="",_xlfn.REGEXEXTRACT(CELL("address",'Raw Data'!E78),"\$([A-Z]+)\$[0-9]+"),"")</f>
        <v>$E$78</v>
      </c>
      <c r="F76" t="str" cm="1">
        <f t="array" aca="1" ref="F76" ca="1">IF('Raw Data'!F78="",_xlfn.REGEXEXTRACT(CELL("address",'Raw Data'!F78),"\$([A-Z]+)\$[0-9]+"),"")</f>
        <v>$F$78</v>
      </c>
      <c r="G76" t="e" cm="1">
        <f t="array" aca="1" ref="G76" ca="1">IF('Raw Data'!#REF!="",_xlfn.REGEXEXTRACT(CELL("address",'Raw Data'!#REF!),"\$([A-Z]+)\$[0-9]+"),"")</f>
        <v>#REF!</v>
      </c>
      <c r="H76" t="str" cm="1">
        <f t="array" aca="1" ref="H76" ca="1">IF('Raw Data'!G78="",_xlfn.REGEXEXTRACT(CELL("address",'Raw Data'!G78),"\$([A-Z]+)\$[0-9]+"),"")</f>
        <v>$G$78</v>
      </c>
      <c r="I76" t="str" cm="1">
        <f t="array" aca="1" ref="I76" ca="1">IF('Raw Data'!H78="",_xlfn.REGEXEXTRACT(CELL("address",'Raw Data'!H78),"\$([A-Z]+)\$[0-9]+"),"")</f>
        <v>$H$78</v>
      </c>
    </row>
    <row r="77" spans="2:9" x14ac:dyDescent="0.25">
      <c r="B77" t="str" cm="1">
        <f t="array" aca="1" ref="B77" ca="1">IF('Raw Data'!B79="",_xlfn.REGEXEXTRACT(CELL("address",'Raw Data'!B79),"\$([A-Z]+)\$[0-9]+"),"")</f>
        <v>$B$79</v>
      </c>
      <c r="C77" t="str" cm="1">
        <f t="array" aca="1" ref="C77" ca="1">IF('Raw Data'!C79="",_xlfn.REGEXEXTRACT(CELL("address",'Raw Data'!C79),"\$([A-Z]+)\$[0-9]+"),"")</f>
        <v>$C$79</v>
      </c>
      <c r="D77" t="str" cm="1">
        <f t="array" aca="1" ref="D77" ca="1">IF('Raw Data'!D79="",_xlfn.REGEXEXTRACT(CELL("address",'Raw Data'!D79),"\$([A-Z]+)\$[0-9]+"),"")</f>
        <v>$D$79</v>
      </c>
      <c r="E77" t="str" cm="1">
        <f t="array" aca="1" ref="E77" ca="1">IF('Raw Data'!E79="",_xlfn.REGEXEXTRACT(CELL("address",'Raw Data'!E79),"\$([A-Z]+)\$[0-9]+"),"")</f>
        <v>$E$79</v>
      </c>
      <c r="F77" t="str" cm="1">
        <f t="array" aca="1" ref="F77" ca="1">IF('Raw Data'!F79="",_xlfn.REGEXEXTRACT(CELL("address",'Raw Data'!F79),"\$([A-Z]+)\$[0-9]+"),"")</f>
        <v>$F$79</v>
      </c>
      <c r="G77" t="e" cm="1">
        <f t="array" aca="1" ref="G77" ca="1">IF('Raw Data'!#REF!="",_xlfn.REGEXEXTRACT(CELL("address",'Raw Data'!#REF!),"\$([A-Z]+)\$[0-9]+"),"")</f>
        <v>#REF!</v>
      </c>
      <c r="H77" t="str" cm="1">
        <f t="array" aca="1" ref="H77" ca="1">IF('Raw Data'!G79="",_xlfn.REGEXEXTRACT(CELL("address",'Raw Data'!G79),"\$([A-Z]+)\$[0-9]+"),"")</f>
        <v>$G$79</v>
      </c>
      <c r="I77" t="str" cm="1">
        <f t="array" aca="1" ref="I77" ca="1">IF('Raw Data'!H79="",_xlfn.REGEXEXTRACT(CELL("address",'Raw Data'!H79),"\$([A-Z]+)\$[0-9]+"),"")</f>
        <v>$H$79</v>
      </c>
    </row>
    <row r="78" spans="2:9" x14ac:dyDescent="0.25">
      <c r="B78" t="str" cm="1">
        <f t="array" aca="1" ref="B78" ca="1">IF('Raw Data'!B80="",_xlfn.REGEXEXTRACT(CELL("address",'Raw Data'!B80),"\$([A-Z]+)\$[0-9]+"),"")</f>
        <v>$B$80</v>
      </c>
      <c r="C78" t="str" cm="1">
        <f t="array" aca="1" ref="C78" ca="1">IF('Raw Data'!C80="",_xlfn.REGEXEXTRACT(CELL("address",'Raw Data'!C80),"\$([A-Z]+)\$[0-9]+"),"")</f>
        <v>$C$80</v>
      </c>
      <c r="D78" t="str" cm="1">
        <f t="array" aca="1" ref="D78" ca="1">IF('Raw Data'!D80="",_xlfn.REGEXEXTRACT(CELL("address",'Raw Data'!D80),"\$([A-Z]+)\$[0-9]+"),"")</f>
        <v>$D$80</v>
      </c>
      <c r="E78" t="str" cm="1">
        <f t="array" aca="1" ref="E78" ca="1">IF('Raw Data'!E80="",_xlfn.REGEXEXTRACT(CELL("address",'Raw Data'!E80),"\$([A-Z]+)\$[0-9]+"),"")</f>
        <v>$E$80</v>
      </c>
      <c r="F78" t="str" cm="1">
        <f t="array" aca="1" ref="F78" ca="1">IF('Raw Data'!F80="",_xlfn.REGEXEXTRACT(CELL("address",'Raw Data'!F80),"\$([A-Z]+)\$[0-9]+"),"")</f>
        <v>$F$80</v>
      </c>
      <c r="G78" t="e" cm="1">
        <f t="array" aca="1" ref="G78" ca="1">IF('Raw Data'!#REF!="",_xlfn.REGEXEXTRACT(CELL("address",'Raw Data'!#REF!),"\$([A-Z]+)\$[0-9]+"),"")</f>
        <v>#REF!</v>
      </c>
      <c r="H78" t="str" cm="1">
        <f t="array" aca="1" ref="H78" ca="1">IF('Raw Data'!G80="",_xlfn.REGEXEXTRACT(CELL("address",'Raw Data'!G80),"\$([A-Z]+)\$[0-9]+"),"")</f>
        <v>$G$80</v>
      </c>
      <c r="I78" t="str" cm="1">
        <f t="array" aca="1" ref="I78" ca="1">IF('Raw Data'!H80="",_xlfn.REGEXEXTRACT(CELL("address",'Raw Data'!H80),"\$([A-Z]+)\$[0-9]+"),"")</f>
        <v>$H$80</v>
      </c>
    </row>
    <row r="79" spans="2:9" x14ac:dyDescent="0.25">
      <c r="B79" t="str" cm="1">
        <f t="array" aca="1" ref="B79" ca="1">IF('Raw Data'!B81="",_xlfn.REGEXEXTRACT(CELL("address",'Raw Data'!B81),"\$([A-Z]+)\$[0-9]+"),"")</f>
        <v>$B$81</v>
      </c>
      <c r="C79" t="str" cm="1">
        <f t="array" aca="1" ref="C79" ca="1">IF('Raw Data'!C81="",_xlfn.REGEXEXTRACT(CELL("address",'Raw Data'!C81),"\$([A-Z]+)\$[0-9]+"),"")</f>
        <v>$C$81</v>
      </c>
      <c r="D79" t="str" cm="1">
        <f t="array" aca="1" ref="D79" ca="1">IF('Raw Data'!D81="",_xlfn.REGEXEXTRACT(CELL("address",'Raw Data'!D81),"\$([A-Z]+)\$[0-9]+"),"")</f>
        <v>$D$81</v>
      </c>
      <c r="E79" t="str" cm="1">
        <f t="array" aca="1" ref="E79" ca="1">IF('Raw Data'!E81="",_xlfn.REGEXEXTRACT(CELL("address",'Raw Data'!E81),"\$([A-Z]+)\$[0-9]+"),"")</f>
        <v>$E$81</v>
      </c>
      <c r="F79" t="str" cm="1">
        <f t="array" aca="1" ref="F79" ca="1">IF('Raw Data'!F81="",_xlfn.REGEXEXTRACT(CELL("address",'Raw Data'!F81),"\$([A-Z]+)\$[0-9]+"),"")</f>
        <v>$F$81</v>
      </c>
      <c r="G79" t="e" cm="1">
        <f t="array" aca="1" ref="G79" ca="1">IF('Raw Data'!#REF!="",_xlfn.REGEXEXTRACT(CELL("address",'Raw Data'!#REF!),"\$([A-Z]+)\$[0-9]+"),"")</f>
        <v>#REF!</v>
      </c>
      <c r="H79" t="str" cm="1">
        <f t="array" aca="1" ref="H79" ca="1">IF('Raw Data'!G81="",_xlfn.REGEXEXTRACT(CELL("address",'Raw Data'!G81),"\$([A-Z]+)\$[0-9]+"),"")</f>
        <v>$G$81</v>
      </c>
      <c r="I79" t="str" cm="1">
        <f t="array" aca="1" ref="I79" ca="1">IF('Raw Data'!H81="",_xlfn.REGEXEXTRACT(CELL("address",'Raw Data'!H81),"\$([A-Z]+)\$[0-9]+"),"")</f>
        <v>$H$81</v>
      </c>
    </row>
    <row r="80" spans="2:9" x14ac:dyDescent="0.25">
      <c r="B80" t="str" cm="1">
        <f t="array" aca="1" ref="B80" ca="1">IF('Raw Data'!B82="",_xlfn.REGEXEXTRACT(CELL("address",'Raw Data'!B82),"\$([A-Z]+)\$[0-9]+"),"")</f>
        <v>$B$82</v>
      </c>
      <c r="C80" t="str" cm="1">
        <f t="array" aca="1" ref="C80" ca="1">IF('Raw Data'!C82="",_xlfn.REGEXEXTRACT(CELL("address",'Raw Data'!C82),"\$([A-Z]+)\$[0-9]+"),"")</f>
        <v>$C$82</v>
      </c>
      <c r="D80" t="str" cm="1">
        <f t="array" aca="1" ref="D80" ca="1">IF('Raw Data'!D82="",_xlfn.REGEXEXTRACT(CELL("address",'Raw Data'!D82),"\$([A-Z]+)\$[0-9]+"),"")</f>
        <v>$D$82</v>
      </c>
      <c r="E80" t="str" cm="1">
        <f t="array" aca="1" ref="E80" ca="1">IF('Raw Data'!E82="",_xlfn.REGEXEXTRACT(CELL("address",'Raw Data'!E82),"\$([A-Z]+)\$[0-9]+"),"")</f>
        <v>$E$82</v>
      </c>
      <c r="F80" t="str" cm="1">
        <f t="array" aca="1" ref="F80" ca="1">IF('Raw Data'!F82="",_xlfn.REGEXEXTRACT(CELL("address",'Raw Data'!F82),"\$([A-Z]+)\$[0-9]+"),"")</f>
        <v>$F$82</v>
      </c>
      <c r="G80" t="e" cm="1">
        <f t="array" aca="1" ref="G80" ca="1">IF('Raw Data'!#REF!="",_xlfn.REGEXEXTRACT(CELL("address",'Raw Data'!#REF!),"\$([A-Z]+)\$[0-9]+"),"")</f>
        <v>#REF!</v>
      </c>
      <c r="H80" t="str" cm="1">
        <f t="array" aca="1" ref="H80" ca="1">IF('Raw Data'!G82="",_xlfn.REGEXEXTRACT(CELL("address",'Raw Data'!G82),"\$([A-Z]+)\$[0-9]+"),"")</f>
        <v>$G$82</v>
      </c>
      <c r="I80" t="str" cm="1">
        <f t="array" aca="1" ref="I80" ca="1">IF('Raw Data'!H82="",_xlfn.REGEXEXTRACT(CELL("address",'Raw Data'!H82),"\$([A-Z]+)\$[0-9]+"),"")</f>
        <v>$H$82</v>
      </c>
    </row>
    <row r="81" spans="2:9" x14ac:dyDescent="0.25">
      <c r="B81" t="str" cm="1">
        <f t="array" aca="1" ref="B81" ca="1">IF('Raw Data'!B83="",_xlfn.REGEXEXTRACT(CELL("address",'Raw Data'!B83),"\$([A-Z]+)\$[0-9]+"),"")</f>
        <v>$B$83</v>
      </c>
      <c r="C81" t="str" cm="1">
        <f t="array" aca="1" ref="C81" ca="1">IF('Raw Data'!C83="",_xlfn.REGEXEXTRACT(CELL("address",'Raw Data'!C83),"\$([A-Z]+)\$[0-9]+"),"")</f>
        <v>$C$83</v>
      </c>
      <c r="D81" t="str" cm="1">
        <f t="array" aca="1" ref="D81" ca="1">IF('Raw Data'!D83="",_xlfn.REGEXEXTRACT(CELL("address",'Raw Data'!D83),"\$([A-Z]+)\$[0-9]+"),"")</f>
        <v>$D$83</v>
      </c>
      <c r="E81" t="str" cm="1">
        <f t="array" aca="1" ref="E81" ca="1">IF('Raw Data'!E83="",_xlfn.REGEXEXTRACT(CELL("address",'Raw Data'!E83),"\$([A-Z]+)\$[0-9]+"),"")</f>
        <v>$E$83</v>
      </c>
      <c r="F81" t="str" cm="1">
        <f t="array" aca="1" ref="F81" ca="1">IF('Raw Data'!F83="",_xlfn.REGEXEXTRACT(CELL("address",'Raw Data'!F83),"\$([A-Z]+)\$[0-9]+"),"")</f>
        <v>$F$83</v>
      </c>
      <c r="G81" t="e" cm="1">
        <f t="array" aca="1" ref="G81" ca="1">IF('Raw Data'!#REF!="",_xlfn.REGEXEXTRACT(CELL("address",'Raw Data'!#REF!),"\$([A-Z]+)\$[0-9]+"),"")</f>
        <v>#REF!</v>
      </c>
      <c r="H81" t="str" cm="1">
        <f t="array" aca="1" ref="H81" ca="1">IF('Raw Data'!G83="",_xlfn.REGEXEXTRACT(CELL("address",'Raw Data'!G83),"\$([A-Z]+)\$[0-9]+"),"")</f>
        <v>$G$83</v>
      </c>
      <c r="I81" t="str" cm="1">
        <f t="array" aca="1" ref="I81" ca="1">IF('Raw Data'!H83="",_xlfn.REGEXEXTRACT(CELL("address",'Raw Data'!H83),"\$([A-Z]+)\$[0-9]+"),"")</f>
        <v>$H$83</v>
      </c>
    </row>
    <row r="82" spans="2:9" x14ac:dyDescent="0.25">
      <c r="B82" t="str" cm="1">
        <f t="array" aca="1" ref="B82" ca="1">IF('Raw Data'!B84="",_xlfn.REGEXEXTRACT(CELL("address",'Raw Data'!B84),"\$([A-Z]+)\$[0-9]+"),"")</f>
        <v>$B$84</v>
      </c>
      <c r="C82" t="str" cm="1">
        <f t="array" aca="1" ref="C82" ca="1">IF('Raw Data'!C84="",_xlfn.REGEXEXTRACT(CELL("address",'Raw Data'!C84),"\$([A-Z]+)\$[0-9]+"),"")</f>
        <v>$C$84</v>
      </c>
      <c r="D82" t="str" cm="1">
        <f t="array" aca="1" ref="D82" ca="1">IF('Raw Data'!D84="",_xlfn.REGEXEXTRACT(CELL("address",'Raw Data'!D84),"\$([A-Z]+)\$[0-9]+"),"")</f>
        <v>$D$84</v>
      </c>
      <c r="E82" t="str" cm="1">
        <f t="array" aca="1" ref="E82" ca="1">IF('Raw Data'!E84="",_xlfn.REGEXEXTRACT(CELL("address",'Raw Data'!E84),"\$([A-Z]+)\$[0-9]+"),"")</f>
        <v>$E$84</v>
      </c>
      <c r="F82" t="str" cm="1">
        <f t="array" aca="1" ref="F82" ca="1">IF('Raw Data'!F84="",_xlfn.REGEXEXTRACT(CELL("address",'Raw Data'!F84),"\$([A-Z]+)\$[0-9]+"),"")</f>
        <v>$F$84</v>
      </c>
      <c r="G82" t="e" cm="1">
        <f t="array" aca="1" ref="G82" ca="1">IF('Raw Data'!#REF!="",_xlfn.REGEXEXTRACT(CELL("address",'Raw Data'!#REF!),"\$([A-Z]+)\$[0-9]+"),"")</f>
        <v>#REF!</v>
      </c>
      <c r="H82" t="str" cm="1">
        <f t="array" aca="1" ref="H82" ca="1">IF('Raw Data'!G84="",_xlfn.REGEXEXTRACT(CELL("address",'Raw Data'!G84),"\$([A-Z]+)\$[0-9]+"),"")</f>
        <v>$G$84</v>
      </c>
      <c r="I82" t="str" cm="1">
        <f t="array" aca="1" ref="I82" ca="1">IF('Raw Data'!H84="",_xlfn.REGEXEXTRACT(CELL("address",'Raw Data'!H84),"\$([A-Z]+)\$[0-9]+"),"")</f>
        <v>$H$84</v>
      </c>
    </row>
    <row r="83" spans="2:9" x14ac:dyDescent="0.25">
      <c r="B83" t="str" cm="1">
        <f t="array" aca="1" ref="B83" ca="1">IF('Raw Data'!B85="",_xlfn.REGEXEXTRACT(CELL("address",'Raw Data'!B85),"\$([A-Z]+)\$[0-9]+"),"")</f>
        <v>$B$85</v>
      </c>
      <c r="C83" t="str" cm="1">
        <f t="array" aca="1" ref="C83" ca="1">IF('Raw Data'!C85="",_xlfn.REGEXEXTRACT(CELL("address",'Raw Data'!C85),"\$([A-Z]+)\$[0-9]+"),"")</f>
        <v>$C$85</v>
      </c>
      <c r="D83" t="str" cm="1">
        <f t="array" aca="1" ref="D83" ca="1">IF('Raw Data'!D85="",_xlfn.REGEXEXTRACT(CELL("address",'Raw Data'!D85),"\$([A-Z]+)\$[0-9]+"),"")</f>
        <v>$D$85</v>
      </c>
      <c r="E83" t="str" cm="1">
        <f t="array" aca="1" ref="E83" ca="1">IF('Raw Data'!E85="",_xlfn.REGEXEXTRACT(CELL("address",'Raw Data'!E85),"\$([A-Z]+)\$[0-9]+"),"")</f>
        <v>$E$85</v>
      </c>
      <c r="F83" t="str" cm="1">
        <f t="array" aca="1" ref="F83" ca="1">IF('Raw Data'!F85="",_xlfn.REGEXEXTRACT(CELL("address",'Raw Data'!F85),"\$([A-Z]+)\$[0-9]+"),"")</f>
        <v>$F$85</v>
      </c>
      <c r="G83" t="e" cm="1">
        <f t="array" aca="1" ref="G83" ca="1">IF('Raw Data'!#REF!="",_xlfn.REGEXEXTRACT(CELL("address",'Raw Data'!#REF!),"\$([A-Z]+)\$[0-9]+"),"")</f>
        <v>#REF!</v>
      </c>
      <c r="H83" t="str" cm="1">
        <f t="array" aca="1" ref="H83" ca="1">IF('Raw Data'!G85="",_xlfn.REGEXEXTRACT(CELL("address",'Raw Data'!G85),"\$([A-Z]+)\$[0-9]+"),"")</f>
        <v>$G$85</v>
      </c>
      <c r="I83" t="str" cm="1">
        <f t="array" aca="1" ref="I83" ca="1">IF('Raw Data'!H85="",_xlfn.REGEXEXTRACT(CELL("address",'Raw Data'!H85),"\$([A-Z]+)\$[0-9]+"),"")</f>
        <v>$H$85</v>
      </c>
    </row>
    <row r="84" spans="2:9" x14ac:dyDescent="0.25">
      <c r="B84" t="str" cm="1">
        <f t="array" aca="1" ref="B84" ca="1">IF('Raw Data'!B86="",_xlfn.REGEXEXTRACT(CELL("address",'Raw Data'!B86),"\$([A-Z]+)\$[0-9]+"),"")</f>
        <v>$B$86</v>
      </c>
      <c r="C84" t="str" cm="1">
        <f t="array" aca="1" ref="C84" ca="1">IF('Raw Data'!C86="",_xlfn.REGEXEXTRACT(CELL("address",'Raw Data'!C86),"\$([A-Z]+)\$[0-9]+"),"")</f>
        <v>$C$86</v>
      </c>
      <c r="D84" t="str" cm="1">
        <f t="array" aca="1" ref="D84" ca="1">IF('Raw Data'!D86="",_xlfn.REGEXEXTRACT(CELL("address",'Raw Data'!D86),"\$([A-Z]+)\$[0-9]+"),"")</f>
        <v>$D$86</v>
      </c>
      <c r="E84" t="str" cm="1">
        <f t="array" aca="1" ref="E84" ca="1">IF('Raw Data'!E86="",_xlfn.REGEXEXTRACT(CELL("address",'Raw Data'!E86),"\$([A-Z]+)\$[0-9]+"),"")</f>
        <v>$E$86</v>
      </c>
      <c r="F84" t="str" cm="1">
        <f t="array" aca="1" ref="F84" ca="1">IF('Raw Data'!F86="",_xlfn.REGEXEXTRACT(CELL("address",'Raw Data'!F86),"\$([A-Z]+)\$[0-9]+"),"")</f>
        <v>$F$86</v>
      </c>
      <c r="G84" t="e" cm="1">
        <f t="array" aca="1" ref="G84" ca="1">IF('Raw Data'!#REF!="",_xlfn.REGEXEXTRACT(CELL("address",'Raw Data'!#REF!),"\$([A-Z]+)\$[0-9]+"),"")</f>
        <v>#REF!</v>
      </c>
      <c r="H84" t="str" cm="1">
        <f t="array" aca="1" ref="H84" ca="1">IF('Raw Data'!G86="",_xlfn.REGEXEXTRACT(CELL("address",'Raw Data'!G86),"\$([A-Z]+)\$[0-9]+"),"")</f>
        <v>$G$86</v>
      </c>
      <c r="I84" t="str" cm="1">
        <f t="array" aca="1" ref="I84" ca="1">IF('Raw Data'!H86="",_xlfn.REGEXEXTRACT(CELL("address",'Raw Data'!H86),"\$([A-Z]+)\$[0-9]+"),"")</f>
        <v>$H$86</v>
      </c>
    </row>
    <row r="85" spans="2:9" x14ac:dyDescent="0.25">
      <c r="B85" t="str" cm="1">
        <f t="array" aca="1" ref="B85" ca="1">IF('Raw Data'!B87="",_xlfn.REGEXEXTRACT(CELL("address",'Raw Data'!B87),"\$([A-Z]+)\$[0-9]+"),"")</f>
        <v>$B$87</v>
      </c>
      <c r="C85" t="str" cm="1">
        <f t="array" aca="1" ref="C85" ca="1">IF('Raw Data'!C87="",_xlfn.REGEXEXTRACT(CELL("address",'Raw Data'!C87),"\$([A-Z]+)\$[0-9]+"),"")</f>
        <v>$C$87</v>
      </c>
      <c r="D85" t="str" cm="1">
        <f t="array" aca="1" ref="D85" ca="1">IF('Raw Data'!D87="",_xlfn.REGEXEXTRACT(CELL("address",'Raw Data'!D87),"\$([A-Z]+)\$[0-9]+"),"")</f>
        <v>$D$87</v>
      </c>
      <c r="E85" t="str" cm="1">
        <f t="array" aca="1" ref="E85" ca="1">IF('Raw Data'!E87="",_xlfn.REGEXEXTRACT(CELL("address",'Raw Data'!E87),"\$([A-Z]+)\$[0-9]+"),"")</f>
        <v>$E$87</v>
      </c>
      <c r="F85" t="str" cm="1">
        <f t="array" aca="1" ref="F85" ca="1">IF('Raw Data'!F87="",_xlfn.REGEXEXTRACT(CELL("address",'Raw Data'!F87),"\$([A-Z]+)\$[0-9]+"),"")</f>
        <v>$F$87</v>
      </c>
      <c r="G85" t="e" cm="1">
        <f t="array" aca="1" ref="G85" ca="1">IF('Raw Data'!#REF!="",_xlfn.REGEXEXTRACT(CELL("address",'Raw Data'!#REF!),"\$([A-Z]+)\$[0-9]+"),"")</f>
        <v>#REF!</v>
      </c>
      <c r="H85" t="str" cm="1">
        <f t="array" aca="1" ref="H85" ca="1">IF('Raw Data'!G87="",_xlfn.REGEXEXTRACT(CELL("address",'Raw Data'!G87),"\$([A-Z]+)\$[0-9]+"),"")</f>
        <v>$G$87</v>
      </c>
      <c r="I85" t="str" cm="1">
        <f t="array" aca="1" ref="I85" ca="1">IF('Raw Data'!H87="",_xlfn.REGEXEXTRACT(CELL("address",'Raw Data'!H87),"\$([A-Z]+)\$[0-9]+"),"")</f>
        <v>$H$87</v>
      </c>
    </row>
    <row r="86" spans="2:9" x14ac:dyDescent="0.25">
      <c r="B86" t="str" cm="1">
        <f t="array" aca="1" ref="B86" ca="1">IF('Raw Data'!B88="",_xlfn.REGEXEXTRACT(CELL("address",'Raw Data'!B88),"\$([A-Z]+)\$[0-9]+"),"")</f>
        <v>$B$88</v>
      </c>
      <c r="C86" t="str" cm="1">
        <f t="array" aca="1" ref="C86" ca="1">IF('Raw Data'!C88="",_xlfn.REGEXEXTRACT(CELL("address",'Raw Data'!C88),"\$([A-Z]+)\$[0-9]+"),"")</f>
        <v>$C$88</v>
      </c>
      <c r="D86" t="str" cm="1">
        <f t="array" aca="1" ref="D86" ca="1">IF('Raw Data'!D88="",_xlfn.REGEXEXTRACT(CELL("address",'Raw Data'!D88),"\$([A-Z]+)\$[0-9]+"),"")</f>
        <v>$D$88</v>
      </c>
      <c r="E86" t="str" cm="1">
        <f t="array" aca="1" ref="E86" ca="1">IF('Raw Data'!E88="",_xlfn.REGEXEXTRACT(CELL("address",'Raw Data'!E88),"\$([A-Z]+)\$[0-9]+"),"")</f>
        <v>$E$88</v>
      </c>
      <c r="F86" t="str" cm="1">
        <f t="array" aca="1" ref="F86" ca="1">IF('Raw Data'!F88="",_xlfn.REGEXEXTRACT(CELL("address",'Raw Data'!F88),"\$([A-Z]+)\$[0-9]+"),"")</f>
        <v>$F$88</v>
      </c>
      <c r="G86" t="e" cm="1">
        <f t="array" aca="1" ref="G86" ca="1">IF('Raw Data'!#REF!="",_xlfn.REGEXEXTRACT(CELL("address",'Raw Data'!#REF!),"\$([A-Z]+)\$[0-9]+"),"")</f>
        <v>#REF!</v>
      </c>
      <c r="H86" t="str" cm="1">
        <f t="array" aca="1" ref="H86" ca="1">IF('Raw Data'!G88="",_xlfn.REGEXEXTRACT(CELL("address",'Raw Data'!G88),"\$([A-Z]+)\$[0-9]+"),"")</f>
        <v>$G$88</v>
      </c>
      <c r="I86" t="str" cm="1">
        <f t="array" aca="1" ref="I86" ca="1">IF('Raw Data'!H88="",_xlfn.REGEXEXTRACT(CELL("address",'Raw Data'!H88),"\$([A-Z]+)\$[0-9]+"),"")</f>
        <v>$H$88</v>
      </c>
    </row>
    <row r="87" spans="2:9" x14ac:dyDescent="0.25">
      <c r="B87" t="str" cm="1">
        <f t="array" aca="1" ref="B87" ca="1">IF('Raw Data'!B89="",_xlfn.REGEXEXTRACT(CELL("address",'Raw Data'!B89),"\$([A-Z]+)\$[0-9]+"),"")</f>
        <v>$B$89</v>
      </c>
      <c r="C87" t="str" cm="1">
        <f t="array" aca="1" ref="C87" ca="1">IF('Raw Data'!C89="",_xlfn.REGEXEXTRACT(CELL("address",'Raw Data'!C89),"\$([A-Z]+)\$[0-9]+"),"")</f>
        <v>$C$89</v>
      </c>
      <c r="D87" t="str" cm="1">
        <f t="array" aca="1" ref="D87" ca="1">IF('Raw Data'!D89="",_xlfn.REGEXEXTRACT(CELL("address",'Raw Data'!D89),"\$([A-Z]+)\$[0-9]+"),"")</f>
        <v>$D$89</v>
      </c>
      <c r="E87" t="str" cm="1">
        <f t="array" aca="1" ref="E87" ca="1">IF('Raw Data'!E89="",_xlfn.REGEXEXTRACT(CELL("address",'Raw Data'!E89),"\$([A-Z]+)\$[0-9]+"),"")</f>
        <v>$E$89</v>
      </c>
      <c r="F87" t="str" cm="1">
        <f t="array" aca="1" ref="F87" ca="1">IF('Raw Data'!F89="",_xlfn.REGEXEXTRACT(CELL("address",'Raw Data'!F89),"\$([A-Z]+)\$[0-9]+"),"")</f>
        <v>$F$89</v>
      </c>
      <c r="G87" t="e" cm="1">
        <f t="array" aca="1" ref="G87" ca="1">IF('Raw Data'!#REF!="",_xlfn.REGEXEXTRACT(CELL("address",'Raw Data'!#REF!),"\$([A-Z]+)\$[0-9]+"),"")</f>
        <v>#REF!</v>
      </c>
      <c r="H87" t="str" cm="1">
        <f t="array" aca="1" ref="H87" ca="1">IF('Raw Data'!G89="",_xlfn.REGEXEXTRACT(CELL("address",'Raw Data'!G89),"\$([A-Z]+)\$[0-9]+"),"")</f>
        <v>$G$89</v>
      </c>
      <c r="I87" t="str" cm="1">
        <f t="array" aca="1" ref="I87" ca="1">IF('Raw Data'!H89="",_xlfn.REGEXEXTRACT(CELL("address",'Raw Data'!H89),"\$([A-Z]+)\$[0-9]+"),"")</f>
        <v>$H$89</v>
      </c>
    </row>
    <row r="88" spans="2:9" x14ac:dyDescent="0.25">
      <c r="B88" t="str" cm="1">
        <f t="array" aca="1" ref="B88" ca="1">IF('Raw Data'!B90="",_xlfn.REGEXEXTRACT(CELL("address",'Raw Data'!B90),"\$([A-Z]+)\$[0-9]+"),"")</f>
        <v>$B$90</v>
      </c>
      <c r="C88" t="str" cm="1">
        <f t="array" aca="1" ref="C88" ca="1">IF('Raw Data'!C90="",_xlfn.REGEXEXTRACT(CELL("address",'Raw Data'!C90),"\$([A-Z]+)\$[0-9]+"),"")</f>
        <v>$C$90</v>
      </c>
      <c r="D88" t="str" cm="1">
        <f t="array" aca="1" ref="D88" ca="1">IF('Raw Data'!D90="",_xlfn.REGEXEXTRACT(CELL("address",'Raw Data'!D90),"\$([A-Z]+)\$[0-9]+"),"")</f>
        <v>$D$90</v>
      </c>
      <c r="E88" t="str" cm="1">
        <f t="array" aca="1" ref="E88" ca="1">IF('Raw Data'!E90="",_xlfn.REGEXEXTRACT(CELL("address",'Raw Data'!E90),"\$([A-Z]+)\$[0-9]+"),"")</f>
        <v>$E$90</v>
      </c>
      <c r="F88" t="str" cm="1">
        <f t="array" aca="1" ref="F88" ca="1">IF('Raw Data'!F90="",_xlfn.REGEXEXTRACT(CELL("address",'Raw Data'!F90),"\$([A-Z]+)\$[0-9]+"),"")</f>
        <v>$F$90</v>
      </c>
      <c r="G88" t="e" cm="1">
        <f t="array" aca="1" ref="G88" ca="1">IF('Raw Data'!#REF!="",_xlfn.REGEXEXTRACT(CELL("address",'Raw Data'!#REF!),"\$([A-Z]+)\$[0-9]+"),"")</f>
        <v>#REF!</v>
      </c>
      <c r="H88" t="str" cm="1">
        <f t="array" aca="1" ref="H88" ca="1">IF('Raw Data'!G90="",_xlfn.REGEXEXTRACT(CELL("address",'Raw Data'!G90),"\$([A-Z]+)\$[0-9]+"),"")</f>
        <v>$G$90</v>
      </c>
      <c r="I88" t="str" cm="1">
        <f t="array" aca="1" ref="I88" ca="1">IF('Raw Data'!H90="",_xlfn.REGEXEXTRACT(CELL("address",'Raw Data'!H90),"\$([A-Z]+)\$[0-9]+"),"")</f>
        <v>$H$90</v>
      </c>
    </row>
    <row r="89" spans="2:9" x14ac:dyDescent="0.25">
      <c r="B89" t="str" cm="1">
        <f t="array" aca="1" ref="B89" ca="1">IF('Raw Data'!B91="",_xlfn.REGEXEXTRACT(CELL("address",'Raw Data'!B91),"\$([A-Z]+)\$[0-9]+"),"")</f>
        <v>$B$91</v>
      </c>
      <c r="C89" t="str" cm="1">
        <f t="array" aca="1" ref="C89" ca="1">IF('Raw Data'!C91="",_xlfn.REGEXEXTRACT(CELL("address",'Raw Data'!C91),"\$([A-Z]+)\$[0-9]+"),"")</f>
        <v>$C$91</v>
      </c>
      <c r="D89" t="str" cm="1">
        <f t="array" aca="1" ref="D89" ca="1">IF('Raw Data'!D91="",_xlfn.REGEXEXTRACT(CELL("address",'Raw Data'!D91),"\$([A-Z]+)\$[0-9]+"),"")</f>
        <v>$D$91</v>
      </c>
      <c r="E89" t="str" cm="1">
        <f t="array" aca="1" ref="E89" ca="1">IF('Raw Data'!E91="",_xlfn.REGEXEXTRACT(CELL("address",'Raw Data'!E91),"\$([A-Z]+)\$[0-9]+"),"")</f>
        <v>$E$91</v>
      </c>
      <c r="F89" t="str" cm="1">
        <f t="array" aca="1" ref="F89" ca="1">IF('Raw Data'!F91="",_xlfn.REGEXEXTRACT(CELL("address",'Raw Data'!F91),"\$([A-Z]+)\$[0-9]+"),"")</f>
        <v>$F$91</v>
      </c>
      <c r="G89" t="e" cm="1">
        <f t="array" aca="1" ref="G89" ca="1">IF('Raw Data'!#REF!="",_xlfn.REGEXEXTRACT(CELL("address",'Raw Data'!#REF!),"\$([A-Z]+)\$[0-9]+"),"")</f>
        <v>#REF!</v>
      </c>
      <c r="H89" t="str" cm="1">
        <f t="array" aca="1" ref="H89" ca="1">IF('Raw Data'!G91="",_xlfn.REGEXEXTRACT(CELL("address",'Raw Data'!G91),"\$([A-Z]+)\$[0-9]+"),"")</f>
        <v>$G$91</v>
      </c>
      <c r="I89" t="str" cm="1">
        <f t="array" aca="1" ref="I89" ca="1">IF('Raw Data'!H91="",_xlfn.REGEXEXTRACT(CELL("address",'Raw Data'!H91),"\$([A-Z]+)\$[0-9]+"),"")</f>
        <v>$H$91</v>
      </c>
    </row>
    <row r="90" spans="2:9" x14ac:dyDescent="0.25">
      <c r="B90" t="str" cm="1">
        <f t="array" aca="1" ref="B90" ca="1">IF('Raw Data'!B92="",_xlfn.REGEXEXTRACT(CELL("address",'Raw Data'!B92),"\$([A-Z]+)\$[0-9]+"),"")</f>
        <v>$B$92</v>
      </c>
      <c r="C90" t="str" cm="1">
        <f t="array" aca="1" ref="C90" ca="1">IF('Raw Data'!C92="",_xlfn.REGEXEXTRACT(CELL("address",'Raw Data'!C92),"\$([A-Z]+)\$[0-9]+"),"")</f>
        <v>$C$92</v>
      </c>
      <c r="D90" t="str" cm="1">
        <f t="array" aca="1" ref="D90" ca="1">IF('Raw Data'!D92="",_xlfn.REGEXEXTRACT(CELL("address",'Raw Data'!D92),"\$([A-Z]+)\$[0-9]+"),"")</f>
        <v>$D$92</v>
      </c>
      <c r="E90" t="str" cm="1">
        <f t="array" aca="1" ref="E90" ca="1">IF('Raw Data'!E92="",_xlfn.REGEXEXTRACT(CELL("address",'Raw Data'!E92),"\$([A-Z]+)\$[0-9]+"),"")</f>
        <v>$E$92</v>
      </c>
      <c r="F90" t="str" cm="1">
        <f t="array" aca="1" ref="F90" ca="1">IF('Raw Data'!F92="",_xlfn.REGEXEXTRACT(CELL("address",'Raw Data'!F92),"\$([A-Z]+)\$[0-9]+"),"")</f>
        <v>$F$92</v>
      </c>
      <c r="G90" t="e" cm="1">
        <f t="array" aca="1" ref="G90" ca="1">IF('Raw Data'!#REF!="",_xlfn.REGEXEXTRACT(CELL("address",'Raw Data'!#REF!),"\$([A-Z]+)\$[0-9]+"),"")</f>
        <v>#REF!</v>
      </c>
      <c r="H90" t="str" cm="1">
        <f t="array" aca="1" ref="H90" ca="1">IF('Raw Data'!G92="",_xlfn.REGEXEXTRACT(CELL("address",'Raw Data'!G92),"\$([A-Z]+)\$[0-9]+"),"")</f>
        <v>$G$92</v>
      </c>
      <c r="I90" t="str" cm="1">
        <f t="array" aca="1" ref="I90" ca="1">IF('Raw Data'!H92="",_xlfn.REGEXEXTRACT(CELL("address",'Raw Data'!H92),"\$([A-Z]+)\$[0-9]+"),"")</f>
        <v>$H$92</v>
      </c>
    </row>
    <row r="91" spans="2:9" x14ac:dyDescent="0.25">
      <c r="B91" t="str" cm="1">
        <f t="array" aca="1" ref="B91" ca="1">IF('Raw Data'!B93="",_xlfn.REGEXEXTRACT(CELL("address",'Raw Data'!B93),"\$([A-Z]+)\$[0-9]+"),"")</f>
        <v>$B$93</v>
      </c>
      <c r="C91" t="str" cm="1">
        <f t="array" aca="1" ref="C91" ca="1">IF('Raw Data'!C93="",_xlfn.REGEXEXTRACT(CELL("address",'Raw Data'!C93),"\$([A-Z]+)\$[0-9]+"),"")</f>
        <v>$C$93</v>
      </c>
      <c r="D91" t="str" cm="1">
        <f t="array" aca="1" ref="D91" ca="1">IF('Raw Data'!D93="",_xlfn.REGEXEXTRACT(CELL("address",'Raw Data'!D93),"\$([A-Z]+)\$[0-9]+"),"")</f>
        <v>$D$93</v>
      </c>
      <c r="E91" t="str" cm="1">
        <f t="array" aca="1" ref="E91" ca="1">IF('Raw Data'!E93="",_xlfn.REGEXEXTRACT(CELL("address",'Raw Data'!E93),"\$([A-Z]+)\$[0-9]+"),"")</f>
        <v>$E$93</v>
      </c>
      <c r="F91" t="str" cm="1">
        <f t="array" aca="1" ref="F91" ca="1">IF('Raw Data'!F93="",_xlfn.REGEXEXTRACT(CELL("address",'Raw Data'!F93),"\$([A-Z]+)\$[0-9]+"),"")</f>
        <v>$F$93</v>
      </c>
      <c r="G91" t="e" cm="1">
        <f t="array" aca="1" ref="G91" ca="1">IF('Raw Data'!#REF!="",_xlfn.REGEXEXTRACT(CELL("address",'Raw Data'!#REF!),"\$([A-Z]+)\$[0-9]+"),"")</f>
        <v>#REF!</v>
      </c>
      <c r="H91" t="str" cm="1">
        <f t="array" aca="1" ref="H91" ca="1">IF('Raw Data'!G93="",_xlfn.REGEXEXTRACT(CELL("address",'Raw Data'!G93),"\$([A-Z]+)\$[0-9]+"),"")</f>
        <v>$G$93</v>
      </c>
      <c r="I91" t="str" cm="1">
        <f t="array" aca="1" ref="I91" ca="1">IF('Raw Data'!H93="",_xlfn.REGEXEXTRACT(CELL("address",'Raw Data'!H93),"\$([A-Z]+)\$[0-9]+"),"")</f>
        <v>$H$93</v>
      </c>
    </row>
    <row r="92" spans="2:9" x14ac:dyDescent="0.25">
      <c r="B92" t="str" cm="1">
        <f t="array" aca="1" ref="B92" ca="1">IF('Raw Data'!B94="",_xlfn.REGEXEXTRACT(CELL("address",'Raw Data'!B94),"\$([A-Z]+)\$[0-9]+"),"")</f>
        <v>$B$94</v>
      </c>
      <c r="C92" t="str" cm="1">
        <f t="array" aca="1" ref="C92" ca="1">IF('Raw Data'!C94="",_xlfn.REGEXEXTRACT(CELL("address",'Raw Data'!C94),"\$([A-Z]+)\$[0-9]+"),"")</f>
        <v>$C$94</v>
      </c>
      <c r="D92" t="str" cm="1">
        <f t="array" aca="1" ref="D92" ca="1">IF('Raw Data'!D94="",_xlfn.REGEXEXTRACT(CELL("address",'Raw Data'!D94),"\$([A-Z]+)\$[0-9]+"),"")</f>
        <v>$D$94</v>
      </c>
      <c r="E92" t="str" cm="1">
        <f t="array" aca="1" ref="E92" ca="1">IF('Raw Data'!E94="",_xlfn.REGEXEXTRACT(CELL("address",'Raw Data'!E94),"\$([A-Z]+)\$[0-9]+"),"")</f>
        <v>$E$94</v>
      </c>
      <c r="F92" t="str" cm="1">
        <f t="array" aca="1" ref="F92" ca="1">IF('Raw Data'!F94="",_xlfn.REGEXEXTRACT(CELL("address",'Raw Data'!F94),"\$([A-Z]+)\$[0-9]+"),"")</f>
        <v>$F$94</v>
      </c>
      <c r="G92" t="e" cm="1">
        <f t="array" aca="1" ref="G92" ca="1">IF('Raw Data'!#REF!="",_xlfn.REGEXEXTRACT(CELL("address",'Raw Data'!#REF!),"\$([A-Z]+)\$[0-9]+"),"")</f>
        <v>#REF!</v>
      </c>
      <c r="H92" t="str" cm="1">
        <f t="array" aca="1" ref="H92" ca="1">IF('Raw Data'!G94="",_xlfn.REGEXEXTRACT(CELL("address",'Raw Data'!G94),"\$([A-Z]+)\$[0-9]+"),"")</f>
        <v>$G$94</v>
      </c>
      <c r="I92" t="str" cm="1">
        <f t="array" aca="1" ref="I92" ca="1">IF('Raw Data'!H94="",_xlfn.REGEXEXTRACT(CELL("address",'Raw Data'!H94),"\$([A-Z]+)\$[0-9]+"),"")</f>
        <v>$H$94</v>
      </c>
    </row>
    <row r="93" spans="2:9" x14ac:dyDescent="0.25">
      <c r="B93" t="str" cm="1">
        <f t="array" aca="1" ref="B93" ca="1">IF('Raw Data'!B95="",_xlfn.REGEXEXTRACT(CELL("address",'Raw Data'!B95),"\$([A-Z]+)\$[0-9]+"),"")</f>
        <v>$B$95</v>
      </c>
      <c r="C93" t="str" cm="1">
        <f t="array" aca="1" ref="C93" ca="1">IF('Raw Data'!C95="",_xlfn.REGEXEXTRACT(CELL("address",'Raw Data'!C95),"\$([A-Z]+)\$[0-9]+"),"")</f>
        <v>$C$95</v>
      </c>
      <c r="D93" t="str" cm="1">
        <f t="array" aca="1" ref="D93" ca="1">IF('Raw Data'!D95="",_xlfn.REGEXEXTRACT(CELL("address",'Raw Data'!D95),"\$([A-Z]+)\$[0-9]+"),"")</f>
        <v>$D$95</v>
      </c>
      <c r="E93" t="str" cm="1">
        <f t="array" aca="1" ref="E93" ca="1">IF('Raw Data'!E95="",_xlfn.REGEXEXTRACT(CELL("address",'Raw Data'!E95),"\$([A-Z]+)\$[0-9]+"),"")</f>
        <v>$E$95</v>
      </c>
      <c r="F93" t="str" cm="1">
        <f t="array" aca="1" ref="F93" ca="1">IF('Raw Data'!F95="",_xlfn.REGEXEXTRACT(CELL("address",'Raw Data'!F95),"\$([A-Z]+)\$[0-9]+"),"")</f>
        <v>$F$95</v>
      </c>
      <c r="G93" t="e" cm="1">
        <f t="array" aca="1" ref="G93" ca="1">IF('Raw Data'!#REF!="",_xlfn.REGEXEXTRACT(CELL("address",'Raw Data'!#REF!),"\$([A-Z]+)\$[0-9]+"),"")</f>
        <v>#REF!</v>
      </c>
      <c r="H93" t="str" cm="1">
        <f t="array" aca="1" ref="H93" ca="1">IF('Raw Data'!G95="",_xlfn.REGEXEXTRACT(CELL("address",'Raw Data'!G95),"\$([A-Z]+)\$[0-9]+"),"")</f>
        <v>$G$95</v>
      </c>
      <c r="I93" t="str" cm="1">
        <f t="array" aca="1" ref="I93" ca="1">IF('Raw Data'!H95="",_xlfn.REGEXEXTRACT(CELL("address",'Raw Data'!H95),"\$([A-Z]+)\$[0-9]+"),"")</f>
        <v>$H$95</v>
      </c>
    </row>
    <row r="94" spans="2:9" x14ac:dyDescent="0.25">
      <c r="B94" t="str" cm="1">
        <f t="array" aca="1" ref="B94" ca="1">IF('Raw Data'!B96="",_xlfn.REGEXEXTRACT(CELL("address",'Raw Data'!B96),"\$([A-Z]+)\$[0-9]+"),"")</f>
        <v>$B$96</v>
      </c>
      <c r="C94" t="str" cm="1">
        <f t="array" aca="1" ref="C94" ca="1">IF('Raw Data'!C96="",_xlfn.REGEXEXTRACT(CELL("address",'Raw Data'!C96),"\$([A-Z]+)\$[0-9]+"),"")</f>
        <v>$C$96</v>
      </c>
      <c r="D94" t="str" cm="1">
        <f t="array" aca="1" ref="D94" ca="1">IF('Raw Data'!D96="",_xlfn.REGEXEXTRACT(CELL("address",'Raw Data'!D96),"\$([A-Z]+)\$[0-9]+"),"")</f>
        <v>$D$96</v>
      </c>
      <c r="E94" t="str" cm="1">
        <f t="array" aca="1" ref="E94" ca="1">IF('Raw Data'!E96="",_xlfn.REGEXEXTRACT(CELL("address",'Raw Data'!E96),"\$([A-Z]+)\$[0-9]+"),"")</f>
        <v>$E$96</v>
      </c>
      <c r="F94" t="str" cm="1">
        <f t="array" aca="1" ref="F94" ca="1">IF('Raw Data'!F96="",_xlfn.REGEXEXTRACT(CELL("address",'Raw Data'!F96),"\$([A-Z]+)\$[0-9]+"),"")</f>
        <v>$F$96</v>
      </c>
      <c r="G94" t="e" cm="1">
        <f t="array" aca="1" ref="G94" ca="1">IF('Raw Data'!#REF!="",_xlfn.REGEXEXTRACT(CELL("address",'Raw Data'!#REF!),"\$([A-Z]+)\$[0-9]+"),"")</f>
        <v>#REF!</v>
      </c>
      <c r="H94" t="str" cm="1">
        <f t="array" aca="1" ref="H94" ca="1">IF('Raw Data'!G96="",_xlfn.REGEXEXTRACT(CELL("address",'Raw Data'!G96),"\$([A-Z]+)\$[0-9]+"),"")</f>
        <v>$G$96</v>
      </c>
      <c r="I94" t="str" cm="1">
        <f t="array" aca="1" ref="I94" ca="1">IF('Raw Data'!H96="",_xlfn.REGEXEXTRACT(CELL("address",'Raw Data'!H96),"\$([A-Z]+)\$[0-9]+"),"")</f>
        <v>$H$96</v>
      </c>
    </row>
    <row r="95" spans="2:9" x14ac:dyDescent="0.25">
      <c r="B95" t="str" cm="1">
        <f t="array" aca="1" ref="B95" ca="1">IF('Raw Data'!B97="",_xlfn.REGEXEXTRACT(CELL("address",'Raw Data'!B97),"\$([A-Z]+)\$[0-9]+"),"")</f>
        <v>$B$97</v>
      </c>
      <c r="C95" t="str" cm="1">
        <f t="array" aca="1" ref="C95" ca="1">IF('Raw Data'!C97="",_xlfn.REGEXEXTRACT(CELL("address",'Raw Data'!C97),"\$([A-Z]+)\$[0-9]+"),"")</f>
        <v>$C$97</v>
      </c>
      <c r="D95" t="str" cm="1">
        <f t="array" aca="1" ref="D95" ca="1">IF('Raw Data'!D97="",_xlfn.REGEXEXTRACT(CELL("address",'Raw Data'!D97),"\$([A-Z]+)\$[0-9]+"),"")</f>
        <v>$D$97</v>
      </c>
      <c r="E95" t="str" cm="1">
        <f t="array" aca="1" ref="E95" ca="1">IF('Raw Data'!E97="",_xlfn.REGEXEXTRACT(CELL("address",'Raw Data'!E97),"\$([A-Z]+)\$[0-9]+"),"")</f>
        <v>$E$97</v>
      </c>
      <c r="F95" t="str" cm="1">
        <f t="array" aca="1" ref="F95" ca="1">IF('Raw Data'!F97="",_xlfn.REGEXEXTRACT(CELL("address",'Raw Data'!F97),"\$([A-Z]+)\$[0-9]+"),"")</f>
        <v>$F$97</v>
      </c>
      <c r="G95" t="e" cm="1">
        <f t="array" aca="1" ref="G95" ca="1">IF('Raw Data'!#REF!="",_xlfn.REGEXEXTRACT(CELL("address",'Raw Data'!#REF!),"\$([A-Z]+)\$[0-9]+"),"")</f>
        <v>#REF!</v>
      </c>
      <c r="H95" t="str" cm="1">
        <f t="array" aca="1" ref="H95" ca="1">IF('Raw Data'!G97="",_xlfn.REGEXEXTRACT(CELL("address",'Raw Data'!G97),"\$([A-Z]+)\$[0-9]+"),"")</f>
        <v>$G$97</v>
      </c>
      <c r="I95" t="str" cm="1">
        <f t="array" aca="1" ref="I95" ca="1">IF('Raw Data'!H97="",_xlfn.REGEXEXTRACT(CELL("address",'Raw Data'!H97),"\$([A-Z]+)\$[0-9]+"),"")</f>
        <v>$H$97</v>
      </c>
    </row>
    <row r="96" spans="2:9" x14ac:dyDescent="0.25">
      <c r="B96" t="str" cm="1">
        <f t="array" aca="1" ref="B96" ca="1">IF('Raw Data'!B98="",_xlfn.REGEXEXTRACT(CELL("address",'Raw Data'!B98),"\$([A-Z]+)\$[0-9]+"),"")</f>
        <v>$B$98</v>
      </c>
      <c r="C96" t="str" cm="1">
        <f t="array" aca="1" ref="C96" ca="1">IF('Raw Data'!C98="",_xlfn.REGEXEXTRACT(CELL("address",'Raw Data'!C98),"\$([A-Z]+)\$[0-9]+"),"")</f>
        <v>$C$98</v>
      </c>
      <c r="D96" t="str" cm="1">
        <f t="array" aca="1" ref="D96" ca="1">IF('Raw Data'!D98="",_xlfn.REGEXEXTRACT(CELL("address",'Raw Data'!D98),"\$([A-Z]+)\$[0-9]+"),"")</f>
        <v>$D$98</v>
      </c>
      <c r="E96" t="str" cm="1">
        <f t="array" aca="1" ref="E96" ca="1">IF('Raw Data'!E98="",_xlfn.REGEXEXTRACT(CELL("address",'Raw Data'!E98),"\$([A-Z]+)\$[0-9]+"),"")</f>
        <v>$E$98</v>
      </c>
      <c r="F96" t="str" cm="1">
        <f t="array" aca="1" ref="F96" ca="1">IF('Raw Data'!F98="",_xlfn.REGEXEXTRACT(CELL("address",'Raw Data'!F98),"\$([A-Z]+)\$[0-9]+"),"")</f>
        <v>$F$98</v>
      </c>
      <c r="G96" t="e" cm="1">
        <f t="array" aca="1" ref="G96" ca="1">IF('Raw Data'!#REF!="",_xlfn.REGEXEXTRACT(CELL("address",'Raw Data'!#REF!),"\$([A-Z]+)\$[0-9]+"),"")</f>
        <v>#REF!</v>
      </c>
      <c r="H96" t="str" cm="1">
        <f t="array" aca="1" ref="H96" ca="1">IF('Raw Data'!G98="",_xlfn.REGEXEXTRACT(CELL("address",'Raw Data'!G98),"\$([A-Z]+)\$[0-9]+"),"")</f>
        <v>$G$98</v>
      </c>
      <c r="I96" t="str" cm="1">
        <f t="array" aca="1" ref="I96" ca="1">IF('Raw Data'!H98="",_xlfn.REGEXEXTRACT(CELL("address",'Raw Data'!H98),"\$([A-Z]+)\$[0-9]+"),"")</f>
        <v>$H$98</v>
      </c>
    </row>
    <row r="97" spans="2:9" x14ac:dyDescent="0.25">
      <c r="B97" t="str" cm="1">
        <f t="array" aca="1" ref="B97" ca="1">IF('Raw Data'!B99="",_xlfn.REGEXEXTRACT(CELL("address",'Raw Data'!B99),"\$([A-Z]+)\$[0-9]+"),"")</f>
        <v>$B$99</v>
      </c>
      <c r="C97" t="str" cm="1">
        <f t="array" aca="1" ref="C97" ca="1">IF('Raw Data'!C99="",_xlfn.REGEXEXTRACT(CELL("address",'Raw Data'!C99),"\$([A-Z]+)\$[0-9]+"),"")</f>
        <v>$C$99</v>
      </c>
      <c r="D97" t="str" cm="1">
        <f t="array" aca="1" ref="D97" ca="1">IF('Raw Data'!D99="",_xlfn.REGEXEXTRACT(CELL("address",'Raw Data'!D99),"\$([A-Z]+)\$[0-9]+"),"")</f>
        <v>$D$99</v>
      </c>
      <c r="E97" t="str" cm="1">
        <f t="array" aca="1" ref="E97" ca="1">IF('Raw Data'!E99="",_xlfn.REGEXEXTRACT(CELL("address",'Raw Data'!E99),"\$([A-Z]+)\$[0-9]+"),"")</f>
        <v>$E$99</v>
      </c>
      <c r="F97" t="str" cm="1">
        <f t="array" aca="1" ref="F97" ca="1">IF('Raw Data'!F99="",_xlfn.REGEXEXTRACT(CELL("address",'Raw Data'!F99),"\$([A-Z]+)\$[0-9]+"),"")</f>
        <v>$F$99</v>
      </c>
      <c r="G97" t="e" cm="1">
        <f t="array" aca="1" ref="G97" ca="1">IF('Raw Data'!#REF!="",_xlfn.REGEXEXTRACT(CELL("address",'Raw Data'!#REF!),"\$([A-Z]+)\$[0-9]+"),"")</f>
        <v>#REF!</v>
      </c>
      <c r="H97" t="str" cm="1">
        <f t="array" aca="1" ref="H97" ca="1">IF('Raw Data'!G99="",_xlfn.REGEXEXTRACT(CELL("address",'Raw Data'!G99),"\$([A-Z]+)\$[0-9]+"),"")</f>
        <v>$G$99</v>
      </c>
      <c r="I97" t="str" cm="1">
        <f t="array" aca="1" ref="I97" ca="1">IF('Raw Data'!H99="",_xlfn.REGEXEXTRACT(CELL("address",'Raw Data'!H99),"\$([A-Z]+)\$[0-9]+"),"")</f>
        <v>$H$99</v>
      </c>
    </row>
    <row r="98" spans="2:9" x14ac:dyDescent="0.25">
      <c r="B98" t="str" cm="1">
        <f t="array" aca="1" ref="B98" ca="1">IF('Raw Data'!B100="",_xlfn.REGEXEXTRACT(CELL("address",'Raw Data'!B100),"\$([A-Z]+)\$[0-9]+"),"")</f>
        <v>$B$100</v>
      </c>
      <c r="C98" t="str" cm="1">
        <f t="array" aca="1" ref="C98" ca="1">IF('Raw Data'!C100="",_xlfn.REGEXEXTRACT(CELL("address",'Raw Data'!C100),"\$([A-Z]+)\$[0-9]+"),"")</f>
        <v>$C$100</v>
      </c>
      <c r="D98" t="str" cm="1">
        <f t="array" aca="1" ref="D98" ca="1">IF('Raw Data'!D100="",_xlfn.REGEXEXTRACT(CELL("address",'Raw Data'!D100),"\$([A-Z]+)\$[0-9]+"),"")</f>
        <v>$D$100</v>
      </c>
      <c r="E98" t="str" cm="1">
        <f t="array" aca="1" ref="E98" ca="1">IF('Raw Data'!E100="",_xlfn.REGEXEXTRACT(CELL("address",'Raw Data'!E100),"\$([A-Z]+)\$[0-9]+"),"")</f>
        <v>$E$100</v>
      </c>
      <c r="F98" t="str" cm="1">
        <f t="array" aca="1" ref="F98" ca="1">IF('Raw Data'!F100="",_xlfn.REGEXEXTRACT(CELL("address",'Raw Data'!F100),"\$([A-Z]+)\$[0-9]+"),"")</f>
        <v>$F$100</v>
      </c>
      <c r="G98" t="e" cm="1">
        <f t="array" aca="1" ref="G98" ca="1">IF('Raw Data'!#REF!="",_xlfn.REGEXEXTRACT(CELL("address",'Raw Data'!#REF!),"\$([A-Z]+)\$[0-9]+"),"")</f>
        <v>#REF!</v>
      </c>
      <c r="H98" t="str" cm="1">
        <f t="array" aca="1" ref="H98" ca="1">IF('Raw Data'!G100="",_xlfn.REGEXEXTRACT(CELL("address",'Raw Data'!G100),"\$([A-Z]+)\$[0-9]+"),"")</f>
        <v>$G$100</v>
      </c>
      <c r="I98" t="str" cm="1">
        <f t="array" aca="1" ref="I98" ca="1">IF('Raw Data'!H100="",_xlfn.REGEXEXTRACT(CELL("address",'Raw Data'!H100),"\$([A-Z]+)\$[0-9]+"),"")</f>
        <v>$H$100</v>
      </c>
    </row>
    <row r="99" spans="2:9" x14ac:dyDescent="0.25">
      <c r="B99" t="str" cm="1">
        <f t="array" aca="1" ref="B99" ca="1">IF('Raw Data'!B101="",_xlfn.REGEXEXTRACT(CELL("address",'Raw Data'!B101),"\$([A-Z]+)\$[0-9]+"),"")</f>
        <v>$B$101</v>
      </c>
      <c r="C99" t="str" cm="1">
        <f t="array" aca="1" ref="C99" ca="1">IF('Raw Data'!C101="",_xlfn.REGEXEXTRACT(CELL("address",'Raw Data'!C101),"\$([A-Z]+)\$[0-9]+"),"")</f>
        <v>$C$101</v>
      </c>
      <c r="D99" t="str" cm="1">
        <f t="array" aca="1" ref="D99" ca="1">IF('Raw Data'!D101="",_xlfn.REGEXEXTRACT(CELL("address",'Raw Data'!D101),"\$([A-Z]+)\$[0-9]+"),"")</f>
        <v>$D$101</v>
      </c>
      <c r="E99" t="str" cm="1">
        <f t="array" aca="1" ref="E99" ca="1">IF('Raw Data'!E101="",_xlfn.REGEXEXTRACT(CELL("address",'Raw Data'!E101),"\$([A-Z]+)\$[0-9]+"),"")</f>
        <v>$E$101</v>
      </c>
      <c r="F99" t="str" cm="1">
        <f t="array" aca="1" ref="F99" ca="1">IF('Raw Data'!F101="",_xlfn.REGEXEXTRACT(CELL("address",'Raw Data'!F101),"\$([A-Z]+)\$[0-9]+"),"")</f>
        <v>$F$101</v>
      </c>
      <c r="G99" t="e" cm="1">
        <f t="array" aca="1" ref="G99" ca="1">IF('Raw Data'!#REF!="",_xlfn.REGEXEXTRACT(CELL("address",'Raw Data'!#REF!),"\$([A-Z]+)\$[0-9]+"),"")</f>
        <v>#REF!</v>
      </c>
      <c r="H99" t="str" cm="1">
        <f t="array" aca="1" ref="H99" ca="1">IF('Raw Data'!G101="",_xlfn.REGEXEXTRACT(CELL("address",'Raw Data'!G101),"\$([A-Z]+)\$[0-9]+"),"")</f>
        <v>$G$101</v>
      </c>
      <c r="I99" t="str" cm="1">
        <f t="array" aca="1" ref="I99" ca="1">IF('Raw Data'!H101="",_xlfn.REGEXEXTRACT(CELL("address",'Raw Data'!H101),"\$([A-Z]+)\$[0-9]+"),"")</f>
        <v>$H$101</v>
      </c>
    </row>
    <row r="100" spans="2:9" x14ac:dyDescent="0.25">
      <c r="B100" t="str" cm="1">
        <f t="array" aca="1" ref="B100" ca="1">IF('Raw Data'!B102="",_xlfn.REGEXEXTRACT(CELL("address",'Raw Data'!B102),"\$([A-Z]+)\$[0-9]+"),"")</f>
        <v>$B$102</v>
      </c>
      <c r="C100" t="str" cm="1">
        <f t="array" aca="1" ref="C100" ca="1">IF('Raw Data'!C102="",_xlfn.REGEXEXTRACT(CELL("address",'Raw Data'!C102),"\$([A-Z]+)\$[0-9]+"),"")</f>
        <v>$C$102</v>
      </c>
      <c r="D100" t="str" cm="1">
        <f t="array" aca="1" ref="D100" ca="1">IF('Raw Data'!D102="",_xlfn.REGEXEXTRACT(CELL("address",'Raw Data'!D102),"\$([A-Z]+)\$[0-9]+"),"")</f>
        <v>$D$102</v>
      </c>
      <c r="E100" t="str" cm="1">
        <f t="array" aca="1" ref="E100" ca="1">IF('Raw Data'!E102="",_xlfn.REGEXEXTRACT(CELL("address",'Raw Data'!E102),"\$([A-Z]+)\$[0-9]+"),"")</f>
        <v>$E$102</v>
      </c>
      <c r="F100" t="str" cm="1">
        <f t="array" aca="1" ref="F100" ca="1">IF('Raw Data'!F102="",_xlfn.REGEXEXTRACT(CELL("address",'Raw Data'!F102),"\$([A-Z]+)\$[0-9]+"),"")</f>
        <v>$F$102</v>
      </c>
      <c r="G100" t="e" cm="1">
        <f t="array" aca="1" ref="G100" ca="1">IF('Raw Data'!#REF!="",_xlfn.REGEXEXTRACT(CELL("address",'Raw Data'!#REF!),"\$([A-Z]+)\$[0-9]+"),"")</f>
        <v>#REF!</v>
      </c>
      <c r="H100" t="str" cm="1">
        <f t="array" aca="1" ref="H100" ca="1">IF('Raw Data'!G102="",_xlfn.REGEXEXTRACT(CELL("address",'Raw Data'!G102),"\$([A-Z]+)\$[0-9]+"),"")</f>
        <v>$G$102</v>
      </c>
      <c r="I100" t="str" cm="1">
        <f t="array" aca="1" ref="I100" ca="1">IF('Raw Data'!H102="",_xlfn.REGEXEXTRACT(CELL("address",'Raw Data'!H102),"\$([A-Z]+)\$[0-9]+"),"")</f>
        <v>$H$102</v>
      </c>
    </row>
    <row r="101" spans="2:9" x14ac:dyDescent="0.25">
      <c r="B101" t="str" cm="1">
        <f t="array" aca="1" ref="B101" ca="1">IF('Raw Data'!B103="",_xlfn.REGEXEXTRACT(CELL("address",'Raw Data'!B103),"\$([A-Z]+)\$[0-9]+"),"")</f>
        <v>$B$103</v>
      </c>
      <c r="C101" t="str" cm="1">
        <f t="array" aca="1" ref="C101" ca="1">IF('Raw Data'!C103="",_xlfn.REGEXEXTRACT(CELL("address",'Raw Data'!C103),"\$([A-Z]+)\$[0-9]+"),"")</f>
        <v>$C$103</v>
      </c>
      <c r="D101" t="str" cm="1">
        <f t="array" aca="1" ref="D101" ca="1">IF('Raw Data'!D103="",_xlfn.REGEXEXTRACT(CELL("address",'Raw Data'!D103),"\$([A-Z]+)\$[0-9]+"),"")</f>
        <v>$D$103</v>
      </c>
      <c r="E101" t="str" cm="1">
        <f t="array" aca="1" ref="E101" ca="1">IF('Raw Data'!E103="",_xlfn.REGEXEXTRACT(CELL("address",'Raw Data'!E103),"\$([A-Z]+)\$[0-9]+"),"")</f>
        <v>$E$103</v>
      </c>
      <c r="F101" t="str" cm="1">
        <f t="array" aca="1" ref="F101" ca="1">IF('Raw Data'!F103="",_xlfn.REGEXEXTRACT(CELL("address",'Raw Data'!F103),"\$([A-Z]+)\$[0-9]+"),"")</f>
        <v>$F$103</v>
      </c>
      <c r="G101" t="e" cm="1">
        <f t="array" aca="1" ref="G101" ca="1">IF('Raw Data'!#REF!="",_xlfn.REGEXEXTRACT(CELL("address",'Raw Data'!#REF!),"\$([A-Z]+)\$[0-9]+"),"")</f>
        <v>#REF!</v>
      </c>
      <c r="H101" t="str" cm="1">
        <f t="array" aca="1" ref="H101" ca="1">IF('Raw Data'!G103="",_xlfn.REGEXEXTRACT(CELL("address",'Raw Data'!G103),"\$([A-Z]+)\$[0-9]+"),"")</f>
        <v>$G$103</v>
      </c>
      <c r="I101" t="str" cm="1">
        <f t="array" aca="1" ref="I101" ca="1">IF('Raw Data'!H103="",_xlfn.REGEXEXTRACT(CELL("address",'Raw Data'!H103),"\$([A-Z]+)\$[0-9]+"),"")</f>
        <v>$H$103</v>
      </c>
    </row>
    <row r="102" spans="2:9" x14ac:dyDescent="0.25">
      <c r="B102" t="str" cm="1">
        <f t="array" aca="1" ref="B102" ca="1">IF('Raw Data'!B104="",_xlfn.REGEXEXTRACT(CELL("address",'Raw Data'!B104),"\$([A-Z]+)\$[0-9]+"),"")</f>
        <v>$B$104</v>
      </c>
      <c r="C102" t="str" cm="1">
        <f t="array" aca="1" ref="C102" ca="1">IF('Raw Data'!C104="",_xlfn.REGEXEXTRACT(CELL("address",'Raw Data'!C104),"\$([A-Z]+)\$[0-9]+"),"")</f>
        <v>$C$104</v>
      </c>
      <c r="D102" t="str" cm="1">
        <f t="array" aca="1" ref="D102" ca="1">IF('Raw Data'!D104="",_xlfn.REGEXEXTRACT(CELL("address",'Raw Data'!D104),"\$([A-Z]+)\$[0-9]+"),"")</f>
        <v>$D$104</v>
      </c>
      <c r="E102" t="str" cm="1">
        <f t="array" aca="1" ref="E102" ca="1">IF('Raw Data'!E104="",_xlfn.REGEXEXTRACT(CELL("address",'Raw Data'!E104),"\$([A-Z]+)\$[0-9]+"),"")</f>
        <v>$E$104</v>
      </c>
      <c r="F102" t="str" cm="1">
        <f t="array" aca="1" ref="F102" ca="1">IF('Raw Data'!F104="",_xlfn.REGEXEXTRACT(CELL("address",'Raw Data'!F104),"\$([A-Z]+)\$[0-9]+"),"")</f>
        <v>$F$104</v>
      </c>
      <c r="G102" t="e" cm="1">
        <f t="array" aca="1" ref="G102" ca="1">IF('Raw Data'!#REF!="",_xlfn.REGEXEXTRACT(CELL("address",'Raw Data'!#REF!),"\$([A-Z]+)\$[0-9]+"),"")</f>
        <v>#REF!</v>
      </c>
      <c r="H102" t="str" cm="1">
        <f t="array" aca="1" ref="H102" ca="1">IF('Raw Data'!G104="",_xlfn.REGEXEXTRACT(CELL("address",'Raw Data'!G104),"\$([A-Z]+)\$[0-9]+"),"")</f>
        <v>$G$104</v>
      </c>
      <c r="I102" t="str" cm="1">
        <f t="array" aca="1" ref="I102" ca="1">IF('Raw Data'!H104="",_xlfn.REGEXEXTRACT(CELL("address",'Raw Data'!H104),"\$([A-Z]+)\$[0-9]+"),"")</f>
        <v>$H$104</v>
      </c>
    </row>
    <row r="103" spans="2:9" x14ac:dyDescent="0.25">
      <c r="B103" t="str" cm="1">
        <f t="array" aca="1" ref="B103" ca="1">IF('Raw Data'!B105="",_xlfn.REGEXEXTRACT(CELL("address",'Raw Data'!B105),"\$([A-Z]+)\$[0-9]+"),"")</f>
        <v>$B$105</v>
      </c>
      <c r="C103" t="str" cm="1">
        <f t="array" aca="1" ref="C103" ca="1">IF('Raw Data'!C105="",_xlfn.REGEXEXTRACT(CELL("address",'Raw Data'!C105),"\$([A-Z]+)\$[0-9]+"),"")</f>
        <v>$C$105</v>
      </c>
      <c r="D103" t="str" cm="1">
        <f t="array" aca="1" ref="D103" ca="1">IF('Raw Data'!D105="",_xlfn.REGEXEXTRACT(CELL("address",'Raw Data'!D105),"\$([A-Z]+)\$[0-9]+"),"")</f>
        <v>$D$105</v>
      </c>
      <c r="E103" t="str" cm="1">
        <f t="array" aca="1" ref="E103" ca="1">IF('Raw Data'!E105="",_xlfn.REGEXEXTRACT(CELL("address",'Raw Data'!E105),"\$([A-Z]+)\$[0-9]+"),"")</f>
        <v>$E$105</v>
      </c>
      <c r="F103" t="str" cm="1">
        <f t="array" aca="1" ref="F103" ca="1">IF('Raw Data'!F105="",_xlfn.REGEXEXTRACT(CELL("address",'Raw Data'!F105),"\$([A-Z]+)\$[0-9]+"),"")</f>
        <v>$F$105</v>
      </c>
      <c r="G103" t="e" cm="1">
        <f t="array" aca="1" ref="G103" ca="1">IF('Raw Data'!#REF!="",_xlfn.REGEXEXTRACT(CELL("address",'Raw Data'!#REF!),"\$([A-Z]+)\$[0-9]+"),"")</f>
        <v>#REF!</v>
      </c>
      <c r="H103" t="str" cm="1">
        <f t="array" aca="1" ref="H103" ca="1">IF('Raw Data'!G105="",_xlfn.REGEXEXTRACT(CELL("address",'Raw Data'!G105),"\$([A-Z]+)\$[0-9]+"),"")</f>
        <v>$G$105</v>
      </c>
      <c r="I103" t="str" cm="1">
        <f t="array" aca="1" ref="I103" ca="1">IF('Raw Data'!H105="",_xlfn.REGEXEXTRACT(CELL("address",'Raw Data'!H105),"\$([A-Z]+)\$[0-9]+"),"")</f>
        <v>$H$105</v>
      </c>
    </row>
    <row r="104" spans="2:9" x14ac:dyDescent="0.25">
      <c r="B104" t="str" cm="1">
        <f t="array" aca="1" ref="B104" ca="1">IF('Raw Data'!B106="",_xlfn.REGEXEXTRACT(CELL("address",'Raw Data'!B106),"\$([A-Z]+)\$[0-9]+"),"")</f>
        <v>$B$106</v>
      </c>
      <c r="C104" t="str" cm="1">
        <f t="array" aca="1" ref="C104" ca="1">IF('Raw Data'!C106="",_xlfn.REGEXEXTRACT(CELL("address",'Raw Data'!C106),"\$([A-Z]+)\$[0-9]+"),"")</f>
        <v>$C$106</v>
      </c>
      <c r="D104" t="str" cm="1">
        <f t="array" aca="1" ref="D104" ca="1">IF('Raw Data'!D106="",_xlfn.REGEXEXTRACT(CELL("address",'Raw Data'!D106),"\$([A-Z]+)\$[0-9]+"),"")</f>
        <v>$D$106</v>
      </c>
      <c r="E104" t="str" cm="1">
        <f t="array" aca="1" ref="E104" ca="1">IF('Raw Data'!E106="",_xlfn.REGEXEXTRACT(CELL("address",'Raw Data'!E106),"\$([A-Z]+)\$[0-9]+"),"")</f>
        <v>$E$106</v>
      </c>
      <c r="F104" t="str" cm="1">
        <f t="array" aca="1" ref="F104" ca="1">IF('Raw Data'!F106="",_xlfn.REGEXEXTRACT(CELL("address",'Raw Data'!F106),"\$([A-Z]+)\$[0-9]+"),"")</f>
        <v>$F$106</v>
      </c>
      <c r="G104" t="e" cm="1">
        <f t="array" aca="1" ref="G104" ca="1">IF('Raw Data'!#REF!="",_xlfn.REGEXEXTRACT(CELL("address",'Raw Data'!#REF!),"\$([A-Z]+)\$[0-9]+"),"")</f>
        <v>#REF!</v>
      </c>
      <c r="H104" t="str" cm="1">
        <f t="array" aca="1" ref="H104" ca="1">IF('Raw Data'!G106="",_xlfn.REGEXEXTRACT(CELL("address",'Raw Data'!G106),"\$([A-Z]+)\$[0-9]+"),"")</f>
        <v>$G$106</v>
      </c>
      <c r="I104" t="str" cm="1">
        <f t="array" aca="1" ref="I104" ca="1">IF('Raw Data'!H106="",_xlfn.REGEXEXTRACT(CELL("address",'Raw Data'!H106),"\$([A-Z]+)\$[0-9]+"),"")</f>
        <v>$H$106</v>
      </c>
    </row>
    <row r="105" spans="2:9" x14ac:dyDescent="0.25">
      <c r="B105" t="str" cm="1">
        <f t="array" aca="1" ref="B105" ca="1">IF('Raw Data'!B107="",_xlfn.REGEXEXTRACT(CELL("address",'Raw Data'!B107),"\$([A-Z]+)\$[0-9]+"),"")</f>
        <v>$B$107</v>
      </c>
      <c r="C105" t="str" cm="1">
        <f t="array" aca="1" ref="C105" ca="1">IF('Raw Data'!C107="",_xlfn.REGEXEXTRACT(CELL("address",'Raw Data'!C107),"\$([A-Z]+)\$[0-9]+"),"")</f>
        <v>$C$107</v>
      </c>
      <c r="D105" t="str" cm="1">
        <f t="array" aca="1" ref="D105" ca="1">IF('Raw Data'!D107="",_xlfn.REGEXEXTRACT(CELL("address",'Raw Data'!D107),"\$([A-Z]+)\$[0-9]+"),"")</f>
        <v>$D$107</v>
      </c>
      <c r="E105" t="str" cm="1">
        <f t="array" aca="1" ref="E105" ca="1">IF('Raw Data'!E107="",_xlfn.REGEXEXTRACT(CELL("address",'Raw Data'!E107),"\$([A-Z]+)\$[0-9]+"),"")</f>
        <v>$E$107</v>
      </c>
      <c r="F105" t="str" cm="1">
        <f t="array" aca="1" ref="F105" ca="1">IF('Raw Data'!F107="",_xlfn.REGEXEXTRACT(CELL("address",'Raw Data'!F107),"\$([A-Z]+)\$[0-9]+"),"")</f>
        <v>$F$107</v>
      </c>
      <c r="G105" t="e" cm="1">
        <f t="array" aca="1" ref="G105" ca="1">IF('Raw Data'!#REF!="",_xlfn.REGEXEXTRACT(CELL("address",'Raw Data'!#REF!),"\$([A-Z]+)\$[0-9]+"),"")</f>
        <v>#REF!</v>
      </c>
      <c r="H105" t="str" cm="1">
        <f t="array" aca="1" ref="H105" ca="1">IF('Raw Data'!G107="",_xlfn.REGEXEXTRACT(CELL("address",'Raw Data'!G107),"\$([A-Z]+)\$[0-9]+"),"")</f>
        <v>$G$107</v>
      </c>
      <c r="I105" t="str" cm="1">
        <f t="array" aca="1" ref="I105" ca="1">IF('Raw Data'!H107="",_xlfn.REGEXEXTRACT(CELL("address",'Raw Data'!H107),"\$([A-Z]+)\$[0-9]+"),"")</f>
        <v>$H$107</v>
      </c>
    </row>
    <row r="106" spans="2:9" x14ac:dyDescent="0.25">
      <c r="B106" t="str" cm="1">
        <f t="array" aca="1" ref="B106" ca="1">IF('Raw Data'!B108="",_xlfn.REGEXEXTRACT(CELL("address",'Raw Data'!B108),"\$([A-Z]+)\$[0-9]+"),"")</f>
        <v>$B$108</v>
      </c>
      <c r="C106" t="str" cm="1">
        <f t="array" aca="1" ref="C106" ca="1">IF('Raw Data'!C108="",_xlfn.REGEXEXTRACT(CELL("address",'Raw Data'!C108),"\$([A-Z]+)\$[0-9]+"),"")</f>
        <v>$C$108</v>
      </c>
      <c r="D106" t="str" cm="1">
        <f t="array" aca="1" ref="D106" ca="1">IF('Raw Data'!D108="",_xlfn.REGEXEXTRACT(CELL("address",'Raw Data'!D108),"\$([A-Z]+)\$[0-9]+"),"")</f>
        <v>$D$108</v>
      </c>
      <c r="E106" t="str" cm="1">
        <f t="array" aca="1" ref="E106" ca="1">IF('Raw Data'!E108="",_xlfn.REGEXEXTRACT(CELL("address",'Raw Data'!E108),"\$([A-Z]+)\$[0-9]+"),"")</f>
        <v>$E$108</v>
      </c>
      <c r="F106" t="str" cm="1">
        <f t="array" aca="1" ref="F106" ca="1">IF('Raw Data'!F108="",_xlfn.REGEXEXTRACT(CELL("address",'Raw Data'!F108),"\$([A-Z]+)\$[0-9]+"),"")</f>
        <v>$F$108</v>
      </c>
      <c r="G106" t="e" cm="1">
        <f t="array" aca="1" ref="G106" ca="1">IF('Raw Data'!#REF!="",_xlfn.REGEXEXTRACT(CELL("address",'Raw Data'!#REF!),"\$([A-Z]+)\$[0-9]+"),"")</f>
        <v>#REF!</v>
      </c>
      <c r="H106" t="str" cm="1">
        <f t="array" aca="1" ref="H106" ca="1">IF('Raw Data'!G108="",_xlfn.REGEXEXTRACT(CELL("address",'Raw Data'!G108),"\$([A-Z]+)\$[0-9]+"),"")</f>
        <v>$G$108</v>
      </c>
      <c r="I106" t="str" cm="1">
        <f t="array" aca="1" ref="I106" ca="1">IF('Raw Data'!H108="",_xlfn.REGEXEXTRACT(CELL("address",'Raw Data'!H108),"\$([A-Z]+)\$[0-9]+"),"")</f>
        <v>$H$108</v>
      </c>
    </row>
    <row r="107" spans="2:9" x14ac:dyDescent="0.25">
      <c r="B107" t="str" cm="1">
        <f t="array" aca="1" ref="B107" ca="1">IF('Raw Data'!B109="",_xlfn.REGEXEXTRACT(CELL("address",'Raw Data'!B109),"\$([A-Z]+)\$[0-9]+"),"")</f>
        <v>$B$109</v>
      </c>
      <c r="C107" t="str" cm="1">
        <f t="array" aca="1" ref="C107" ca="1">IF('Raw Data'!C109="",_xlfn.REGEXEXTRACT(CELL("address",'Raw Data'!C109),"\$([A-Z]+)\$[0-9]+"),"")</f>
        <v>$C$109</v>
      </c>
      <c r="D107" t="str" cm="1">
        <f t="array" aca="1" ref="D107" ca="1">IF('Raw Data'!D109="",_xlfn.REGEXEXTRACT(CELL("address",'Raw Data'!D109),"\$([A-Z]+)\$[0-9]+"),"")</f>
        <v>$D$109</v>
      </c>
      <c r="E107" t="str" cm="1">
        <f t="array" aca="1" ref="E107" ca="1">IF('Raw Data'!E109="",_xlfn.REGEXEXTRACT(CELL("address",'Raw Data'!E109),"\$([A-Z]+)\$[0-9]+"),"")</f>
        <v>$E$109</v>
      </c>
      <c r="F107" t="str" cm="1">
        <f t="array" aca="1" ref="F107" ca="1">IF('Raw Data'!F109="",_xlfn.REGEXEXTRACT(CELL("address",'Raw Data'!F109),"\$([A-Z]+)\$[0-9]+"),"")</f>
        <v>$F$109</v>
      </c>
      <c r="G107" t="e" cm="1">
        <f t="array" aca="1" ref="G107" ca="1">IF('Raw Data'!#REF!="",_xlfn.REGEXEXTRACT(CELL("address",'Raw Data'!#REF!),"\$([A-Z]+)\$[0-9]+"),"")</f>
        <v>#REF!</v>
      </c>
      <c r="H107" t="str" cm="1">
        <f t="array" aca="1" ref="H107" ca="1">IF('Raw Data'!G109="",_xlfn.REGEXEXTRACT(CELL("address",'Raw Data'!G109),"\$([A-Z]+)\$[0-9]+"),"")</f>
        <v>$G$109</v>
      </c>
      <c r="I107" t="str" cm="1">
        <f t="array" aca="1" ref="I107" ca="1">IF('Raw Data'!H109="",_xlfn.REGEXEXTRACT(CELL("address",'Raw Data'!H109),"\$([A-Z]+)\$[0-9]+"),"")</f>
        <v>$H$109</v>
      </c>
    </row>
    <row r="108" spans="2:9" x14ac:dyDescent="0.25">
      <c r="B108" t="str" cm="1">
        <f t="array" aca="1" ref="B108" ca="1">IF('Raw Data'!B110="",_xlfn.REGEXEXTRACT(CELL("address",'Raw Data'!B110),"\$([A-Z]+)\$[0-9]+"),"")</f>
        <v>$B$110</v>
      </c>
      <c r="C108" t="str" cm="1">
        <f t="array" aca="1" ref="C108" ca="1">IF('Raw Data'!C110="",_xlfn.REGEXEXTRACT(CELL("address",'Raw Data'!C110),"\$([A-Z]+)\$[0-9]+"),"")</f>
        <v>$C$110</v>
      </c>
      <c r="D108" t="str" cm="1">
        <f t="array" aca="1" ref="D108" ca="1">IF('Raw Data'!D110="",_xlfn.REGEXEXTRACT(CELL("address",'Raw Data'!D110),"\$([A-Z]+)\$[0-9]+"),"")</f>
        <v>$D$110</v>
      </c>
      <c r="E108" t="str" cm="1">
        <f t="array" aca="1" ref="E108" ca="1">IF('Raw Data'!E110="",_xlfn.REGEXEXTRACT(CELL("address",'Raw Data'!E110),"\$([A-Z]+)\$[0-9]+"),"")</f>
        <v>$E$110</v>
      </c>
      <c r="F108" t="str" cm="1">
        <f t="array" aca="1" ref="F108" ca="1">IF('Raw Data'!F110="",_xlfn.REGEXEXTRACT(CELL("address",'Raw Data'!F110),"\$([A-Z]+)\$[0-9]+"),"")</f>
        <v>$F$110</v>
      </c>
      <c r="G108" t="e" cm="1">
        <f t="array" aca="1" ref="G108" ca="1">IF('Raw Data'!#REF!="",_xlfn.REGEXEXTRACT(CELL("address",'Raw Data'!#REF!),"\$([A-Z]+)\$[0-9]+"),"")</f>
        <v>#REF!</v>
      </c>
      <c r="H108" t="str" cm="1">
        <f t="array" aca="1" ref="H108" ca="1">IF('Raw Data'!G110="",_xlfn.REGEXEXTRACT(CELL("address",'Raw Data'!G110),"\$([A-Z]+)\$[0-9]+"),"")</f>
        <v>$G$110</v>
      </c>
      <c r="I108" t="str" cm="1">
        <f t="array" aca="1" ref="I108" ca="1">IF('Raw Data'!H110="",_xlfn.REGEXEXTRACT(CELL("address",'Raw Data'!H110),"\$([A-Z]+)\$[0-9]+"),"")</f>
        <v>$H$110</v>
      </c>
    </row>
    <row r="109" spans="2:9" x14ac:dyDescent="0.25">
      <c r="B109" t="str" cm="1">
        <f t="array" aca="1" ref="B109" ca="1">IF('Raw Data'!B111="",_xlfn.REGEXEXTRACT(CELL("address",'Raw Data'!B111),"\$([A-Z]+)\$[0-9]+"),"")</f>
        <v>$B$111</v>
      </c>
      <c r="C109" t="str" cm="1">
        <f t="array" aca="1" ref="C109" ca="1">IF('Raw Data'!C111="",_xlfn.REGEXEXTRACT(CELL("address",'Raw Data'!C111),"\$([A-Z]+)\$[0-9]+"),"")</f>
        <v>$C$111</v>
      </c>
      <c r="D109" t="str" cm="1">
        <f t="array" aca="1" ref="D109" ca="1">IF('Raw Data'!D111="",_xlfn.REGEXEXTRACT(CELL("address",'Raw Data'!D111),"\$([A-Z]+)\$[0-9]+"),"")</f>
        <v>$D$111</v>
      </c>
      <c r="E109" t="str" cm="1">
        <f t="array" aca="1" ref="E109" ca="1">IF('Raw Data'!E111="",_xlfn.REGEXEXTRACT(CELL("address",'Raw Data'!E111),"\$([A-Z]+)\$[0-9]+"),"")</f>
        <v>$E$111</v>
      </c>
      <c r="F109" t="str" cm="1">
        <f t="array" aca="1" ref="F109" ca="1">IF('Raw Data'!F111="",_xlfn.REGEXEXTRACT(CELL("address",'Raw Data'!F111),"\$([A-Z]+)\$[0-9]+"),"")</f>
        <v>$F$111</v>
      </c>
      <c r="G109" t="e" cm="1">
        <f t="array" aca="1" ref="G109" ca="1">IF('Raw Data'!#REF!="",_xlfn.REGEXEXTRACT(CELL("address",'Raw Data'!#REF!),"\$([A-Z]+)\$[0-9]+"),"")</f>
        <v>#REF!</v>
      </c>
      <c r="H109" t="str" cm="1">
        <f t="array" aca="1" ref="H109" ca="1">IF('Raw Data'!G111="",_xlfn.REGEXEXTRACT(CELL("address",'Raw Data'!G111),"\$([A-Z]+)\$[0-9]+"),"")</f>
        <v>$G$111</v>
      </c>
      <c r="I109" t="str" cm="1">
        <f t="array" aca="1" ref="I109" ca="1">IF('Raw Data'!H111="",_xlfn.REGEXEXTRACT(CELL("address",'Raw Data'!H111),"\$([A-Z]+)\$[0-9]+"),"")</f>
        <v>$H$111</v>
      </c>
    </row>
    <row r="110" spans="2:9" x14ac:dyDescent="0.25">
      <c r="B110" t="str" cm="1">
        <f t="array" aca="1" ref="B110" ca="1">IF('Raw Data'!B112="",_xlfn.REGEXEXTRACT(CELL("address",'Raw Data'!B112),"\$([A-Z]+)\$[0-9]+"),"")</f>
        <v>$B$112</v>
      </c>
      <c r="C110" t="str" cm="1">
        <f t="array" aca="1" ref="C110" ca="1">IF('Raw Data'!C112="",_xlfn.REGEXEXTRACT(CELL("address",'Raw Data'!C112),"\$([A-Z]+)\$[0-9]+"),"")</f>
        <v>$C$112</v>
      </c>
      <c r="D110" t="str" cm="1">
        <f t="array" aca="1" ref="D110" ca="1">IF('Raw Data'!D112="",_xlfn.REGEXEXTRACT(CELL("address",'Raw Data'!D112),"\$([A-Z]+)\$[0-9]+"),"")</f>
        <v>$D$112</v>
      </c>
      <c r="E110" t="str" cm="1">
        <f t="array" aca="1" ref="E110" ca="1">IF('Raw Data'!E112="",_xlfn.REGEXEXTRACT(CELL("address",'Raw Data'!E112),"\$([A-Z]+)\$[0-9]+"),"")</f>
        <v>$E$112</v>
      </c>
      <c r="F110" t="str" cm="1">
        <f t="array" aca="1" ref="F110" ca="1">IF('Raw Data'!F112="",_xlfn.REGEXEXTRACT(CELL("address",'Raw Data'!F112),"\$([A-Z]+)\$[0-9]+"),"")</f>
        <v>$F$112</v>
      </c>
      <c r="G110" t="e" cm="1">
        <f t="array" aca="1" ref="G110" ca="1">IF('Raw Data'!#REF!="",_xlfn.REGEXEXTRACT(CELL("address",'Raw Data'!#REF!),"\$([A-Z]+)\$[0-9]+"),"")</f>
        <v>#REF!</v>
      </c>
      <c r="H110" t="str" cm="1">
        <f t="array" aca="1" ref="H110" ca="1">IF('Raw Data'!G112="",_xlfn.REGEXEXTRACT(CELL("address",'Raw Data'!G112),"\$([A-Z]+)\$[0-9]+"),"")</f>
        <v>$G$112</v>
      </c>
      <c r="I110" t="str" cm="1">
        <f t="array" aca="1" ref="I110" ca="1">IF('Raw Data'!H112="",_xlfn.REGEXEXTRACT(CELL("address",'Raw Data'!H112),"\$([A-Z]+)\$[0-9]+"),"")</f>
        <v>$H$112</v>
      </c>
    </row>
    <row r="111" spans="2:9" x14ac:dyDescent="0.25">
      <c r="B111" t="str" cm="1">
        <f t="array" aca="1" ref="B111" ca="1">IF('Raw Data'!B113="",_xlfn.REGEXEXTRACT(CELL("address",'Raw Data'!B113),"\$([A-Z]+)\$[0-9]+"),"")</f>
        <v>$B$113</v>
      </c>
      <c r="C111" t="str" cm="1">
        <f t="array" aca="1" ref="C111" ca="1">IF('Raw Data'!C113="",_xlfn.REGEXEXTRACT(CELL("address",'Raw Data'!C113),"\$([A-Z]+)\$[0-9]+"),"")</f>
        <v>$C$113</v>
      </c>
      <c r="D111" t="str" cm="1">
        <f t="array" aca="1" ref="D111" ca="1">IF('Raw Data'!D113="",_xlfn.REGEXEXTRACT(CELL("address",'Raw Data'!D113),"\$([A-Z]+)\$[0-9]+"),"")</f>
        <v>$D$113</v>
      </c>
      <c r="E111" t="str" cm="1">
        <f t="array" aca="1" ref="E111" ca="1">IF('Raw Data'!E113="",_xlfn.REGEXEXTRACT(CELL("address",'Raw Data'!E113),"\$([A-Z]+)\$[0-9]+"),"")</f>
        <v>$E$113</v>
      </c>
      <c r="F111" t="str" cm="1">
        <f t="array" aca="1" ref="F111" ca="1">IF('Raw Data'!F113="",_xlfn.REGEXEXTRACT(CELL("address",'Raw Data'!F113),"\$([A-Z]+)\$[0-9]+"),"")</f>
        <v>$F$113</v>
      </c>
      <c r="G111" t="e" cm="1">
        <f t="array" aca="1" ref="G111" ca="1">IF('Raw Data'!#REF!="",_xlfn.REGEXEXTRACT(CELL("address",'Raw Data'!#REF!),"\$([A-Z]+)\$[0-9]+"),"")</f>
        <v>#REF!</v>
      </c>
      <c r="H111" t="str" cm="1">
        <f t="array" aca="1" ref="H111" ca="1">IF('Raw Data'!G113="",_xlfn.REGEXEXTRACT(CELL("address",'Raw Data'!G113),"\$([A-Z]+)\$[0-9]+"),"")</f>
        <v>$G$113</v>
      </c>
      <c r="I111" t="str" cm="1">
        <f t="array" aca="1" ref="I111" ca="1">IF('Raw Data'!H113="",_xlfn.REGEXEXTRACT(CELL("address",'Raw Data'!H113),"\$([A-Z]+)\$[0-9]+"),"")</f>
        <v>$H$113</v>
      </c>
    </row>
    <row r="112" spans="2:9" x14ac:dyDescent="0.25">
      <c r="B112" t="str" cm="1">
        <f t="array" aca="1" ref="B112" ca="1">IF('Raw Data'!B114="",_xlfn.REGEXEXTRACT(CELL("address",'Raw Data'!B114),"\$([A-Z]+)\$[0-9]+"),"")</f>
        <v>$B$114</v>
      </c>
      <c r="C112" t="str" cm="1">
        <f t="array" aca="1" ref="C112" ca="1">IF('Raw Data'!C114="",_xlfn.REGEXEXTRACT(CELL("address",'Raw Data'!C114),"\$([A-Z]+)\$[0-9]+"),"")</f>
        <v>$C$114</v>
      </c>
      <c r="D112" t="str" cm="1">
        <f t="array" aca="1" ref="D112" ca="1">IF('Raw Data'!D114="",_xlfn.REGEXEXTRACT(CELL("address",'Raw Data'!D114),"\$([A-Z]+)\$[0-9]+"),"")</f>
        <v>$D$114</v>
      </c>
      <c r="E112" t="str" cm="1">
        <f t="array" aca="1" ref="E112" ca="1">IF('Raw Data'!E114="",_xlfn.REGEXEXTRACT(CELL("address",'Raw Data'!E114),"\$([A-Z]+)\$[0-9]+"),"")</f>
        <v>$E$114</v>
      </c>
      <c r="F112" t="str" cm="1">
        <f t="array" aca="1" ref="F112" ca="1">IF('Raw Data'!F114="",_xlfn.REGEXEXTRACT(CELL("address",'Raw Data'!F114),"\$([A-Z]+)\$[0-9]+"),"")</f>
        <v>$F$114</v>
      </c>
      <c r="G112" t="e" cm="1">
        <f t="array" aca="1" ref="G112" ca="1">IF('Raw Data'!#REF!="",_xlfn.REGEXEXTRACT(CELL("address",'Raw Data'!#REF!),"\$([A-Z]+)\$[0-9]+"),"")</f>
        <v>#REF!</v>
      </c>
      <c r="H112" t="str" cm="1">
        <f t="array" aca="1" ref="H112" ca="1">IF('Raw Data'!G114="",_xlfn.REGEXEXTRACT(CELL("address",'Raw Data'!G114),"\$([A-Z]+)\$[0-9]+"),"")</f>
        <v>$G$114</v>
      </c>
      <c r="I112" t="str" cm="1">
        <f t="array" aca="1" ref="I112" ca="1">IF('Raw Data'!H114="",_xlfn.REGEXEXTRACT(CELL("address",'Raw Data'!H114),"\$([A-Z]+)\$[0-9]+"),"")</f>
        <v>$H$114</v>
      </c>
    </row>
    <row r="113" spans="2:9" x14ac:dyDescent="0.25">
      <c r="B113" t="str" cm="1">
        <f t="array" aca="1" ref="B113" ca="1">IF('Raw Data'!B115="",_xlfn.REGEXEXTRACT(CELL("address",'Raw Data'!B115),"\$([A-Z]+)\$[0-9]+"),"")</f>
        <v>$B$115</v>
      </c>
      <c r="C113" t="str" cm="1">
        <f t="array" aca="1" ref="C113" ca="1">IF('Raw Data'!C115="",_xlfn.REGEXEXTRACT(CELL("address",'Raw Data'!C115),"\$([A-Z]+)\$[0-9]+"),"")</f>
        <v>$C$115</v>
      </c>
      <c r="D113" t="str" cm="1">
        <f t="array" aca="1" ref="D113" ca="1">IF('Raw Data'!D115="",_xlfn.REGEXEXTRACT(CELL("address",'Raw Data'!D115),"\$([A-Z]+)\$[0-9]+"),"")</f>
        <v>$D$115</v>
      </c>
      <c r="E113" t="str" cm="1">
        <f t="array" aca="1" ref="E113" ca="1">IF('Raw Data'!E115="",_xlfn.REGEXEXTRACT(CELL("address",'Raw Data'!E115),"\$([A-Z]+)\$[0-9]+"),"")</f>
        <v>$E$115</v>
      </c>
      <c r="F113" t="str" cm="1">
        <f t="array" aca="1" ref="F113" ca="1">IF('Raw Data'!F115="",_xlfn.REGEXEXTRACT(CELL("address",'Raw Data'!F115),"\$([A-Z]+)\$[0-9]+"),"")</f>
        <v>$F$115</v>
      </c>
      <c r="G113" t="e" cm="1">
        <f t="array" aca="1" ref="G113" ca="1">IF('Raw Data'!#REF!="",_xlfn.REGEXEXTRACT(CELL("address",'Raw Data'!#REF!),"\$([A-Z]+)\$[0-9]+"),"")</f>
        <v>#REF!</v>
      </c>
      <c r="H113" t="str" cm="1">
        <f t="array" aca="1" ref="H113" ca="1">IF('Raw Data'!G115="",_xlfn.REGEXEXTRACT(CELL("address",'Raw Data'!G115),"\$([A-Z]+)\$[0-9]+"),"")</f>
        <v>$G$115</v>
      </c>
      <c r="I113" t="str" cm="1">
        <f t="array" aca="1" ref="I113" ca="1">IF('Raw Data'!H115="",_xlfn.REGEXEXTRACT(CELL("address",'Raw Data'!H115),"\$([A-Z]+)\$[0-9]+"),"")</f>
        <v>$H$115</v>
      </c>
    </row>
    <row r="114" spans="2:9" x14ac:dyDescent="0.25">
      <c r="B114" t="str" cm="1">
        <f t="array" aca="1" ref="B114" ca="1">IF('Raw Data'!B116="",_xlfn.REGEXEXTRACT(CELL("address",'Raw Data'!B116),"\$([A-Z]+)\$[0-9]+"),"")</f>
        <v>$B$116</v>
      </c>
      <c r="C114" t="str" cm="1">
        <f t="array" aca="1" ref="C114" ca="1">IF('Raw Data'!C116="",_xlfn.REGEXEXTRACT(CELL("address",'Raw Data'!C116),"\$([A-Z]+)\$[0-9]+"),"")</f>
        <v>$C$116</v>
      </c>
      <c r="D114" t="str" cm="1">
        <f t="array" aca="1" ref="D114" ca="1">IF('Raw Data'!D116="",_xlfn.REGEXEXTRACT(CELL("address",'Raw Data'!D116),"\$([A-Z]+)\$[0-9]+"),"")</f>
        <v>$D$116</v>
      </c>
      <c r="E114" t="str" cm="1">
        <f t="array" aca="1" ref="E114" ca="1">IF('Raw Data'!E116="",_xlfn.REGEXEXTRACT(CELL("address",'Raw Data'!E116),"\$([A-Z]+)\$[0-9]+"),"")</f>
        <v>$E$116</v>
      </c>
      <c r="F114" t="str" cm="1">
        <f t="array" aca="1" ref="F114" ca="1">IF('Raw Data'!F116="",_xlfn.REGEXEXTRACT(CELL("address",'Raw Data'!F116),"\$([A-Z]+)\$[0-9]+"),"")</f>
        <v>$F$116</v>
      </c>
      <c r="G114" t="e" cm="1">
        <f t="array" aca="1" ref="G114" ca="1">IF('Raw Data'!#REF!="",_xlfn.REGEXEXTRACT(CELL("address",'Raw Data'!#REF!),"\$([A-Z]+)\$[0-9]+"),"")</f>
        <v>#REF!</v>
      </c>
      <c r="H114" t="str" cm="1">
        <f t="array" aca="1" ref="H114" ca="1">IF('Raw Data'!G116="",_xlfn.REGEXEXTRACT(CELL("address",'Raw Data'!G116),"\$([A-Z]+)\$[0-9]+"),"")</f>
        <v>$G$116</v>
      </c>
      <c r="I114" t="str" cm="1">
        <f t="array" aca="1" ref="I114" ca="1">IF('Raw Data'!H116="",_xlfn.REGEXEXTRACT(CELL("address",'Raw Data'!H116),"\$([A-Z]+)\$[0-9]+"),"")</f>
        <v>$H$116</v>
      </c>
    </row>
    <row r="115" spans="2:9" x14ac:dyDescent="0.25">
      <c r="B115" t="str" cm="1">
        <f t="array" aca="1" ref="B115" ca="1">IF('Raw Data'!B117="",_xlfn.REGEXEXTRACT(CELL("address",'Raw Data'!B117),"\$([A-Z]+)\$[0-9]+"),"")</f>
        <v>$B$117</v>
      </c>
      <c r="C115" t="str" cm="1">
        <f t="array" aca="1" ref="C115" ca="1">IF('Raw Data'!C117="",_xlfn.REGEXEXTRACT(CELL("address",'Raw Data'!C117),"\$([A-Z]+)\$[0-9]+"),"")</f>
        <v>$C$117</v>
      </c>
      <c r="D115" t="str" cm="1">
        <f t="array" aca="1" ref="D115" ca="1">IF('Raw Data'!D117="",_xlfn.REGEXEXTRACT(CELL("address",'Raw Data'!D117),"\$([A-Z]+)\$[0-9]+"),"")</f>
        <v>$D$117</v>
      </c>
      <c r="E115" t="str" cm="1">
        <f t="array" aca="1" ref="E115" ca="1">IF('Raw Data'!E117="",_xlfn.REGEXEXTRACT(CELL("address",'Raw Data'!E117),"\$([A-Z]+)\$[0-9]+"),"")</f>
        <v>$E$117</v>
      </c>
      <c r="F115" t="str" cm="1">
        <f t="array" aca="1" ref="F115" ca="1">IF('Raw Data'!F117="",_xlfn.REGEXEXTRACT(CELL("address",'Raw Data'!F117),"\$([A-Z]+)\$[0-9]+"),"")</f>
        <v>$F$117</v>
      </c>
      <c r="G115" t="e" cm="1">
        <f t="array" aca="1" ref="G115" ca="1">IF('Raw Data'!#REF!="",_xlfn.REGEXEXTRACT(CELL("address",'Raw Data'!#REF!),"\$([A-Z]+)\$[0-9]+"),"")</f>
        <v>#REF!</v>
      </c>
      <c r="H115" t="str" cm="1">
        <f t="array" aca="1" ref="H115" ca="1">IF('Raw Data'!G117="",_xlfn.REGEXEXTRACT(CELL("address",'Raw Data'!G117),"\$([A-Z]+)\$[0-9]+"),"")</f>
        <v>$G$117</v>
      </c>
      <c r="I115" t="str" cm="1">
        <f t="array" aca="1" ref="I115" ca="1">IF('Raw Data'!H117="",_xlfn.REGEXEXTRACT(CELL("address",'Raw Data'!H117),"\$([A-Z]+)\$[0-9]+"),"")</f>
        <v>$H$117</v>
      </c>
    </row>
    <row r="116" spans="2:9" x14ac:dyDescent="0.25">
      <c r="B116" t="str" cm="1">
        <f t="array" aca="1" ref="B116" ca="1">IF('Raw Data'!B118="",_xlfn.REGEXEXTRACT(CELL("address",'Raw Data'!B118),"\$([A-Z]+)\$[0-9]+"),"")</f>
        <v>$B$118</v>
      </c>
      <c r="C116" t="str" cm="1">
        <f t="array" aca="1" ref="C116" ca="1">IF('Raw Data'!C118="",_xlfn.REGEXEXTRACT(CELL("address",'Raw Data'!C118),"\$([A-Z]+)\$[0-9]+"),"")</f>
        <v>$C$118</v>
      </c>
      <c r="D116" t="str" cm="1">
        <f t="array" aca="1" ref="D116" ca="1">IF('Raw Data'!D118="",_xlfn.REGEXEXTRACT(CELL("address",'Raw Data'!D118),"\$([A-Z]+)\$[0-9]+"),"")</f>
        <v>$D$118</v>
      </c>
      <c r="E116" t="str" cm="1">
        <f t="array" aca="1" ref="E116" ca="1">IF('Raw Data'!E118="",_xlfn.REGEXEXTRACT(CELL("address",'Raw Data'!E118),"\$([A-Z]+)\$[0-9]+"),"")</f>
        <v>$E$118</v>
      </c>
      <c r="F116" t="str" cm="1">
        <f t="array" aca="1" ref="F116" ca="1">IF('Raw Data'!F118="",_xlfn.REGEXEXTRACT(CELL("address",'Raw Data'!F118),"\$([A-Z]+)\$[0-9]+"),"")</f>
        <v>$F$118</v>
      </c>
      <c r="G116" t="e" cm="1">
        <f t="array" aca="1" ref="G116" ca="1">IF('Raw Data'!#REF!="",_xlfn.REGEXEXTRACT(CELL("address",'Raw Data'!#REF!),"\$([A-Z]+)\$[0-9]+"),"")</f>
        <v>#REF!</v>
      </c>
      <c r="H116" t="str" cm="1">
        <f t="array" aca="1" ref="H116" ca="1">IF('Raw Data'!G118="",_xlfn.REGEXEXTRACT(CELL("address",'Raw Data'!G118),"\$([A-Z]+)\$[0-9]+"),"")</f>
        <v>$G$118</v>
      </c>
      <c r="I116" t="str" cm="1">
        <f t="array" aca="1" ref="I116" ca="1">IF('Raw Data'!H118="",_xlfn.REGEXEXTRACT(CELL("address",'Raw Data'!H118),"\$([A-Z]+)\$[0-9]+"),"")</f>
        <v>$H$118</v>
      </c>
    </row>
    <row r="117" spans="2:9" x14ac:dyDescent="0.25">
      <c r="B117" t="str" cm="1">
        <f t="array" aca="1" ref="B117" ca="1">IF('Raw Data'!B119="",_xlfn.REGEXEXTRACT(CELL("address",'Raw Data'!B119),"\$([A-Z]+)\$[0-9]+"),"")</f>
        <v>$B$119</v>
      </c>
      <c r="C117" t="str" cm="1">
        <f t="array" aca="1" ref="C117" ca="1">IF('Raw Data'!C119="",_xlfn.REGEXEXTRACT(CELL("address",'Raw Data'!C119),"\$([A-Z]+)\$[0-9]+"),"")</f>
        <v>$C$119</v>
      </c>
      <c r="D117" t="str" cm="1">
        <f t="array" aca="1" ref="D117" ca="1">IF('Raw Data'!D119="",_xlfn.REGEXEXTRACT(CELL("address",'Raw Data'!D119),"\$([A-Z]+)\$[0-9]+"),"")</f>
        <v>$D$119</v>
      </c>
      <c r="E117" t="str" cm="1">
        <f t="array" aca="1" ref="E117" ca="1">IF('Raw Data'!E119="",_xlfn.REGEXEXTRACT(CELL("address",'Raw Data'!E119),"\$([A-Z]+)\$[0-9]+"),"")</f>
        <v>$E$119</v>
      </c>
      <c r="F117" t="str" cm="1">
        <f t="array" aca="1" ref="F117" ca="1">IF('Raw Data'!F119="",_xlfn.REGEXEXTRACT(CELL("address",'Raw Data'!F119),"\$([A-Z]+)\$[0-9]+"),"")</f>
        <v>$F$119</v>
      </c>
      <c r="G117" t="e" cm="1">
        <f t="array" aca="1" ref="G117" ca="1">IF('Raw Data'!#REF!="",_xlfn.REGEXEXTRACT(CELL("address",'Raw Data'!#REF!),"\$([A-Z]+)\$[0-9]+"),"")</f>
        <v>#REF!</v>
      </c>
      <c r="H117" t="str" cm="1">
        <f t="array" aca="1" ref="H117" ca="1">IF('Raw Data'!G119="",_xlfn.REGEXEXTRACT(CELL("address",'Raw Data'!G119),"\$([A-Z]+)\$[0-9]+"),"")</f>
        <v>$G$119</v>
      </c>
      <c r="I117" t="str" cm="1">
        <f t="array" aca="1" ref="I117" ca="1">IF('Raw Data'!H119="",_xlfn.REGEXEXTRACT(CELL("address",'Raw Data'!H119),"\$([A-Z]+)\$[0-9]+"),"")</f>
        <v>$H$119</v>
      </c>
    </row>
    <row r="118" spans="2:9" x14ac:dyDescent="0.25">
      <c r="B118" t="str" cm="1">
        <f t="array" aca="1" ref="B118" ca="1">IF('Raw Data'!B120="",_xlfn.REGEXEXTRACT(CELL("address",'Raw Data'!B120),"\$([A-Z]+)\$[0-9]+"),"")</f>
        <v>$B$120</v>
      </c>
      <c r="C118" t="str" cm="1">
        <f t="array" aca="1" ref="C118" ca="1">IF('Raw Data'!C120="",_xlfn.REGEXEXTRACT(CELL("address",'Raw Data'!C120),"\$([A-Z]+)\$[0-9]+"),"")</f>
        <v>$C$120</v>
      </c>
      <c r="D118" t="str" cm="1">
        <f t="array" aca="1" ref="D118" ca="1">IF('Raw Data'!D120="",_xlfn.REGEXEXTRACT(CELL("address",'Raw Data'!D120),"\$([A-Z]+)\$[0-9]+"),"")</f>
        <v>$D$120</v>
      </c>
      <c r="E118" t="str" cm="1">
        <f t="array" aca="1" ref="E118" ca="1">IF('Raw Data'!E120="",_xlfn.REGEXEXTRACT(CELL("address",'Raw Data'!E120),"\$([A-Z]+)\$[0-9]+"),"")</f>
        <v>$E$120</v>
      </c>
      <c r="F118" t="str" cm="1">
        <f t="array" aca="1" ref="F118" ca="1">IF('Raw Data'!F120="",_xlfn.REGEXEXTRACT(CELL("address",'Raw Data'!F120),"\$([A-Z]+)\$[0-9]+"),"")</f>
        <v>$F$120</v>
      </c>
      <c r="G118" t="e" cm="1">
        <f t="array" aca="1" ref="G118" ca="1">IF('Raw Data'!#REF!="",_xlfn.REGEXEXTRACT(CELL("address",'Raw Data'!#REF!),"\$([A-Z]+)\$[0-9]+"),"")</f>
        <v>#REF!</v>
      </c>
      <c r="H118" t="str" cm="1">
        <f t="array" aca="1" ref="H118" ca="1">IF('Raw Data'!G120="",_xlfn.REGEXEXTRACT(CELL("address",'Raw Data'!G120),"\$([A-Z]+)\$[0-9]+"),"")</f>
        <v>$G$120</v>
      </c>
      <c r="I118" t="str" cm="1">
        <f t="array" aca="1" ref="I118" ca="1">IF('Raw Data'!H120="",_xlfn.REGEXEXTRACT(CELL("address",'Raw Data'!H120),"\$([A-Z]+)\$[0-9]+"),"")</f>
        <v>$H$120</v>
      </c>
    </row>
    <row r="119" spans="2:9" x14ac:dyDescent="0.25">
      <c r="B119" t="str" cm="1">
        <f t="array" aca="1" ref="B119" ca="1">IF('Raw Data'!B121="",_xlfn.REGEXEXTRACT(CELL("address",'Raw Data'!B121),"\$([A-Z]+)\$[0-9]+"),"")</f>
        <v>$B$121</v>
      </c>
      <c r="C119" t="str" cm="1">
        <f t="array" aca="1" ref="C119" ca="1">IF('Raw Data'!C121="",_xlfn.REGEXEXTRACT(CELL("address",'Raw Data'!C121),"\$([A-Z]+)\$[0-9]+"),"")</f>
        <v>$C$121</v>
      </c>
      <c r="D119" t="str" cm="1">
        <f t="array" aca="1" ref="D119" ca="1">IF('Raw Data'!D121="",_xlfn.REGEXEXTRACT(CELL("address",'Raw Data'!D121),"\$([A-Z]+)\$[0-9]+"),"")</f>
        <v>$D$121</v>
      </c>
      <c r="E119" t="str" cm="1">
        <f t="array" aca="1" ref="E119" ca="1">IF('Raw Data'!E121="",_xlfn.REGEXEXTRACT(CELL("address",'Raw Data'!E121),"\$([A-Z]+)\$[0-9]+"),"")</f>
        <v>$E$121</v>
      </c>
      <c r="F119" t="str" cm="1">
        <f t="array" aca="1" ref="F119" ca="1">IF('Raw Data'!F121="",_xlfn.REGEXEXTRACT(CELL("address",'Raw Data'!F121),"\$([A-Z]+)\$[0-9]+"),"")</f>
        <v>$F$121</v>
      </c>
      <c r="G119" t="e" cm="1">
        <f t="array" aca="1" ref="G119" ca="1">IF('Raw Data'!#REF!="",_xlfn.REGEXEXTRACT(CELL("address",'Raw Data'!#REF!),"\$([A-Z]+)\$[0-9]+"),"")</f>
        <v>#REF!</v>
      </c>
      <c r="H119" t="str" cm="1">
        <f t="array" aca="1" ref="H119" ca="1">IF('Raw Data'!G121="",_xlfn.REGEXEXTRACT(CELL("address",'Raw Data'!G121),"\$([A-Z]+)\$[0-9]+"),"")</f>
        <v>$G$121</v>
      </c>
      <c r="I119" t="str" cm="1">
        <f t="array" aca="1" ref="I119" ca="1">IF('Raw Data'!H121="",_xlfn.REGEXEXTRACT(CELL("address",'Raw Data'!H121),"\$([A-Z]+)\$[0-9]+"),"")</f>
        <v>$H$121</v>
      </c>
    </row>
    <row r="120" spans="2:9" x14ac:dyDescent="0.25">
      <c r="B120" t="str" cm="1">
        <f t="array" aca="1" ref="B120" ca="1">IF('Raw Data'!B122="",_xlfn.REGEXEXTRACT(CELL("address",'Raw Data'!B122),"\$([A-Z]+)\$[0-9]+"),"")</f>
        <v>$B$122</v>
      </c>
      <c r="C120" t="str" cm="1">
        <f t="array" aca="1" ref="C120" ca="1">IF('Raw Data'!C122="",_xlfn.REGEXEXTRACT(CELL("address",'Raw Data'!C122),"\$([A-Z]+)\$[0-9]+"),"")</f>
        <v>$C$122</v>
      </c>
      <c r="D120" t="str" cm="1">
        <f t="array" aca="1" ref="D120" ca="1">IF('Raw Data'!D122="",_xlfn.REGEXEXTRACT(CELL("address",'Raw Data'!D122),"\$([A-Z]+)\$[0-9]+"),"")</f>
        <v>$D$122</v>
      </c>
      <c r="E120" t="str" cm="1">
        <f t="array" aca="1" ref="E120" ca="1">IF('Raw Data'!E122="",_xlfn.REGEXEXTRACT(CELL("address",'Raw Data'!E122),"\$([A-Z]+)\$[0-9]+"),"")</f>
        <v>$E$122</v>
      </c>
      <c r="F120" t="str" cm="1">
        <f t="array" aca="1" ref="F120" ca="1">IF('Raw Data'!F122="",_xlfn.REGEXEXTRACT(CELL("address",'Raw Data'!F122),"\$([A-Z]+)\$[0-9]+"),"")</f>
        <v>$F$122</v>
      </c>
      <c r="G120" t="e" cm="1">
        <f t="array" aca="1" ref="G120" ca="1">IF('Raw Data'!#REF!="",_xlfn.REGEXEXTRACT(CELL("address",'Raw Data'!#REF!),"\$([A-Z]+)\$[0-9]+"),"")</f>
        <v>#REF!</v>
      </c>
      <c r="H120" t="str" cm="1">
        <f t="array" aca="1" ref="H120" ca="1">IF('Raw Data'!G122="",_xlfn.REGEXEXTRACT(CELL("address",'Raw Data'!G122),"\$([A-Z]+)\$[0-9]+"),"")</f>
        <v>$G$122</v>
      </c>
      <c r="I120" t="str" cm="1">
        <f t="array" aca="1" ref="I120" ca="1">IF('Raw Data'!H122="",_xlfn.REGEXEXTRACT(CELL("address",'Raw Data'!H122),"\$([A-Z]+)\$[0-9]+"),"")</f>
        <v>$H$122</v>
      </c>
    </row>
    <row r="121" spans="2:9" x14ac:dyDescent="0.25">
      <c r="B121" t="str" cm="1">
        <f t="array" aca="1" ref="B121" ca="1">IF('Raw Data'!B123="",_xlfn.REGEXEXTRACT(CELL("address",'Raw Data'!B123),"\$([A-Z]+)\$[0-9]+"),"")</f>
        <v>$B$123</v>
      </c>
      <c r="C121" t="str" cm="1">
        <f t="array" aca="1" ref="C121" ca="1">IF('Raw Data'!C123="",_xlfn.REGEXEXTRACT(CELL("address",'Raw Data'!C123),"\$([A-Z]+)\$[0-9]+"),"")</f>
        <v>$C$123</v>
      </c>
      <c r="D121" t="str" cm="1">
        <f t="array" aca="1" ref="D121" ca="1">IF('Raw Data'!D123="",_xlfn.REGEXEXTRACT(CELL("address",'Raw Data'!D123),"\$([A-Z]+)\$[0-9]+"),"")</f>
        <v>$D$123</v>
      </c>
      <c r="E121" t="str" cm="1">
        <f t="array" aca="1" ref="E121" ca="1">IF('Raw Data'!E123="",_xlfn.REGEXEXTRACT(CELL("address",'Raw Data'!E123),"\$([A-Z]+)\$[0-9]+"),"")</f>
        <v>$E$123</v>
      </c>
      <c r="F121" t="str" cm="1">
        <f t="array" aca="1" ref="F121" ca="1">IF('Raw Data'!F123="",_xlfn.REGEXEXTRACT(CELL("address",'Raw Data'!F123),"\$([A-Z]+)\$[0-9]+"),"")</f>
        <v>$F$123</v>
      </c>
      <c r="G121" t="e" cm="1">
        <f t="array" aca="1" ref="G121" ca="1">IF('Raw Data'!#REF!="",_xlfn.REGEXEXTRACT(CELL("address",'Raw Data'!#REF!),"\$([A-Z]+)\$[0-9]+"),"")</f>
        <v>#REF!</v>
      </c>
      <c r="H121" t="str" cm="1">
        <f t="array" aca="1" ref="H121" ca="1">IF('Raw Data'!G123="",_xlfn.REGEXEXTRACT(CELL("address",'Raw Data'!G123),"\$([A-Z]+)\$[0-9]+"),"")</f>
        <v>$G$123</v>
      </c>
      <c r="I121" t="str" cm="1">
        <f t="array" aca="1" ref="I121" ca="1">IF('Raw Data'!H123="",_xlfn.REGEXEXTRACT(CELL("address",'Raw Data'!H123),"\$([A-Z]+)\$[0-9]+"),"")</f>
        <v>$H$123</v>
      </c>
    </row>
    <row r="122" spans="2:9" x14ac:dyDescent="0.25">
      <c r="B122" t="str" cm="1">
        <f t="array" aca="1" ref="B122" ca="1">IF('Raw Data'!B124="",_xlfn.REGEXEXTRACT(CELL("address",'Raw Data'!B124),"\$([A-Z]+)\$[0-9]+"),"")</f>
        <v>$B$124</v>
      </c>
      <c r="C122" t="str" cm="1">
        <f t="array" aca="1" ref="C122" ca="1">IF('Raw Data'!C124="",_xlfn.REGEXEXTRACT(CELL("address",'Raw Data'!C124),"\$([A-Z]+)\$[0-9]+"),"")</f>
        <v>$C$124</v>
      </c>
      <c r="D122" t="str" cm="1">
        <f t="array" aca="1" ref="D122" ca="1">IF('Raw Data'!D124="",_xlfn.REGEXEXTRACT(CELL("address",'Raw Data'!D124),"\$([A-Z]+)\$[0-9]+"),"")</f>
        <v>$D$124</v>
      </c>
      <c r="E122" t="str" cm="1">
        <f t="array" aca="1" ref="E122" ca="1">IF('Raw Data'!E124="",_xlfn.REGEXEXTRACT(CELL("address",'Raw Data'!E124),"\$([A-Z]+)\$[0-9]+"),"")</f>
        <v>$E$124</v>
      </c>
      <c r="F122" t="str" cm="1">
        <f t="array" aca="1" ref="F122" ca="1">IF('Raw Data'!F124="",_xlfn.REGEXEXTRACT(CELL("address",'Raw Data'!F124),"\$([A-Z]+)\$[0-9]+"),"")</f>
        <v>$F$124</v>
      </c>
      <c r="G122" t="e" cm="1">
        <f t="array" aca="1" ref="G122" ca="1">IF('Raw Data'!#REF!="",_xlfn.REGEXEXTRACT(CELL("address",'Raw Data'!#REF!),"\$([A-Z]+)\$[0-9]+"),"")</f>
        <v>#REF!</v>
      </c>
      <c r="H122" t="str" cm="1">
        <f t="array" aca="1" ref="H122" ca="1">IF('Raw Data'!G124="",_xlfn.REGEXEXTRACT(CELL("address",'Raw Data'!G124),"\$([A-Z]+)\$[0-9]+"),"")</f>
        <v>$G$124</v>
      </c>
      <c r="I122" t="str" cm="1">
        <f t="array" aca="1" ref="I122" ca="1">IF('Raw Data'!H124="",_xlfn.REGEXEXTRACT(CELL("address",'Raw Data'!H124),"\$([A-Z]+)\$[0-9]+"),"")</f>
        <v>$H$124</v>
      </c>
    </row>
    <row r="123" spans="2:9" x14ac:dyDescent="0.25">
      <c r="B123" t="str" cm="1">
        <f t="array" aca="1" ref="B123" ca="1">IF('Raw Data'!B125="",_xlfn.REGEXEXTRACT(CELL("address",'Raw Data'!B125),"\$([A-Z]+)\$[0-9]+"),"")</f>
        <v>$B$125</v>
      </c>
      <c r="C123" t="str" cm="1">
        <f t="array" aca="1" ref="C123" ca="1">IF('Raw Data'!C125="",_xlfn.REGEXEXTRACT(CELL("address",'Raw Data'!C125),"\$([A-Z]+)\$[0-9]+"),"")</f>
        <v>$C$125</v>
      </c>
      <c r="D123" t="str" cm="1">
        <f t="array" aca="1" ref="D123" ca="1">IF('Raw Data'!D125="",_xlfn.REGEXEXTRACT(CELL("address",'Raw Data'!D125),"\$([A-Z]+)\$[0-9]+"),"")</f>
        <v>$D$125</v>
      </c>
      <c r="E123" t="str" cm="1">
        <f t="array" aca="1" ref="E123" ca="1">IF('Raw Data'!E125="",_xlfn.REGEXEXTRACT(CELL("address",'Raw Data'!E125),"\$([A-Z]+)\$[0-9]+"),"")</f>
        <v>$E$125</v>
      </c>
      <c r="F123" t="str" cm="1">
        <f t="array" aca="1" ref="F123" ca="1">IF('Raw Data'!F125="",_xlfn.REGEXEXTRACT(CELL("address",'Raw Data'!F125),"\$([A-Z]+)\$[0-9]+"),"")</f>
        <v>$F$125</v>
      </c>
      <c r="G123" t="e" cm="1">
        <f t="array" aca="1" ref="G123" ca="1">IF('Raw Data'!#REF!="",_xlfn.REGEXEXTRACT(CELL("address",'Raw Data'!#REF!),"\$([A-Z]+)\$[0-9]+"),"")</f>
        <v>#REF!</v>
      </c>
      <c r="H123" t="str" cm="1">
        <f t="array" aca="1" ref="H123" ca="1">IF('Raw Data'!G125="",_xlfn.REGEXEXTRACT(CELL("address",'Raw Data'!G125),"\$([A-Z]+)\$[0-9]+"),"")</f>
        <v>$G$125</v>
      </c>
      <c r="I123" t="str" cm="1">
        <f t="array" aca="1" ref="I123" ca="1">IF('Raw Data'!H125="",_xlfn.REGEXEXTRACT(CELL("address",'Raw Data'!H125),"\$([A-Z]+)\$[0-9]+"),"")</f>
        <v>$H$125</v>
      </c>
    </row>
    <row r="124" spans="2:9" x14ac:dyDescent="0.25">
      <c r="B124" t="str" cm="1">
        <f t="array" aca="1" ref="B124" ca="1">IF('Raw Data'!B126="",_xlfn.REGEXEXTRACT(CELL("address",'Raw Data'!B126),"\$([A-Z]+)\$[0-9]+"),"")</f>
        <v>$B$126</v>
      </c>
      <c r="C124" t="str" cm="1">
        <f t="array" aca="1" ref="C124" ca="1">IF('Raw Data'!C126="",_xlfn.REGEXEXTRACT(CELL("address",'Raw Data'!C126),"\$([A-Z]+)\$[0-9]+"),"")</f>
        <v>$C$126</v>
      </c>
      <c r="D124" t="str" cm="1">
        <f t="array" aca="1" ref="D124" ca="1">IF('Raw Data'!D126="",_xlfn.REGEXEXTRACT(CELL("address",'Raw Data'!D126),"\$([A-Z]+)\$[0-9]+"),"")</f>
        <v>$D$126</v>
      </c>
      <c r="E124" t="str" cm="1">
        <f t="array" aca="1" ref="E124" ca="1">IF('Raw Data'!E126="",_xlfn.REGEXEXTRACT(CELL("address",'Raw Data'!E126),"\$([A-Z]+)\$[0-9]+"),"")</f>
        <v>$E$126</v>
      </c>
      <c r="F124" t="str" cm="1">
        <f t="array" aca="1" ref="F124" ca="1">IF('Raw Data'!F126="",_xlfn.REGEXEXTRACT(CELL("address",'Raw Data'!F126),"\$([A-Z]+)\$[0-9]+"),"")</f>
        <v>$F$126</v>
      </c>
      <c r="G124" t="e" cm="1">
        <f t="array" aca="1" ref="G124" ca="1">IF('Raw Data'!#REF!="",_xlfn.REGEXEXTRACT(CELL("address",'Raw Data'!#REF!),"\$([A-Z]+)\$[0-9]+"),"")</f>
        <v>#REF!</v>
      </c>
      <c r="H124" t="str" cm="1">
        <f t="array" aca="1" ref="H124" ca="1">IF('Raw Data'!G126="",_xlfn.REGEXEXTRACT(CELL("address",'Raw Data'!G126),"\$([A-Z]+)\$[0-9]+"),"")</f>
        <v>$G$126</v>
      </c>
      <c r="I124" t="str" cm="1">
        <f t="array" aca="1" ref="I124" ca="1">IF('Raw Data'!H126="",_xlfn.REGEXEXTRACT(CELL("address",'Raw Data'!H126),"\$([A-Z]+)\$[0-9]+"),"")</f>
        <v>$H$126</v>
      </c>
    </row>
    <row r="125" spans="2:9" x14ac:dyDescent="0.25">
      <c r="B125" t="str" cm="1">
        <f t="array" aca="1" ref="B125" ca="1">IF('Raw Data'!B127="",_xlfn.REGEXEXTRACT(CELL("address",'Raw Data'!B127),"\$([A-Z]+)\$[0-9]+"),"")</f>
        <v>$B$127</v>
      </c>
      <c r="C125" t="str" cm="1">
        <f t="array" aca="1" ref="C125" ca="1">IF('Raw Data'!C127="",_xlfn.REGEXEXTRACT(CELL("address",'Raw Data'!C127),"\$([A-Z]+)\$[0-9]+"),"")</f>
        <v>$C$127</v>
      </c>
      <c r="D125" t="str" cm="1">
        <f t="array" aca="1" ref="D125" ca="1">IF('Raw Data'!D127="",_xlfn.REGEXEXTRACT(CELL("address",'Raw Data'!D127),"\$([A-Z]+)\$[0-9]+"),"")</f>
        <v>$D$127</v>
      </c>
      <c r="E125" t="str" cm="1">
        <f t="array" aca="1" ref="E125" ca="1">IF('Raw Data'!E127="",_xlfn.REGEXEXTRACT(CELL("address",'Raw Data'!E127),"\$([A-Z]+)\$[0-9]+"),"")</f>
        <v>$E$127</v>
      </c>
      <c r="F125" t="str" cm="1">
        <f t="array" aca="1" ref="F125" ca="1">IF('Raw Data'!F127="",_xlfn.REGEXEXTRACT(CELL("address",'Raw Data'!F127),"\$([A-Z]+)\$[0-9]+"),"")</f>
        <v>$F$127</v>
      </c>
      <c r="G125" t="e" cm="1">
        <f t="array" aca="1" ref="G125" ca="1">IF('Raw Data'!#REF!="",_xlfn.REGEXEXTRACT(CELL("address",'Raw Data'!#REF!),"\$([A-Z]+)\$[0-9]+"),"")</f>
        <v>#REF!</v>
      </c>
      <c r="H125" t="str" cm="1">
        <f t="array" aca="1" ref="H125" ca="1">IF('Raw Data'!G127="",_xlfn.REGEXEXTRACT(CELL("address",'Raw Data'!G127),"\$([A-Z]+)\$[0-9]+"),"")</f>
        <v>$G$127</v>
      </c>
      <c r="I125" t="str" cm="1">
        <f t="array" aca="1" ref="I125" ca="1">IF('Raw Data'!H127="",_xlfn.REGEXEXTRACT(CELL("address",'Raw Data'!H127),"\$([A-Z]+)\$[0-9]+"),"")</f>
        <v>$H$127</v>
      </c>
    </row>
    <row r="126" spans="2:9" x14ac:dyDescent="0.25">
      <c r="B126" t="str" cm="1">
        <f t="array" aca="1" ref="B126" ca="1">IF('Raw Data'!B128="",_xlfn.REGEXEXTRACT(CELL("address",'Raw Data'!B128),"\$([A-Z]+)\$[0-9]+"),"")</f>
        <v>$B$128</v>
      </c>
      <c r="C126" t="str" cm="1">
        <f t="array" aca="1" ref="C126" ca="1">IF('Raw Data'!C128="",_xlfn.REGEXEXTRACT(CELL("address",'Raw Data'!C128),"\$([A-Z]+)\$[0-9]+"),"")</f>
        <v>$C$128</v>
      </c>
      <c r="D126" t="str" cm="1">
        <f t="array" aca="1" ref="D126" ca="1">IF('Raw Data'!D128="",_xlfn.REGEXEXTRACT(CELL("address",'Raw Data'!D128),"\$([A-Z]+)\$[0-9]+"),"")</f>
        <v>$D$128</v>
      </c>
      <c r="E126" t="str" cm="1">
        <f t="array" aca="1" ref="E126" ca="1">IF('Raw Data'!E128="",_xlfn.REGEXEXTRACT(CELL("address",'Raw Data'!E128),"\$([A-Z]+)\$[0-9]+"),"")</f>
        <v>$E$128</v>
      </c>
      <c r="F126" t="str" cm="1">
        <f t="array" aca="1" ref="F126" ca="1">IF('Raw Data'!F128="",_xlfn.REGEXEXTRACT(CELL("address",'Raw Data'!F128),"\$([A-Z]+)\$[0-9]+"),"")</f>
        <v>$F$128</v>
      </c>
      <c r="G126" t="e" cm="1">
        <f t="array" aca="1" ref="G126" ca="1">IF('Raw Data'!#REF!="",_xlfn.REGEXEXTRACT(CELL("address",'Raw Data'!#REF!),"\$([A-Z]+)\$[0-9]+"),"")</f>
        <v>#REF!</v>
      </c>
      <c r="H126" t="str" cm="1">
        <f t="array" aca="1" ref="H126" ca="1">IF('Raw Data'!G128="",_xlfn.REGEXEXTRACT(CELL("address",'Raw Data'!G128),"\$([A-Z]+)\$[0-9]+"),"")</f>
        <v>$G$128</v>
      </c>
      <c r="I126" t="str" cm="1">
        <f t="array" aca="1" ref="I126" ca="1">IF('Raw Data'!H128="",_xlfn.REGEXEXTRACT(CELL("address",'Raw Data'!H128),"\$([A-Z]+)\$[0-9]+"),"")</f>
        <v>$H$128</v>
      </c>
    </row>
    <row r="127" spans="2:9" x14ac:dyDescent="0.25">
      <c r="B127" t="str" cm="1">
        <f t="array" aca="1" ref="B127" ca="1">IF('Raw Data'!B129="",_xlfn.REGEXEXTRACT(CELL("address",'Raw Data'!B129),"\$([A-Z]+)\$[0-9]+"),"")</f>
        <v>$B$129</v>
      </c>
      <c r="C127" t="str" cm="1">
        <f t="array" aca="1" ref="C127" ca="1">IF('Raw Data'!C129="",_xlfn.REGEXEXTRACT(CELL("address",'Raw Data'!C129),"\$([A-Z]+)\$[0-9]+"),"")</f>
        <v>$C$129</v>
      </c>
      <c r="D127" t="str" cm="1">
        <f t="array" aca="1" ref="D127" ca="1">IF('Raw Data'!D129="",_xlfn.REGEXEXTRACT(CELL("address",'Raw Data'!D129),"\$([A-Z]+)\$[0-9]+"),"")</f>
        <v>$D$129</v>
      </c>
      <c r="E127" t="str" cm="1">
        <f t="array" aca="1" ref="E127" ca="1">IF('Raw Data'!E129="",_xlfn.REGEXEXTRACT(CELL("address",'Raw Data'!E129),"\$([A-Z]+)\$[0-9]+"),"")</f>
        <v>$E$129</v>
      </c>
      <c r="F127" t="str" cm="1">
        <f t="array" aca="1" ref="F127" ca="1">IF('Raw Data'!F129="",_xlfn.REGEXEXTRACT(CELL("address",'Raw Data'!F129),"\$([A-Z]+)\$[0-9]+"),"")</f>
        <v>$F$129</v>
      </c>
      <c r="G127" t="e" cm="1">
        <f t="array" aca="1" ref="G127" ca="1">IF('Raw Data'!#REF!="",_xlfn.REGEXEXTRACT(CELL("address",'Raw Data'!#REF!),"\$([A-Z]+)\$[0-9]+"),"")</f>
        <v>#REF!</v>
      </c>
      <c r="H127" t="str" cm="1">
        <f t="array" aca="1" ref="H127" ca="1">IF('Raw Data'!G129="",_xlfn.REGEXEXTRACT(CELL("address",'Raw Data'!G129),"\$([A-Z]+)\$[0-9]+"),"")</f>
        <v>$G$129</v>
      </c>
      <c r="I127" t="str" cm="1">
        <f t="array" aca="1" ref="I127" ca="1">IF('Raw Data'!H129="",_xlfn.REGEXEXTRACT(CELL("address",'Raw Data'!H129),"\$([A-Z]+)\$[0-9]+"),"")</f>
        <v>$H$129</v>
      </c>
    </row>
    <row r="128" spans="2:9" x14ac:dyDescent="0.25">
      <c r="B128" t="str" cm="1">
        <f t="array" aca="1" ref="B128" ca="1">IF('Raw Data'!B130="",_xlfn.REGEXEXTRACT(CELL("address",'Raw Data'!B130),"\$([A-Z]+)\$[0-9]+"),"")</f>
        <v>$B$130</v>
      </c>
      <c r="C128" t="str" cm="1">
        <f t="array" aca="1" ref="C128" ca="1">IF('Raw Data'!C130="",_xlfn.REGEXEXTRACT(CELL("address",'Raw Data'!C130),"\$([A-Z]+)\$[0-9]+"),"")</f>
        <v>$C$130</v>
      </c>
      <c r="D128" t="str" cm="1">
        <f t="array" aca="1" ref="D128" ca="1">IF('Raw Data'!D130="",_xlfn.REGEXEXTRACT(CELL("address",'Raw Data'!D130),"\$([A-Z]+)\$[0-9]+"),"")</f>
        <v>$D$130</v>
      </c>
      <c r="E128" t="str" cm="1">
        <f t="array" aca="1" ref="E128" ca="1">IF('Raw Data'!E130="",_xlfn.REGEXEXTRACT(CELL("address",'Raw Data'!E130),"\$([A-Z]+)\$[0-9]+"),"")</f>
        <v>$E$130</v>
      </c>
      <c r="F128" t="str" cm="1">
        <f t="array" aca="1" ref="F128" ca="1">IF('Raw Data'!F130="",_xlfn.REGEXEXTRACT(CELL("address",'Raw Data'!F130),"\$([A-Z]+)\$[0-9]+"),"")</f>
        <v>$F$130</v>
      </c>
      <c r="G128" t="e" cm="1">
        <f t="array" aca="1" ref="G128" ca="1">IF('Raw Data'!#REF!="",_xlfn.REGEXEXTRACT(CELL("address",'Raw Data'!#REF!),"\$([A-Z]+)\$[0-9]+"),"")</f>
        <v>#REF!</v>
      </c>
      <c r="H128" t="str" cm="1">
        <f t="array" aca="1" ref="H128" ca="1">IF('Raw Data'!G130="",_xlfn.REGEXEXTRACT(CELL("address",'Raw Data'!G130),"\$([A-Z]+)\$[0-9]+"),"")</f>
        <v>$G$130</v>
      </c>
      <c r="I128" t="str" cm="1">
        <f t="array" aca="1" ref="I128" ca="1">IF('Raw Data'!H130="",_xlfn.REGEXEXTRACT(CELL("address",'Raw Data'!H130),"\$([A-Z]+)\$[0-9]+"),"")</f>
        <v>$H$130</v>
      </c>
    </row>
    <row r="129" spans="2:9" x14ac:dyDescent="0.25">
      <c r="B129" t="str" cm="1">
        <f t="array" aca="1" ref="B129" ca="1">IF('Raw Data'!B131="",_xlfn.REGEXEXTRACT(CELL("address",'Raw Data'!B131),"\$([A-Z]+)\$[0-9]+"),"")</f>
        <v>$B$131</v>
      </c>
      <c r="C129" t="str" cm="1">
        <f t="array" aca="1" ref="C129" ca="1">IF('Raw Data'!C131="",_xlfn.REGEXEXTRACT(CELL("address",'Raw Data'!C131),"\$([A-Z]+)\$[0-9]+"),"")</f>
        <v>$C$131</v>
      </c>
      <c r="D129" t="str" cm="1">
        <f t="array" aca="1" ref="D129" ca="1">IF('Raw Data'!D131="",_xlfn.REGEXEXTRACT(CELL("address",'Raw Data'!D131),"\$([A-Z]+)\$[0-9]+"),"")</f>
        <v>$D$131</v>
      </c>
      <c r="E129" t="str" cm="1">
        <f t="array" aca="1" ref="E129" ca="1">IF('Raw Data'!E131="",_xlfn.REGEXEXTRACT(CELL("address",'Raw Data'!E131),"\$([A-Z]+)\$[0-9]+"),"")</f>
        <v>$E$131</v>
      </c>
      <c r="F129" t="str" cm="1">
        <f t="array" aca="1" ref="F129" ca="1">IF('Raw Data'!F131="",_xlfn.REGEXEXTRACT(CELL("address",'Raw Data'!F131),"\$([A-Z]+)\$[0-9]+"),"")</f>
        <v>$F$131</v>
      </c>
      <c r="G129" t="e" cm="1">
        <f t="array" aca="1" ref="G129" ca="1">IF('Raw Data'!#REF!="",_xlfn.REGEXEXTRACT(CELL("address",'Raw Data'!#REF!),"\$([A-Z]+)\$[0-9]+"),"")</f>
        <v>#REF!</v>
      </c>
      <c r="H129" t="str" cm="1">
        <f t="array" aca="1" ref="H129" ca="1">IF('Raw Data'!G131="",_xlfn.REGEXEXTRACT(CELL("address",'Raw Data'!G131),"\$([A-Z]+)\$[0-9]+"),"")</f>
        <v>$G$131</v>
      </c>
      <c r="I129" t="str" cm="1">
        <f t="array" aca="1" ref="I129" ca="1">IF('Raw Data'!H131="",_xlfn.REGEXEXTRACT(CELL("address",'Raw Data'!H131),"\$([A-Z]+)\$[0-9]+"),"")</f>
        <v>$H$131</v>
      </c>
    </row>
    <row r="130" spans="2:9" x14ac:dyDescent="0.25">
      <c r="B130" t="str" cm="1">
        <f t="array" aca="1" ref="B130" ca="1">IF('Raw Data'!B132="",_xlfn.REGEXEXTRACT(CELL("address",'Raw Data'!B132),"\$([A-Z]+)\$[0-9]+"),"")</f>
        <v>$B$132</v>
      </c>
      <c r="C130" t="str" cm="1">
        <f t="array" aca="1" ref="C130" ca="1">IF('Raw Data'!C132="",_xlfn.REGEXEXTRACT(CELL("address",'Raw Data'!C132),"\$([A-Z]+)\$[0-9]+"),"")</f>
        <v>$C$132</v>
      </c>
      <c r="D130" t="str" cm="1">
        <f t="array" aca="1" ref="D130" ca="1">IF('Raw Data'!D132="",_xlfn.REGEXEXTRACT(CELL("address",'Raw Data'!D132),"\$([A-Z]+)\$[0-9]+"),"")</f>
        <v>$D$132</v>
      </c>
      <c r="E130" t="str" cm="1">
        <f t="array" aca="1" ref="E130" ca="1">IF('Raw Data'!E132="",_xlfn.REGEXEXTRACT(CELL("address",'Raw Data'!E132),"\$([A-Z]+)\$[0-9]+"),"")</f>
        <v>$E$132</v>
      </c>
      <c r="F130" t="str" cm="1">
        <f t="array" aca="1" ref="F130" ca="1">IF('Raw Data'!F132="",_xlfn.REGEXEXTRACT(CELL("address",'Raw Data'!F132),"\$([A-Z]+)\$[0-9]+"),"")</f>
        <v>$F$132</v>
      </c>
      <c r="G130" t="e" cm="1">
        <f t="array" aca="1" ref="G130" ca="1">IF('Raw Data'!#REF!="",_xlfn.REGEXEXTRACT(CELL("address",'Raw Data'!#REF!),"\$([A-Z]+)\$[0-9]+"),"")</f>
        <v>#REF!</v>
      </c>
      <c r="H130" t="str" cm="1">
        <f t="array" aca="1" ref="H130" ca="1">IF('Raw Data'!G132="",_xlfn.REGEXEXTRACT(CELL("address",'Raw Data'!G132),"\$([A-Z]+)\$[0-9]+"),"")</f>
        <v>$G$132</v>
      </c>
      <c r="I130" t="str" cm="1">
        <f t="array" aca="1" ref="I130" ca="1">IF('Raw Data'!H132="",_xlfn.REGEXEXTRACT(CELL("address",'Raw Data'!H132),"\$([A-Z]+)\$[0-9]+"),"")</f>
        <v>$H$132</v>
      </c>
    </row>
    <row r="131" spans="2:9" x14ac:dyDescent="0.25">
      <c r="B131" t="str" cm="1">
        <f t="array" aca="1" ref="B131" ca="1">IF('Raw Data'!B133="",_xlfn.REGEXEXTRACT(CELL("address",'Raw Data'!B133),"\$([A-Z]+)\$[0-9]+"),"")</f>
        <v>$B$133</v>
      </c>
      <c r="C131" t="str" cm="1">
        <f t="array" aca="1" ref="C131" ca="1">IF('Raw Data'!C133="",_xlfn.REGEXEXTRACT(CELL("address",'Raw Data'!C133),"\$([A-Z]+)\$[0-9]+"),"")</f>
        <v>$C$133</v>
      </c>
      <c r="D131" t="str" cm="1">
        <f t="array" aca="1" ref="D131" ca="1">IF('Raw Data'!D133="",_xlfn.REGEXEXTRACT(CELL("address",'Raw Data'!D133),"\$([A-Z]+)\$[0-9]+"),"")</f>
        <v>$D$133</v>
      </c>
      <c r="E131" t="str" cm="1">
        <f t="array" aca="1" ref="E131" ca="1">IF('Raw Data'!E133="",_xlfn.REGEXEXTRACT(CELL("address",'Raw Data'!E133),"\$([A-Z]+)\$[0-9]+"),"")</f>
        <v>$E$133</v>
      </c>
      <c r="F131" t="str" cm="1">
        <f t="array" aca="1" ref="F131" ca="1">IF('Raw Data'!F133="",_xlfn.REGEXEXTRACT(CELL("address",'Raw Data'!F133),"\$([A-Z]+)\$[0-9]+"),"")</f>
        <v>$F$133</v>
      </c>
      <c r="G131" t="e" cm="1">
        <f t="array" aca="1" ref="G131" ca="1">IF('Raw Data'!#REF!="",_xlfn.REGEXEXTRACT(CELL("address",'Raw Data'!#REF!),"\$([A-Z]+)\$[0-9]+"),"")</f>
        <v>#REF!</v>
      </c>
      <c r="H131" t="str" cm="1">
        <f t="array" aca="1" ref="H131" ca="1">IF('Raw Data'!G133="",_xlfn.REGEXEXTRACT(CELL("address",'Raw Data'!G133),"\$([A-Z]+)\$[0-9]+"),"")</f>
        <v>$G$133</v>
      </c>
      <c r="I131" t="str" cm="1">
        <f t="array" aca="1" ref="I131" ca="1">IF('Raw Data'!H133="",_xlfn.REGEXEXTRACT(CELL("address",'Raw Data'!H133),"\$([A-Z]+)\$[0-9]+"),"")</f>
        <v>$H$133</v>
      </c>
    </row>
    <row r="132" spans="2:9" x14ac:dyDescent="0.25">
      <c r="B132" t="str" cm="1">
        <f t="array" aca="1" ref="B132" ca="1">IF('Raw Data'!B134="",_xlfn.REGEXEXTRACT(CELL("address",'Raw Data'!B134),"\$([A-Z]+)\$[0-9]+"),"")</f>
        <v>$B$134</v>
      </c>
      <c r="C132" t="str" cm="1">
        <f t="array" aca="1" ref="C132" ca="1">IF('Raw Data'!C134="",_xlfn.REGEXEXTRACT(CELL("address",'Raw Data'!C134),"\$([A-Z]+)\$[0-9]+"),"")</f>
        <v>$C$134</v>
      </c>
      <c r="D132" t="str" cm="1">
        <f t="array" aca="1" ref="D132" ca="1">IF('Raw Data'!D134="",_xlfn.REGEXEXTRACT(CELL("address",'Raw Data'!D134),"\$([A-Z]+)\$[0-9]+"),"")</f>
        <v>$D$134</v>
      </c>
      <c r="E132" t="str" cm="1">
        <f t="array" aca="1" ref="E132" ca="1">IF('Raw Data'!E134="",_xlfn.REGEXEXTRACT(CELL("address",'Raw Data'!E134),"\$([A-Z]+)\$[0-9]+"),"")</f>
        <v>$E$134</v>
      </c>
      <c r="F132" t="str" cm="1">
        <f t="array" aca="1" ref="F132" ca="1">IF('Raw Data'!F134="",_xlfn.REGEXEXTRACT(CELL("address",'Raw Data'!F134),"\$([A-Z]+)\$[0-9]+"),"")</f>
        <v>$F$134</v>
      </c>
      <c r="G132" t="e" cm="1">
        <f t="array" aca="1" ref="G132" ca="1">IF('Raw Data'!#REF!="",_xlfn.REGEXEXTRACT(CELL("address",'Raw Data'!#REF!),"\$([A-Z]+)\$[0-9]+"),"")</f>
        <v>#REF!</v>
      </c>
      <c r="H132" t="str" cm="1">
        <f t="array" aca="1" ref="H132" ca="1">IF('Raw Data'!G134="",_xlfn.REGEXEXTRACT(CELL("address",'Raw Data'!G134),"\$([A-Z]+)\$[0-9]+"),"")</f>
        <v>$G$134</v>
      </c>
      <c r="I132" t="str" cm="1">
        <f t="array" aca="1" ref="I132" ca="1">IF('Raw Data'!H134="",_xlfn.REGEXEXTRACT(CELL("address",'Raw Data'!H134),"\$([A-Z]+)\$[0-9]+"),"")</f>
        <v>$H$134</v>
      </c>
    </row>
    <row r="133" spans="2:9" x14ac:dyDescent="0.25">
      <c r="B133" t="str" cm="1">
        <f t="array" aca="1" ref="B133" ca="1">IF('Raw Data'!B135="",_xlfn.REGEXEXTRACT(CELL("address",'Raw Data'!B135),"\$([A-Z]+)\$[0-9]+"),"")</f>
        <v>$B$135</v>
      </c>
      <c r="C133" t="str" cm="1">
        <f t="array" aca="1" ref="C133" ca="1">IF('Raw Data'!C135="",_xlfn.REGEXEXTRACT(CELL("address",'Raw Data'!C135),"\$([A-Z]+)\$[0-9]+"),"")</f>
        <v>$C$135</v>
      </c>
      <c r="D133" t="str" cm="1">
        <f t="array" aca="1" ref="D133" ca="1">IF('Raw Data'!D135="",_xlfn.REGEXEXTRACT(CELL("address",'Raw Data'!D135),"\$([A-Z]+)\$[0-9]+"),"")</f>
        <v>$D$135</v>
      </c>
      <c r="E133" t="str" cm="1">
        <f t="array" aca="1" ref="E133" ca="1">IF('Raw Data'!E135="",_xlfn.REGEXEXTRACT(CELL("address",'Raw Data'!E135),"\$([A-Z]+)\$[0-9]+"),"")</f>
        <v>$E$135</v>
      </c>
      <c r="F133" t="str" cm="1">
        <f t="array" aca="1" ref="F133" ca="1">IF('Raw Data'!F135="",_xlfn.REGEXEXTRACT(CELL("address",'Raw Data'!F135),"\$([A-Z]+)\$[0-9]+"),"")</f>
        <v>$F$135</v>
      </c>
      <c r="G133" t="e" cm="1">
        <f t="array" aca="1" ref="G133" ca="1">IF('Raw Data'!#REF!="",_xlfn.REGEXEXTRACT(CELL("address",'Raw Data'!#REF!),"\$([A-Z]+)\$[0-9]+"),"")</f>
        <v>#REF!</v>
      </c>
      <c r="H133" t="str" cm="1">
        <f t="array" aca="1" ref="H133" ca="1">IF('Raw Data'!G135="",_xlfn.REGEXEXTRACT(CELL("address",'Raw Data'!G135),"\$([A-Z]+)\$[0-9]+"),"")</f>
        <v>$G$135</v>
      </c>
      <c r="I133" t="str" cm="1">
        <f t="array" aca="1" ref="I133" ca="1">IF('Raw Data'!H135="",_xlfn.REGEXEXTRACT(CELL("address",'Raw Data'!H135),"\$([A-Z]+)\$[0-9]+"),"")</f>
        <v>$H$135</v>
      </c>
    </row>
    <row r="134" spans="2:9" x14ac:dyDescent="0.25">
      <c r="B134" t="str" cm="1">
        <f t="array" aca="1" ref="B134" ca="1">IF('Raw Data'!B136="",_xlfn.REGEXEXTRACT(CELL("address",'Raw Data'!B136),"\$([A-Z]+)\$[0-9]+"),"")</f>
        <v>$B$136</v>
      </c>
      <c r="C134" t="str" cm="1">
        <f t="array" aca="1" ref="C134" ca="1">IF('Raw Data'!C136="",_xlfn.REGEXEXTRACT(CELL("address",'Raw Data'!C136),"\$([A-Z]+)\$[0-9]+"),"")</f>
        <v>$C$136</v>
      </c>
      <c r="D134" t="str" cm="1">
        <f t="array" aca="1" ref="D134" ca="1">IF('Raw Data'!D136="",_xlfn.REGEXEXTRACT(CELL("address",'Raw Data'!D136),"\$([A-Z]+)\$[0-9]+"),"")</f>
        <v>$D$136</v>
      </c>
      <c r="E134" t="str" cm="1">
        <f t="array" aca="1" ref="E134" ca="1">IF('Raw Data'!E136="",_xlfn.REGEXEXTRACT(CELL("address",'Raw Data'!E136),"\$([A-Z]+)\$[0-9]+"),"")</f>
        <v>$E$136</v>
      </c>
      <c r="F134" t="str" cm="1">
        <f t="array" aca="1" ref="F134" ca="1">IF('Raw Data'!F136="",_xlfn.REGEXEXTRACT(CELL("address",'Raw Data'!F136),"\$([A-Z]+)\$[0-9]+"),"")</f>
        <v>$F$136</v>
      </c>
      <c r="G134" t="e" cm="1">
        <f t="array" aca="1" ref="G134" ca="1">IF('Raw Data'!#REF!="",_xlfn.REGEXEXTRACT(CELL("address",'Raw Data'!#REF!),"\$([A-Z]+)\$[0-9]+"),"")</f>
        <v>#REF!</v>
      </c>
      <c r="H134" t="str" cm="1">
        <f t="array" aca="1" ref="H134" ca="1">IF('Raw Data'!G136="",_xlfn.REGEXEXTRACT(CELL("address",'Raw Data'!G136),"\$([A-Z]+)\$[0-9]+"),"")</f>
        <v>$G$136</v>
      </c>
      <c r="I134" t="str" cm="1">
        <f t="array" aca="1" ref="I134" ca="1">IF('Raw Data'!H136="",_xlfn.REGEXEXTRACT(CELL("address",'Raw Data'!H136),"\$([A-Z]+)\$[0-9]+"),"")</f>
        <v>$H$136</v>
      </c>
    </row>
    <row r="135" spans="2:9" x14ac:dyDescent="0.25">
      <c r="B135" t="str" cm="1">
        <f t="array" aca="1" ref="B135" ca="1">IF('Raw Data'!B137="",_xlfn.REGEXEXTRACT(CELL("address",'Raw Data'!B137),"\$([A-Z]+)\$[0-9]+"),"")</f>
        <v>$B$137</v>
      </c>
      <c r="C135" t="str" cm="1">
        <f t="array" aca="1" ref="C135" ca="1">IF('Raw Data'!C137="",_xlfn.REGEXEXTRACT(CELL("address",'Raw Data'!C137),"\$([A-Z]+)\$[0-9]+"),"")</f>
        <v>$C$137</v>
      </c>
      <c r="D135" t="str" cm="1">
        <f t="array" aca="1" ref="D135" ca="1">IF('Raw Data'!D137="",_xlfn.REGEXEXTRACT(CELL("address",'Raw Data'!D137),"\$([A-Z]+)\$[0-9]+"),"")</f>
        <v>$D$137</v>
      </c>
      <c r="E135" t="str" cm="1">
        <f t="array" aca="1" ref="E135" ca="1">IF('Raw Data'!E137="",_xlfn.REGEXEXTRACT(CELL("address",'Raw Data'!E137),"\$([A-Z]+)\$[0-9]+"),"")</f>
        <v>$E$137</v>
      </c>
      <c r="F135" t="str" cm="1">
        <f t="array" aca="1" ref="F135" ca="1">IF('Raw Data'!F137="",_xlfn.REGEXEXTRACT(CELL("address",'Raw Data'!F137),"\$([A-Z]+)\$[0-9]+"),"")</f>
        <v>$F$137</v>
      </c>
      <c r="G135" t="e" cm="1">
        <f t="array" aca="1" ref="G135" ca="1">IF('Raw Data'!#REF!="",_xlfn.REGEXEXTRACT(CELL("address",'Raw Data'!#REF!),"\$([A-Z]+)\$[0-9]+"),"")</f>
        <v>#REF!</v>
      </c>
      <c r="H135" t="str" cm="1">
        <f t="array" aca="1" ref="H135" ca="1">IF('Raw Data'!G137="",_xlfn.REGEXEXTRACT(CELL("address",'Raw Data'!G137),"\$([A-Z]+)\$[0-9]+"),"")</f>
        <v>$G$137</v>
      </c>
      <c r="I135" t="str" cm="1">
        <f t="array" aca="1" ref="I135" ca="1">IF('Raw Data'!H137="",_xlfn.REGEXEXTRACT(CELL("address",'Raw Data'!H137),"\$([A-Z]+)\$[0-9]+"),"")</f>
        <v>$H$137</v>
      </c>
    </row>
    <row r="136" spans="2:9" x14ac:dyDescent="0.25">
      <c r="B136" t="str" cm="1">
        <f t="array" aca="1" ref="B136" ca="1">IF('Raw Data'!B138="",_xlfn.REGEXEXTRACT(CELL("address",'Raw Data'!B138),"\$([A-Z]+)\$[0-9]+"),"")</f>
        <v>$B$138</v>
      </c>
      <c r="C136" t="str" cm="1">
        <f t="array" aca="1" ref="C136" ca="1">IF('Raw Data'!C138="",_xlfn.REGEXEXTRACT(CELL("address",'Raw Data'!C138),"\$([A-Z]+)\$[0-9]+"),"")</f>
        <v>$C$138</v>
      </c>
      <c r="D136" t="str" cm="1">
        <f t="array" aca="1" ref="D136" ca="1">IF('Raw Data'!D138="",_xlfn.REGEXEXTRACT(CELL("address",'Raw Data'!D138),"\$([A-Z]+)\$[0-9]+"),"")</f>
        <v>$D$138</v>
      </c>
      <c r="E136" t="str" cm="1">
        <f t="array" aca="1" ref="E136" ca="1">IF('Raw Data'!E138="",_xlfn.REGEXEXTRACT(CELL("address",'Raw Data'!E138),"\$([A-Z]+)\$[0-9]+"),"")</f>
        <v>$E$138</v>
      </c>
      <c r="F136" t="str" cm="1">
        <f t="array" aca="1" ref="F136" ca="1">IF('Raw Data'!F138="",_xlfn.REGEXEXTRACT(CELL("address",'Raw Data'!F138),"\$([A-Z]+)\$[0-9]+"),"")</f>
        <v>$F$138</v>
      </c>
      <c r="G136" t="e" cm="1">
        <f t="array" aca="1" ref="G136" ca="1">IF('Raw Data'!#REF!="",_xlfn.REGEXEXTRACT(CELL("address",'Raw Data'!#REF!),"\$([A-Z]+)\$[0-9]+"),"")</f>
        <v>#REF!</v>
      </c>
      <c r="H136" t="str" cm="1">
        <f t="array" aca="1" ref="H136" ca="1">IF('Raw Data'!G138="",_xlfn.REGEXEXTRACT(CELL("address",'Raw Data'!G138),"\$([A-Z]+)\$[0-9]+"),"")</f>
        <v>$G$138</v>
      </c>
      <c r="I136" t="str" cm="1">
        <f t="array" aca="1" ref="I136" ca="1">IF('Raw Data'!H138="",_xlfn.REGEXEXTRACT(CELL("address",'Raw Data'!H138),"\$([A-Z]+)\$[0-9]+"),"")</f>
        <v>$H$138</v>
      </c>
    </row>
    <row r="137" spans="2:9" x14ac:dyDescent="0.25">
      <c r="B137" t="str" cm="1">
        <f t="array" aca="1" ref="B137" ca="1">IF('Raw Data'!B139="",_xlfn.REGEXEXTRACT(CELL("address",'Raw Data'!B139),"\$([A-Z]+)\$[0-9]+"),"")</f>
        <v>$B$139</v>
      </c>
      <c r="C137" t="str" cm="1">
        <f t="array" aca="1" ref="C137" ca="1">IF('Raw Data'!C139="",_xlfn.REGEXEXTRACT(CELL("address",'Raw Data'!C139),"\$([A-Z]+)\$[0-9]+"),"")</f>
        <v>$C$139</v>
      </c>
      <c r="D137" t="str" cm="1">
        <f t="array" aca="1" ref="D137" ca="1">IF('Raw Data'!D139="",_xlfn.REGEXEXTRACT(CELL("address",'Raw Data'!D139),"\$([A-Z]+)\$[0-9]+"),"")</f>
        <v>$D$139</v>
      </c>
      <c r="E137" t="str" cm="1">
        <f t="array" aca="1" ref="E137" ca="1">IF('Raw Data'!E139="",_xlfn.REGEXEXTRACT(CELL("address",'Raw Data'!E139),"\$([A-Z]+)\$[0-9]+"),"")</f>
        <v>$E$139</v>
      </c>
      <c r="F137" t="str" cm="1">
        <f t="array" aca="1" ref="F137" ca="1">IF('Raw Data'!F139="",_xlfn.REGEXEXTRACT(CELL("address",'Raw Data'!F139),"\$([A-Z]+)\$[0-9]+"),"")</f>
        <v>$F$139</v>
      </c>
      <c r="G137" t="e" cm="1">
        <f t="array" aca="1" ref="G137" ca="1">IF('Raw Data'!#REF!="",_xlfn.REGEXEXTRACT(CELL("address",'Raw Data'!#REF!),"\$([A-Z]+)\$[0-9]+"),"")</f>
        <v>#REF!</v>
      </c>
      <c r="H137" t="str" cm="1">
        <f t="array" aca="1" ref="H137" ca="1">IF('Raw Data'!G139="",_xlfn.REGEXEXTRACT(CELL("address",'Raw Data'!G139),"\$([A-Z]+)\$[0-9]+"),"")</f>
        <v>$G$139</v>
      </c>
      <c r="I137" t="str" cm="1">
        <f t="array" aca="1" ref="I137" ca="1">IF('Raw Data'!H139="",_xlfn.REGEXEXTRACT(CELL("address",'Raw Data'!H139),"\$([A-Z]+)\$[0-9]+"),"")</f>
        <v>$H$139</v>
      </c>
    </row>
    <row r="138" spans="2:9" x14ac:dyDescent="0.25">
      <c r="B138" t="str" cm="1">
        <f t="array" aca="1" ref="B138" ca="1">IF('Raw Data'!B140="",_xlfn.REGEXEXTRACT(CELL("address",'Raw Data'!B140),"\$([A-Z]+)\$[0-9]+"),"")</f>
        <v>$B$140</v>
      </c>
      <c r="C138" t="str" cm="1">
        <f t="array" aca="1" ref="C138" ca="1">IF('Raw Data'!C140="",_xlfn.REGEXEXTRACT(CELL("address",'Raw Data'!C140),"\$([A-Z]+)\$[0-9]+"),"")</f>
        <v>$C$140</v>
      </c>
      <c r="D138" t="str" cm="1">
        <f t="array" aca="1" ref="D138" ca="1">IF('Raw Data'!D140="",_xlfn.REGEXEXTRACT(CELL("address",'Raw Data'!D140),"\$([A-Z]+)\$[0-9]+"),"")</f>
        <v>$D$140</v>
      </c>
      <c r="E138" t="str" cm="1">
        <f t="array" aca="1" ref="E138" ca="1">IF('Raw Data'!E140="",_xlfn.REGEXEXTRACT(CELL("address",'Raw Data'!E140),"\$([A-Z]+)\$[0-9]+"),"")</f>
        <v>$E$140</v>
      </c>
      <c r="F138" t="str" cm="1">
        <f t="array" aca="1" ref="F138" ca="1">IF('Raw Data'!F140="",_xlfn.REGEXEXTRACT(CELL("address",'Raw Data'!F140),"\$([A-Z]+)\$[0-9]+"),"")</f>
        <v>$F$140</v>
      </c>
      <c r="G138" t="e" cm="1">
        <f t="array" aca="1" ref="G138" ca="1">IF('Raw Data'!#REF!="",_xlfn.REGEXEXTRACT(CELL("address",'Raw Data'!#REF!),"\$([A-Z]+)\$[0-9]+"),"")</f>
        <v>#REF!</v>
      </c>
      <c r="H138" t="str" cm="1">
        <f t="array" aca="1" ref="H138" ca="1">IF('Raw Data'!G140="",_xlfn.REGEXEXTRACT(CELL("address",'Raw Data'!G140),"\$([A-Z]+)\$[0-9]+"),"")</f>
        <v>$G$140</v>
      </c>
      <c r="I138" t="str" cm="1">
        <f t="array" aca="1" ref="I138" ca="1">IF('Raw Data'!H140="",_xlfn.REGEXEXTRACT(CELL("address",'Raw Data'!H140),"\$([A-Z]+)\$[0-9]+"),"")</f>
        <v>$H$140</v>
      </c>
    </row>
    <row r="139" spans="2:9" x14ac:dyDescent="0.25">
      <c r="B139" t="str" cm="1">
        <f t="array" aca="1" ref="B139" ca="1">IF('Raw Data'!B141="",_xlfn.REGEXEXTRACT(CELL("address",'Raw Data'!B141),"\$([A-Z]+)\$[0-9]+"),"")</f>
        <v>$B$141</v>
      </c>
      <c r="C139" t="str" cm="1">
        <f t="array" aca="1" ref="C139" ca="1">IF('Raw Data'!C141="",_xlfn.REGEXEXTRACT(CELL("address",'Raw Data'!C141),"\$([A-Z]+)\$[0-9]+"),"")</f>
        <v>$C$141</v>
      </c>
      <c r="D139" t="str" cm="1">
        <f t="array" aca="1" ref="D139" ca="1">IF('Raw Data'!D141="",_xlfn.REGEXEXTRACT(CELL("address",'Raw Data'!D141),"\$([A-Z]+)\$[0-9]+"),"")</f>
        <v>$D$141</v>
      </c>
      <c r="E139" t="str" cm="1">
        <f t="array" aca="1" ref="E139" ca="1">IF('Raw Data'!E141="",_xlfn.REGEXEXTRACT(CELL("address",'Raw Data'!E141),"\$([A-Z]+)\$[0-9]+"),"")</f>
        <v>$E$141</v>
      </c>
      <c r="F139" t="str" cm="1">
        <f t="array" aca="1" ref="F139" ca="1">IF('Raw Data'!F141="",_xlfn.REGEXEXTRACT(CELL("address",'Raw Data'!F141),"\$([A-Z]+)\$[0-9]+"),"")</f>
        <v>$F$141</v>
      </c>
      <c r="G139" t="e" cm="1">
        <f t="array" aca="1" ref="G139" ca="1">IF('Raw Data'!#REF!="",_xlfn.REGEXEXTRACT(CELL("address",'Raw Data'!#REF!),"\$([A-Z]+)\$[0-9]+"),"")</f>
        <v>#REF!</v>
      </c>
      <c r="H139" t="str" cm="1">
        <f t="array" aca="1" ref="H139" ca="1">IF('Raw Data'!G141="",_xlfn.REGEXEXTRACT(CELL("address",'Raw Data'!G141),"\$([A-Z]+)\$[0-9]+"),"")</f>
        <v>$G$141</v>
      </c>
      <c r="I139" t="str" cm="1">
        <f t="array" aca="1" ref="I139" ca="1">IF('Raw Data'!H141="",_xlfn.REGEXEXTRACT(CELL("address",'Raw Data'!H141),"\$([A-Z]+)\$[0-9]+"),"")</f>
        <v>$H$141</v>
      </c>
    </row>
    <row r="140" spans="2:9" x14ac:dyDescent="0.25">
      <c r="B140" t="str" cm="1">
        <f t="array" aca="1" ref="B140" ca="1">IF('Raw Data'!B142="",_xlfn.REGEXEXTRACT(CELL("address",'Raw Data'!B142),"\$([A-Z]+)\$[0-9]+"),"")</f>
        <v>$B$142</v>
      </c>
      <c r="C140" t="str" cm="1">
        <f t="array" aca="1" ref="C140" ca="1">IF('Raw Data'!C142="",_xlfn.REGEXEXTRACT(CELL("address",'Raw Data'!C142),"\$([A-Z]+)\$[0-9]+"),"")</f>
        <v>$C$142</v>
      </c>
      <c r="D140" t="str" cm="1">
        <f t="array" aca="1" ref="D140" ca="1">IF('Raw Data'!D142="",_xlfn.REGEXEXTRACT(CELL("address",'Raw Data'!D142),"\$([A-Z]+)\$[0-9]+"),"")</f>
        <v>$D$142</v>
      </c>
      <c r="E140" t="str" cm="1">
        <f t="array" aca="1" ref="E140" ca="1">IF('Raw Data'!E142="",_xlfn.REGEXEXTRACT(CELL("address",'Raw Data'!E142),"\$([A-Z]+)\$[0-9]+"),"")</f>
        <v>$E$142</v>
      </c>
      <c r="F140" t="str" cm="1">
        <f t="array" aca="1" ref="F140" ca="1">IF('Raw Data'!F142="",_xlfn.REGEXEXTRACT(CELL("address",'Raw Data'!F142),"\$([A-Z]+)\$[0-9]+"),"")</f>
        <v>$F$142</v>
      </c>
      <c r="G140" t="e" cm="1">
        <f t="array" aca="1" ref="G140" ca="1">IF('Raw Data'!#REF!="",_xlfn.REGEXEXTRACT(CELL("address",'Raw Data'!#REF!),"\$([A-Z]+)\$[0-9]+"),"")</f>
        <v>#REF!</v>
      </c>
      <c r="H140" t="str" cm="1">
        <f t="array" aca="1" ref="H140" ca="1">IF('Raw Data'!G142="",_xlfn.REGEXEXTRACT(CELL("address",'Raw Data'!G142),"\$([A-Z]+)\$[0-9]+"),"")</f>
        <v>$G$142</v>
      </c>
      <c r="I140" t="str" cm="1">
        <f t="array" aca="1" ref="I140" ca="1">IF('Raw Data'!H142="",_xlfn.REGEXEXTRACT(CELL("address",'Raw Data'!H142),"\$([A-Z]+)\$[0-9]+"),"")</f>
        <v>$H$142</v>
      </c>
    </row>
    <row r="141" spans="2:9" x14ac:dyDescent="0.25">
      <c r="B141" t="str" cm="1">
        <f t="array" aca="1" ref="B141" ca="1">IF('Raw Data'!B143="",_xlfn.REGEXEXTRACT(CELL("address",'Raw Data'!B143),"\$([A-Z]+)\$[0-9]+"),"")</f>
        <v>$B$143</v>
      </c>
      <c r="C141" t="str" cm="1">
        <f t="array" aca="1" ref="C141" ca="1">IF('Raw Data'!C143="",_xlfn.REGEXEXTRACT(CELL("address",'Raw Data'!C143),"\$([A-Z]+)\$[0-9]+"),"")</f>
        <v>$C$143</v>
      </c>
      <c r="D141" t="str" cm="1">
        <f t="array" aca="1" ref="D141" ca="1">IF('Raw Data'!D143="",_xlfn.REGEXEXTRACT(CELL("address",'Raw Data'!D143),"\$([A-Z]+)\$[0-9]+"),"")</f>
        <v>$D$143</v>
      </c>
      <c r="E141" t="str" cm="1">
        <f t="array" aca="1" ref="E141" ca="1">IF('Raw Data'!E143="",_xlfn.REGEXEXTRACT(CELL("address",'Raw Data'!E143),"\$([A-Z]+)\$[0-9]+"),"")</f>
        <v>$E$143</v>
      </c>
      <c r="F141" t="str" cm="1">
        <f t="array" aca="1" ref="F141" ca="1">IF('Raw Data'!F143="",_xlfn.REGEXEXTRACT(CELL("address",'Raw Data'!F143),"\$([A-Z]+)\$[0-9]+"),"")</f>
        <v>$F$143</v>
      </c>
      <c r="G141" t="e" cm="1">
        <f t="array" aca="1" ref="G141" ca="1">IF('Raw Data'!#REF!="",_xlfn.REGEXEXTRACT(CELL("address",'Raw Data'!#REF!),"\$([A-Z]+)\$[0-9]+"),"")</f>
        <v>#REF!</v>
      </c>
      <c r="H141" t="str" cm="1">
        <f t="array" aca="1" ref="H141" ca="1">IF('Raw Data'!G143="",_xlfn.REGEXEXTRACT(CELL("address",'Raw Data'!G143),"\$([A-Z]+)\$[0-9]+"),"")</f>
        <v>$G$143</v>
      </c>
      <c r="I141" t="str" cm="1">
        <f t="array" aca="1" ref="I141" ca="1">IF('Raw Data'!H143="",_xlfn.REGEXEXTRACT(CELL("address",'Raw Data'!H143),"\$([A-Z]+)\$[0-9]+"),"")</f>
        <v>$H$143</v>
      </c>
    </row>
    <row r="142" spans="2:9" x14ac:dyDescent="0.25">
      <c r="B142" t="str" cm="1">
        <f t="array" aca="1" ref="B142" ca="1">IF('Raw Data'!B144="",_xlfn.REGEXEXTRACT(CELL("address",'Raw Data'!B144),"\$([A-Z]+)\$[0-9]+"),"")</f>
        <v>$B$144</v>
      </c>
      <c r="C142" t="str" cm="1">
        <f t="array" aca="1" ref="C142" ca="1">IF('Raw Data'!C144="",_xlfn.REGEXEXTRACT(CELL("address",'Raw Data'!C144),"\$([A-Z]+)\$[0-9]+"),"")</f>
        <v>$C$144</v>
      </c>
      <c r="D142" t="str" cm="1">
        <f t="array" aca="1" ref="D142" ca="1">IF('Raw Data'!D144="",_xlfn.REGEXEXTRACT(CELL("address",'Raw Data'!D144),"\$([A-Z]+)\$[0-9]+"),"")</f>
        <v>$D$144</v>
      </c>
      <c r="E142" t="str" cm="1">
        <f t="array" aca="1" ref="E142" ca="1">IF('Raw Data'!E144="",_xlfn.REGEXEXTRACT(CELL("address",'Raw Data'!E144),"\$([A-Z]+)\$[0-9]+"),"")</f>
        <v>$E$144</v>
      </c>
      <c r="F142" t="str" cm="1">
        <f t="array" aca="1" ref="F142" ca="1">IF('Raw Data'!F144="",_xlfn.REGEXEXTRACT(CELL("address",'Raw Data'!F144),"\$([A-Z]+)\$[0-9]+"),"")</f>
        <v>$F$144</v>
      </c>
      <c r="G142" t="e" cm="1">
        <f t="array" aca="1" ref="G142" ca="1">IF('Raw Data'!#REF!="",_xlfn.REGEXEXTRACT(CELL("address",'Raw Data'!#REF!),"\$([A-Z]+)\$[0-9]+"),"")</f>
        <v>#REF!</v>
      </c>
      <c r="H142" t="str" cm="1">
        <f t="array" aca="1" ref="H142" ca="1">IF('Raw Data'!G144="",_xlfn.REGEXEXTRACT(CELL("address",'Raw Data'!G144),"\$([A-Z]+)\$[0-9]+"),"")</f>
        <v>$G$144</v>
      </c>
      <c r="I142" t="str" cm="1">
        <f t="array" aca="1" ref="I142" ca="1">IF('Raw Data'!H144="",_xlfn.REGEXEXTRACT(CELL("address",'Raw Data'!H144),"\$([A-Z]+)\$[0-9]+"),"")</f>
        <v>$H$144</v>
      </c>
    </row>
    <row r="143" spans="2:9" x14ac:dyDescent="0.25">
      <c r="B143" t="str" cm="1">
        <f t="array" aca="1" ref="B143" ca="1">IF('Raw Data'!B145="",_xlfn.REGEXEXTRACT(CELL("address",'Raw Data'!B145),"\$([A-Z]+)\$[0-9]+"),"")</f>
        <v>$B$145</v>
      </c>
      <c r="C143" t="str" cm="1">
        <f t="array" aca="1" ref="C143" ca="1">IF('Raw Data'!C145="",_xlfn.REGEXEXTRACT(CELL("address",'Raw Data'!C145),"\$([A-Z]+)\$[0-9]+"),"")</f>
        <v>$C$145</v>
      </c>
      <c r="D143" t="str" cm="1">
        <f t="array" aca="1" ref="D143" ca="1">IF('Raw Data'!D145="",_xlfn.REGEXEXTRACT(CELL("address",'Raw Data'!D145),"\$([A-Z]+)\$[0-9]+"),"")</f>
        <v>$D$145</v>
      </c>
      <c r="E143" t="str" cm="1">
        <f t="array" aca="1" ref="E143" ca="1">IF('Raw Data'!E145="",_xlfn.REGEXEXTRACT(CELL("address",'Raw Data'!E145),"\$([A-Z]+)\$[0-9]+"),"")</f>
        <v>$E$145</v>
      </c>
      <c r="F143" t="str" cm="1">
        <f t="array" aca="1" ref="F143" ca="1">IF('Raw Data'!F145="",_xlfn.REGEXEXTRACT(CELL("address",'Raw Data'!F145),"\$([A-Z]+)\$[0-9]+"),"")</f>
        <v>$F$145</v>
      </c>
      <c r="G143" t="e" cm="1">
        <f t="array" aca="1" ref="G143" ca="1">IF('Raw Data'!#REF!="",_xlfn.REGEXEXTRACT(CELL("address",'Raw Data'!#REF!),"\$([A-Z]+)\$[0-9]+"),"")</f>
        <v>#REF!</v>
      </c>
      <c r="H143" t="str" cm="1">
        <f t="array" aca="1" ref="H143" ca="1">IF('Raw Data'!G145="",_xlfn.REGEXEXTRACT(CELL("address",'Raw Data'!G145),"\$([A-Z]+)\$[0-9]+"),"")</f>
        <v>$G$145</v>
      </c>
      <c r="I143" t="str" cm="1">
        <f t="array" aca="1" ref="I143" ca="1">IF('Raw Data'!H145="",_xlfn.REGEXEXTRACT(CELL("address",'Raw Data'!H145),"\$([A-Z]+)\$[0-9]+"),"")</f>
        <v>$H$145</v>
      </c>
    </row>
    <row r="144" spans="2:9" x14ac:dyDescent="0.25">
      <c r="B144" t="str" cm="1">
        <f t="array" aca="1" ref="B144" ca="1">IF('Raw Data'!B146="",_xlfn.REGEXEXTRACT(CELL("address",'Raw Data'!B146),"\$([A-Z]+)\$[0-9]+"),"")</f>
        <v>$B$146</v>
      </c>
      <c r="C144" t="str" cm="1">
        <f t="array" aca="1" ref="C144" ca="1">IF('Raw Data'!C146="",_xlfn.REGEXEXTRACT(CELL("address",'Raw Data'!C146),"\$([A-Z]+)\$[0-9]+"),"")</f>
        <v>$C$146</v>
      </c>
      <c r="D144" t="str" cm="1">
        <f t="array" aca="1" ref="D144" ca="1">IF('Raw Data'!D146="",_xlfn.REGEXEXTRACT(CELL("address",'Raw Data'!D146),"\$([A-Z]+)\$[0-9]+"),"")</f>
        <v>$D$146</v>
      </c>
      <c r="E144" t="str" cm="1">
        <f t="array" aca="1" ref="E144" ca="1">IF('Raw Data'!E146="",_xlfn.REGEXEXTRACT(CELL("address",'Raw Data'!E146),"\$([A-Z]+)\$[0-9]+"),"")</f>
        <v>$E$146</v>
      </c>
      <c r="F144" t="str" cm="1">
        <f t="array" aca="1" ref="F144" ca="1">IF('Raw Data'!F146="",_xlfn.REGEXEXTRACT(CELL("address",'Raw Data'!F146),"\$([A-Z]+)\$[0-9]+"),"")</f>
        <v>$F$146</v>
      </c>
      <c r="G144" t="e" cm="1">
        <f t="array" aca="1" ref="G144" ca="1">IF('Raw Data'!#REF!="",_xlfn.REGEXEXTRACT(CELL("address",'Raw Data'!#REF!),"\$([A-Z]+)\$[0-9]+"),"")</f>
        <v>#REF!</v>
      </c>
      <c r="H144" t="str" cm="1">
        <f t="array" aca="1" ref="H144" ca="1">IF('Raw Data'!G146="",_xlfn.REGEXEXTRACT(CELL("address",'Raw Data'!G146),"\$([A-Z]+)\$[0-9]+"),"")</f>
        <v>$G$146</v>
      </c>
      <c r="I144" t="str" cm="1">
        <f t="array" aca="1" ref="I144" ca="1">IF('Raw Data'!H146="",_xlfn.REGEXEXTRACT(CELL("address",'Raw Data'!H146),"\$([A-Z]+)\$[0-9]+"),"")</f>
        <v>$H$146</v>
      </c>
    </row>
    <row r="145" spans="2:9" x14ac:dyDescent="0.25">
      <c r="B145" t="str" cm="1">
        <f t="array" aca="1" ref="B145" ca="1">IF('Raw Data'!B147="",_xlfn.REGEXEXTRACT(CELL("address",'Raw Data'!B147),"\$([A-Z]+)\$[0-9]+"),"")</f>
        <v>$B$147</v>
      </c>
      <c r="C145" t="str" cm="1">
        <f t="array" aca="1" ref="C145" ca="1">IF('Raw Data'!C147="",_xlfn.REGEXEXTRACT(CELL("address",'Raw Data'!C147),"\$([A-Z]+)\$[0-9]+"),"")</f>
        <v>$C$147</v>
      </c>
      <c r="D145" t="str" cm="1">
        <f t="array" aca="1" ref="D145" ca="1">IF('Raw Data'!D147="",_xlfn.REGEXEXTRACT(CELL("address",'Raw Data'!D147),"\$([A-Z]+)\$[0-9]+"),"")</f>
        <v>$D$147</v>
      </c>
      <c r="E145" t="str" cm="1">
        <f t="array" aca="1" ref="E145" ca="1">IF('Raw Data'!E147="",_xlfn.REGEXEXTRACT(CELL("address",'Raw Data'!E147),"\$([A-Z]+)\$[0-9]+"),"")</f>
        <v>$E$147</v>
      </c>
      <c r="F145" t="str" cm="1">
        <f t="array" aca="1" ref="F145" ca="1">IF('Raw Data'!F147="",_xlfn.REGEXEXTRACT(CELL("address",'Raw Data'!F147),"\$([A-Z]+)\$[0-9]+"),"")</f>
        <v>$F$147</v>
      </c>
      <c r="G145" t="e" cm="1">
        <f t="array" aca="1" ref="G145" ca="1">IF('Raw Data'!#REF!="",_xlfn.REGEXEXTRACT(CELL("address",'Raw Data'!#REF!),"\$([A-Z]+)\$[0-9]+"),"")</f>
        <v>#REF!</v>
      </c>
      <c r="H145" t="str" cm="1">
        <f t="array" aca="1" ref="H145" ca="1">IF('Raw Data'!G147="",_xlfn.REGEXEXTRACT(CELL("address",'Raw Data'!G147),"\$([A-Z]+)\$[0-9]+"),"")</f>
        <v>$G$147</v>
      </c>
      <c r="I145" t="str" cm="1">
        <f t="array" aca="1" ref="I145" ca="1">IF('Raw Data'!H147="",_xlfn.REGEXEXTRACT(CELL("address",'Raw Data'!H147),"\$([A-Z]+)\$[0-9]+"),"")</f>
        <v>$H$147</v>
      </c>
    </row>
    <row r="146" spans="2:9" x14ac:dyDescent="0.25">
      <c r="B146" t="str" cm="1">
        <f t="array" aca="1" ref="B146" ca="1">IF('Raw Data'!B148="",_xlfn.REGEXEXTRACT(CELL("address",'Raw Data'!B148),"\$([A-Z]+)\$[0-9]+"),"")</f>
        <v>$B$148</v>
      </c>
      <c r="C146" t="str" cm="1">
        <f t="array" aca="1" ref="C146" ca="1">IF('Raw Data'!C148="",_xlfn.REGEXEXTRACT(CELL("address",'Raw Data'!C148),"\$([A-Z]+)\$[0-9]+"),"")</f>
        <v>$C$148</v>
      </c>
      <c r="D146" t="str" cm="1">
        <f t="array" aca="1" ref="D146" ca="1">IF('Raw Data'!D148="",_xlfn.REGEXEXTRACT(CELL("address",'Raw Data'!D148),"\$([A-Z]+)\$[0-9]+"),"")</f>
        <v>$D$148</v>
      </c>
      <c r="E146" t="str" cm="1">
        <f t="array" aca="1" ref="E146" ca="1">IF('Raw Data'!E148="",_xlfn.REGEXEXTRACT(CELL("address",'Raw Data'!E148),"\$([A-Z]+)\$[0-9]+"),"")</f>
        <v>$E$148</v>
      </c>
      <c r="F146" t="str" cm="1">
        <f t="array" aca="1" ref="F146" ca="1">IF('Raw Data'!F148="",_xlfn.REGEXEXTRACT(CELL("address",'Raw Data'!F148),"\$([A-Z]+)\$[0-9]+"),"")</f>
        <v>$F$148</v>
      </c>
      <c r="G146" t="e" cm="1">
        <f t="array" aca="1" ref="G146" ca="1">IF('Raw Data'!#REF!="",_xlfn.REGEXEXTRACT(CELL("address",'Raw Data'!#REF!),"\$([A-Z]+)\$[0-9]+"),"")</f>
        <v>#REF!</v>
      </c>
      <c r="H146" t="str" cm="1">
        <f t="array" aca="1" ref="H146" ca="1">IF('Raw Data'!G148="",_xlfn.REGEXEXTRACT(CELL("address",'Raw Data'!G148),"\$([A-Z]+)\$[0-9]+"),"")</f>
        <v>$G$148</v>
      </c>
      <c r="I146" t="str" cm="1">
        <f t="array" aca="1" ref="I146" ca="1">IF('Raw Data'!H148="",_xlfn.REGEXEXTRACT(CELL("address",'Raw Data'!H148),"\$([A-Z]+)\$[0-9]+"),"")</f>
        <v>$H$148</v>
      </c>
    </row>
    <row r="147" spans="2:9" x14ac:dyDescent="0.25">
      <c r="B147" t="str" cm="1">
        <f t="array" aca="1" ref="B147" ca="1">IF('Raw Data'!B149="",_xlfn.REGEXEXTRACT(CELL("address",'Raw Data'!B149),"\$([A-Z]+)\$[0-9]+"),"")</f>
        <v>$B$149</v>
      </c>
      <c r="C147" t="str" cm="1">
        <f t="array" aca="1" ref="C147" ca="1">IF('Raw Data'!C149="",_xlfn.REGEXEXTRACT(CELL("address",'Raw Data'!C149),"\$([A-Z]+)\$[0-9]+"),"")</f>
        <v>$C$149</v>
      </c>
      <c r="D147" t="str" cm="1">
        <f t="array" aca="1" ref="D147" ca="1">IF('Raw Data'!D149="",_xlfn.REGEXEXTRACT(CELL("address",'Raw Data'!D149),"\$([A-Z]+)\$[0-9]+"),"")</f>
        <v>$D$149</v>
      </c>
      <c r="E147" t="str" cm="1">
        <f t="array" aca="1" ref="E147" ca="1">IF('Raw Data'!E149="",_xlfn.REGEXEXTRACT(CELL("address",'Raw Data'!E149),"\$([A-Z]+)\$[0-9]+"),"")</f>
        <v>$E$149</v>
      </c>
      <c r="F147" t="str" cm="1">
        <f t="array" aca="1" ref="F147" ca="1">IF('Raw Data'!F149="",_xlfn.REGEXEXTRACT(CELL("address",'Raw Data'!F149),"\$([A-Z]+)\$[0-9]+"),"")</f>
        <v>$F$149</v>
      </c>
      <c r="G147" t="e" cm="1">
        <f t="array" aca="1" ref="G147" ca="1">IF('Raw Data'!#REF!="",_xlfn.REGEXEXTRACT(CELL("address",'Raw Data'!#REF!),"\$([A-Z]+)\$[0-9]+"),"")</f>
        <v>#REF!</v>
      </c>
      <c r="H147" t="str" cm="1">
        <f t="array" aca="1" ref="H147" ca="1">IF('Raw Data'!G149="",_xlfn.REGEXEXTRACT(CELL("address",'Raw Data'!G149),"\$([A-Z]+)\$[0-9]+"),"")</f>
        <v>$G$149</v>
      </c>
      <c r="I147" t="str" cm="1">
        <f t="array" aca="1" ref="I147" ca="1">IF('Raw Data'!H149="",_xlfn.REGEXEXTRACT(CELL("address",'Raw Data'!H149),"\$([A-Z]+)\$[0-9]+"),"")</f>
        <v>$H$149</v>
      </c>
    </row>
    <row r="148" spans="2:9" x14ac:dyDescent="0.25">
      <c r="B148" t="str" cm="1">
        <f t="array" aca="1" ref="B148" ca="1">IF('Raw Data'!B150="",_xlfn.REGEXEXTRACT(CELL("address",'Raw Data'!B150),"\$([A-Z]+)\$[0-9]+"),"")</f>
        <v>$B$150</v>
      </c>
      <c r="C148" t="str" cm="1">
        <f t="array" aca="1" ref="C148" ca="1">IF('Raw Data'!C150="",_xlfn.REGEXEXTRACT(CELL("address",'Raw Data'!C150),"\$([A-Z]+)\$[0-9]+"),"")</f>
        <v>$C$150</v>
      </c>
      <c r="D148" t="str" cm="1">
        <f t="array" aca="1" ref="D148" ca="1">IF('Raw Data'!D150="",_xlfn.REGEXEXTRACT(CELL("address",'Raw Data'!D150),"\$([A-Z]+)\$[0-9]+"),"")</f>
        <v>$D$150</v>
      </c>
      <c r="E148" t="str" cm="1">
        <f t="array" aca="1" ref="E148" ca="1">IF('Raw Data'!E150="",_xlfn.REGEXEXTRACT(CELL("address",'Raw Data'!E150),"\$([A-Z]+)\$[0-9]+"),"")</f>
        <v>$E$150</v>
      </c>
      <c r="F148" t="str" cm="1">
        <f t="array" aca="1" ref="F148" ca="1">IF('Raw Data'!F150="",_xlfn.REGEXEXTRACT(CELL("address",'Raw Data'!F150),"\$([A-Z]+)\$[0-9]+"),"")</f>
        <v>$F$150</v>
      </c>
      <c r="G148" t="e" cm="1">
        <f t="array" aca="1" ref="G148" ca="1">IF('Raw Data'!#REF!="",_xlfn.REGEXEXTRACT(CELL("address",'Raw Data'!#REF!),"\$([A-Z]+)\$[0-9]+"),"")</f>
        <v>#REF!</v>
      </c>
      <c r="H148" t="str" cm="1">
        <f t="array" aca="1" ref="H148" ca="1">IF('Raw Data'!G150="",_xlfn.REGEXEXTRACT(CELL("address",'Raw Data'!G150),"\$([A-Z]+)\$[0-9]+"),"")</f>
        <v>$G$150</v>
      </c>
      <c r="I148" t="str" cm="1">
        <f t="array" aca="1" ref="I148" ca="1">IF('Raw Data'!H150="",_xlfn.REGEXEXTRACT(CELL("address",'Raw Data'!H150),"\$([A-Z]+)\$[0-9]+"),"")</f>
        <v>$H$150</v>
      </c>
    </row>
    <row r="149" spans="2:9" x14ac:dyDescent="0.25">
      <c r="B149" t="str" cm="1">
        <f t="array" aca="1" ref="B149" ca="1">IF('Raw Data'!B151="",_xlfn.REGEXEXTRACT(CELL("address",'Raw Data'!B151),"\$([A-Z]+)\$[0-9]+"),"")</f>
        <v>$B$151</v>
      </c>
      <c r="C149" t="str" cm="1">
        <f t="array" aca="1" ref="C149" ca="1">IF('Raw Data'!C151="",_xlfn.REGEXEXTRACT(CELL("address",'Raw Data'!C151),"\$([A-Z]+)\$[0-9]+"),"")</f>
        <v>$C$151</v>
      </c>
      <c r="D149" t="str" cm="1">
        <f t="array" aca="1" ref="D149" ca="1">IF('Raw Data'!D151="",_xlfn.REGEXEXTRACT(CELL("address",'Raw Data'!D151),"\$([A-Z]+)\$[0-9]+"),"")</f>
        <v>$D$151</v>
      </c>
      <c r="E149" t="str" cm="1">
        <f t="array" aca="1" ref="E149" ca="1">IF('Raw Data'!E151="",_xlfn.REGEXEXTRACT(CELL("address",'Raw Data'!E151),"\$([A-Z]+)\$[0-9]+"),"")</f>
        <v>$E$151</v>
      </c>
      <c r="F149" t="str" cm="1">
        <f t="array" aca="1" ref="F149" ca="1">IF('Raw Data'!F151="",_xlfn.REGEXEXTRACT(CELL("address",'Raw Data'!F151),"\$([A-Z]+)\$[0-9]+"),"")</f>
        <v>$F$151</v>
      </c>
      <c r="G149" t="e" cm="1">
        <f t="array" aca="1" ref="G149" ca="1">IF('Raw Data'!#REF!="",_xlfn.REGEXEXTRACT(CELL("address",'Raw Data'!#REF!),"\$([A-Z]+)\$[0-9]+"),"")</f>
        <v>#REF!</v>
      </c>
      <c r="H149" t="str" cm="1">
        <f t="array" aca="1" ref="H149" ca="1">IF('Raw Data'!G151="",_xlfn.REGEXEXTRACT(CELL("address",'Raw Data'!G151),"\$([A-Z]+)\$[0-9]+"),"")</f>
        <v>$G$151</v>
      </c>
      <c r="I149" t="str" cm="1">
        <f t="array" aca="1" ref="I149" ca="1">IF('Raw Data'!H151="",_xlfn.REGEXEXTRACT(CELL("address",'Raw Data'!H151),"\$([A-Z]+)\$[0-9]+"),"")</f>
        <v>$H$151</v>
      </c>
    </row>
    <row r="150" spans="2:9" x14ac:dyDescent="0.25">
      <c r="B150" t="str" cm="1">
        <f t="array" aca="1" ref="B150" ca="1">IF('Raw Data'!B152="",_xlfn.REGEXEXTRACT(CELL("address",'Raw Data'!B152),"\$([A-Z]+)\$[0-9]+"),"")</f>
        <v>$B$152</v>
      </c>
      <c r="C150" t="str" cm="1">
        <f t="array" aca="1" ref="C150" ca="1">IF('Raw Data'!C152="",_xlfn.REGEXEXTRACT(CELL("address",'Raw Data'!C152),"\$([A-Z]+)\$[0-9]+"),"")</f>
        <v>$C$152</v>
      </c>
      <c r="D150" t="str" cm="1">
        <f t="array" aca="1" ref="D150" ca="1">IF('Raw Data'!D152="",_xlfn.REGEXEXTRACT(CELL("address",'Raw Data'!D152),"\$([A-Z]+)\$[0-9]+"),"")</f>
        <v>$D$152</v>
      </c>
      <c r="E150" t="str" cm="1">
        <f t="array" aca="1" ref="E150" ca="1">IF('Raw Data'!E152="",_xlfn.REGEXEXTRACT(CELL("address",'Raw Data'!E152),"\$([A-Z]+)\$[0-9]+"),"")</f>
        <v>$E$152</v>
      </c>
      <c r="F150" t="str" cm="1">
        <f t="array" aca="1" ref="F150" ca="1">IF('Raw Data'!F152="",_xlfn.REGEXEXTRACT(CELL("address",'Raw Data'!F152),"\$([A-Z]+)\$[0-9]+"),"")</f>
        <v>$F$152</v>
      </c>
      <c r="G150" t="e" cm="1">
        <f t="array" aca="1" ref="G150" ca="1">IF('Raw Data'!#REF!="",_xlfn.REGEXEXTRACT(CELL("address",'Raw Data'!#REF!),"\$([A-Z]+)\$[0-9]+"),"")</f>
        <v>#REF!</v>
      </c>
      <c r="H150" t="str" cm="1">
        <f t="array" aca="1" ref="H150" ca="1">IF('Raw Data'!G152="",_xlfn.REGEXEXTRACT(CELL("address",'Raw Data'!G152),"\$([A-Z]+)\$[0-9]+"),"")</f>
        <v>$G$152</v>
      </c>
      <c r="I150" t="str" cm="1">
        <f t="array" aca="1" ref="I150" ca="1">IF('Raw Data'!H152="",_xlfn.REGEXEXTRACT(CELL("address",'Raw Data'!H152),"\$([A-Z]+)\$[0-9]+"),"")</f>
        <v>$H$152</v>
      </c>
    </row>
    <row r="151" spans="2:9" x14ac:dyDescent="0.25">
      <c r="B151" t="str" cm="1">
        <f t="array" aca="1" ref="B151" ca="1">IF('Raw Data'!B153="",_xlfn.REGEXEXTRACT(CELL("address",'Raw Data'!B153),"\$([A-Z]+)\$[0-9]+"),"")</f>
        <v>$B$153</v>
      </c>
      <c r="C151" t="str" cm="1">
        <f t="array" aca="1" ref="C151" ca="1">IF('Raw Data'!C153="",_xlfn.REGEXEXTRACT(CELL("address",'Raw Data'!C153),"\$([A-Z]+)\$[0-9]+"),"")</f>
        <v>$C$153</v>
      </c>
      <c r="D151" t="str" cm="1">
        <f t="array" aca="1" ref="D151" ca="1">IF('Raw Data'!D153="",_xlfn.REGEXEXTRACT(CELL("address",'Raw Data'!D153),"\$([A-Z]+)\$[0-9]+"),"")</f>
        <v>$D$153</v>
      </c>
      <c r="E151" t="str" cm="1">
        <f t="array" aca="1" ref="E151" ca="1">IF('Raw Data'!E153="",_xlfn.REGEXEXTRACT(CELL("address",'Raw Data'!E153),"\$([A-Z]+)\$[0-9]+"),"")</f>
        <v>$E$153</v>
      </c>
      <c r="F151" t="str" cm="1">
        <f t="array" aca="1" ref="F151" ca="1">IF('Raw Data'!F153="",_xlfn.REGEXEXTRACT(CELL("address",'Raw Data'!F153),"\$([A-Z]+)\$[0-9]+"),"")</f>
        <v>$F$153</v>
      </c>
      <c r="G151" t="e" cm="1">
        <f t="array" aca="1" ref="G151" ca="1">IF('Raw Data'!#REF!="",_xlfn.REGEXEXTRACT(CELL("address",'Raw Data'!#REF!),"\$([A-Z]+)\$[0-9]+"),"")</f>
        <v>#REF!</v>
      </c>
      <c r="H151" t="str" cm="1">
        <f t="array" aca="1" ref="H151" ca="1">IF('Raw Data'!G153="",_xlfn.REGEXEXTRACT(CELL("address",'Raw Data'!G153),"\$([A-Z]+)\$[0-9]+"),"")</f>
        <v>$G$153</v>
      </c>
      <c r="I151" t="str" cm="1">
        <f t="array" aca="1" ref="I151" ca="1">IF('Raw Data'!H153="",_xlfn.REGEXEXTRACT(CELL("address",'Raw Data'!H153),"\$([A-Z]+)\$[0-9]+"),"")</f>
        <v>$H$153</v>
      </c>
    </row>
    <row r="152" spans="2:9" x14ac:dyDescent="0.25">
      <c r="B152" t="str" cm="1">
        <f t="array" aca="1" ref="B152" ca="1">IF('Raw Data'!B154="",_xlfn.REGEXEXTRACT(CELL("address",'Raw Data'!B154),"\$([A-Z]+)\$[0-9]+"),"")</f>
        <v>$B$154</v>
      </c>
      <c r="C152" t="str" cm="1">
        <f t="array" aca="1" ref="C152" ca="1">IF('Raw Data'!C154="",_xlfn.REGEXEXTRACT(CELL("address",'Raw Data'!C154),"\$([A-Z]+)\$[0-9]+"),"")</f>
        <v>$C$154</v>
      </c>
      <c r="D152" t="str" cm="1">
        <f t="array" aca="1" ref="D152" ca="1">IF('Raw Data'!D154="",_xlfn.REGEXEXTRACT(CELL("address",'Raw Data'!D154),"\$([A-Z]+)\$[0-9]+"),"")</f>
        <v>$D$154</v>
      </c>
      <c r="E152" t="str" cm="1">
        <f t="array" aca="1" ref="E152" ca="1">IF('Raw Data'!E154="",_xlfn.REGEXEXTRACT(CELL("address",'Raw Data'!E154),"\$([A-Z]+)\$[0-9]+"),"")</f>
        <v>$E$154</v>
      </c>
      <c r="F152" t="str" cm="1">
        <f t="array" aca="1" ref="F152" ca="1">IF('Raw Data'!F154="",_xlfn.REGEXEXTRACT(CELL("address",'Raw Data'!F154),"\$([A-Z]+)\$[0-9]+"),"")</f>
        <v>$F$154</v>
      </c>
      <c r="G152" t="e" cm="1">
        <f t="array" aca="1" ref="G152" ca="1">IF('Raw Data'!#REF!="",_xlfn.REGEXEXTRACT(CELL("address",'Raw Data'!#REF!),"\$([A-Z]+)\$[0-9]+"),"")</f>
        <v>#REF!</v>
      </c>
      <c r="H152" t="str" cm="1">
        <f t="array" aca="1" ref="H152" ca="1">IF('Raw Data'!G154="",_xlfn.REGEXEXTRACT(CELL("address",'Raw Data'!G154),"\$([A-Z]+)\$[0-9]+"),"")</f>
        <v>$G$154</v>
      </c>
      <c r="I152" t="str" cm="1">
        <f t="array" aca="1" ref="I152" ca="1">IF('Raw Data'!H154="",_xlfn.REGEXEXTRACT(CELL("address",'Raw Data'!H154),"\$([A-Z]+)\$[0-9]+"),"")</f>
        <v>$H$154</v>
      </c>
    </row>
    <row r="153" spans="2:9" x14ac:dyDescent="0.25">
      <c r="B153" t="str" cm="1">
        <f t="array" aca="1" ref="B153" ca="1">IF('Raw Data'!B155="",_xlfn.REGEXEXTRACT(CELL("address",'Raw Data'!B155),"\$([A-Z]+)\$[0-9]+"),"")</f>
        <v>$B$155</v>
      </c>
      <c r="C153" t="str" cm="1">
        <f t="array" aca="1" ref="C153" ca="1">IF('Raw Data'!C155="",_xlfn.REGEXEXTRACT(CELL("address",'Raw Data'!C155),"\$([A-Z]+)\$[0-9]+"),"")</f>
        <v>$C$155</v>
      </c>
      <c r="D153" t="str" cm="1">
        <f t="array" aca="1" ref="D153" ca="1">IF('Raw Data'!D155="",_xlfn.REGEXEXTRACT(CELL("address",'Raw Data'!D155),"\$([A-Z]+)\$[0-9]+"),"")</f>
        <v>$D$155</v>
      </c>
      <c r="E153" t="str" cm="1">
        <f t="array" aca="1" ref="E153" ca="1">IF('Raw Data'!E155="",_xlfn.REGEXEXTRACT(CELL("address",'Raw Data'!E155),"\$([A-Z]+)\$[0-9]+"),"")</f>
        <v>$E$155</v>
      </c>
      <c r="F153" t="str" cm="1">
        <f t="array" aca="1" ref="F153" ca="1">IF('Raw Data'!F155="",_xlfn.REGEXEXTRACT(CELL("address",'Raw Data'!F155),"\$([A-Z]+)\$[0-9]+"),"")</f>
        <v>$F$155</v>
      </c>
      <c r="G153" t="e" cm="1">
        <f t="array" aca="1" ref="G153" ca="1">IF('Raw Data'!#REF!="",_xlfn.REGEXEXTRACT(CELL("address",'Raw Data'!#REF!),"\$([A-Z]+)\$[0-9]+"),"")</f>
        <v>#REF!</v>
      </c>
      <c r="H153" t="str" cm="1">
        <f t="array" aca="1" ref="H153" ca="1">IF('Raw Data'!G155="",_xlfn.REGEXEXTRACT(CELL("address",'Raw Data'!G155),"\$([A-Z]+)\$[0-9]+"),"")</f>
        <v>$G$155</v>
      </c>
      <c r="I153" t="str" cm="1">
        <f t="array" aca="1" ref="I153" ca="1">IF('Raw Data'!H155="",_xlfn.REGEXEXTRACT(CELL("address",'Raw Data'!H155),"\$([A-Z]+)\$[0-9]+"),"")</f>
        <v>$H$155</v>
      </c>
    </row>
    <row r="154" spans="2:9" x14ac:dyDescent="0.25">
      <c r="B154" t="str" cm="1">
        <f t="array" aca="1" ref="B154" ca="1">IF('Raw Data'!B156="",_xlfn.REGEXEXTRACT(CELL("address",'Raw Data'!B156),"\$([A-Z]+)\$[0-9]+"),"")</f>
        <v>$B$156</v>
      </c>
      <c r="C154" t="str" cm="1">
        <f t="array" aca="1" ref="C154" ca="1">IF('Raw Data'!C156="",_xlfn.REGEXEXTRACT(CELL("address",'Raw Data'!C156),"\$([A-Z]+)\$[0-9]+"),"")</f>
        <v>$C$156</v>
      </c>
      <c r="D154" t="str" cm="1">
        <f t="array" aca="1" ref="D154" ca="1">IF('Raw Data'!D156="",_xlfn.REGEXEXTRACT(CELL("address",'Raw Data'!D156),"\$([A-Z]+)\$[0-9]+"),"")</f>
        <v>$D$156</v>
      </c>
      <c r="E154" t="str" cm="1">
        <f t="array" aca="1" ref="E154" ca="1">IF('Raw Data'!E156="",_xlfn.REGEXEXTRACT(CELL("address",'Raw Data'!E156),"\$([A-Z]+)\$[0-9]+"),"")</f>
        <v>$E$156</v>
      </c>
      <c r="F154" t="str" cm="1">
        <f t="array" aca="1" ref="F154" ca="1">IF('Raw Data'!F156="",_xlfn.REGEXEXTRACT(CELL("address",'Raw Data'!F156),"\$([A-Z]+)\$[0-9]+"),"")</f>
        <v>$F$156</v>
      </c>
      <c r="G154" t="e" cm="1">
        <f t="array" aca="1" ref="G154" ca="1">IF('Raw Data'!#REF!="",_xlfn.REGEXEXTRACT(CELL("address",'Raw Data'!#REF!),"\$([A-Z]+)\$[0-9]+"),"")</f>
        <v>#REF!</v>
      </c>
      <c r="H154" t="str" cm="1">
        <f t="array" aca="1" ref="H154" ca="1">IF('Raw Data'!G156="",_xlfn.REGEXEXTRACT(CELL("address",'Raw Data'!G156),"\$([A-Z]+)\$[0-9]+"),"")</f>
        <v>$G$156</v>
      </c>
      <c r="I154" t="str" cm="1">
        <f t="array" aca="1" ref="I154" ca="1">IF('Raw Data'!H156="",_xlfn.REGEXEXTRACT(CELL("address",'Raw Data'!H156),"\$([A-Z]+)\$[0-9]+"),"")</f>
        <v>$H$156</v>
      </c>
    </row>
    <row r="155" spans="2:9" x14ac:dyDescent="0.25">
      <c r="B155" t="str" cm="1">
        <f t="array" aca="1" ref="B155" ca="1">IF('Raw Data'!B157="",_xlfn.REGEXEXTRACT(CELL("address",'Raw Data'!B157),"\$([A-Z]+)\$[0-9]+"),"")</f>
        <v>$B$157</v>
      </c>
      <c r="C155" t="str" cm="1">
        <f t="array" aca="1" ref="C155" ca="1">IF('Raw Data'!C157="",_xlfn.REGEXEXTRACT(CELL("address",'Raw Data'!C157),"\$([A-Z]+)\$[0-9]+"),"")</f>
        <v>$C$157</v>
      </c>
      <c r="D155" t="str" cm="1">
        <f t="array" aca="1" ref="D155" ca="1">IF('Raw Data'!D157="",_xlfn.REGEXEXTRACT(CELL("address",'Raw Data'!D157),"\$([A-Z]+)\$[0-9]+"),"")</f>
        <v>$D$157</v>
      </c>
      <c r="E155" t="str" cm="1">
        <f t="array" aca="1" ref="E155" ca="1">IF('Raw Data'!E157="",_xlfn.REGEXEXTRACT(CELL("address",'Raw Data'!E157),"\$([A-Z]+)\$[0-9]+"),"")</f>
        <v>$E$157</v>
      </c>
      <c r="F155" t="str" cm="1">
        <f t="array" aca="1" ref="F155" ca="1">IF('Raw Data'!F157="",_xlfn.REGEXEXTRACT(CELL("address",'Raw Data'!F157),"\$([A-Z]+)\$[0-9]+"),"")</f>
        <v>$F$157</v>
      </c>
      <c r="G155" t="e" cm="1">
        <f t="array" aca="1" ref="G155" ca="1">IF('Raw Data'!#REF!="",_xlfn.REGEXEXTRACT(CELL("address",'Raw Data'!#REF!),"\$([A-Z]+)\$[0-9]+"),"")</f>
        <v>#REF!</v>
      </c>
      <c r="H155" t="str" cm="1">
        <f t="array" aca="1" ref="H155" ca="1">IF('Raw Data'!G157="",_xlfn.REGEXEXTRACT(CELL("address",'Raw Data'!G157),"\$([A-Z]+)\$[0-9]+"),"")</f>
        <v>$G$157</v>
      </c>
      <c r="I155" t="str" cm="1">
        <f t="array" aca="1" ref="I155" ca="1">IF('Raw Data'!H157="",_xlfn.REGEXEXTRACT(CELL("address",'Raw Data'!H157),"\$([A-Z]+)\$[0-9]+"),"")</f>
        <v>$H$157</v>
      </c>
    </row>
    <row r="156" spans="2:9" x14ac:dyDescent="0.25">
      <c r="B156" t="str" cm="1">
        <f t="array" aca="1" ref="B156" ca="1">IF('Raw Data'!B158="",_xlfn.REGEXEXTRACT(CELL("address",'Raw Data'!B158),"\$([A-Z]+)\$[0-9]+"),"")</f>
        <v>$B$158</v>
      </c>
      <c r="C156" t="str" cm="1">
        <f t="array" aca="1" ref="C156" ca="1">IF('Raw Data'!C158="",_xlfn.REGEXEXTRACT(CELL("address",'Raw Data'!C158),"\$([A-Z]+)\$[0-9]+"),"")</f>
        <v>$C$158</v>
      </c>
      <c r="D156" t="str" cm="1">
        <f t="array" aca="1" ref="D156" ca="1">IF('Raw Data'!D158="",_xlfn.REGEXEXTRACT(CELL("address",'Raw Data'!D158),"\$([A-Z]+)\$[0-9]+"),"")</f>
        <v>$D$158</v>
      </c>
      <c r="E156" t="str" cm="1">
        <f t="array" aca="1" ref="E156" ca="1">IF('Raw Data'!E158="",_xlfn.REGEXEXTRACT(CELL("address",'Raw Data'!E158),"\$([A-Z]+)\$[0-9]+"),"")</f>
        <v>$E$158</v>
      </c>
      <c r="F156" t="str" cm="1">
        <f t="array" aca="1" ref="F156" ca="1">IF('Raw Data'!F158="",_xlfn.REGEXEXTRACT(CELL("address",'Raw Data'!F158),"\$([A-Z]+)\$[0-9]+"),"")</f>
        <v>$F$158</v>
      </c>
      <c r="G156" t="e" cm="1">
        <f t="array" aca="1" ref="G156" ca="1">IF('Raw Data'!#REF!="",_xlfn.REGEXEXTRACT(CELL("address",'Raw Data'!#REF!),"\$([A-Z]+)\$[0-9]+"),"")</f>
        <v>#REF!</v>
      </c>
      <c r="H156" t="str" cm="1">
        <f t="array" aca="1" ref="H156" ca="1">IF('Raw Data'!G158="",_xlfn.REGEXEXTRACT(CELL("address",'Raw Data'!G158),"\$([A-Z]+)\$[0-9]+"),"")</f>
        <v>$G$158</v>
      </c>
      <c r="I156" t="str" cm="1">
        <f t="array" aca="1" ref="I156" ca="1">IF('Raw Data'!H158="",_xlfn.REGEXEXTRACT(CELL("address",'Raw Data'!H158),"\$([A-Z]+)\$[0-9]+"),"")</f>
        <v>$H$158</v>
      </c>
    </row>
    <row r="157" spans="2:9" x14ac:dyDescent="0.25">
      <c r="B157" t="str" cm="1">
        <f t="array" aca="1" ref="B157" ca="1">IF('Raw Data'!B159="",_xlfn.REGEXEXTRACT(CELL("address",'Raw Data'!B159),"\$([A-Z]+)\$[0-9]+"),"")</f>
        <v>$B$159</v>
      </c>
      <c r="C157" t="str" cm="1">
        <f t="array" aca="1" ref="C157" ca="1">IF('Raw Data'!C159="",_xlfn.REGEXEXTRACT(CELL("address",'Raw Data'!C159),"\$([A-Z]+)\$[0-9]+"),"")</f>
        <v>$C$159</v>
      </c>
      <c r="D157" t="str" cm="1">
        <f t="array" aca="1" ref="D157" ca="1">IF('Raw Data'!D159="",_xlfn.REGEXEXTRACT(CELL("address",'Raw Data'!D159),"\$([A-Z]+)\$[0-9]+"),"")</f>
        <v>$D$159</v>
      </c>
      <c r="E157" t="str" cm="1">
        <f t="array" aca="1" ref="E157" ca="1">IF('Raw Data'!E159="",_xlfn.REGEXEXTRACT(CELL("address",'Raw Data'!E159),"\$([A-Z]+)\$[0-9]+"),"")</f>
        <v>$E$159</v>
      </c>
      <c r="F157" t="str" cm="1">
        <f t="array" aca="1" ref="F157" ca="1">IF('Raw Data'!F159="",_xlfn.REGEXEXTRACT(CELL("address",'Raw Data'!F159),"\$([A-Z]+)\$[0-9]+"),"")</f>
        <v>$F$159</v>
      </c>
      <c r="G157" t="e" cm="1">
        <f t="array" aca="1" ref="G157" ca="1">IF('Raw Data'!#REF!="",_xlfn.REGEXEXTRACT(CELL("address",'Raw Data'!#REF!),"\$([A-Z]+)\$[0-9]+"),"")</f>
        <v>#REF!</v>
      </c>
      <c r="H157" t="str" cm="1">
        <f t="array" aca="1" ref="H157" ca="1">IF('Raw Data'!G159="",_xlfn.REGEXEXTRACT(CELL("address",'Raw Data'!G159),"\$([A-Z]+)\$[0-9]+"),"")</f>
        <v>$G$159</v>
      </c>
      <c r="I157" t="str" cm="1">
        <f t="array" aca="1" ref="I157" ca="1">IF('Raw Data'!H159="",_xlfn.REGEXEXTRACT(CELL("address",'Raw Data'!H159),"\$([A-Z]+)\$[0-9]+"),"")</f>
        <v>$H$159</v>
      </c>
    </row>
    <row r="158" spans="2:9" x14ac:dyDescent="0.25">
      <c r="B158" t="str" cm="1">
        <f t="array" aca="1" ref="B158" ca="1">IF('Raw Data'!B160="",_xlfn.REGEXEXTRACT(CELL("address",'Raw Data'!B160),"\$([A-Z]+)\$[0-9]+"),"")</f>
        <v>$B$160</v>
      </c>
      <c r="C158" t="str" cm="1">
        <f t="array" aca="1" ref="C158" ca="1">IF('Raw Data'!C160="",_xlfn.REGEXEXTRACT(CELL("address",'Raw Data'!C160),"\$([A-Z]+)\$[0-9]+"),"")</f>
        <v>$C$160</v>
      </c>
      <c r="D158" t="str" cm="1">
        <f t="array" aca="1" ref="D158" ca="1">IF('Raw Data'!D160="",_xlfn.REGEXEXTRACT(CELL("address",'Raw Data'!D160),"\$([A-Z]+)\$[0-9]+"),"")</f>
        <v>$D$160</v>
      </c>
      <c r="E158" t="str" cm="1">
        <f t="array" aca="1" ref="E158" ca="1">IF('Raw Data'!E160="",_xlfn.REGEXEXTRACT(CELL("address",'Raw Data'!E160),"\$([A-Z]+)\$[0-9]+"),"")</f>
        <v>$E$160</v>
      </c>
      <c r="F158" t="str" cm="1">
        <f t="array" aca="1" ref="F158" ca="1">IF('Raw Data'!F160="",_xlfn.REGEXEXTRACT(CELL("address",'Raw Data'!F160),"\$([A-Z]+)\$[0-9]+"),"")</f>
        <v>$F$160</v>
      </c>
      <c r="G158" t="e" cm="1">
        <f t="array" aca="1" ref="G158" ca="1">IF('Raw Data'!#REF!="",_xlfn.REGEXEXTRACT(CELL("address",'Raw Data'!#REF!),"\$([A-Z]+)\$[0-9]+"),"")</f>
        <v>#REF!</v>
      </c>
      <c r="H158" t="str" cm="1">
        <f t="array" aca="1" ref="H158" ca="1">IF('Raw Data'!G160="",_xlfn.REGEXEXTRACT(CELL("address",'Raw Data'!G160),"\$([A-Z]+)\$[0-9]+"),"")</f>
        <v>$G$160</v>
      </c>
      <c r="I158" t="str" cm="1">
        <f t="array" aca="1" ref="I158" ca="1">IF('Raw Data'!H160="",_xlfn.REGEXEXTRACT(CELL("address",'Raw Data'!H160),"\$([A-Z]+)\$[0-9]+"),"")</f>
        <v>$H$160</v>
      </c>
    </row>
    <row r="159" spans="2:9" x14ac:dyDescent="0.25">
      <c r="B159" t="str" cm="1">
        <f t="array" aca="1" ref="B159" ca="1">IF('Raw Data'!B161="",_xlfn.REGEXEXTRACT(CELL("address",'Raw Data'!B161),"\$([A-Z]+)\$[0-9]+"),"")</f>
        <v>$B$161</v>
      </c>
      <c r="C159" t="str" cm="1">
        <f t="array" aca="1" ref="C159" ca="1">IF('Raw Data'!C161="",_xlfn.REGEXEXTRACT(CELL("address",'Raw Data'!C161),"\$([A-Z]+)\$[0-9]+"),"")</f>
        <v>$C$161</v>
      </c>
      <c r="D159" t="str" cm="1">
        <f t="array" aca="1" ref="D159" ca="1">IF('Raw Data'!D161="",_xlfn.REGEXEXTRACT(CELL("address",'Raw Data'!D161),"\$([A-Z]+)\$[0-9]+"),"")</f>
        <v>$D$161</v>
      </c>
      <c r="E159" t="str" cm="1">
        <f t="array" aca="1" ref="E159" ca="1">IF('Raw Data'!E161="",_xlfn.REGEXEXTRACT(CELL("address",'Raw Data'!E161),"\$([A-Z]+)\$[0-9]+"),"")</f>
        <v>$E$161</v>
      </c>
      <c r="F159" t="str" cm="1">
        <f t="array" aca="1" ref="F159" ca="1">IF('Raw Data'!F161="",_xlfn.REGEXEXTRACT(CELL("address",'Raw Data'!F161),"\$([A-Z]+)\$[0-9]+"),"")</f>
        <v>$F$161</v>
      </c>
      <c r="G159" t="e" cm="1">
        <f t="array" aca="1" ref="G159" ca="1">IF('Raw Data'!#REF!="",_xlfn.REGEXEXTRACT(CELL("address",'Raw Data'!#REF!),"\$([A-Z]+)\$[0-9]+"),"")</f>
        <v>#REF!</v>
      </c>
      <c r="H159" t="str" cm="1">
        <f t="array" aca="1" ref="H159" ca="1">IF('Raw Data'!G161="",_xlfn.REGEXEXTRACT(CELL("address",'Raw Data'!G161),"\$([A-Z]+)\$[0-9]+"),"")</f>
        <v>$G$161</v>
      </c>
      <c r="I159" t="str" cm="1">
        <f t="array" aca="1" ref="I159" ca="1">IF('Raw Data'!H161="",_xlfn.REGEXEXTRACT(CELL("address",'Raw Data'!H161),"\$([A-Z]+)\$[0-9]+"),"")</f>
        <v>$H$161</v>
      </c>
    </row>
    <row r="160" spans="2:9" x14ac:dyDescent="0.25">
      <c r="B160" t="str" cm="1">
        <f t="array" aca="1" ref="B160" ca="1">IF('Raw Data'!B162="",_xlfn.REGEXEXTRACT(CELL("address",'Raw Data'!B162),"\$([A-Z]+)\$[0-9]+"),"")</f>
        <v>$B$162</v>
      </c>
      <c r="C160" t="str" cm="1">
        <f t="array" aca="1" ref="C160" ca="1">IF('Raw Data'!C162="",_xlfn.REGEXEXTRACT(CELL("address",'Raw Data'!C162),"\$([A-Z]+)\$[0-9]+"),"")</f>
        <v>$C$162</v>
      </c>
      <c r="D160" t="str" cm="1">
        <f t="array" aca="1" ref="D160" ca="1">IF('Raw Data'!D162="",_xlfn.REGEXEXTRACT(CELL("address",'Raw Data'!D162),"\$([A-Z]+)\$[0-9]+"),"")</f>
        <v>$D$162</v>
      </c>
      <c r="E160" t="str" cm="1">
        <f t="array" aca="1" ref="E160" ca="1">IF('Raw Data'!E162="",_xlfn.REGEXEXTRACT(CELL("address",'Raw Data'!E162),"\$([A-Z]+)\$[0-9]+"),"")</f>
        <v>$E$162</v>
      </c>
      <c r="F160" t="str" cm="1">
        <f t="array" aca="1" ref="F160" ca="1">IF('Raw Data'!F162="",_xlfn.REGEXEXTRACT(CELL("address",'Raw Data'!F162),"\$([A-Z]+)\$[0-9]+"),"")</f>
        <v>$F$162</v>
      </c>
      <c r="G160" t="e" cm="1">
        <f t="array" aca="1" ref="G160" ca="1">IF('Raw Data'!#REF!="",_xlfn.REGEXEXTRACT(CELL("address",'Raw Data'!#REF!),"\$([A-Z]+)\$[0-9]+"),"")</f>
        <v>#REF!</v>
      </c>
      <c r="H160" t="str" cm="1">
        <f t="array" aca="1" ref="H160" ca="1">IF('Raw Data'!G162="",_xlfn.REGEXEXTRACT(CELL("address",'Raw Data'!G162),"\$([A-Z]+)\$[0-9]+"),"")</f>
        <v>$G$162</v>
      </c>
      <c r="I160" t="str" cm="1">
        <f t="array" aca="1" ref="I160" ca="1">IF('Raw Data'!H162="",_xlfn.REGEXEXTRACT(CELL("address",'Raw Data'!H162),"\$([A-Z]+)\$[0-9]+"),"")</f>
        <v>$H$162</v>
      </c>
    </row>
    <row r="161" spans="2:9" x14ac:dyDescent="0.25">
      <c r="B161" t="str" cm="1">
        <f t="array" aca="1" ref="B161" ca="1">IF('Raw Data'!B163="",_xlfn.REGEXEXTRACT(CELL("address",'Raw Data'!B163),"\$([A-Z]+)\$[0-9]+"),"")</f>
        <v>$B$163</v>
      </c>
      <c r="C161" t="str" cm="1">
        <f t="array" aca="1" ref="C161" ca="1">IF('Raw Data'!C163="",_xlfn.REGEXEXTRACT(CELL("address",'Raw Data'!C163),"\$([A-Z]+)\$[0-9]+"),"")</f>
        <v>$C$163</v>
      </c>
      <c r="D161" t="str" cm="1">
        <f t="array" aca="1" ref="D161" ca="1">IF('Raw Data'!D163="",_xlfn.REGEXEXTRACT(CELL("address",'Raw Data'!D163),"\$([A-Z]+)\$[0-9]+"),"")</f>
        <v>$D$163</v>
      </c>
      <c r="E161" t="str" cm="1">
        <f t="array" aca="1" ref="E161" ca="1">IF('Raw Data'!E163="",_xlfn.REGEXEXTRACT(CELL("address",'Raw Data'!E163),"\$([A-Z]+)\$[0-9]+"),"")</f>
        <v>$E$163</v>
      </c>
      <c r="F161" t="str" cm="1">
        <f t="array" aca="1" ref="F161" ca="1">IF('Raw Data'!F163="",_xlfn.REGEXEXTRACT(CELL("address",'Raw Data'!F163),"\$([A-Z]+)\$[0-9]+"),"")</f>
        <v>$F$163</v>
      </c>
      <c r="G161" t="e" cm="1">
        <f t="array" aca="1" ref="G161" ca="1">IF('Raw Data'!#REF!="",_xlfn.REGEXEXTRACT(CELL("address",'Raw Data'!#REF!),"\$([A-Z]+)\$[0-9]+"),"")</f>
        <v>#REF!</v>
      </c>
      <c r="H161" t="str" cm="1">
        <f t="array" aca="1" ref="H161" ca="1">IF('Raw Data'!G163="",_xlfn.REGEXEXTRACT(CELL("address",'Raw Data'!G163),"\$([A-Z]+)\$[0-9]+"),"")</f>
        <v>$G$163</v>
      </c>
      <c r="I161" t="str" cm="1">
        <f t="array" aca="1" ref="I161" ca="1">IF('Raw Data'!H163="",_xlfn.REGEXEXTRACT(CELL("address",'Raw Data'!H163),"\$([A-Z]+)\$[0-9]+"),"")</f>
        <v>$H$163</v>
      </c>
    </row>
    <row r="162" spans="2:9" x14ac:dyDescent="0.25">
      <c r="B162" t="str" cm="1">
        <f t="array" aca="1" ref="B162" ca="1">IF('Raw Data'!B164="",_xlfn.REGEXEXTRACT(CELL("address",'Raw Data'!B164),"\$([A-Z]+)\$[0-9]+"),"")</f>
        <v>$B$164</v>
      </c>
      <c r="C162" t="str" cm="1">
        <f t="array" aca="1" ref="C162" ca="1">IF('Raw Data'!C164="",_xlfn.REGEXEXTRACT(CELL("address",'Raw Data'!C164),"\$([A-Z]+)\$[0-9]+"),"")</f>
        <v>$C$164</v>
      </c>
      <c r="D162" t="str" cm="1">
        <f t="array" aca="1" ref="D162" ca="1">IF('Raw Data'!D164="",_xlfn.REGEXEXTRACT(CELL("address",'Raw Data'!D164),"\$([A-Z]+)\$[0-9]+"),"")</f>
        <v>$D$164</v>
      </c>
      <c r="E162" t="str" cm="1">
        <f t="array" aca="1" ref="E162" ca="1">IF('Raw Data'!E164="",_xlfn.REGEXEXTRACT(CELL("address",'Raw Data'!E164),"\$([A-Z]+)\$[0-9]+"),"")</f>
        <v>$E$164</v>
      </c>
      <c r="F162" t="str" cm="1">
        <f t="array" aca="1" ref="F162" ca="1">IF('Raw Data'!F164="",_xlfn.REGEXEXTRACT(CELL("address",'Raw Data'!F164),"\$([A-Z]+)\$[0-9]+"),"")</f>
        <v>$F$164</v>
      </c>
      <c r="G162" t="e" cm="1">
        <f t="array" aca="1" ref="G162" ca="1">IF('Raw Data'!#REF!="",_xlfn.REGEXEXTRACT(CELL("address",'Raw Data'!#REF!),"\$([A-Z]+)\$[0-9]+"),"")</f>
        <v>#REF!</v>
      </c>
      <c r="H162" t="str" cm="1">
        <f t="array" aca="1" ref="H162" ca="1">IF('Raw Data'!G164="",_xlfn.REGEXEXTRACT(CELL("address",'Raw Data'!G164),"\$([A-Z]+)\$[0-9]+"),"")</f>
        <v>$G$164</v>
      </c>
      <c r="I162" t="str" cm="1">
        <f t="array" aca="1" ref="I162" ca="1">IF('Raw Data'!H164="",_xlfn.REGEXEXTRACT(CELL("address",'Raw Data'!H164),"\$([A-Z]+)\$[0-9]+"),"")</f>
        <v>$H$164</v>
      </c>
    </row>
    <row r="163" spans="2:9" x14ac:dyDescent="0.25">
      <c r="B163" t="str" cm="1">
        <f t="array" aca="1" ref="B163" ca="1">IF('Raw Data'!B165="",_xlfn.REGEXEXTRACT(CELL("address",'Raw Data'!B165),"\$([A-Z]+)\$[0-9]+"),"")</f>
        <v>$B$165</v>
      </c>
      <c r="C163" t="str" cm="1">
        <f t="array" aca="1" ref="C163" ca="1">IF('Raw Data'!C165="",_xlfn.REGEXEXTRACT(CELL("address",'Raw Data'!C165),"\$([A-Z]+)\$[0-9]+"),"")</f>
        <v>$C$165</v>
      </c>
      <c r="D163" t="str" cm="1">
        <f t="array" aca="1" ref="D163" ca="1">IF('Raw Data'!D165="",_xlfn.REGEXEXTRACT(CELL("address",'Raw Data'!D165),"\$([A-Z]+)\$[0-9]+"),"")</f>
        <v>$D$165</v>
      </c>
      <c r="E163" t="str" cm="1">
        <f t="array" aca="1" ref="E163" ca="1">IF('Raw Data'!E165="",_xlfn.REGEXEXTRACT(CELL("address",'Raw Data'!E165),"\$([A-Z]+)\$[0-9]+"),"")</f>
        <v>$E$165</v>
      </c>
      <c r="F163" t="str" cm="1">
        <f t="array" aca="1" ref="F163" ca="1">IF('Raw Data'!F165="",_xlfn.REGEXEXTRACT(CELL("address",'Raw Data'!F165),"\$([A-Z]+)\$[0-9]+"),"")</f>
        <v>$F$165</v>
      </c>
      <c r="G163" t="e" cm="1">
        <f t="array" aca="1" ref="G163" ca="1">IF('Raw Data'!#REF!="",_xlfn.REGEXEXTRACT(CELL("address",'Raw Data'!#REF!),"\$([A-Z]+)\$[0-9]+"),"")</f>
        <v>#REF!</v>
      </c>
      <c r="H163" t="str" cm="1">
        <f t="array" aca="1" ref="H163" ca="1">IF('Raw Data'!G165="",_xlfn.REGEXEXTRACT(CELL("address",'Raw Data'!G165),"\$([A-Z]+)\$[0-9]+"),"")</f>
        <v>$G$165</v>
      </c>
      <c r="I163" t="str" cm="1">
        <f t="array" aca="1" ref="I163" ca="1">IF('Raw Data'!H165="",_xlfn.REGEXEXTRACT(CELL("address",'Raw Data'!H165),"\$([A-Z]+)\$[0-9]+"),"")</f>
        <v>$H$165</v>
      </c>
    </row>
    <row r="164" spans="2:9" x14ac:dyDescent="0.25">
      <c r="B164" t="str" cm="1">
        <f t="array" aca="1" ref="B164" ca="1">IF('Raw Data'!B166="",_xlfn.REGEXEXTRACT(CELL("address",'Raw Data'!B166),"\$([A-Z]+)\$[0-9]+"),"")</f>
        <v>$B$166</v>
      </c>
      <c r="C164" t="str" cm="1">
        <f t="array" aca="1" ref="C164" ca="1">IF('Raw Data'!C166="",_xlfn.REGEXEXTRACT(CELL("address",'Raw Data'!C166),"\$([A-Z]+)\$[0-9]+"),"")</f>
        <v>$C$166</v>
      </c>
      <c r="D164" t="str" cm="1">
        <f t="array" aca="1" ref="D164" ca="1">IF('Raw Data'!D166="",_xlfn.REGEXEXTRACT(CELL("address",'Raw Data'!D166),"\$([A-Z]+)\$[0-9]+"),"")</f>
        <v>$D$166</v>
      </c>
      <c r="E164" t="str" cm="1">
        <f t="array" aca="1" ref="E164" ca="1">IF('Raw Data'!E166="",_xlfn.REGEXEXTRACT(CELL("address",'Raw Data'!E166),"\$([A-Z]+)\$[0-9]+"),"")</f>
        <v>$E$166</v>
      </c>
      <c r="F164" t="str" cm="1">
        <f t="array" aca="1" ref="F164" ca="1">IF('Raw Data'!F166="",_xlfn.REGEXEXTRACT(CELL("address",'Raw Data'!F166),"\$([A-Z]+)\$[0-9]+"),"")</f>
        <v>$F$166</v>
      </c>
      <c r="G164" t="e" cm="1">
        <f t="array" aca="1" ref="G164" ca="1">IF('Raw Data'!#REF!="",_xlfn.REGEXEXTRACT(CELL("address",'Raw Data'!#REF!),"\$([A-Z]+)\$[0-9]+"),"")</f>
        <v>#REF!</v>
      </c>
      <c r="H164" t="str" cm="1">
        <f t="array" aca="1" ref="H164" ca="1">IF('Raw Data'!G166="",_xlfn.REGEXEXTRACT(CELL("address",'Raw Data'!G166),"\$([A-Z]+)\$[0-9]+"),"")</f>
        <v>$G$166</v>
      </c>
      <c r="I164" t="str" cm="1">
        <f t="array" aca="1" ref="I164" ca="1">IF('Raw Data'!H166="",_xlfn.REGEXEXTRACT(CELL("address",'Raw Data'!H166),"\$([A-Z]+)\$[0-9]+"),"")</f>
        <v>$H$166</v>
      </c>
    </row>
    <row r="165" spans="2:9" x14ac:dyDescent="0.25">
      <c r="B165" t="str" cm="1">
        <f t="array" aca="1" ref="B165" ca="1">IF('Raw Data'!B167="",_xlfn.REGEXEXTRACT(CELL("address",'Raw Data'!B167),"\$([A-Z]+)\$[0-9]+"),"")</f>
        <v>$B$167</v>
      </c>
      <c r="C165" t="str" cm="1">
        <f t="array" aca="1" ref="C165" ca="1">IF('Raw Data'!C167="",_xlfn.REGEXEXTRACT(CELL("address",'Raw Data'!C167),"\$([A-Z]+)\$[0-9]+"),"")</f>
        <v>$C$167</v>
      </c>
      <c r="D165" t="str" cm="1">
        <f t="array" aca="1" ref="D165" ca="1">IF('Raw Data'!D167="",_xlfn.REGEXEXTRACT(CELL("address",'Raw Data'!D167),"\$([A-Z]+)\$[0-9]+"),"")</f>
        <v>$D$167</v>
      </c>
      <c r="E165" t="str" cm="1">
        <f t="array" aca="1" ref="E165" ca="1">IF('Raw Data'!E167="",_xlfn.REGEXEXTRACT(CELL("address",'Raw Data'!E167),"\$([A-Z]+)\$[0-9]+"),"")</f>
        <v>$E$167</v>
      </c>
      <c r="F165" t="str" cm="1">
        <f t="array" aca="1" ref="F165" ca="1">IF('Raw Data'!F167="",_xlfn.REGEXEXTRACT(CELL("address",'Raw Data'!F167),"\$([A-Z]+)\$[0-9]+"),"")</f>
        <v>$F$167</v>
      </c>
      <c r="G165" t="e" cm="1">
        <f t="array" aca="1" ref="G165" ca="1">IF('Raw Data'!#REF!="",_xlfn.REGEXEXTRACT(CELL("address",'Raw Data'!#REF!),"\$([A-Z]+)\$[0-9]+"),"")</f>
        <v>#REF!</v>
      </c>
      <c r="H165" t="str" cm="1">
        <f t="array" aca="1" ref="H165" ca="1">IF('Raw Data'!G167="",_xlfn.REGEXEXTRACT(CELL("address",'Raw Data'!G167),"\$([A-Z]+)\$[0-9]+"),"")</f>
        <v>$G$167</v>
      </c>
      <c r="I165" t="str" cm="1">
        <f t="array" aca="1" ref="I165" ca="1">IF('Raw Data'!H167="",_xlfn.REGEXEXTRACT(CELL("address",'Raw Data'!H167),"\$([A-Z]+)\$[0-9]+"),"")</f>
        <v>$H$167</v>
      </c>
    </row>
    <row r="166" spans="2:9" x14ac:dyDescent="0.25">
      <c r="B166" t="str" cm="1">
        <f t="array" aca="1" ref="B166" ca="1">IF('Raw Data'!B168="",_xlfn.REGEXEXTRACT(CELL("address",'Raw Data'!B168),"\$([A-Z]+)\$[0-9]+"),"")</f>
        <v>$B$168</v>
      </c>
      <c r="C166" t="str" cm="1">
        <f t="array" aca="1" ref="C166" ca="1">IF('Raw Data'!C168="",_xlfn.REGEXEXTRACT(CELL("address",'Raw Data'!C168),"\$([A-Z]+)\$[0-9]+"),"")</f>
        <v>$C$168</v>
      </c>
      <c r="D166" t="str" cm="1">
        <f t="array" aca="1" ref="D166" ca="1">IF('Raw Data'!D168="",_xlfn.REGEXEXTRACT(CELL("address",'Raw Data'!D168),"\$([A-Z]+)\$[0-9]+"),"")</f>
        <v>$D$168</v>
      </c>
      <c r="E166" t="str" cm="1">
        <f t="array" aca="1" ref="E166" ca="1">IF('Raw Data'!E168="",_xlfn.REGEXEXTRACT(CELL("address",'Raw Data'!E168),"\$([A-Z]+)\$[0-9]+"),"")</f>
        <v>$E$168</v>
      </c>
      <c r="F166" t="str" cm="1">
        <f t="array" aca="1" ref="F166" ca="1">IF('Raw Data'!F168="",_xlfn.REGEXEXTRACT(CELL("address",'Raw Data'!F168),"\$([A-Z]+)\$[0-9]+"),"")</f>
        <v>$F$168</v>
      </c>
      <c r="G166" t="e" cm="1">
        <f t="array" aca="1" ref="G166" ca="1">IF('Raw Data'!#REF!="",_xlfn.REGEXEXTRACT(CELL("address",'Raw Data'!#REF!),"\$([A-Z]+)\$[0-9]+"),"")</f>
        <v>#REF!</v>
      </c>
      <c r="H166" t="str" cm="1">
        <f t="array" aca="1" ref="H166" ca="1">IF('Raw Data'!G168="",_xlfn.REGEXEXTRACT(CELL("address",'Raw Data'!G168),"\$([A-Z]+)\$[0-9]+"),"")</f>
        <v>$G$168</v>
      </c>
      <c r="I166" t="str" cm="1">
        <f t="array" aca="1" ref="I166" ca="1">IF('Raw Data'!H168="",_xlfn.REGEXEXTRACT(CELL("address",'Raw Data'!H168),"\$([A-Z]+)\$[0-9]+"),"")</f>
        <v>$H$168</v>
      </c>
    </row>
    <row r="167" spans="2:9" x14ac:dyDescent="0.25">
      <c r="B167" t="str" cm="1">
        <f t="array" aca="1" ref="B167" ca="1">IF('Raw Data'!B169="",_xlfn.REGEXEXTRACT(CELL("address",'Raw Data'!B169),"\$([A-Z]+)\$[0-9]+"),"")</f>
        <v>$B$169</v>
      </c>
      <c r="C167" t="str" cm="1">
        <f t="array" aca="1" ref="C167" ca="1">IF('Raw Data'!C169="",_xlfn.REGEXEXTRACT(CELL("address",'Raw Data'!C169),"\$([A-Z]+)\$[0-9]+"),"")</f>
        <v>$C$169</v>
      </c>
      <c r="D167" t="str" cm="1">
        <f t="array" aca="1" ref="D167" ca="1">IF('Raw Data'!D169="",_xlfn.REGEXEXTRACT(CELL("address",'Raw Data'!D169),"\$([A-Z]+)\$[0-9]+"),"")</f>
        <v>$D$169</v>
      </c>
      <c r="E167" t="str" cm="1">
        <f t="array" aca="1" ref="E167" ca="1">IF('Raw Data'!E169="",_xlfn.REGEXEXTRACT(CELL("address",'Raw Data'!E169),"\$([A-Z]+)\$[0-9]+"),"")</f>
        <v>$E$169</v>
      </c>
      <c r="F167" t="str" cm="1">
        <f t="array" aca="1" ref="F167" ca="1">IF('Raw Data'!F169="",_xlfn.REGEXEXTRACT(CELL("address",'Raw Data'!F169),"\$([A-Z]+)\$[0-9]+"),"")</f>
        <v>$F$169</v>
      </c>
      <c r="G167" t="e" cm="1">
        <f t="array" aca="1" ref="G167" ca="1">IF('Raw Data'!#REF!="",_xlfn.REGEXEXTRACT(CELL("address",'Raw Data'!#REF!),"\$([A-Z]+)\$[0-9]+"),"")</f>
        <v>#REF!</v>
      </c>
      <c r="H167" t="str" cm="1">
        <f t="array" aca="1" ref="H167" ca="1">IF('Raw Data'!G169="",_xlfn.REGEXEXTRACT(CELL("address",'Raw Data'!G169),"\$([A-Z]+)\$[0-9]+"),"")</f>
        <v>$G$169</v>
      </c>
      <c r="I167" t="str" cm="1">
        <f t="array" aca="1" ref="I167" ca="1">IF('Raw Data'!H169="",_xlfn.REGEXEXTRACT(CELL("address",'Raw Data'!H169),"\$([A-Z]+)\$[0-9]+"),"")</f>
        <v>$H$169</v>
      </c>
    </row>
    <row r="168" spans="2:9" x14ac:dyDescent="0.25">
      <c r="B168" t="str" cm="1">
        <f t="array" aca="1" ref="B168" ca="1">IF('Raw Data'!B170="",_xlfn.REGEXEXTRACT(CELL("address",'Raw Data'!B170),"\$([A-Z]+)\$[0-9]+"),"")</f>
        <v>$B$170</v>
      </c>
      <c r="C168" t="str" cm="1">
        <f t="array" aca="1" ref="C168" ca="1">IF('Raw Data'!C170="",_xlfn.REGEXEXTRACT(CELL("address",'Raw Data'!C170),"\$([A-Z]+)\$[0-9]+"),"")</f>
        <v>$C$170</v>
      </c>
      <c r="D168" t="str" cm="1">
        <f t="array" aca="1" ref="D168" ca="1">IF('Raw Data'!D170="",_xlfn.REGEXEXTRACT(CELL("address",'Raw Data'!D170),"\$([A-Z]+)\$[0-9]+"),"")</f>
        <v>$D$170</v>
      </c>
      <c r="E168" t="str" cm="1">
        <f t="array" aca="1" ref="E168" ca="1">IF('Raw Data'!E170="",_xlfn.REGEXEXTRACT(CELL("address",'Raw Data'!E170),"\$([A-Z]+)\$[0-9]+"),"")</f>
        <v>$E$170</v>
      </c>
      <c r="F168" t="str" cm="1">
        <f t="array" aca="1" ref="F168" ca="1">IF('Raw Data'!F170="",_xlfn.REGEXEXTRACT(CELL("address",'Raw Data'!F170),"\$([A-Z]+)\$[0-9]+"),"")</f>
        <v>$F$170</v>
      </c>
      <c r="G168" t="e" cm="1">
        <f t="array" aca="1" ref="G168" ca="1">IF('Raw Data'!#REF!="",_xlfn.REGEXEXTRACT(CELL("address",'Raw Data'!#REF!),"\$([A-Z]+)\$[0-9]+"),"")</f>
        <v>#REF!</v>
      </c>
      <c r="H168" t="str" cm="1">
        <f t="array" aca="1" ref="H168" ca="1">IF('Raw Data'!G170="",_xlfn.REGEXEXTRACT(CELL("address",'Raw Data'!G170),"\$([A-Z]+)\$[0-9]+"),"")</f>
        <v>$G$170</v>
      </c>
      <c r="I168" t="str" cm="1">
        <f t="array" aca="1" ref="I168" ca="1">IF('Raw Data'!H170="",_xlfn.REGEXEXTRACT(CELL("address",'Raw Data'!H170),"\$([A-Z]+)\$[0-9]+"),"")</f>
        <v>$H$170</v>
      </c>
    </row>
    <row r="169" spans="2:9" x14ac:dyDescent="0.25">
      <c r="B169" t="str" cm="1">
        <f t="array" aca="1" ref="B169" ca="1">IF('Raw Data'!B171="",_xlfn.REGEXEXTRACT(CELL("address",'Raw Data'!B171),"\$([A-Z]+)\$[0-9]+"),"")</f>
        <v>$B$171</v>
      </c>
      <c r="C169" t="str" cm="1">
        <f t="array" aca="1" ref="C169" ca="1">IF('Raw Data'!C171="",_xlfn.REGEXEXTRACT(CELL("address",'Raw Data'!C171),"\$([A-Z]+)\$[0-9]+"),"")</f>
        <v>$C$171</v>
      </c>
      <c r="D169" t="str" cm="1">
        <f t="array" aca="1" ref="D169" ca="1">IF('Raw Data'!D171="",_xlfn.REGEXEXTRACT(CELL("address",'Raw Data'!D171),"\$([A-Z]+)\$[0-9]+"),"")</f>
        <v>$D$171</v>
      </c>
      <c r="E169" t="str" cm="1">
        <f t="array" aca="1" ref="E169" ca="1">IF('Raw Data'!E171="",_xlfn.REGEXEXTRACT(CELL("address",'Raw Data'!E171),"\$([A-Z]+)\$[0-9]+"),"")</f>
        <v>$E$171</v>
      </c>
      <c r="F169" t="str" cm="1">
        <f t="array" aca="1" ref="F169" ca="1">IF('Raw Data'!F171="",_xlfn.REGEXEXTRACT(CELL("address",'Raw Data'!F171),"\$([A-Z]+)\$[0-9]+"),"")</f>
        <v>$F$171</v>
      </c>
      <c r="G169" t="e" cm="1">
        <f t="array" aca="1" ref="G169" ca="1">IF('Raw Data'!#REF!="",_xlfn.REGEXEXTRACT(CELL("address",'Raw Data'!#REF!),"\$([A-Z]+)\$[0-9]+"),"")</f>
        <v>#REF!</v>
      </c>
      <c r="H169" t="str" cm="1">
        <f t="array" aca="1" ref="H169" ca="1">IF('Raw Data'!G171="",_xlfn.REGEXEXTRACT(CELL("address",'Raw Data'!G171),"\$([A-Z]+)\$[0-9]+"),"")</f>
        <v>$G$171</v>
      </c>
      <c r="I169" t="str" cm="1">
        <f t="array" aca="1" ref="I169" ca="1">IF('Raw Data'!H171="",_xlfn.REGEXEXTRACT(CELL("address",'Raw Data'!H171),"\$([A-Z]+)\$[0-9]+"),"")</f>
        <v>$H$171</v>
      </c>
    </row>
    <row r="170" spans="2:9" x14ac:dyDescent="0.25">
      <c r="B170" t="str" cm="1">
        <f t="array" aca="1" ref="B170" ca="1">IF('Raw Data'!B172="",_xlfn.REGEXEXTRACT(CELL("address",'Raw Data'!B172),"\$([A-Z]+)\$[0-9]+"),"")</f>
        <v>$B$172</v>
      </c>
      <c r="C170" t="str" cm="1">
        <f t="array" aca="1" ref="C170" ca="1">IF('Raw Data'!C172="",_xlfn.REGEXEXTRACT(CELL("address",'Raw Data'!C172),"\$([A-Z]+)\$[0-9]+"),"")</f>
        <v>$C$172</v>
      </c>
      <c r="D170" t="str" cm="1">
        <f t="array" aca="1" ref="D170" ca="1">IF('Raw Data'!D172="",_xlfn.REGEXEXTRACT(CELL("address",'Raw Data'!D172),"\$([A-Z]+)\$[0-9]+"),"")</f>
        <v>$D$172</v>
      </c>
      <c r="E170" t="str" cm="1">
        <f t="array" aca="1" ref="E170" ca="1">IF('Raw Data'!E172="",_xlfn.REGEXEXTRACT(CELL("address",'Raw Data'!E172),"\$([A-Z]+)\$[0-9]+"),"")</f>
        <v>$E$172</v>
      </c>
      <c r="F170" t="str" cm="1">
        <f t="array" aca="1" ref="F170" ca="1">IF('Raw Data'!F172="",_xlfn.REGEXEXTRACT(CELL("address",'Raw Data'!F172),"\$([A-Z]+)\$[0-9]+"),"")</f>
        <v>$F$172</v>
      </c>
      <c r="G170" t="e" cm="1">
        <f t="array" aca="1" ref="G170" ca="1">IF('Raw Data'!#REF!="",_xlfn.REGEXEXTRACT(CELL("address",'Raw Data'!#REF!),"\$([A-Z]+)\$[0-9]+"),"")</f>
        <v>#REF!</v>
      </c>
      <c r="H170" t="str" cm="1">
        <f t="array" aca="1" ref="H170" ca="1">IF('Raw Data'!G172="",_xlfn.REGEXEXTRACT(CELL("address",'Raw Data'!G172),"\$([A-Z]+)\$[0-9]+"),"")</f>
        <v>$G$172</v>
      </c>
      <c r="I170" t="str" cm="1">
        <f t="array" aca="1" ref="I170" ca="1">IF('Raw Data'!H172="",_xlfn.REGEXEXTRACT(CELL("address",'Raw Data'!H172),"\$([A-Z]+)\$[0-9]+"),"")</f>
        <v>$H$172</v>
      </c>
    </row>
    <row r="171" spans="2:9" x14ac:dyDescent="0.25">
      <c r="B171" t="str" cm="1">
        <f t="array" aca="1" ref="B171" ca="1">IF('Raw Data'!B173="",_xlfn.REGEXEXTRACT(CELL("address",'Raw Data'!B173),"\$([A-Z]+)\$[0-9]+"),"")</f>
        <v>$B$173</v>
      </c>
      <c r="C171" t="str" cm="1">
        <f t="array" aca="1" ref="C171" ca="1">IF('Raw Data'!C173="",_xlfn.REGEXEXTRACT(CELL("address",'Raw Data'!C173),"\$([A-Z]+)\$[0-9]+"),"")</f>
        <v>$C$173</v>
      </c>
      <c r="D171" t="str" cm="1">
        <f t="array" aca="1" ref="D171" ca="1">IF('Raw Data'!D173="",_xlfn.REGEXEXTRACT(CELL("address",'Raw Data'!D173),"\$([A-Z]+)\$[0-9]+"),"")</f>
        <v>$D$173</v>
      </c>
      <c r="E171" t="str" cm="1">
        <f t="array" aca="1" ref="E171" ca="1">IF('Raw Data'!E173="",_xlfn.REGEXEXTRACT(CELL("address",'Raw Data'!E173),"\$([A-Z]+)\$[0-9]+"),"")</f>
        <v>$E$173</v>
      </c>
      <c r="F171" t="str" cm="1">
        <f t="array" aca="1" ref="F171" ca="1">IF('Raw Data'!F173="",_xlfn.REGEXEXTRACT(CELL("address",'Raw Data'!F173),"\$([A-Z]+)\$[0-9]+"),"")</f>
        <v>$F$173</v>
      </c>
      <c r="G171" t="e" cm="1">
        <f t="array" aca="1" ref="G171" ca="1">IF('Raw Data'!#REF!="",_xlfn.REGEXEXTRACT(CELL("address",'Raw Data'!#REF!),"\$([A-Z]+)\$[0-9]+"),"")</f>
        <v>#REF!</v>
      </c>
      <c r="H171" t="str" cm="1">
        <f t="array" aca="1" ref="H171" ca="1">IF('Raw Data'!G173="",_xlfn.REGEXEXTRACT(CELL("address",'Raw Data'!G173),"\$([A-Z]+)\$[0-9]+"),"")</f>
        <v>$G$173</v>
      </c>
      <c r="I171" t="str" cm="1">
        <f t="array" aca="1" ref="I171" ca="1">IF('Raw Data'!H173="",_xlfn.REGEXEXTRACT(CELL("address",'Raw Data'!H173),"\$([A-Z]+)\$[0-9]+"),"")</f>
        <v>$H$173</v>
      </c>
    </row>
    <row r="172" spans="2:9" x14ac:dyDescent="0.25">
      <c r="B172" t="str" cm="1">
        <f t="array" aca="1" ref="B172" ca="1">IF('Raw Data'!B174="",_xlfn.REGEXEXTRACT(CELL("address",'Raw Data'!B174),"\$([A-Z]+)\$[0-9]+"),"")</f>
        <v>$B$174</v>
      </c>
      <c r="C172" t="str" cm="1">
        <f t="array" aca="1" ref="C172" ca="1">IF('Raw Data'!C174="",_xlfn.REGEXEXTRACT(CELL("address",'Raw Data'!C174),"\$([A-Z]+)\$[0-9]+"),"")</f>
        <v>$C$174</v>
      </c>
      <c r="D172" t="str" cm="1">
        <f t="array" aca="1" ref="D172" ca="1">IF('Raw Data'!D174="",_xlfn.REGEXEXTRACT(CELL("address",'Raw Data'!D174),"\$([A-Z]+)\$[0-9]+"),"")</f>
        <v>$D$174</v>
      </c>
      <c r="E172" t="str" cm="1">
        <f t="array" aca="1" ref="E172" ca="1">IF('Raw Data'!E174="",_xlfn.REGEXEXTRACT(CELL("address",'Raw Data'!E174),"\$([A-Z]+)\$[0-9]+"),"")</f>
        <v>$E$174</v>
      </c>
      <c r="F172" t="str" cm="1">
        <f t="array" aca="1" ref="F172" ca="1">IF('Raw Data'!F174="",_xlfn.REGEXEXTRACT(CELL("address",'Raw Data'!F174),"\$([A-Z]+)\$[0-9]+"),"")</f>
        <v>$F$174</v>
      </c>
      <c r="G172" t="e" cm="1">
        <f t="array" aca="1" ref="G172" ca="1">IF('Raw Data'!#REF!="",_xlfn.REGEXEXTRACT(CELL("address",'Raw Data'!#REF!),"\$([A-Z]+)\$[0-9]+"),"")</f>
        <v>#REF!</v>
      </c>
      <c r="H172" t="str" cm="1">
        <f t="array" aca="1" ref="H172" ca="1">IF('Raw Data'!G174="",_xlfn.REGEXEXTRACT(CELL("address",'Raw Data'!G174),"\$([A-Z]+)\$[0-9]+"),"")</f>
        <v>$G$174</v>
      </c>
      <c r="I172" t="str" cm="1">
        <f t="array" aca="1" ref="I172" ca="1">IF('Raw Data'!H174="",_xlfn.REGEXEXTRACT(CELL("address",'Raw Data'!H174),"\$([A-Z]+)\$[0-9]+"),"")</f>
        <v>$H$174</v>
      </c>
    </row>
    <row r="173" spans="2:9" x14ac:dyDescent="0.25">
      <c r="B173" t="str" cm="1">
        <f t="array" aca="1" ref="B173" ca="1">IF('Raw Data'!B175="",_xlfn.REGEXEXTRACT(CELL("address",'Raw Data'!B175),"\$([A-Z]+)\$[0-9]+"),"")</f>
        <v>$B$175</v>
      </c>
      <c r="C173" t="str" cm="1">
        <f t="array" aca="1" ref="C173" ca="1">IF('Raw Data'!C175="",_xlfn.REGEXEXTRACT(CELL("address",'Raw Data'!C175),"\$([A-Z]+)\$[0-9]+"),"")</f>
        <v>$C$175</v>
      </c>
      <c r="D173" t="str" cm="1">
        <f t="array" aca="1" ref="D173" ca="1">IF('Raw Data'!D175="",_xlfn.REGEXEXTRACT(CELL("address",'Raw Data'!D175),"\$([A-Z]+)\$[0-9]+"),"")</f>
        <v>$D$175</v>
      </c>
      <c r="E173" t="str" cm="1">
        <f t="array" aca="1" ref="E173" ca="1">IF('Raw Data'!E175="",_xlfn.REGEXEXTRACT(CELL("address",'Raw Data'!E175),"\$([A-Z]+)\$[0-9]+"),"")</f>
        <v>$E$175</v>
      </c>
      <c r="F173" t="str" cm="1">
        <f t="array" aca="1" ref="F173" ca="1">IF('Raw Data'!F175="",_xlfn.REGEXEXTRACT(CELL("address",'Raw Data'!F175),"\$([A-Z]+)\$[0-9]+"),"")</f>
        <v>$F$175</v>
      </c>
      <c r="G173" t="e" cm="1">
        <f t="array" aca="1" ref="G173" ca="1">IF('Raw Data'!#REF!="",_xlfn.REGEXEXTRACT(CELL("address",'Raw Data'!#REF!),"\$([A-Z]+)\$[0-9]+"),"")</f>
        <v>#REF!</v>
      </c>
      <c r="H173" t="str" cm="1">
        <f t="array" aca="1" ref="H173" ca="1">IF('Raw Data'!G175="",_xlfn.REGEXEXTRACT(CELL("address",'Raw Data'!G175),"\$([A-Z]+)\$[0-9]+"),"")</f>
        <v>$G$175</v>
      </c>
      <c r="I173" t="str" cm="1">
        <f t="array" aca="1" ref="I173" ca="1">IF('Raw Data'!H175="",_xlfn.REGEXEXTRACT(CELL("address",'Raw Data'!H175),"\$([A-Z]+)\$[0-9]+"),"")</f>
        <v>$H$175</v>
      </c>
    </row>
    <row r="174" spans="2:9" x14ac:dyDescent="0.25">
      <c r="B174" t="str" cm="1">
        <f t="array" aca="1" ref="B174" ca="1">IF('Raw Data'!B176="",_xlfn.REGEXEXTRACT(CELL("address",'Raw Data'!B176),"\$([A-Z]+)\$[0-9]+"),"")</f>
        <v>$B$176</v>
      </c>
      <c r="C174" t="str" cm="1">
        <f t="array" aca="1" ref="C174" ca="1">IF('Raw Data'!C176="",_xlfn.REGEXEXTRACT(CELL("address",'Raw Data'!C176),"\$([A-Z]+)\$[0-9]+"),"")</f>
        <v>$C$176</v>
      </c>
      <c r="D174" t="str" cm="1">
        <f t="array" aca="1" ref="D174" ca="1">IF('Raw Data'!D176="",_xlfn.REGEXEXTRACT(CELL("address",'Raw Data'!D176),"\$([A-Z]+)\$[0-9]+"),"")</f>
        <v>$D$176</v>
      </c>
      <c r="E174" t="str" cm="1">
        <f t="array" aca="1" ref="E174" ca="1">IF('Raw Data'!E176="",_xlfn.REGEXEXTRACT(CELL("address",'Raw Data'!E176),"\$([A-Z]+)\$[0-9]+"),"")</f>
        <v>$E$176</v>
      </c>
      <c r="F174" t="str" cm="1">
        <f t="array" aca="1" ref="F174" ca="1">IF('Raw Data'!F176="",_xlfn.REGEXEXTRACT(CELL("address",'Raw Data'!F176),"\$([A-Z]+)\$[0-9]+"),"")</f>
        <v>$F$176</v>
      </c>
      <c r="G174" t="e" cm="1">
        <f t="array" aca="1" ref="G174" ca="1">IF('Raw Data'!#REF!="",_xlfn.REGEXEXTRACT(CELL("address",'Raw Data'!#REF!),"\$([A-Z]+)\$[0-9]+"),"")</f>
        <v>#REF!</v>
      </c>
      <c r="H174" t="str" cm="1">
        <f t="array" aca="1" ref="H174" ca="1">IF('Raw Data'!G176="",_xlfn.REGEXEXTRACT(CELL("address",'Raw Data'!G176),"\$([A-Z]+)\$[0-9]+"),"")</f>
        <v>$G$176</v>
      </c>
      <c r="I174" t="str" cm="1">
        <f t="array" aca="1" ref="I174" ca="1">IF('Raw Data'!H176="",_xlfn.REGEXEXTRACT(CELL("address",'Raw Data'!H176),"\$([A-Z]+)\$[0-9]+"),"")</f>
        <v>$H$176</v>
      </c>
    </row>
    <row r="175" spans="2:9" x14ac:dyDescent="0.25">
      <c r="B175" t="str" cm="1">
        <f t="array" aca="1" ref="B175" ca="1">IF('Raw Data'!B177="",_xlfn.REGEXEXTRACT(CELL("address",'Raw Data'!B177),"\$([A-Z]+)\$[0-9]+"),"")</f>
        <v>$B$177</v>
      </c>
      <c r="C175" t="str" cm="1">
        <f t="array" aca="1" ref="C175" ca="1">IF('Raw Data'!C177="",_xlfn.REGEXEXTRACT(CELL("address",'Raw Data'!C177),"\$([A-Z]+)\$[0-9]+"),"")</f>
        <v>$C$177</v>
      </c>
      <c r="D175" t="str" cm="1">
        <f t="array" aca="1" ref="D175" ca="1">IF('Raw Data'!D177="",_xlfn.REGEXEXTRACT(CELL("address",'Raw Data'!D177),"\$([A-Z]+)\$[0-9]+"),"")</f>
        <v>$D$177</v>
      </c>
      <c r="E175" t="str" cm="1">
        <f t="array" aca="1" ref="E175" ca="1">IF('Raw Data'!E177="",_xlfn.REGEXEXTRACT(CELL("address",'Raw Data'!E177),"\$([A-Z]+)\$[0-9]+"),"")</f>
        <v>$E$177</v>
      </c>
      <c r="F175" t="str" cm="1">
        <f t="array" aca="1" ref="F175" ca="1">IF('Raw Data'!F177="",_xlfn.REGEXEXTRACT(CELL("address",'Raw Data'!F177),"\$([A-Z]+)\$[0-9]+"),"")</f>
        <v>$F$177</v>
      </c>
      <c r="G175" t="e" cm="1">
        <f t="array" aca="1" ref="G175" ca="1">IF('Raw Data'!#REF!="",_xlfn.REGEXEXTRACT(CELL("address",'Raw Data'!#REF!),"\$([A-Z]+)\$[0-9]+"),"")</f>
        <v>#REF!</v>
      </c>
      <c r="H175" t="str" cm="1">
        <f t="array" aca="1" ref="H175" ca="1">IF('Raw Data'!G177="",_xlfn.REGEXEXTRACT(CELL("address",'Raw Data'!G177),"\$([A-Z]+)\$[0-9]+"),"")</f>
        <v>$G$177</v>
      </c>
      <c r="I175" t="str" cm="1">
        <f t="array" aca="1" ref="I175" ca="1">IF('Raw Data'!H177="",_xlfn.REGEXEXTRACT(CELL("address",'Raw Data'!H177),"\$([A-Z]+)\$[0-9]+"),"")</f>
        <v>$H$177</v>
      </c>
    </row>
    <row r="176" spans="2:9" x14ac:dyDescent="0.25">
      <c r="B176" t="str" cm="1">
        <f t="array" aca="1" ref="B176" ca="1">IF('Raw Data'!B178="",_xlfn.REGEXEXTRACT(CELL("address",'Raw Data'!B178),"\$([A-Z]+)\$[0-9]+"),"")</f>
        <v>$B$178</v>
      </c>
      <c r="C176" t="str" cm="1">
        <f t="array" aca="1" ref="C176" ca="1">IF('Raw Data'!C178="",_xlfn.REGEXEXTRACT(CELL("address",'Raw Data'!C178),"\$([A-Z]+)\$[0-9]+"),"")</f>
        <v>$C$178</v>
      </c>
      <c r="D176" t="str" cm="1">
        <f t="array" aca="1" ref="D176" ca="1">IF('Raw Data'!D178="",_xlfn.REGEXEXTRACT(CELL("address",'Raw Data'!D178),"\$([A-Z]+)\$[0-9]+"),"")</f>
        <v>$D$178</v>
      </c>
      <c r="E176" t="str" cm="1">
        <f t="array" aca="1" ref="E176" ca="1">IF('Raw Data'!E178="",_xlfn.REGEXEXTRACT(CELL("address",'Raw Data'!E178),"\$([A-Z]+)\$[0-9]+"),"")</f>
        <v>$E$178</v>
      </c>
      <c r="F176" t="str" cm="1">
        <f t="array" aca="1" ref="F176" ca="1">IF('Raw Data'!F178="",_xlfn.REGEXEXTRACT(CELL("address",'Raw Data'!F178),"\$([A-Z]+)\$[0-9]+"),"")</f>
        <v>$F$178</v>
      </c>
      <c r="G176" t="e" cm="1">
        <f t="array" aca="1" ref="G176" ca="1">IF('Raw Data'!#REF!="",_xlfn.REGEXEXTRACT(CELL("address",'Raw Data'!#REF!),"\$([A-Z]+)\$[0-9]+"),"")</f>
        <v>#REF!</v>
      </c>
      <c r="H176" t="str" cm="1">
        <f t="array" aca="1" ref="H176" ca="1">IF('Raw Data'!G178="",_xlfn.REGEXEXTRACT(CELL("address",'Raw Data'!G178),"\$([A-Z]+)\$[0-9]+"),"")</f>
        <v>$G$178</v>
      </c>
      <c r="I176" t="str" cm="1">
        <f t="array" aca="1" ref="I176" ca="1">IF('Raw Data'!H178="",_xlfn.REGEXEXTRACT(CELL("address",'Raw Data'!H178),"\$([A-Z]+)\$[0-9]+"),"")</f>
        <v>$H$178</v>
      </c>
    </row>
    <row r="177" spans="2:9" x14ac:dyDescent="0.25">
      <c r="B177" t="str" cm="1">
        <f t="array" aca="1" ref="B177" ca="1">IF('Raw Data'!B179="",_xlfn.REGEXEXTRACT(CELL("address",'Raw Data'!B179),"\$([A-Z]+)\$[0-9]+"),"")</f>
        <v>$B$179</v>
      </c>
      <c r="C177" t="str" cm="1">
        <f t="array" aca="1" ref="C177" ca="1">IF('Raw Data'!C179="",_xlfn.REGEXEXTRACT(CELL("address",'Raw Data'!C179),"\$([A-Z]+)\$[0-9]+"),"")</f>
        <v>$C$179</v>
      </c>
      <c r="D177" t="str" cm="1">
        <f t="array" aca="1" ref="D177" ca="1">IF('Raw Data'!D179="",_xlfn.REGEXEXTRACT(CELL("address",'Raw Data'!D179),"\$([A-Z]+)\$[0-9]+"),"")</f>
        <v>$D$179</v>
      </c>
      <c r="E177" t="str" cm="1">
        <f t="array" aca="1" ref="E177" ca="1">IF('Raw Data'!E179="",_xlfn.REGEXEXTRACT(CELL("address",'Raw Data'!E179),"\$([A-Z]+)\$[0-9]+"),"")</f>
        <v>$E$179</v>
      </c>
      <c r="F177" t="str" cm="1">
        <f t="array" aca="1" ref="F177" ca="1">IF('Raw Data'!F179="",_xlfn.REGEXEXTRACT(CELL("address",'Raw Data'!F179),"\$([A-Z]+)\$[0-9]+"),"")</f>
        <v>$F$179</v>
      </c>
      <c r="G177" t="e" cm="1">
        <f t="array" aca="1" ref="G177" ca="1">IF('Raw Data'!#REF!="",_xlfn.REGEXEXTRACT(CELL("address",'Raw Data'!#REF!),"\$([A-Z]+)\$[0-9]+"),"")</f>
        <v>#REF!</v>
      </c>
      <c r="H177" t="str" cm="1">
        <f t="array" aca="1" ref="H177" ca="1">IF('Raw Data'!G179="",_xlfn.REGEXEXTRACT(CELL("address",'Raw Data'!G179),"\$([A-Z]+)\$[0-9]+"),"")</f>
        <v>$G$179</v>
      </c>
      <c r="I177" t="str" cm="1">
        <f t="array" aca="1" ref="I177" ca="1">IF('Raw Data'!H179="",_xlfn.REGEXEXTRACT(CELL("address",'Raw Data'!H179),"\$([A-Z]+)\$[0-9]+"),"")</f>
        <v>$H$179</v>
      </c>
    </row>
    <row r="178" spans="2:9" x14ac:dyDescent="0.25">
      <c r="B178" t="str" cm="1">
        <f t="array" aca="1" ref="B178" ca="1">IF('Raw Data'!B180="",_xlfn.REGEXEXTRACT(CELL("address",'Raw Data'!B180),"\$([A-Z]+)\$[0-9]+"),"")</f>
        <v>$B$180</v>
      </c>
      <c r="C178" t="str" cm="1">
        <f t="array" aca="1" ref="C178" ca="1">IF('Raw Data'!C180="",_xlfn.REGEXEXTRACT(CELL("address",'Raw Data'!C180),"\$([A-Z]+)\$[0-9]+"),"")</f>
        <v>$C$180</v>
      </c>
      <c r="D178" t="str" cm="1">
        <f t="array" aca="1" ref="D178" ca="1">IF('Raw Data'!D180="",_xlfn.REGEXEXTRACT(CELL("address",'Raw Data'!D180),"\$([A-Z]+)\$[0-9]+"),"")</f>
        <v>$D$180</v>
      </c>
      <c r="E178" t="str" cm="1">
        <f t="array" aca="1" ref="E178" ca="1">IF('Raw Data'!E180="",_xlfn.REGEXEXTRACT(CELL("address",'Raw Data'!E180),"\$([A-Z]+)\$[0-9]+"),"")</f>
        <v>$E$180</v>
      </c>
      <c r="F178" t="str" cm="1">
        <f t="array" aca="1" ref="F178" ca="1">IF('Raw Data'!F180="",_xlfn.REGEXEXTRACT(CELL("address",'Raw Data'!F180),"\$([A-Z]+)\$[0-9]+"),"")</f>
        <v>$F$180</v>
      </c>
      <c r="G178" t="e" cm="1">
        <f t="array" aca="1" ref="G178" ca="1">IF('Raw Data'!#REF!="",_xlfn.REGEXEXTRACT(CELL("address",'Raw Data'!#REF!),"\$([A-Z]+)\$[0-9]+"),"")</f>
        <v>#REF!</v>
      </c>
      <c r="H178" t="str" cm="1">
        <f t="array" aca="1" ref="H178" ca="1">IF('Raw Data'!G180="",_xlfn.REGEXEXTRACT(CELL("address",'Raw Data'!G180),"\$([A-Z]+)\$[0-9]+"),"")</f>
        <v>$G$180</v>
      </c>
      <c r="I178" t="str" cm="1">
        <f t="array" aca="1" ref="I178" ca="1">IF('Raw Data'!H180="",_xlfn.REGEXEXTRACT(CELL("address",'Raw Data'!H180),"\$([A-Z]+)\$[0-9]+"),"")</f>
        <v>$H$180</v>
      </c>
    </row>
    <row r="179" spans="2:9" x14ac:dyDescent="0.25">
      <c r="B179" t="str" cm="1">
        <f t="array" aca="1" ref="B179" ca="1">IF('Raw Data'!B181="",_xlfn.REGEXEXTRACT(CELL("address",'Raw Data'!B181),"\$([A-Z]+)\$[0-9]+"),"")</f>
        <v>$B$181</v>
      </c>
      <c r="C179" t="str" cm="1">
        <f t="array" aca="1" ref="C179" ca="1">IF('Raw Data'!C181="",_xlfn.REGEXEXTRACT(CELL("address",'Raw Data'!C181),"\$([A-Z]+)\$[0-9]+"),"")</f>
        <v>$C$181</v>
      </c>
      <c r="D179" t="str" cm="1">
        <f t="array" aca="1" ref="D179" ca="1">IF('Raw Data'!D181="",_xlfn.REGEXEXTRACT(CELL("address",'Raw Data'!D181),"\$([A-Z]+)\$[0-9]+"),"")</f>
        <v>$D$181</v>
      </c>
      <c r="E179" t="str" cm="1">
        <f t="array" aca="1" ref="E179" ca="1">IF('Raw Data'!E181="",_xlfn.REGEXEXTRACT(CELL("address",'Raw Data'!E181),"\$([A-Z]+)\$[0-9]+"),"")</f>
        <v>$E$181</v>
      </c>
      <c r="F179" t="str" cm="1">
        <f t="array" aca="1" ref="F179" ca="1">IF('Raw Data'!F181="",_xlfn.REGEXEXTRACT(CELL("address",'Raw Data'!F181),"\$([A-Z]+)\$[0-9]+"),"")</f>
        <v>$F$181</v>
      </c>
      <c r="G179" t="e" cm="1">
        <f t="array" aca="1" ref="G179" ca="1">IF('Raw Data'!#REF!="",_xlfn.REGEXEXTRACT(CELL("address",'Raw Data'!#REF!),"\$([A-Z]+)\$[0-9]+"),"")</f>
        <v>#REF!</v>
      </c>
      <c r="H179" t="str" cm="1">
        <f t="array" aca="1" ref="H179" ca="1">IF('Raw Data'!G181="",_xlfn.REGEXEXTRACT(CELL("address",'Raw Data'!G181),"\$([A-Z]+)\$[0-9]+"),"")</f>
        <v>$G$181</v>
      </c>
      <c r="I179" t="str" cm="1">
        <f t="array" aca="1" ref="I179" ca="1">IF('Raw Data'!H181="",_xlfn.REGEXEXTRACT(CELL("address",'Raw Data'!H181),"\$([A-Z]+)\$[0-9]+"),"")</f>
        <v>$H$181</v>
      </c>
    </row>
    <row r="180" spans="2:9" x14ac:dyDescent="0.25">
      <c r="B180" t="str" cm="1">
        <f t="array" aca="1" ref="B180" ca="1">IF('Raw Data'!B182="",_xlfn.REGEXEXTRACT(CELL("address",'Raw Data'!B182),"\$([A-Z]+)\$[0-9]+"),"")</f>
        <v>$B$182</v>
      </c>
      <c r="C180" t="str" cm="1">
        <f t="array" aca="1" ref="C180" ca="1">IF('Raw Data'!C182="",_xlfn.REGEXEXTRACT(CELL("address",'Raw Data'!C182),"\$([A-Z]+)\$[0-9]+"),"")</f>
        <v>$C$182</v>
      </c>
      <c r="D180" t="str" cm="1">
        <f t="array" aca="1" ref="D180" ca="1">IF('Raw Data'!D182="",_xlfn.REGEXEXTRACT(CELL("address",'Raw Data'!D182),"\$([A-Z]+)\$[0-9]+"),"")</f>
        <v>$D$182</v>
      </c>
      <c r="E180" t="str" cm="1">
        <f t="array" aca="1" ref="E180" ca="1">IF('Raw Data'!E182="",_xlfn.REGEXEXTRACT(CELL("address",'Raw Data'!E182),"\$([A-Z]+)\$[0-9]+"),"")</f>
        <v>$E$182</v>
      </c>
      <c r="F180" t="str" cm="1">
        <f t="array" aca="1" ref="F180" ca="1">IF('Raw Data'!F182="",_xlfn.REGEXEXTRACT(CELL("address",'Raw Data'!F182),"\$([A-Z]+)\$[0-9]+"),"")</f>
        <v>$F$182</v>
      </c>
      <c r="G180" t="e" cm="1">
        <f t="array" aca="1" ref="G180" ca="1">IF('Raw Data'!#REF!="",_xlfn.REGEXEXTRACT(CELL("address",'Raw Data'!#REF!),"\$([A-Z]+)\$[0-9]+"),"")</f>
        <v>#REF!</v>
      </c>
      <c r="H180" t="str" cm="1">
        <f t="array" aca="1" ref="H180" ca="1">IF('Raw Data'!G182="",_xlfn.REGEXEXTRACT(CELL("address",'Raw Data'!G182),"\$([A-Z]+)\$[0-9]+"),"")</f>
        <v>$G$182</v>
      </c>
      <c r="I180" t="str" cm="1">
        <f t="array" aca="1" ref="I180" ca="1">IF('Raw Data'!H182="",_xlfn.REGEXEXTRACT(CELL("address",'Raw Data'!H182),"\$([A-Z]+)\$[0-9]+"),"")</f>
        <v>$H$182</v>
      </c>
    </row>
    <row r="181" spans="2:9" x14ac:dyDescent="0.25">
      <c r="B181" t="str" cm="1">
        <f t="array" aca="1" ref="B181" ca="1">IF('Raw Data'!B183="",_xlfn.REGEXEXTRACT(CELL("address",'Raw Data'!B183),"\$([A-Z]+)\$[0-9]+"),"")</f>
        <v>$B$183</v>
      </c>
      <c r="C181" t="str" cm="1">
        <f t="array" aca="1" ref="C181" ca="1">IF('Raw Data'!C183="",_xlfn.REGEXEXTRACT(CELL("address",'Raw Data'!C183),"\$([A-Z]+)\$[0-9]+"),"")</f>
        <v>$C$183</v>
      </c>
      <c r="D181" t="str" cm="1">
        <f t="array" aca="1" ref="D181" ca="1">IF('Raw Data'!D183="",_xlfn.REGEXEXTRACT(CELL("address",'Raw Data'!D183),"\$([A-Z]+)\$[0-9]+"),"")</f>
        <v>$D$183</v>
      </c>
      <c r="E181" t="str" cm="1">
        <f t="array" aca="1" ref="E181" ca="1">IF('Raw Data'!E183="",_xlfn.REGEXEXTRACT(CELL("address",'Raw Data'!E183),"\$([A-Z]+)\$[0-9]+"),"")</f>
        <v>$E$183</v>
      </c>
      <c r="F181" t="str" cm="1">
        <f t="array" aca="1" ref="F181" ca="1">IF('Raw Data'!F183="",_xlfn.REGEXEXTRACT(CELL("address",'Raw Data'!F183),"\$([A-Z]+)\$[0-9]+"),"")</f>
        <v>$F$183</v>
      </c>
      <c r="G181" t="e" cm="1">
        <f t="array" aca="1" ref="G181" ca="1">IF('Raw Data'!#REF!="",_xlfn.REGEXEXTRACT(CELL("address",'Raw Data'!#REF!),"\$([A-Z]+)\$[0-9]+"),"")</f>
        <v>#REF!</v>
      </c>
      <c r="H181" t="str" cm="1">
        <f t="array" aca="1" ref="H181" ca="1">IF('Raw Data'!G183="",_xlfn.REGEXEXTRACT(CELL("address",'Raw Data'!G183),"\$([A-Z]+)\$[0-9]+"),"")</f>
        <v>$G$183</v>
      </c>
      <c r="I181" t="str" cm="1">
        <f t="array" aca="1" ref="I181" ca="1">IF('Raw Data'!H183="",_xlfn.REGEXEXTRACT(CELL("address",'Raw Data'!H183),"\$([A-Z]+)\$[0-9]+"),"")</f>
        <v>$H$183</v>
      </c>
    </row>
    <row r="182" spans="2:9" x14ac:dyDescent="0.25">
      <c r="B182" t="str" cm="1">
        <f t="array" aca="1" ref="B182" ca="1">IF('Raw Data'!B184="",_xlfn.REGEXEXTRACT(CELL("address",'Raw Data'!B184),"\$([A-Z]+)\$[0-9]+"),"")</f>
        <v>$B$184</v>
      </c>
      <c r="C182" t="str" cm="1">
        <f t="array" aca="1" ref="C182" ca="1">IF('Raw Data'!C184="",_xlfn.REGEXEXTRACT(CELL("address",'Raw Data'!C184),"\$([A-Z]+)\$[0-9]+"),"")</f>
        <v>$C$184</v>
      </c>
      <c r="D182" t="str" cm="1">
        <f t="array" aca="1" ref="D182" ca="1">IF('Raw Data'!D184="",_xlfn.REGEXEXTRACT(CELL("address",'Raw Data'!D184),"\$([A-Z]+)\$[0-9]+"),"")</f>
        <v>$D$184</v>
      </c>
      <c r="E182" t="str" cm="1">
        <f t="array" aca="1" ref="E182" ca="1">IF('Raw Data'!E184="",_xlfn.REGEXEXTRACT(CELL("address",'Raw Data'!E184),"\$([A-Z]+)\$[0-9]+"),"")</f>
        <v>$E$184</v>
      </c>
      <c r="F182" t="str" cm="1">
        <f t="array" aca="1" ref="F182" ca="1">IF('Raw Data'!F184="",_xlfn.REGEXEXTRACT(CELL("address",'Raw Data'!F184),"\$([A-Z]+)\$[0-9]+"),"")</f>
        <v>$F$184</v>
      </c>
      <c r="G182" t="e" cm="1">
        <f t="array" aca="1" ref="G182" ca="1">IF('Raw Data'!#REF!="",_xlfn.REGEXEXTRACT(CELL("address",'Raw Data'!#REF!),"\$([A-Z]+)\$[0-9]+"),"")</f>
        <v>#REF!</v>
      </c>
      <c r="H182" t="str" cm="1">
        <f t="array" aca="1" ref="H182" ca="1">IF('Raw Data'!G184="",_xlfn.REGEXEXTRACT(CELL("address",'Raw Data'!G184),"\$([A-Z]+)\$[0-9]+"),"")</f>
        <v>$G$184</v>
      </c>
      <c r="I182" t="str" cm="1">
        <f t="array" aca="1" ref="I182" ca="1">IF('Raw Data'!H184="",_xlfn.REGEXEXTRACT(CELL("address",'Raw Data'!H184),"\$([A-Z]+)\$[0-9]+"),"")</f>
        <v>$H$184</v>
      </c>
    </row>
    <row r="183" spans="2:9" x14ac:dyDescent="0.25">
      <c r="B183" t="str" cm="1">
        <f t="array" aca="1" ref="B183" ca="1">IF('Raw Data'!B185="",_xlfn.REGEXEXTRACT(CELL("address",'Raw Data'!B185),"\$([A-Z]+)\$[0-9]+"),"")</f>
        <v>$B$185</v>
      </c>
      <c r="C183" t="str" cm="1">
        <f t="array" aca="1" ref="C183" ca="1">IF('Raw Data'!C185="",_xlfn.REGEXEXTRACT(CELL("address",'Raw Data'!C185),"\$([A-Z]+)\$[0-9]+"),"")</f>
        <v>$C$185</v>
      </c>
      <c r="D183" t="str" cm="1">
        <f t="array" aca="1" ref="D183" ca="1">IF('Raw Data'!D185="",_xlfn.REGEXEXTRACT(CELL("address",'Raw Data'!D185),"\$([A-Z]+)\$[0-9]+"),"")</f>
        <v>$D$185</v>
      </c>
      <c r="E183" t="str" cm="1">
        <f t="array" aca="1" ref="E183" ca="1">IF('Raw Data'!E185="",_xlfn.REGEXEXTRACT(CELL("address",'Raw Data'!E185),"\$([A-Z]+)\$[0-9]+"),"")</f>
        <v>$E$185</v>
      </c>
      <c r="F183" t="str" cm="1">
        <f t="array" aca="1" ref="F183" ca="1">IF('Raw Data'!F185="",_xlfn.REGEXEXTRACT(CELL("address",'Raw Data'!F185),"\$([A-Z]+)\$[0-9]+"),"")</f>
        <v>$F$185</v>
      </c>
      <c r="G183" t="e" cm="1">
        <f t="array" aca="1" ref="G183" ca="1">IF('Raw Data'!#REF!="",_xlfn.REGEXEXTRACT(CELL("address",'Raw Data'!#REF!),"\$([A-Z]+)\$[0-9]+"),"")</f>
        <v>#REF!</v>
      </c>
      <c r="H183" t="str" cm="1">
        <f t="array" aca="1" ref="H183" ca="1">IF('Raw Data'!G185="",_xlfn.REGEXEXTRACT(CELL("address",'Raw Data'!G185),"\$([A-Z]+)\$[0-9]+"),"")</f>
        <v>$G$185</v>
      </c>
      <c r="I183" t="str" cm="1">
        <f t="array" aca="1" ref="I183" ca="1">IF('Raw Data'!H185="",_xlfn.REGEXEXTRACT(CELL("address",'Raw Data'!H185),"\$([A-Z]+)\$[0-9]+"),"")</f>
        <v>$H$185</v>
      </c>
    </row>
    <row r="184" spans="2:9" x14ac:dyDescent="0.25">
      <c r="B184" t="str" cm="1">
        <f t="array" aca="1" ref="B184" ca="1">IF('Raw Data'!B186="",_xlfn.REGEXEXTRACT(CELL("address",'Raw Data'!B186),"\$([A-Z]+)\$[0-9]+"),"")</f>
        <v>$B$186</v>
      </c>
      <c r="C184" t="str" cm="1">
        <f t="array" aca="1" ref="C184" ca="1">IF('Raw Data'!C186="",_xlfn.REGEXEXTRACT(CELL("address",'Raw Data'!C186),"\$([A-Z]+)\$[0-9]+"),"")</f>
        <v>$C$186</v>
      </c>
      <c r="D184" t="str" cm="1">
        <f t="array" aca="1" ref="D184" ca="1">IF('Raw Data'!D186="",_xlfn.REGEXEXTRACT(CELL("address",'Raw Data'!D186),"\$([A-Z]+)\$[0-9]+"),"")</f>
        <v>$D$186</v>
      </c>
      <c r="E184" t="str" cm="1">
        <f t="array" aca="1" ref="E184" ca="1">IF('Raw Data'!E186="",_xlfn.REGEXEXTRACT(CELL("address",'Raw Data'!E186),"\$([A-Z]+)\$[0-9]+"),"")</f>
        <v>$E$186</v>
      </c>
      <c r="F184" t="str" cm="1">
        <f t="array" aca="1" ref="F184" ca="1">IF('Raw Data'!F186="",_xlfn.REGEXEXTRACT(CELL("address",'Raw Data'!F186),"\$([A-Z]+)\$[0-9]+"),"")</f>
        <v>$F$186</v>
      </c>
      <c r="G184" t="e" cm="1">
        <f t="array" aca="1" ref="G184" ca="1">IF('Raw Data'!#REF!="",_xlfn.REGEXEXTRACT(CELL("address",'Raw Data'!#REF!),"\$([A-Z]+)\$[0-9]+"),"")</f>
        <v>#REF!</v>
      </c>
      <c r="H184" t="str" cm="1">
        <f t="array" aca="1" ref="H184" ca="1">IF('Raw Data'!G186="",_xlfn.REGEXEXTRACT(CELL("address",'Raw Data'!G186),"\$([A-Z]+)\$[0-9]+"),"")</f>
        <v>$G$186</v>
      </c>
      <c r="I184" t="str" cm="1">
        <f t="array" aca="1" ref="I184" ca="1">IF('Raw Data'!H186="",_xlfn.REGEXEXTRACT(CELL("address",'Raw Data'!H186),"\$([A-Z]+)\$[0-9]+"),"")</f>
        <v>$H$186</v>
      </c>
    </row>
    <row r="185" spans="2:9" x14ac:dyDescent="0.25">
      <c r="B185" t="str" cm="1">
        <f t="array" aca="1" ref="B185" ca="1">IF('Raw Data'!B187="",_xlfn.REGEXEXTRACT(CELL("address",'Raw Data'!B187),"\$([A-Z]+)\$[0-9]+"),"")</f>
        <v>$B$187</v>
      </c>
      <c r="C185" t="str" cm="1">
        <f t="array" aca="1" ref="C185" ca="1">IF('Raw Data'!C187="",_xlfn.REGEXEXTRACT(CELL("address",'Raw Data'!C187),"\$([A-Z]+)\$[0-9]+"),"")</f>
        <v>$C$187</v>
      </c>
      <c r="D185" t="str" cm="1">
        <f t="array" aca="1" ref="D185" ca="1">IF('Raw Data'!D187="",_xlfn.REGEXEXTRACT(CELL("address",'Raw Data'!D187),"\$([A-Z]+)\$[0-9]+"),"")</f>
        <v>$D$187</v>
      </c>
      <c r="E185" t="str" cm="1">
        <f t="array" aca="1" ref="E185" ca="1">IF('Raw Data'!E187="",_xlfn.REGEXEXTRACT(CELL("address",'Raw Data'!E187),"\$([A-Z]+)\$[0-9]+"),"")</f>
        <v>$E$187</v>
      </c>
      <c r="F185" t="str" cm="1">
        <f t="array" aca="1" ref="F185" ca="1">IF('Raw Data'!F187="",_xlfn.REGEXEXTRACT(CELL("address",'Raw Data'!F187),"\$([A-Z]+)\$[0-9]+"),"")</f>
        <v>$F$187</v>
      </c>
      <c r="G185" t="e" cm="1">
        <f t="array" aca="1" ref="G185" ca="1">IF('Raw Data'!#REF!="",_xlfn.REGEXEXTRACT(CELL("address",'Raw Data'!#REF!),"\$([A-Z]+)\$[0-9]+"),"")</f>
        <v>#REF!</v>
      </c>
      <c r="H185" t="str" cm="1">
        <f t="array" aca="1" ref="H185" ca="1">IF('Raw Data'!G187="",_xlfn.REGEXEXTRACT(CELL("address",'Raw Data'!G187),"\$([A-Z]+)\$[0-9]+"),"")</f>
        <v>$G$187</v>
      </c>
      <c r="I185" t="str" cm="1">
        <f t="array" aca="1" ref="I185" ca="1">IF('Raw Data'!H187="",_xlfn.REGEXEXTRACT(CELL("address",'Raw Data'!H187),"\$([A-Z]+)\$[0-9]+"),"")</f>
        <v>$H$187</v>
      </c>
    </row>
    <row r="186" spans="2:9" x14ac:dyDescent="0.25">
      <c r="B186" t="str" cm="1">
        <f t="array" aca="1" ref="B186" ca="1">IF('Raw Data'!B188="",_xlfn.REGEXEXTRACT(CELL("address",'Raw Data'!B188),"\$([A-Z]+)\$[0-9]+"),"")</f>
        <v>$B$188</v>
      </c>
      <c r="C186" t="str" cm="1">
        <f t="array" aca="1" ref="C186" ca="1">IF('Raw Data'!C188="",_xlfn.REGEXEXTRACT(CELL("address",'Raw Data'!C188),"\$([A-Z]+)\$[0-9]+"),"")</f>
        <v>$C$188</v>
      </c>
      <c r="D186" t="str" cm="1">
        <f t="array" aca="1" ref="D186" ca="1">IF('Raw Data'!D188="",_xlfn.REGEXEXTRACT(CELL("address",'Raw Data'!D188),"\$([A-Z]+)\$[0-9]+"),"")</f>
        <v>$D$188</v>
      </c>
      <c r="E186" t="str" cm="1">
        <f t="array" aca="1" ref="E186" ca="1">IF('Raw Data'!E188="",_xlfn.REGEXEXTRACT(CELL("address",'Raw Data'!E188),"\$([A-Z]+)\$[0-9]+"),"")</f>
        <v>$E$188</v>
      </c>
      <c r="F186" t="str" cm="1">
        <f t="array" aca="1" ref="F186" ca="1">IF('Raw Data'!F188="",_xlfn.REGEXEXTRACT(CELL("address",'Raw Data'!F188),"\$([A-Z]+)\$[0-9]+"),"")</f>
        <v>$F$188</v>
      </c>
      <c r="G186" t="e" cm="1">
        <f t="array" aca="1" ref="G186" ca="1">IF('Raw Data'!#REF!="",_xlfn.REGEXEXTRACT(CELL("address",'Raw Data'!#REF!),"\$([A-Z]+)\$[0-9]+"),"")</f>
        <v>#REF!</v>
      </c>
      <c r="H186" t="str" cm="1">
        <f t="array" aca="1" ref="H186" ca="1">IF('Raw Data'!G188="",_xlfn.REGEXEXTRACT(CELL("address",'Raw Data'!G188),"\$([A-Z]+)\$[0-9]+"),"")</f>
        <v>$G$188</v>
      </c>
      <c r="I186" t="str" cm="1">
        <f t="array" aca="1" ref="I186" ca="1">IF('Raw Data'!H188="",_xlfn.REGEXEXTRACT(CELL("address",'Raw Data'!H188),"\$([A-Z]+)\$[0-9]+"),"")</f>
        <v>$H$188</v>
      </c>
    </row>
    <row r="187" spans="2:9" x14ac:dyDescent="0.25">
      <c r="B187" t="str" cm="1">
        <f t="array" aca="1" ref="B187" ca="1">IF('Raw Data'!B189="",_xlfn.REGEXEXTRACT(CELL("address",'Raw Data'!B189),"\$([A-Z]+)\$[0-9]+"),"")</f>
        <v>$B$189</v>
      </c>
      <c r="C187" t="str" cm="1">
        <f t="array" aca="1" ref="C187" ca="1">IF('Raw Data'!C189="",_xlfn.REGEXEXTRACT(CELL("address",'Raw Data'!C189),"\$([A-Z]+)\$[0-9]+"),"")</f>
        <v>$C$189</v>
      </c>
      <c r="D187" t="str" cm="1">
        <f t="array" aca="1" ref="D187" ca="1">IF('Raw Data'!D189="",_xlfn.REGEXEXTRACT(CELL("address",'Raw Data'!D189),"\$([A-Z]+)\$[0-9]+"),"")</f>
        <v>$D$189</v>
      </c>
      <c r="E187" t="str" cm="1">
        <f t="array" aca="1" ref="E187" ca="1">IF('Raw Data'!E189="",_xlfn.REGEXEXTRACT(CELL("address",'Raw Data'!E189),"\$([A-Z]+)\$[0-9]+"),"")</f>
        <v>$E$189</v>
      </c>
      <c r="F187" t="str" cm="1">
        <f t="array" aca="1" ref="F187" ca="1">IF('Raw Data'!F189="",_xlfn.REGEXEXTRACT(CELL("address",'Raw Data'!F189),"\$([A-Z]+)\$[0-9]+"),"")</f>
        <v>$F$189</v>
      </c>
      <c r="G187" t="e" cm="1">
        <f t="array" aca="1" ref="G187" ca="1">IF('Raw Data'!#REF!="",_xlfn.REGEXEXTRACT(CELL("address",'Raw Data'!#REF!),"\$([A-Z]+)\$[0-9]+"),"")</f>
        <v>#REF!</v>
      </c>
      <c r="H187" t="str" cm="1">
        <f t="array" aca="1" ref="H187" ca="1">IF('Raw Data'!G189="",_xlfn.REGEXEXTRACT(CELL("address",'Raw Data'!G189),"\$([A-Z]+)\$[0-9]+"),"")</f>
        <v>$G$189</v>
      </c>
      <c r="I187" t="str" cm="1">
        <f t="array" aca="1" ref="I187" ca="1">IF('Raw Data'!H189="",_xlfn.REGEXEXTRACT(CELL("address",'Raw Data'!H189),"\$([A-Z]+)\$[0-9]+"),"")</f>
        <v>$H$189</v>
      </c>
    </row>
    <row r="188" spans="2:9" x14ac:dyDescent="0.25">
      <c r="B188" t="str" cm="1">
        <f t="array" aca="1" ref="B188" ca="1">IF('Raw Data'!B190="",_xlfn.REGEXEXTRACT(CELL("address",'Raw Data'!B190),"\$([A-Z]+)\$[0-9]+"),"")</f>
        <v>$B$190</v>
      </c>
      <c r="C188" t="str" cm="1">
        <f t="array" aca="1" ref="C188" ca="1">IF('Raw Data'!C190="",_xlfn.REGEXEXTRACT(CELL("address",'Raw Data'!C190),"\$([A-Z]+)\$[0-9]+"),"")</f>
        <v>$C$190</v>
      </c>
      <c r="D188" t="str" cm="1">
        <f t="array" aca="1" ref="D188" ca="1">IF('Raw Data'!D190="",_xlfn.REGEXEXTRACT(CELL("address",'Raw Data'!D190),"\$([A-Z]+)\$[0-9]+"),"")</f>
        <v>$D$190</v>
      </c>
      <c r="E188" t="str" cm="1">
        <f t="array" aca="1" ref="E188" ca="1">IF('Raw Data'!E190="",_xlfn.REGEXEXTRACT(CELL("address",'Raw Data'!E190),"\$([A-Z]+)\$[0-9]+"),"")</f>
        <v>$E$190</v>
      </c>
      <c r="F188" t="str" cm="1">
        <f t="array" aca="1" ref="F188" ca="1">IF('Raw Data'!F190="",_xlfn.REGEXEXTRACT(CELL("address",'Raw Data'!F190),"\$([A-Z]+)\$[0-9]+"),"")</f>
        <v>$F$190</v>
      </c>
      <c r="G188" t="e" cm="1">
        <f t="array" aca="1" ref="G188" ca="1">IF('Raw Data'!#REF!="",_xlfn.REGEXEXTRACT(CELL("address",'Raw Data'!#REF!),"\$([A-Z]+)\$[0-9]+"),"")</f>
        <v>#REF!</v>
      </c>
      <c r="H188" t="str" cm="1">
        <f t="array" aca="1" ref="H188" ca="1">IF('Raw Data'!G190="",_xlfn.REGEXEXTRACT(CELL("address",'Raw Data'!G190),"\$([A-Z]+)\$[0-9]+"),"")</f>
        <v>$G$190</v>
      </c>
      <c r="I188" t="str" cm="1">
        <f t="array" aca="1" ref="I188" ca="1">IF('Raw Data'!H190="",_xlfn.REGEXEXTRACT(CELL("address",'Raw Data'!H190),"\$([A-Z]+)\$[0-9]+"),"")</f>
        <v>$H$190</v>
      </c>
    </row>
    <row r="189" spans="2:9" x14ac:dyDescent="0.25">
      <c r="B189" t="str" cm="1">
        <f t="array" aca="1" ref="B189" ca="1">IF('Raw Data'!B191="",_xlfn.REGEXEXTRACT(CELL("address",'Raw Data'!B191),"\$([A-Z]+)\$[0-9]+"),"")</f>
        <v>$B$191</v>
      </c>
      <c r="C189" t="str" cm="1">
        <f t="array" aca="1" ref="C189" ca="1">IF('Raw Data'!C191="",_xlfn.REGEXEXTRACT(CELL("address",'Raw Data'!C191),"\$([A-Z]+)\$[0-9]+"),"")</f>
        <v>$C$191</v>
      </c>
      <c r="D189" t="str" cm="1">
        <f t="array" aca="1" ref="D189" ca="1">IF('Raw Data'!D191="",_xlfn.REGEXEXTRACT(CELL("address",'Raw Data'!D191),"\$([A-Z]+)\$[0-9]+"),"")</f>
        <v>$D$191</v>
      </c>
      <c r="E189" t="str" cm="1">
        <f t="array" aca="1" ref="E189" ca="1">IF('Raw Data'!E191="",_xlfn.REGEXEXTRACT(CELL("address",'Raw Data'!E191),"\$([A-Z]+)\$[0-9]+"),"")</f>
        <v>$E$191</v>
      </c>
      <c r="F189" t="str" cm="1">
        <f t="array" aca="1" ref="F189" ca="1">IF('Raw Data'!F191="",_xlfn.REGEXEXTRACT(CELL("address",'Raw Data'!F191),"\$([A-Z]+)\$[0-9]+"),"")</f>
        <v>$F$191</v>
      </c>
      <c r="G189" t="e" cm="1">
        <f t="array" aca="1" ref="G189" ca="1">IF('Raw Data'!#REF!="",_xlfn.REGEXEXTRACT(CELL("address",'Raw Data'!#REF!),"\$([A-Z]+)\$[0-9]+"),"")</f>
        <v>#REF!</v>
      </c>
      <c r="H189" t="str" cm="1">
        <f t="array" aca="1" ref="H189" ca="1">IF('Raw Data'!G191="",_xlfn.REGEXEXTRACT(CELL("address",'Raw Data'!G191),"\$([A-Z]+)\$[0-9]+"),"")</f>
        <v>$G$191</v>
      </c>
      <c r="I189" t="str" cm="1">
        <f t="array" aca="1" ref="I189" ca="1">IF('Raw Data'!H191="",_xlfn.REGEXEXTRACT(CELL("address",'Raw Data'!H191),"\$([A-Z]+)\$[0-9]+"),"")</f>
        <v>$H$191</v>
      </c>
    </row>
    <row r="190" spans="2:9" x14ac:dyDescent="0.25">
      <c r="B190" t="str" cm="1">
        <f t="array" aca="1" ref="B190" ca="1">IF('Raw Data'!B192="",_xlfn.REGEXEXTRACT(CELL("address",'Raw Data'!B192),"\$([A-Z]+)\$[0-9]+"),"")</f>
        <v>$B$192</v>
      </c>
      <c r="C190" t="str" cm="1">
        <f t="array" aca="1" ref="C190" ca="1">IF('Raw Data'!C192="",_xlfn.REGEXEXTRACT(CELL("address",'Raw Data'!C192),"\$([A-Z]+)\$[0-9]+"),"")</f>
        <v>$C$192</v>
      </c>
      <c r="D190" t="str" cm="1">
        <f t="array" aca="1" ref="D190" ca="1">IF('Raw Data'!D192="",_xlfn.REGEXEXTRACT(CELL("address",'Raw Data'!D192),"\$([A-Z]+)\$[0-9]+"),"")</f>
        <v>$D$192</v>
      </c>
      <c r="E190" t="str" cm="1">
        <f t="array" aca="1" ref="E190" ca="1">IF('Raw Data'!E192="",_xlfn.REGEXEXTRACT(CELL("address",'Raw Data'!E192),"\$([A-Z]+)\$[0-9]+"),"")</f>
        <v>$E$192</v>
      </c>
      <c r="F190" t="str" cm="1">
        <f t="array" aca="1" ref="F190" ca="1">IF('Raw Data'!F192="",_xlfn.REGEXEXTRACT(CELL("address",'Raw Data'!F192),"\$([A-Z]+)\$[0-9]+"),"")</f>
        <v>$F$192</v>
      </c>
      <c r="G190" t="e" cm="1">
        <f t="array" aca="1" ref="G190" ca="1">IF('Raw Data'!#REF!="",_xlfn.REGEXEXTRACT(CELL("address",'Raw Data'!#REF!),"\$([A-Z]+)\$[0-9]+"),"")</f>
        <v>#REF!</v>
      </c>
      <c r="H190" t="str" cm="1">
        <f t="array" aca="1" ref="H190" ca="1">IF('Raw Data'!G192="",_xlfn.REGEXEXTRACT(CELL("address",'Raw Data'!G192),"\$([A-Z]+)\$[0-9]+"),"")</f>
        <v>$G$192</v>
      </c>
      <c r="I190" t="str" cm="1">
        <f t="array" aca="1" ref="I190" ca="1">IF('Raw Data'!H192="",_xlfn.REGEXEXTRACT(CELL("address",'Raw Data'!H192),"\$([A-Z]+)\$[0-9]+"),"")</f>
        <v>$H$192</v>
      </c>
    </row>
    <row r="191" spans="2:9" x14ac:dyDescent="0.25">
      <c r="B191" t="str" cm="1">
        <f t="array" aca="1" ref="B191" ca="1">IF('Raw Data'!B193="",_xlfn.REGEXEXTRACT(CELL("address",'Raw Data'!B193),"\$([A-Z]+)\$[0-9]+"),"")</f>
        <v>$B$193</v>
      </c>
      <c r="C191" t="str" cm="1">
        <f t="array" aca="1" ref="C191" ca="1">IF('Raw Data'!C193="",_xlfn.REGEXEXTRACT(CELL("address",'Raw Data'!C193),"\$([A-Z]+)\$[0-9]+"),"")</f>
        <v>$C$193</v>
      </c>
      <c r="D191" t="str" cm="1">
        <f t="array" aca="1" ref="D191" ca="1">IF('Raw Data'!D193="",_xlfn.REGEXEXTRACT(CELL("address",'Raw Data'!D193),"\$([A-Z]+)\$[0-9]+"),"")</f>
        <v>$D$193</v>
      </c>
      <c r="E191" t="str" cm="1">
        <f t="array" aca="1" ref="E191" ca="1">IF('Raw Data'!E193="",_xlfn.REGEXEXTRACT(CELL("address",'Raw Data'!E193),"\$([A-Z]+)\$[0-9]+"),"")</f>
        <v>$E$193</v>
      </c>
      <c r="F191" t="str" cm="1">
        <f t="array" aca="1" ref="F191" ca="1">IF('Raw Data'!F193="",_xlfn.REGEXEXTRACT(CELL("address",'Raw Data'!F193),"\$([A-Z]+)\$[0-9]+"),"")</f>
        <v>$F$193</v>
      </c>
      <c r="G191" t="e" cm="1">
        <f t="array" aca="1" ref="G191" ca="1">IF('Raw Data'!#REF!="",_xlfn.REGEXEXTRACT(CELL("address",'Raw Data'!#REF!),"\$([A-Z]+)\$[0-9]+"),"")</f>
        <v>#REF!</v>
      </c>
      <c r="H191" t="str" cm="1">
        <f t="array" aca="1" ref="H191" ca="1">IF('Raw Data'!G193="",_xlfn.REGEXEXTRACT(CELL("address",'Raw Data'!G193),"\$([A-Z]+)\$[0-9]+"),"")</f>
        <v>$G$193</v>
      </c>
      <c r="I191" t="str" cm="1">
        <f t="array" aca="1" ref="I191" ca="1">IF('Raw Data'!H193="",_xlfn.REGEXEXTRACT(CELL("address",'Raw Data'!H193),"\$([A-Z]+)\$[0-9]+"),"")</f>
        <v>$H$193</v>
      </c>
    </row>
    <row r="192" spans="2:9" x14ac:dyDescent="0.25">
      <c r="B192" t="str" cm="1">
        <f t="array" aca="1" ref="B192" ca="1">IF('Raw Data'!B194="",_xlfn.REGEXEXTRACT(CELL("address",'Raw Data'!B194),"\$([A-Z]+)\$[0-9]+"),"")</f>
        <v>$B$194</v>
      </c>
      <c r="C192" t="str" cm="1">
        <f t="array" aca="1" ref="C192" ca="1">IF('Raw Data'!C194="",_xlfn.REGEXEXTRACT(CELL("address",'Raw Data'!C194),"\$([A-Z]+)\$[0-9]+"),"")</f>
        <v>$C$194</v>
      </c>
      <c r="D192" t="str" cm="1">
        <f t="array" aca="1" ref="D192" ca="1">IF('Raw Data'!D194="",_xlfn.REGEXEXTRACT(CELL("address",'Raw Data'!D194),"\$([A-Z]+)\$[0-9]+"),"")</f>
        <v>$D$194</v>
      </c>
      <c r="E192" t="str" cm="1">
        <f t="array" aca="1" ref="E192" ca="1">IF('Raw Data'!E194="",_xlfn.REGEXEXTRACT(CELL("address",'Raw Data'!E194),"\$([A-Z]+)\$[0-9]+"),"")</f>
        <v>$E$194</v>
      </c>
      <c r="F192" t="str" cm="1">
        <f t="array" aca="1" ref="F192" ca="1">IF('Raw Data'!F194="",_xlfn.REGEXEXTRACT(CELL("address",'Raw Data'!F194),"\$([A-Z]+)\$[0-9]+"),"")</f>
        <v>$F$194</v>
      </c>
      <c r="G192" t="e" cm="1">
        <f t="array" aca="1" ref="G192" ca="1">IF('Raw Data'!#REF!="",_xlfn.REGEXEXTRACT(CELL("address",'Raw Data'!#REF!),"\$([A-Z]+)\$[0-9]+"),"")</f>
        <v>#REF!</v>
      </c>
      <c r="H192" t="str" cm="1">
        <f t="array" aca="1" ref="H192" ca="1">IF('Raw Data'!G194="",_xlfn.REGEXEXTRACT(CELL("address",'Raw Data'!G194),"\$([A-Z]+)\$[0-9]+"),"")</f>
        <v>$G$194</v>
      </c>
      <c r="I192" t="str" cm="1">
        <f t="array" aca="1" ref="I192" ca="1">IF('Raw Data'!H194="",_xlfn.REGEXEXTRACT(CELL("address",'Raw Data'!H194),"\$([A-Z]+)\$[0-9]+"),"")</f>
        <v>$H$194</v>
      </c>
    </row>
    <row r="193" spans="2:9" x14ac:dyDescent="0.25">
      <c r="B193" t="str" cm="1">
        <f t="array" aca="1" ref="B193" ca="1">IF('Raw Data'!B195="",_xlfn.REGEXEXTRACT(CELL("address",'Raw Data'!B195),"\$([A-Z]+)\$[0-9]+"),"")</f>
        <v>$B$195</v>
      </c>
      <c r="C193" t="str" cm="1">
        <f t="array" aca="1" ref="C193" ca="1">IF('Raw Data'!C195="",_xlfn.REGEXEXTRACT(CELL("address",'Raw Data'!C195),"\$([A-Z]+)\$[0-9]+"),"")</f>
        <v>$C$195</v>
      </c>
      <c r="D193" t="str" cm="1">
        <f t="array" aca="1" ref="D193" ca="1">IF('Raw Data'!D195="",_xlfn.REGEXEXTRACT(CELL("address",'Raw Data'!D195),"\$([A-Z]+)\$[0-9]+"),"")</f>
        <v>$D$195</v>
      </c>
      <c r="E193" t="str" cm="1">
        <f t="array" aca="1" ref="E193" ca="1">IF('Raw Data'!E195="",_xlfn.REGEXEXTRACT(CELL("address",'Raw Data'!E195),"\$([A-Z]+)\$[0-9]+"),"")</f>
        <v>$E$195</v>
      </c>
      <c r="F193" t="str" cm="1">
        <f t="array" aca="1" ref="F193" ca="1">IF('Raw Data'!F195="",_xlfn.REGEXEXTRACT(CELL("address",'Raw Data'!F195),"\$([A-Z]+)\$[0-9]+"),"")</f>
        <v>$F$195</v>
      </c>
      <c r="G193" t="e" cm="1">
        <f t="array" aca="1" ref="G193" ca="1">IF('Raw Data'!#REF!="",_xlfn.REGEXEXTRACT(CELL("address",'Raw Data'!#REF!),"\$([A-Z]+)\$[0-9]+"),"")</f>
        <v>#REF!</v>
      </c>
      <c r="H193" t="str" cm="1">
        <f t="array" aca="1" ref="H193" ca="1">IF('Raw Data'!G195="",_xlfn.REGEXEXTRACT(CELL("address",'Raw Data'!G195),"\$([A-Z]+)\$[0-9]+"),"")</f>
        <v>$G$195</v>
      </c>
      <c r="I193" t="str" cm="1">
        <f t="array" aca="1" ref="I193" ca="1">IF('Raw Data'!H195="",_xlfn.REGEXEXTRACT(CELL("address",'Raw Data'!H195),"\$([A-Z]+)\$[0-9]+"),"")</f>
        <v>$H$195</v>
      </c>
    </row>
    <row r="194" spans="2:9" x14ac:dyDescent="0.25">
      <c r="B194" t="str" cm="1">
        <f t="array" aca="1" ref="B194" ca="1">IF('Raw Data'!B196="",_xlfn.REGEXEXTRACT(CELL("address",'Raw Data'!B196),"\$([A-Z]+)\$[0-9]+"),"")</f>
        <v>$B$196</v>
      </c>
      <c r="C194" t="str" cm="1">
        <f t="array" aca="1" ref="C194" ca="1">IF('Raw Data'!C196="",_xlfn.REGEXEXTRACT(CELL("address",'Raw Data'!C196),"\$([A-Z]+)\$[0-9]+"),"")</f>
        <v>$C$196</v>
      </c>
      <c r="D194" t="str" cm="1">
        <f t="array" aca="1" ref="D194" ca="1">IF('Raw Data'!D196="",_xlfn.REGEXEXTRACT(CELL("address",'Raw Data'!D196),"\$([A-Z]+)\$[0-9]+"),"")</f>
        <v>$D$196</v>
      </c>
      <c r="E194" t="str" cm="1">
        <f t="array" aca="1" ref="E194" ca="1">IF('Raw Data'!E196="",_xlfn.REGEXEXTRACT(CELL("address",'Raw Data'!E196),"\$([A-Z]+)\$[0-9]+"),"")</f>
        <v>$E$196</v>
      </c>
      <c r="F194" t="str" cm="1">
        <f t="array" aca="1" ref="F194" ca="1">IF('Raw Data'!F196="",_xlfn.REGEXEXTRACT(CELL("address",'Raw Data'!F196),"\$([A-Z]+)\$[0-9]+"),"")</f>
        <v>$F$196</v>
      </c>
      <c r="G194" t="e" cm="1">
        <f t="array" aca="1" ref="G194" ca="1">IF('Raw Data'!#REF!="",_xlfn.REGEXEXTRACT(CELL("address",'Raw Data'!#REF!),"\$([A-Z]+)\$[0-9]+"),"")</f>
        <v>#REF!</v>
      </c>
      <c r="H194" t="str" cm="1">
        <f t="array" aca="1" ref="H194" ca="1">IF('Raw Data'!G196="",_xlfn.REGEXEXTRACT(CELL("address",'Raw Data'!G196),"\$([A-Z]+)\$[0-9]+"),"")</f>
        <v>$G$196</v>
      </c>
      <c r="I194" t="str" cm="1">
        <f t="array" aca="1" ref="I194" ca="1">IF('Raw Data'!H196="",_xlfn.REGEXEXTRACT(CELL("address",'Raw Data'!H196),"\$([A-Z]+)\$[0-9]+"),"")</f>
        <v>$H$196</v>
      </c>
    </row>
    <row r="195" spans="2:9" x14ac:dyDescent="0.25">
      <c r="B195" t="str" cm="1">
        <f t="array" aca="1" ref="B195" ca="1">IF('Raw Data'!B197="",_xlfn.REGEXEXTRACT(CELL("address",'Raw Data'!B197),"\$([A-Z]+)\$[0-9]+"),"")</f>
        <v>$B$197</v>
      </c>
      <c r="C195" t="str" cm="1">
        <f t="array" aca="1" ref="C195" ca="1">IF('Raw Data'!C197="",_xlfn.REGEXEXTRACT(CELL("address",'Raw Data'!C197),"\$([A-Z]+)\$[0-9]+"),"")</f>
        <v>$C$197</v>
      </c>
      <c r="D195" t="str" cm="1">
        <f t="array" aca="1" ref="D195" ca="1">IF('Raw Data'!D197="",_xlfn.REGEXEXTRACT(CELL("address",'Raw Data'!D197),"\$([A-Z]+)\$[0-9]+"),"")</f>
        <v>$D$197</v>
      </c>
      <c r="E195" t="str" cm="1">
        <f t="array" aca="1" ref="E195" ca="1">IF('Raw Data'!E197="",_xlfn.REGEXEXTRACT(CELL("address",'Raw Data'!E197),"\$([A-Z]+)\$[0-9]+"),"")</f>
        <v>$E$197</v>
      </c>
      <c r="F195" t="str" cm="1">
        <f t="array" aca="1" ref="F195" ca="1">IF('Raw Data'!F197="",_xlfn.REGEXEXTRACT(CELL("address",'Raw Data'!F197),"\$([A-Z]+)\$[0-9]+"),"")</f>
        <v>$F$197</v>
      </c>
      <c r="G195" t="e" cm="1">
        <f t="array" aca="1" ref="G195" ca="1">IF('Raw Data'!#REF!="",_xlfn.REGEXEXTRACT(CELL("address",'Raw Data'!#REF!),"\$([A-Z]+)\$[0-9]+"),"")</f>
        <v>#REF!</v>
      </c>
      <c r="H195" t="str" cm="1">
        <f t="array" aca="1" ref="H195" ca="1">IF('Raw Data'!G197="",_xlfn.REGEXEXTRACT(CELL("address",'Raw Data'!G197),"\$([A-Z]+)\$[0-9]+"),"")</f>
        <v>$G$197</v>
      </c>
      <c r="I195" t="str" cm="1">
        <f t="array" aca="1" ref="I195" ca="1">IF('Raw Data'!H197="",_xlfn.REGEXEXTRACT(CELL("address",'Raw Data'!H197),"\$([A-Z]+)\$[0-9]+"),"")</f>
        <v>$H$197</v>
      </c>
    </row>
    <row r="196" spans="2:9" x14ac:dyDescent="0.25">
      <c r="B196" t="str" cm="1">
        <f t="array" aca="1" ref="B196" ca="1">IF('Raw Data'!B198="",_xlfn.REGEXEXTRACT(CELL("address",'Raw Data'!B198),"\$([A-Z]+)\$[0-9]+"),"")</f>
        <v>$B$198</v>
      </c>
      <c r="C196" t="str" cm="1">
        <f t="array" aca="1" ref="C196" ca="1">IF('Raw Data'!C198="",_xlfn.REGEXEXTRACT(CELL("address",'Raw Data'!C198),"\$([A-Z]+)\$[0-9]+"),"")</f>
        <v>$C$198</v>
      </c>
      <c r="D196" t="str" cm="1">
        <f t="array" aca="1" ref="D196" ca="1">IF('Raw Data'!D198="",_xlfn.REGEXEXTRACT(CELL("address",'Raw Data'!D198),"\$([A-Z]+)\$[0-9]+"),"")</f>
        <v>$D$198</v>
      </c>
      <c r="E196" t="str" cm="1">
        <f t="array" aca="1" ref="E196" ca="1">IF('Raw Data'!E198="",_xlfn.REGEXEXTRACT(CELL("address",'Raw Data'!E198),"\$([A-Z]+)\$[0-9]+"),"")</f>
        <v>$E$198</v>
      </c>
      <c r="F196" t="str" cm="1">
        <f t="array" aca="1" ref="F196" ca="1">IF('Raw Data'!F198="",_xlfn.REGEXEXTRACT(CELL("address",'Raw Data'!F198),"\$([A-Z]+)\$[0-9]+"),"")</f>
        <v>$F$198</v>
      </c>
      <c r="G196" t="e" cm="1">
        <f t="array" aca="1" ref="G196" ca="1">IF('Raw Data'!#REF!="",_xlfn.REGEXEXTRACT(CELL("address",'Raw Data'!#REF!),"\$([A-Z]+)\$[0-9]+"),"")</f>
        <v>#REF!</v>
      </c>
      <c r="H196" t="str" cm="1">
        <f t="array" aca="1" ref="H196" ca="1">IF('Raw Data'!G198="",_xlfn.REGEXEXTRACT(CELL("address",'Raw Data'!G198),"\$([A-Z]+)\$[0-9]+"),"")</f>
        <v>$G$198</v>
      </c>
      <c r="I196" t="str" cm="1">
        <f t="array" aca="1" ref="I196" ca="1">IF('Raw Data'!H198="",_xlfn.REGEXEXTRACT(CELL("address",'Raw Data'!H198),"\$([A-Z]+)\$[0-9]+"),"")</f>
        <v>$H$198</v>
      </c>
    </row>
    <row r="197" spans="2:9" x14ac:dyDescent="0.25">
      <c r="B197" t="str" cm="1">
        <f t="array" aca="1" ref="B197" ca="1">IF('Raw Data'!B199="",_xlfn.REGEXEXTRACT(CELL("address",'Raw Data'!B199),"\$([A-Z]+)\$[0-9]+"),"")</f>
        <v>$B$199</v>
      </c>
      <c r="C197" t="str" cm="1">
        <f t="array" aca="1" ref="C197" ca="1">IF('Raw Data'!C199="",_xlfn.REGEXEXTRACT(CELL("address",'Raw Data'!C199),"\$([A-Z]+)\$[0-9]+"),"")</f>
        <v>$C$199</v>
      </c>
      <c r="D197" t="str" cm="1">
        <f t="array" aca="1" ref="D197" ca="1">IF('Raw Data'!D199="",_xlfn.REGEXEXTRACT(CELL("address",'Raw Data'!D199),"\$([A-Z]+)\$[0-9]+"),"")</f>
        <v>$D$199</v>
      </c>
      <c r="E197" t="str" cm="1">
        <f t="array" aca="1" ref="E197" ca="1">IF('Raw Data'!E199="",_xlfn.REGEXEXTRACT(CELL("address",'Raw Data'!E199),"\$([A-Z]+)\$[0-9]+"),"")</f>
        <v>$E$199</v>
      </c>
      <c r="F197" t="str" cm="1">
        <f t="array" aca="1" ref="F197" ca="1">IF('Raw Data'!F199="",_xlfn.REGEXEXTRACT(CELL("address",'Raw Data'!F199),"\$([A-Z]+)\$[0-9]+"),"")</f>
        <v>$F$199</v>
      </c>
      <c r="G197" t="e" cm="1">
        <f t="array" aca="1" ref="G197" ca="1">IF('Raw Data'!#REF!="",_xlfn.REGEXEXTRACT(CELL("address",'Raw Data'!#REF!),"\$([A-Z]+)\$[0-9]+"),"")</f>
        <v>#REF!</v>
      </c>
      <c r="H197" t="str" cm="1">
        <f t="array" aca="1" ref="H197" ca="1">IF('Raw Data'!G199="",_xlfn.REGEXEXTRACT(CELL("address",'Raw Data'!G199),"\$([A-Z]+)\$[0-9]+"),"")</f>
        <v>$G$199</v>
      </c>
      <c r="I197" t="str" cm="1">
        <f t="array" aca="1" ref="I197" ca="1">IF('Raw Data'!H199="",_xlfn.REGEXEXTRACT(CELL("address",'Raw Data'!H199),"\$([A-Z]+)\$[0-9]+"),"")</f>
        <v>$H$199</v>
      </c>
    </row>
    <row r="198" spans="2:9" x14ac:dyDescent="0.25">
      <c r="B198" t="str" cm="1">
        <f t="array" aca="1" ref="B198" ca="1">IF('Raw Data'!B200="",_xlfn.REGEXEXTRACT(CELL("address",'Raw Data'!B200),"\$([A-Z]+)\$[0-9]+"),"")</f>
        <v>$B$200</v>
      </c>
      <c r="C198" t="str" cm="1">
        <f t="array" aca="1" ref="C198" ca="1">IF('Raw Data'!C200="",_xlfn.REGEXEXTRACT(CELL("address",'Raw Data'!C200),"\$([A-Z]+)\$[0-9]+"),"")</f>
        <v>$C$200</v>
      </c>
      <c r="D198" t="str" cm="1">
        <f t="array" aca="1" ref="D198" ca="1">IF('Raw Data'!D200="",_xlfn.REGEXEXTRACT(CELL("address",'Raw Data'!D200),"\$([A-Z]+)\$[0-9]+"),"")</f>
        <v>$D$200</v>
      </c>
      <c r="E198" t="str" cm="1">
        <f t="array" aca="1" ref="E198" ca="1">IF('Raw Data'!E200="",_xlfn.REGEXEXTRACT(CELL("address",'Raw Data'!E200),"\$([A-Z]+)\$[0-9]+"),"")</f>
        <v>$E$200</v>
      </c>
      <c r="F198" t="str" cm="1">
        <f t="array" aca="1" ref="F198" ca="1">IF('Raw Data'!F200="",_xlfn.REGEXEXTRACT(CELL("address",'Raw Data'!F200),"\$([A-Z]+)\$[0-9]+"),"")</f>
        <v>$F$200</v>
      </c>
      <c r="G198" t="e" cm="1">
        <f t="array" aca="1" ref="G198" ca="1">IF('Raw Data'!#REF!="",_xlfn.REGEXEXTRACT(CELL("address",'Raw Data'!#REF!),"\$([A-Z]+)\$[0-9]+"),"")</f>
        <v>#REF!</v>
      </c>
      <c r="H198" t="str" cm="1">
        <f t="array" aca="1" ref="H198" ca="1">IF('Raw Data'!G200="",_xlfn.REGEXEXTRACT(CELL("address",'Raw Data'!G200),"\$([A-Z]+)\$[0-9]+"),"")</f>
        <v>$G$200</v>
      </c>
      <c r="I198" t="str" cm="1">
        <f t="array" aca="1" ref="I198" ca="1">IF('Raw Data'!H200="",_xlfn.REGEXEXTRACT(CELL("address",'Raw Data'!H200),"\$([A-Z]+)\$[0-9]+"),"")</f>
        <v>$H$200</v>
      </c>
    </row>
    <row r="199" spans="2:9" x14ac:dyDescent="0.25">
      <c r="B199" t="str" cm="1">
        <f t="array" aca="1" ref="B199" ca="1">IF('Raw Data'!B201="",_xlfn.REGEXEXTRACT(CELL("address",'Raw Data'!B201),"\$([A-Z]+)\$[0-9]+"),"")</f>
        <v>$B$201</v>
      </c>
      <c r="C199" t="str" cm="1">
        <f t="array" aca="1" ref="C199" ca="1">IF('Raw Data'!C201="",_xlfn.REGEXEXTRACT(CELL("address",'Raw Data'!C201),"\$([A-Z]+)\$[0-9]+"),"")</f>
        <v>$C$201</v>
      </c>
      <c r="D199" t="str" cm="1">
        <f t="array" aca="1" ref="D199" ca="1">IF('Raw Data'!D201="",_xlfn.REGEXEXTRACT(CELL("address",'Raw Data'!D201),"\$([A-Z]+)\$[0-9]+"),"")</f>
        <v>$D$201</v>
      </c>
      <c r="E199" t="str" cm="1">
        <f t="array" aca="1" ref="E199" ca="1">IF('Raw Data'!E201="",_xlfn.REGEXEXTRACT(CELL("address",'Raw Data'!E201),"\$([A-Z]+)\$[0-9]+"),"")</f>
        <v>$E$201</v>
      </c>
      <c r="F199" t="str" cm="1">
        <f t="array" aca="1" ref="F199" ca="1">IF('Raw Data'!F201="",_xlfn.REGEXEXTRACT(CELL("address",'Raw Data'!F201),"\$([A-Z]+)\$[0-9]+"),"")</f>
        <v>$F$201</v>
      </c>
      <c r="G199" t="e" cm="1">
        <f t="array" aca="1" ref="G199" ca="1">IF('Raw Data'!#REF!="",_xlfn.REGEXEXTRACT(CELL("address",'Raw Data'!#REF!),"\$([A-Z]+)\$[0-9]+"),"")</f>
        <v>#REF!</v>
      </c>
      <c r="H199" t="str" cm="1">
        <f t="array" aca="1" ref="H199" ca="1">IF('Raw Data'!G201="",_xlfn.REGEXEXTRACT(CELL("address",'Raw Data'!G201),"\$([A-Z]+)\$[0-9]+"),"")</f>
        <v>$G$201</v>
      </c>
      <c r="I199" t="str" cm="1">
        <f t="array" aca="1" ref="I199" ca="1">IF('Raw Data'!H201="",_xlfn.REGEXEXTRACT(CELL("address",'Raw Data'!H201),"\$([A-Z]+)\$[0-9]+"),"")</f>
        <v>$H$201</v>
      </c>
    </row>
    <row r="200" spans="2:9" x14ac:dyDescent="0.25">
      <c r="B200" t="str" cm="1">
        <f t="array" aca="1" ref="B200" ca="1">IF('Raw Data'!B202="",_xlfn.REGEXEXTRACT(CELL("address",'Raw Data'!B202),"\$([A-Z]+)\$[0-9]+"),"")</f>
        <v>$B$202</v>
      </c>
      <c r="C200" t="str" cm="1">
        <f t="array" aca="1" ref="C200" ca="1">IF('Raw Data'!C202="",_xlfn.REGEXEXTRACT(CELL("address",'Raw Data'!C202),"\$([A-Z]+)\$[0-9]+"),"")</f>
        <v>$C$202</v>
      </c>
      <c r="D200" t="str" cm="1">
        <f t="array" aca="1" ref="D200" ca="1">IF('Raw Data'!D202="",_xlfn.REGEXEXTRACT(CELL("address",'Raw Data'!D202),"\$([A-Z]+)\$[0-9]+"),"")</f>
        <v>$D$202</v>
      </c>
      <c r="E200" t="str" cm="1">
        <f t="array" aca="1" ref="E200" ca="1">IF('Raw Data'!E202="",_xlfn.REGEXEXTRACT(CELL("address",'Raw Data'!E202),"\$([A-Z]+)\$[0-9]+"),"")</f>
        <v>$E$202</v>
      </c>
      <c r="F200" t="str" cm="1">
        <f t="array" aca="1" ref="F200" ca="1">IF('Raw Data'!F202="",_xlfn.REGEXEXTRACT(CELL("address",'Raw Data'!F202),"\$([A-Z]+)\$[0-9]+"),"")</f>
        <v>$F$202</v>
      </c>
      <c r="G200" t="e" cm="1">
        <f t="array" aca="1" ref="G200" ca="1">IF('Raw Data'!#REF!="",_xlfn.REGEXEXTRACT(CELL("address",'Raw Data'!#REF!),"\$([A-Z]+)\$[0-9]+"),"")</f>
        <v>#REF!</v>
      </c>
      <c r="H200" t="str" cm="1">
        <f t="array" aca="1" ref="H200" ca="1">IF('Raw Data'!G202="",_xlfn.REGEXEXTRACT(CELL("address",'Raw Data'!G202),"\$([A-Z]+)\$[0-9]+"),"")</f>
        <v>$G$202</v>
      </c>
      <c r="I200" t="str" cm="1">
        <f t="array" aca="1" ref="I200" ca="1">IF('Raw Data'!H202="",_xlfn.REGEXEXTRACT(CELL("address",'Raw Data'!H202),"\$([A-Z]+)\$[0-9]+"),"")</f>
        <v>$H$202</v>
      </c>
    </row>
    <row r="201" spans="2:9" x14ac:dyDescent="0.25">
      <c r="B201" t="str" cm="1">
        <f t="array" aca="1" ref="B201" ca="1">IF('Raw Data'!B203="",_xlfn.REGEXEXTRACT(CELL("address",'Raw Data'!B203),"\$([A-Z]+)\$[0-9]+"),"")</f>
        <v>$B$203</v>
      </c>
      <c r="C201" t="str" cm="1">
        <f t="array" aca="1" ref="C201" ca="1">IF('Raw Data'!C203="",_xlfn.REGEXEXTRACT(CELL("address",'Raw Data'!C203),"\$([A-Z]+)\$[0-9]+"),"")</f>
        <v>$C$203</v>
      </c>
      <c r="D201" t="str" cm="1">
        <f t="array" aca="1" ref="D201" ca="1">IF('Raw Data'!D203="",_xlfn.REGEXEXTRACT(CELL("address",'Raw Data'!D203),"\$([A-Z]+)\$[0-9]+"),"")</f>
        <v>$D$203</v>
      </c>
      <c r="E201" t="str" cm="1">
        <f t="array" aca="1" ref="E201" ca="1">IF('Raw Data'!E203="",_xlfn.REGEXEXTRACT(CELL("address",'Raw Data'!E203),"\$([A-Z]+)\$[0-9]+"),"")</f>
        <v>$E$203</v>
      </c>
      <c r="F201" t="str" cm="1">
        <f t="array" aca="1" ref="F201" ca="1">IF('Raw Data'!F203="",_xlfn.REGEXEXTRACT(CELL("address",'Raw Data'!F203),"\$([A-Z]+)\$[0-9]+"),"")</f>
        <v>$F$203</v>
      </c>
      <c r="G201" t="e" cm="1">
        <f t="array" aca="1" ref="G201" ca="1">IF('Raw Data'!#REF!="",_xlfn.REGEXEXTRACT(CELL("address",'Raw Data'!#REF!),"\$([A-Z]+)\$[0-9]+"),"")</f>
        <v>#REF!</v>
      </c>
      <c r="H201" t="str" cm="1">
        <f t="array" aca="1" ref="H201" ca="1">IF('Raw Data'!G203="",_xlfn.REGEXEXTRACT(CELL("address",'Raw Data'!G203),"\$([A-Z]+)\$[0-9]+"),"")</f>
        <v>$G$203</v>
      </c>
      <c r="I201" t="str" cm="1">
        <f t="array" aca="1" ref="I201" ca="1">IF('Raw Data'!H203="",_xlfn.REGEXEXTRACT(CELL("address",'Raw Data'!H203),"\$([A-Z]+)\$[0-9]+"),"")</f>
        <v>$H$203</v>
      </c>
    </row>
    <row r="202" spans="2:9" x14ac:dyDescent="0.25">
      <c r="B202" t="str" cm="1">
        <f t="array" aca="1" ref="B202" ca="1">IF('Raw Data'!B204="",_xlfn.REGEXEXTRACT(CELL("address",'Raw Data'!B204),"\$([A-Z]+)\$[0-9]+"),"")</f>
        <v>$B$204</v>
      </c>
      <c r="C202" t="str" cm="1">
        <f t="array" aca="1" ref="C202" ca="1">IF('Raw Data'!C204="",_xlfn.REGEXEXTRACT(CELL("address",'Raw Data'!C204),"\$([A-Z]+)\$[0-9]+"),"")</f>
        <v>$C$204</v>
      </c>
      <c r="D202" t="str" cm="1">
        <f t="array" aca="1" ref="D202" ca="1">IF('Raw Data'!D204="",_xlfn.REGEXEXTRACT(CELL("address",'Raw Data'!D204),"\$([A-Z]+)\$[0-9]+"),"")</f>
        <v>$D$204</v>
      </c>
      <c r="E202" t="str" cm="1">
        <f t="array" aca="1" ref="E202" ca="1">IF('Raw Data'!E204="",_xlfn.REGEXEXTRACT(CELL("address",'Raw Data'!E204),"\$([A-Z]+)\$[0-9]+"),"")</f>
        <v>$E$204</v>
      </c>
      <c r="F202" t="str" cm="1">
        <f t="array" aca="1" ref="F202" ca="1">IF('Raw Data'!F204="",_xlfn.REGEXEXTRACT(CELL("address",'Raw Data'!F204),"\$([A-Z]+)\$[0-9]+"),"")</f>
        <v>$F$204</v>
      </c>
      <c r="G202" t="e" cm="1">
        <f t="array" aca="1" ref="G202" ca="1">IF('Raw Data'!#REF!="",_xlfn.REGEXEXTRACT(CELL("address",'Raw Data'!#REF!),"\$([A-Z]+)\$[0-9]+"),"")</f>
        <v>#REF!</v>
      </c>
      <c r="H202" t="str" cm="1">
        <f t="array" aca="1" ref="H202" ca="1">IF('Raw Data'!G204="",_xlfn.REGEXEXTRACT(CELL("address",'Raw Data'!G204),"\$([A-Z]+)\$[0-9]+"),"")</f>
        <v>$G$204</v>
      </c>
      <c r="I202" t="str" cm="1">
        <f t="array" aca="1" ref="I202" ca="1">IF('Raw Data'!H204="",_xlfn.REGEXEXTRACT(CELL("address",'Raw Data'!H204),"\$([A-Z]+)\$[0-9]+"),"")</f>
        <v>$H$204</v>
      </c>
    </row>
    <row r="203" spans="2:9" x14ac:dyDescent="0.25">
      <c r="B203" t="str" cm="1">
        <f t="array" aca="1" ref="B203" ca="1">IF('Raw Data'!B205="",_xlfn.REGEXEXTRACT(CELL("address",'Raw Data'!B205),"\$([A-Z]+)\$[0-9]+"),"")</f>
        <v>$B$205</v>
      </c>
      <c r="C203" t="str" cm="1">
        <f t="array" aca="1" ref="C203" ca="1">IF('Raw Data'!C205="",_xlfn.REGEXEXTRACT(CELL("address",'Raw Data'!C205),"\$([A-Z]+)\$[0-9]+"),"")</f>
        <v>$C$205</v>
      </c>
      <c r="D203" t="str" cm="1">
        <f t="array" aca="1" ref="D203" ca="1">IF('Raw Data'!D205="",_xlfn.REGEXEXTRACT(CELL("address",'Raw Data'!D205),"\$([A-Z]+)\$[0-9]+"),"")</f>
        <v>$D$205</v>
      </c>
      <c r="E203" t="str" cm="1">
        <f t="array" aca="1" ref="E203" ca="1">IF('Raw Data'!E205="",_xlfn.REGEXEXTRACT(CELL("address",'Raw Data'!E205),"\$([A-Z]+)\$[0-9]+"),"")</f>
        <v>$E$205</v>
      </c>
      <c r="F203" t="str" cm="1">
        <f t="array" aca="1" ref="F203" ca="1">IF('Raw Data'!F205="",_xlfn.REGEXEXTRACT(CELL("address",'Raw Data'!F205),"\$([A-Z]+)\$[0-9]+"),"")</f>
        <v>$F$205</v>
      </c>
      <c r="G203" t="e" cm="1">
        <f t="array" aca="1" ref="G203" ca="1">IF('Raw Data'!#REF!="",_xlfn.REGEXEXTRACT(CELL("address",'Raw Data'!#REF!),"\$([A-Z]+)\$[0-9]+"),"")</f>
        <v>#REF!</v>
      </c>
      <c r="H203" t="str" cm="1">
        <f t="array" aca="1" ref="H203" ca="1">IF('Raw Data'!G205="",_xlfn.REGEXEXTRACT(CELL("address",'Raw Data'!G205),"\$([A-Z]+)\$[0-9]+"),"")</f>
        <v>$G$205</v>
      </c>
      <c r="I203" t="str" cm="1">
        <f t="array" aca="1" ref="I203" ca="1">IF('Raw Data'!H205="",_xlfn.REGEXEXTRACT(CELL("address",'Raw Data'!H205),"\$([A-Z]+)\$[0-9]+"),"")</f>
        <v>$H$205</v>
      </c>
    </row>
    <row r="204" spans="2:9" x14ac:dyDescent="0.25">
      <c r="B204" t="str" cm="1">
        <f t="array" aca="1" ref="B204" ca="1">IF('Raw Data'!B206="",_xlfn.REGEXEXTRACT(CELL("address",'Raw Data'!B206),"\$([A-Z]+)\$[0-9]+"),"")</f>
        <v>$B$206</v>
      </c>
      <c r="C204" t="str" cm="1">
        <f t="array" aca="1" ref="C204" ca="1">IF('Raw Data'!C206="",_xlfn.REGEXEXTRACT(CELL("address",'Raw Data'!C206),"\$([A-Z]+)\$[0-9]+"),"")</f>
        <v>$C$206</v>
      </c>
      <c r="D204" t="str" cm="1">
        <f t="array" aca="1" ref="D204" ca="1">IF('Raw Data'!D206="",_xlfn.REGEXEXTRACT(CELL("address",'Raw Data'!D206),"\$([A-Z]+)\$[0-9]+"),"")</f>
        <v>$D$206</v>
      </c>
      <c r="E204" t="str" cm="1">
        <f t="array" aca="1" ref="E204" ca="1">IF('Raw Data'!E206="",_xlfn.REGEXEXTRACT(CELL("address",'Raw Data'!E206),"\$([A-Z]+)\$[0-9]+"),"")</f>
        <v>$E$206</v>
      </c>
      <c r="F204" t="str" cm="1">
        <f t="array" aca="1" ref="F204" ca="1">IF('Raw Data'!F206="",_xlfn.REGEXEXTRACT(CELL("address",'Raw Data'!F206),"\$([A-Z]+)\$[0-9]+"),"")</f>
        <v>$F$206</v>
      </c>
      <c r="G204" t="e" cm="1">
        <f t="array" aca="1" ref="G204" ca="1">IF('Raw Data'!#REF!="",_xlfn.REGEXEXTRACT(CELL("address",'Raw Data'!#REF!),"\$([A-Z]+)\$[0-9]+"),"")</f>
        <v>#REF!</v>
      </c>
      <c r="H204" t="str" cm="1">
        <f t="array" aca="1" ref="H204" ca="1">IF('Raw Data'!G206="",_xlfn.REGEXEXTRACT(CELL("address",'Raw Data'!G206),"\$([A-Z]+)\$[0-9]+"),"")</f>
        <v>$G$206</v>
      </c>
      <c r="I204" t="str" cm="1">
        <f t="array" aca="1" ref="I204" ca="1">IF('Raw Data'!H206="",_xlfn.REGEXEXTRACT(CELL("address",'Raw Data'!H206),"\$([A-Z]+)\$[0-9]+"),"")</f>
        <v>$H$206</v>
      </c>
    </row>
    <row r="205" spans="2:9" x14ac:dyDescent="0.25">
      <c r="B205" t="str" cm="1">
        <f t="array" aca="1" ref="B205" ca="1">IF('Raw Data'!B207="",_xlfn.REGEXEXTRACT(CELL("address",'Raw Data'!B207),"\$([A-Z]+)\$[0-9]+"),"")</f>
        <v>$B$207</v>
      </c>
      <c r="C205" t="str" cm="1">
        <f t="array" aca="1" ref="C205" ca="1">IF('Raw Data'!C207="",_xlfn.REGEXEXTRACT(CELL("address",'Raw Data'!C207),"\$([A-Z]+)\$[0-9]+"),"")</f>
        <v>$C$207</v>
      </c>
      <c r="D205" t="str" cm="1">
        <f t="array" aca="1" ref="D205" ca="1">IF('Raw Data'!D207="",_xlfn.REGEXEXTRACT(CELL("address",'Raw Data'!D207),"\$([A-Z]+)\$[0-9]+"),"")</f>
        <v>$D$207</v>
      </c>
      <c r="E205" t="str" cm="1">
        <f t="array" aca="1" ref="E205" ca="1">IF('Raw Data'!E207="",_xlfn.REGEXEXTRACT(CELL("address",'Raw Data'!E207),"\$([A-Z]+)\$[0-9]+"),"")</f>
        <v>$E$207</v>
      </c>
      <c r="F205" t="str" cm="1">
        <f t="array" aca="1" ref="F205" ca="1">IF('Raw Data'!F207="",_xlfn.REGEXEXTRACT(CELL("address",'Raw Data'!F207),"\$([A-Z]+)\$[0-9]+"),"")</f>
        <v>$F$207</v>
      </c>
      <c r="G205" t="e" cm="1">
        <f t="array" aca="1" ref="G205" ca="1">IF('Raw Data'!#REF!="",_xlfn.REGEXEXTRACT(CELL("address",'Raw Data'!#REF!),"\$([A-Z]+)\$[0-9]+"),"")</f>
        <v>#REF!</v>
      </c>
      <c r="H205" t="str" cm="1">
        <f t="array" aca="1" ref="H205" ca="1">IF('Raw Data'!G207="",_xlfn.REGEXEXTRACT(CELL("address",'Raw Data'!G207),"\$([A-Z]+)\$[0-9]+"),"")</f>
        <v>$G$207</v>
      </c>
      <c r="I205" t="str" cm="1">
        <f t="array" aca="1" ref="I205" ca="1">IF('Raw Data'!H207="",_xlfn.REGEXEXTRACT(CELL("address",'Raw Data'!H207),"\$([A-Z]+)\$[0-9]+"),"")</f>
        <v>$H$207</v>
      </c>
    </row>
    <row r="206" spans="2:9" x14ac:dyDescent="0.25">
      <c r="B206" t="str" cm="1">
        <f t="array" aca="1" ref="B206" ca="1">IF('Raw Data'!B208="",_xlfn.REGEXEXTRACT(CELL("address",'Raw Data'!B208),"\$([A-Z]+)\$[0-9]+"),"")</f>
        <v>$B$208</v>
      </c>
      <c r="C206" t="str" cm="1">
        <f t="array" aca="1" ref="C206" ca="1">IF('Raw Data'!C208="",_xlfn.REGEXEXTRACT(CELL("address",'Raw Data'!C208),"\$([A-Z]+)\$[0-9]+"),"")</f>
        <v>$C$208</v>
      </c>
      <c r="D206" t="str" cm="1">
        <f t="array" aca="1" ref="D206" ca="1">IF('Raw Data'!D208="",_xlfn.REGEXEXTRACT(CELL("address",'Raw Data'!D208),"\$([A-Z]+)\$[0-9]+"),"")</f>
        <v>$D$208</v>
      </c>
      <c r="E206" t="str" cm="1">
        <f t="array" aca="1" ref="E206" ca="1">IF('Raw Data'!E208="",_xlfn.REGEXEXTRACT(CELL("address",'Raw Data'!E208),"\$([A-Z]+)\$[0-9]+"),"")</f>
        <v>$E$208</v>
      </c>
      <c r="F206" t="str" cm="1">
        <f t="array" aca="1" ref="F206" ca="1">IF('Raw Data'!F208="",_xlfn.REGEXEXTRACT(CELL("address",'Raw Data'!F208),"\$([A-Z]+)\$[0-9]+"),"")</f>
        <v>$F$208</v>
      </c>
      <c r="G206" t="e" cm="1">
        <f t="array" aca="1" ref="G206" ca="1">IF('Raw Data'!#REF!="",_xlfn.REGEXEXTRACT(CELL("address",'Raw Data'!#REF!),"\$([A-Z]+)\$[0-9]+"),"")</f>
        <v>#REF!</v>
      </c>
      <c r="H206" t="str" cm="1">
        <f t="array" aca="1" ref="H206" ca="1">IF('Raw Data'!G208="",_xlfn.REGEXEXTRACT(CELL("address",'Raw Data'!G208),"\$([A-Z]+)\$[0-9]+"),"")</f>
        <v>$G$208</v>
      </c>
      <c r="I206" t="str" cm="1">
        <f t="array" aca="1" ref="I206" ca="1">IF('Raw Data'!H208="",_xlfn.REGEXEXTRACT(CELL("address",'Raw Data'!H208),"\$([A-Z]+)\$[0-9]+"),"")</f>
        <v>$H$208</v>
      </c>
    </row>
    <row r="207" spans="2:9" x14ac:dyDescent="0.25">
      <c r="B207" t="str" cm="1">
        <f t="array" aca="1" ref="B207" ca="1">IF('Raw Data'!B209="",_xlfn.REGEXEXTRACT(CELL("address",'Raw Data'!B209),"\$([A-Z]+)\$[0-9]+"),"")</f>
        <v>$B$209</v>
      </c>
      <c r="C207" t="str" cm="1">
        <f t="array" aca="1" ref="C207" ca="1">IF('Raw Data'!C209="",_xlfn.REGEXEXTRACT(CELL("address",'Raw Data'!C209),"\$([A-Z]+)\$[0-9]+"),"")</f>
        <v>$C$209</v>
      </c>
      <c r="D207" t="str" cm="1">
        <f t="array" aca="1" ref="D207" ca="1">IF('Raw Data'!D209="",_xlfn.REGEXEXTRACT(CELL("address",'Raw Data'!D209),"\$([A-Z]+)\$[0-9]+"),"")</f>
        <v>$D$209</v>
      </c>
      <c r="E207" t="str" cm="1">
        <f t="array" aca="1" ref="E207" ca="1">IF('Raw Data'!E209="",_xlfn.REGEXEXTRACT(CELL("address",'Raw Data'!E209),"\$([A-Z]+)\$[0-9]+"),"")</f>
        <v>$E$209</v>
      </c>
      <c r="F207" t="str" cm="1">
        <f t="array" aca="1" ref="F207" ca="1">IF('Raw Data'!F209="",_xlfn.REGEXEXTRACT(CELL("address",'Raw Data'!F209),"\$([A-Z]+)\$[0-9]+"),"")</f>
        <v>$F$209</v>
      </c>
      <c r="G207" t="e" cm="1">
        <f t="array" aca="1" ref="G207" ca="1">IF('Raw Data'!#REF!="",_xlfn.REGEXEXTRACT(CELL("address",'Raw Data'!#REF!),"\$([A-Z]+)\$[0-9]+"),"")</f>
        <v>#REF!</v>
      </c>
      <c r="H207" t="str" cm="1">
        <f t="array" aca="1" ref="H207" ca="1">IF('Raw Data'!G209="",_xlfn.REGEXEXTRACT(CELL("address",'Raw Data'!G209),"\$([A-Z]+)\$[0-9]+"),"")</f>
        <v>$G$209</v>
      </c>
      <c r="I207" t="str" cm="1">
        <f t="array" aca="1" ref="I207" ca="1">IF('Raw Data'!H209="",_xlfn.REGEXEXTRACT(CELL("address",'Raw Data'!H209),"\$([A-Z]+)\$[0-9]+"),"")</f>
        <v>$H$209</v>
      </c>
    </row>
    <row r="208" spans="2:9" x14ac:dyDescent="0.25">
      <c r="B208" t="str" cm="1">
        <f t="array" aca="1" ref="B208" ca="1">IF('Raw Data'!B210="",_xlfn.REGEXEXTRACT(CELL("address",'Raw Data'!B210),"\$([A-Z]+)\$[0-9]+"),"")</f>
        <v>$B$210</v>
      </c>
      <c r="C208" t="str" cm="1">
        <f t="array" aca="1" ref="C208" ca="1">IF('Raw Data'!C210="",_xlfn.REGEXEXTRACT(CELL("address",'Raw Data'!C210),"\$([A-Z]+)\$[0-9]+"),"")</f>
        <v>$C$210</v>
      </c>
      <c r="D208" t="str" cm="1">
        <f t="array" aca="1" ref="D208" ca="1">IF('Raw Data'!D210="",_xlfn.REGEXEXTRACT(CELL("address",'Raw Data'!D210),"\$([A-Z]+)\$[0-9]+"),"")</f>
        <v>$D$210</v>
      </c>
      <c r="E208" t="str" cm="1">
        <f t="array" aca="1" ref="E208" ca="1">IF('Raw Data'!E210="",_xlfn.REGEXEXTRACT(CELL("address",'Raw Data'!E210),"\$([A-Z]+)\$[0-9]+"),"")</f>
        <v>$E$210</v>
      </c>
      <c r="F208" t="str" cm="1">
        <f t="array" aca="1" ref="F208" ca="1">IF('Raw Data'!F210="",_xlfn.REGEXEXTRACT(CELL("address",'Raw Data'!F210),"\$([A-Z]+)\$[0-9]+"),"")</f>
        <v>$F$210</v>
      </c>
      <c r="G208" t="e" cm="1">
        <f t="array" aca="1" ref="G208" ca="1">IF('Raw Data'!#REF!="",_xlfn.REGEXEXTRACT(CELL("address",'Raw Data'!#REF!),"\$([A-Z]+)\$[0-9]+"),"")</f>
        <v>#REF!</v>
      </c>
      <c r="H208" t="str" cm="1">
        <f t="array" aca="1" ref="H208" ca="1">IF('Raw Data'!G210="",_xlfn.REGEXEXTRACT(CELL("address",'Raw Data'!G210),"\$([A-Z]+)\$[0-9]+"),"")</f>
        <v>$G$210</v>
      </c>
      <c r="I208" t="str" cm="1">
        <f t="array" aca="1" ref="I208" ca="1">IF('Raw Data'!H210="",_xlfn.REGEXEXTRACT(CELL("address",'Raw Data'!H210),"\$([A-Z]+)\$[0-9]+"),"")</f>
        <v>$H$210</v>
      </c>
    </row>
    <row r="209" spans="2:9" x14ac:dyDescent="0.25">
      <c r="B209" t="str" cm="1">
        <f t="array" aca="1" ref="B209" ca="1">IF('Raw Data'!B211="",_xlfn.REGEXEXTRACT(CELL("address",'Raw Data'!B211),"\$([A-Z]+)\$[0-9]+"),"")</f>
        <v>$B$211</v>
      </c>
      <c r="C209" t="str" cm="1">
        <f t="array" aca="1" ref="C209" ca="1">IF('Raw Data'!C211="",_xlfn.REGEXEXTRACT(CELL("address",'Raw Data'!C211),"\$([A-Z]+)\$[0-9]+"),"")</f>
        <v>$C$211</v>
      </c>
      <c r="D209" t="str" cm="1">
        <f t="array" aca="1" ref="D209" ca="1">IF('Raw Data'!D211="",_xlfn.REGEXEXTRACT(CELL("address",'Raw Data'!D211),"\$([A-Z]+)\$[0-9]+"),"")</f>
        <v>$D$211</v>
      </c>
      <c r="E209" t="str" cm="1">
        <f t="array" aca="1" ref="E209" ca="1">IF('Raw Data'!E211="",_xlfn.REGEXEXTRACT(CELL("address",'Raw Data'!E211),"\$([A-Z]+)\$[0-9]+"),"")</f>
        <v>$E$211</v>
      </c>
      <c r="F209" t="str" cm="1">
        <f t="array" aca="1" ref="F209" ca="1">IF('Raw Data'!F211="",_xlfn.REGEXEXTRACT(CELL("address",'Raw Data'!F211),"\$([A-Z]+)\$[0-9]+"),"")</f>
        <v>$F$211</v>
      </c>
      <c r="G209" t="e" cm="1">
        <f t="array" aca="1" ref="G209" ca="1">IF('Raw Data'!#REF!="",_xlfn.REGEXEXTRACT(CELL("address",'Raw Data'!#REF!),"\$([A-Z]+)\$[0-9]+"),"")</f>
        <v>#REF!</v>
      </c>
      <c r="H209" t="str" cm="1">
        <f t="array" aca="1" ref="H209" ca="1">IF('Raw Data'!G211="",_xlfn.REGEXEXTRACT(CELL("address",'Raw Data'!G211),"\$([A-Z]+)\$[0-9]+"),"")</f>
        <v>$G$211</v>
      </c>
      <c r="I209" t="str" cm="1">
        <f t="array" aca="1" ref="I209" ca="1">IF('Raw Data'!H211="",_xlfn.REGEXEXTRACT(CELL("address",'Raw Data'!H211),"\$([A-Z]+)\$[0-9]+"),"")</f>
        <v>$H$211</v>
      </c>
    </row>
    <row r="210" spans="2:9" x14ac:dyDescent="0.25">
      <c r="B210" t="str" cm="1">
        <f t="array" aca="1" ref="B210" ca="1">IF('Raw Data'!B212="",_xlfn.REGEXEXTRACT(CELL("address",'Raw Data'!B212),"\$([A-Z]+)\$[0-9]+"),"")</f>
        <v>$B$212</v>
      </c>
      <c r="C210" t="str" cm="1">
        <f t="array" aca="1" ref="C210" ca="1">IF('Raw Data'!C212="",_xlfn.REGEXEXTRACT(CELL("address",'Raw Data'!C212),"\$([A-Z]+)\$[0-9]+"),"")</f>
        <v>$C$212</v>
      </c>
      <c r="D210" t="str" cm="1">
        <f t="array" aca="1" ref="D210" ca="1">IF('Raw Data'!D212="",_xlfn.REGEXEXTRACT(CELL("address",'Raw Data'!D212),"\$([A-Z]+)\$[0-9]+"),"")</f>
        <v>$D$212</v>
      </c>
      <c r="E210" t="str" cm="1">
        <f t="array" aca="1" ref="E210" ca="1">IF('Raw Data'!E212="",_xlfn.REGEXEXTRACT(CELL("address",'Raw Data'!E212),"\$([A-Z]+)\$[0-9]+"),"")</f>
        <v>$E$212</v>
      </c>
      <c r="F210" t="str" cm="1">
        <f t="array" aca="1" ref="F210" ca="1">IF('Raw Data'!F212="",_xlfn.REGEXEXTRACT(CELL("address",'Raw Data'!F212),"\$([A-Z]+)\$[0-9]+"),"")</f>
        <v>$F$212</v>
      </c>
      <c r="G210" t="e" cm="1">
        <f t="array" aca="1" ref="G210" ca="1">IF('Raw Data'!#REF!="",_xlfn.REGEXEXTRACT(CELL("address",'Raw Data'!#REF!),"\$([A-Z]+)\$[0-9]+"),"")</f>
        <v>#REF!</v>
      </c>
      <c r="H210" t="str" cm="1">
        <f t="array" aca="1" ref="H210" ca="1">IF('Raw Data'!G212="",_xlfn.REGEXEXTRACT(CELL("address",'Raw Data'!G212),"\$([A-Z]+)\$[0-9]+"),"")</f>
        <v>$G$212</v>
      </c>
      <c r="I210" t="str" cm="1">
        <f t="array" aca="1" ref="I210" ca="1">IF('Raw Data'!H212="",_xlfn.REGEXEXTRACT(CELL("address",'Raw Data'!H212),"\$([A-Z]+)\$[0-9]+"),"")</f>
        <v>$H$212</v>
      </c>
    </row>
    <row r="211" spans="2:9" x14ac:dyDescent="0.25">
      <c r="B211" t="str" cm="1">
        <f t="array" aca="1" ref="B211" ca="1">IF('Raw Data'!B213="",_xlfn.REGEXEXTRACT(CELL("address",'Raw Data'!B213),"\$([A-Z]+)\$[0-9]+"),"")</f>
        <v>$B$213</v>
      </c>
      <c r="C211" t="str" cm="1">
        <f t="array" aca="1" ref="C211" ca="1">IF('Raw Data'!C213="",_xlfn.REGEXEXTRACT(CELL("address",'Raw Data'!C213),"\$([A-Z]+)\$[0-9]+"),"")</f>
        <v>$C$213</v>
      </c>
      <c r="D211" t="str" cm="1">
        <f t="array" aca="1" ref="D211" ca="1">IF('Raw Data'!D213="",_xlfn.REGEXEXTRACT(CELL("address",'Raw Data'!D213),"\$([A-Z]+)\$[0-9]+"),"")</f>
        <v>$D$213</v>
      </c>
      <c r="E211" t="str" cm="1">
        <f t="array" aca="1" ref="E211" ca="1">IF('Raw Data'!E213="",_xlfn.REGEXEXTRACT(CELL("address",'Raw Data'!E213),"\$([A-Z]+)\$[0-9]+"),"")</f>
        <v>$E$213</v>
      </c>
      <c r="F211" t="str" cm="1">
        <f t="array" aca="1" ref="F211" ca="1">IF('Raw Data'!F213="",_xlfn.REGEXEXTRACT(CELL("address",'Raw Data'!F213),"\$([A-Z]+)\$[0-9]+"),"")</f>
        <v>$F$213</v>
      </c>
      <c r="G211" t="e" cm="1">
        <f t="array" aca="1" ref="G211" ca="1">IF('Raw Data'!#REF!="",_xlfn.REGEXEXTRACT(CELL("address",'Raw Data'!#REF!),"\$([A-Z]+)\$[0-9]+"),"")</f>
        <v>#REF!</v>
      </c>
      <c r="H211" t="str" cm="1">
        <f t="array" aca="1" ref="H211" ca="1">IF('Raw Data'!G213="",_xlfn.REGEXEXTRACT(CELL("address",'Raw Data'!G213),"\$([A-Z]+)\$[0-9]+"),"")</f>
        <v>$G$213</v>
      </c>
      <c r="I211" t="str" cm="1">
        <f t="array" aca="1" ref="I211" ca="1">IF('Raw Data'!H213="",_xlfn.REGEXEXTRACT(CELL("address",'Raw Data'!H213),"\$([A-Z]+)\$[0-9]+"),"")</f>
        <v>$H$213</v>
      </c>
    </row>
    <row r="212" spans="2:9" x14ac:dyDescent="0.25">
      <c r="B212" t="str" cm="1">
        <f t="array" aca="1" ref="B212" ca="1">IF('Raw Data'!B214="",_xlfn.REGEXEXTRACT(CELL("address",'Raw Data'!B214),"\$([A-Z]+)\$[0-9]+"),"")</f>
        <v>$B$214</v>
      </c>
      <c r="C212" t="str" cm="1">
        <f t="array" aca="1" ref="C212" ca="1">IF('Raw Data'!C214="",_xlfn.REGEXEXTRACT(CELL("address",'Raw Data'!C214),"\$([A-Z]+)\$[0-9]+"),"")</f>
        <v>$C$214</v>
      </c>
      <c r="D212" t="str" cm="1">
        <f t="array" aca="1" ref="D212" ca="1">IF('Raw Data'!D214="",_xlfn.REGEXEXTRACT(CELL("address",'Raw Data'!D214),"\$([A-Z]+)\$[0-9]+"),"")</f>
        <v>$D$214</v>
      </c>
      <c r="E212" t="str" cm="1">
        <f t="array" aca="1" ref="E212" ca="1">IF('Raw Data'!E214="",_xlfn.REGEXEXTRACT(CELL("address",'Raw Data'!E214),"\$([A-Z]+)\$[0-9]+"),"")</f>
        <v>$E$214</v>
      </c>
      <c r="F212" t="str" cm="1">
        <f t="array" aca="1" ref="F212" ca="1">IF('Raw Data'!F214="",_xlfn.REGEXEXTRACT(CELL("address",'Raw Data'!F214),"\$([A-Z]+)\$[0-9]+"),"")</f>
        <v>$F$214</v>
      </c>
      <c r="G212" t="e" cm="1">
        <f t="array" aca="1" ref="G212" ca="1">IF('Raw Data'!#REF!="",_xlfn.REGEXEXTRACT(CELL("address",'Raw Data'!#REF!),"\$([A-Z]+)\$[0-9]+"),"")</f>
        <v>#REF!</v>
      </c>
      <c r="H212" t="str" cm="1">
        <f t="array" aca="1" ref="H212" ca="1">IF('Raw Data'!G214="",_xlfn.REGEXEXTRACT(CELL("address",'Raw Data'!G214),"\$([A-Z]+)\$[0-9]+"),"")</f>
        <v>$G$214</v>
      </c>
      <c r="I212" t="str" cm="1">
        <f t="array" aca="1" ref="I212" ca="1">IF('Raw Data'!H214="",_xlfn.REGEXEXTRACT(CELL("address",'Raw Data'!H214),"\$([A-Z]+)\$[0-9]+"),"")</f>
        <v>$H$214</v>
      </c>
    </row>
    <row r="213" spans="2:9" x14ac:dyDescent="0.25">
      <c r="B213" t="str" cm="1">
        <f t="array" aca="1" ref="B213" ca="1">IF('Raw Data'!B215="",_xlfn.REGEXEXTRACT(CELL("address",'Raw Data'!B215),"\$([A-Z]+)\$[0-9]+"),"")</f>
        <v>$B$215</v>
      </c>
      <c r="C213" t="str" cm="1">
        <f t="array" aca="1" ref="C213" ca="1">IF('Raw Data'!C215="",_xlfn.REGEXEXTRACT(CELL("address",'Raw Data'!C215),"\$([A-Z]+)\$[0-9]+"),"")</f>
        <v>$C$215</v>
      </c>
      <c r="D213" t="str" cm="1">
        <f t="array" aca="1" ref="D213" ca="1">IF('Raw Data'!D215="",_xlfn.REGEXEXTRACT(CELL("address",'Raw Data'!D215),"\$([A-Z]+)\$[0-9]+"),"")</f>
        <v>$D$215</v>
      </c>
      <c r="E213" t="str" cm="1">
        <f t="array" aca="1" ref="E213" ca="1">IF('Raw Data'!E215="",_xlfn.REGEXEXTRACT(CELL("address",'Raw Data'!E215),"\$([A-Z]+)\$[0-9]+"),"")</f>
        <v>$E$215</v>
      </c>
      <c r="F213" t="str" cm="1">
        <f t="array" aca="1" ref="F213" ca="1">IF('Raw Data'!F215="",_xlfn.REGEXEXTRACT(CELL("address",'Raw Data'!F215),"\$([A-Z]+)\$[0-9]+"),"")</f>
        <v>$F$215</v>
      </c>
      <c r="G213" t="e" cm="1">
        <f t="array" aca="1" ref="G213" ca="1">IF('Raw Data'!#REF!="",_xlfn.REGEXEXTRACT(CELL("address",'Raw Data'!#REF!),"\$([A-Z]+)\$[0-9]+"),"")</f>
        <v>#REF!</v>
      </c>
      <c r="H213" t="str" cm="1">
        <f t="array" aca="1" ref="H213" ca="1">IF('Raw Data'!G215="",_xlfn.REGEXEXTRACT(CELL("address",'Raw Data'!G215),"\$([A-Z]+)\$[0-9]+"),"")</f>
        <v>$G$215</v>
      </c>
      <c r="I213" t="str" cm="1">
        <f t="array" aca="1" ref="I213" ca="1">IF('Raw Data'!H215="",_xlfn.REGEXEXTRACT(CELL("address",'Raw Data'!H215),"\$([A-Z]+)\$[0-9]+"),"")</f>
        <v>$H$215</v>
      </c>
    </row>
    <row r="214" spans="2:9" x14ac:dyDescent="0.25">
      <c r="B214" t="str" cm="1">
        <f t="array" aca="1" ref="B214" ca="1">IF('Raw Data'!B216="",_xlfn.REGEXEXTRACT(CELL("address",'Raw Data'!B216),"\$([A-Z]+)\$[0-9]+"),"")</f>
        <v>$B$216</v>
      </c>
      <c r="C214" t="str" cm="1">
        <f t="array" aca="1" ref="C214" ca="1">IF('Raw Data'!C216="",_xlfn.REGEXEXTRACT(CELL("address",'Raw Data'!C216),"\$([A-Z]+)\$[0-9]+"),"")</f>
        <v>$C$216</v>
      </c>
      <c r="D214" t="str" cm="1">
        <f t="array" aca="1" ref="D214" ca="1">IF('Raw Data'!D216="",_xlfn.REGEXEXTRACT(CELL("address",'Raw Data'!D216),"\$([A-Z]+)\$[0-9]+"),"")</f>
        <v>$D$216</v>
      </c>
      <c r="E214" t="str" cm="1">
        <f t="array" aca="1" ref="E214" ca="1">IF('Raw Data'!E216="",_xlfn.REGEXEXTRACT(CELL("address",'Raw Data'!E216),"\$([A-Z]+)\$[0-9]+"),"")</f>
        <v>$E$216</v>
      </c>
      <c r="F214" t="str" cm="1">
        <f t="array" aca="1" ref="F214" ca="1">IF('Raw Data'!F216="",_xlfn.REGEXEXTRACT(CELL("address",'Raw Data'!F216),"\$([A-Z]+)\$[0-9]+"),"")</f>
        <v>$F$216</v>
      </c>
      <c r="G214" t="e" cm="1">
        <f t="array" aca="1" ref="G214" ca="1">IF('Raw Data'!#REF!="",_xlfn.REGEXEXTRACT(CELL("address",'Raw Data'!#REF!),"\$([A-Z]+)\$[0-9]+"),"")</f>
        <v>#REF!</v>
      </c>
      <c r="H214" t="str" cm="1">
        <f t="array" aca="1" ref="H214" ca="1">IF('Raw Data'!G216="",_xlfn.REGEXEXTRACT(CELL("address",'Raw Data'!G216),"\$([A-Z]+)\$[0-9]+"),"")</f>
        <v>$G$216</v>
      </c>
      <c r="I214" t="str" cm="1">
        <f t="array" aca="1" ref="I214" ca="1">IF('Raw Data'!H216="",_xlfn.REGEXEXTRACT(CELL("address",'Raw Data'!H216),"\$([A-Z]+)\$[0-9]+"),"")</f>
        <v>$H$216</v>
      </c>
    </row>
    <row r="215" spans="2:9" x14ac:dyDescent="0.25">
      <c r="B215" t="str" cm="1">
        <f t="array" aca="1" ref="B215" ca="1">IF('Raw Data'!B217="",_xlfn.REGEXEXTRACT(CELL("address",'Raw Data'!B217),"\$([A-Z]+)\$[0-9]+"),"")</f>
        <v>$B$217</v>
      </c>
      <c r="C215" t="str" cm="1">
        <f t="array" aca="1" ref="C215" ca="1">IF('Raw Data'!C217="",_xlfn.REGEXEXTRACT(CELL("address",'Raw Data'!C217),"\$([A-Z]+)\$[0-9]+"),"")</f>
        <v>$C$217</v>
      </c>
      <c r="D215" t="str" cm="1">
        <f t="array" aca="1" ref="D215" ca="1">IF('Raw Data'!D217="",_xlfn.REGEXEXTRACT(CELL("address",'Raw Data'!D217),"\$([A-Z]+)\$[0-9]+"),"")</f>
        <v>$D$217</v>
      </c>
      <c r="E215" t="str" cm="1">
        <f t="array" aca="1" ref="E215" ca="1">IF('Raw Data'!E217="",_xlfn.REGEXEXTRACT(CELL("address",'Raw Data'!E217),"\$([A-Z]+)\$[0-9]+"),"")</f>
        <v>$E$217</v>
      </c>
      <c r="F215" t="str" cm="1">
        <f t="array" aca="1" ref="F215" ca="1">IF('Raw Data'!F217="",_xlfn.REGEXEXTRACT(CELL("address",'Raw Data'!F217),"\$([A-Z]+)\$[0-9]+"),"")</f>
        <v>$F$217</v>
      </c>
      <c r="G215" t="e" cm="1">
        <f t="array" aca="1" ref="G215" ca="1">IF('Raw Data'!#REF!="",_xlfn.REGEXEXTRACT(CELL("address",'Raw Data'!#REF!),"\$([A-Z]+)\$[0-9]+"),"")</f>
        <v>#REF!</v>
      </c>
      <c r="H215" t="str" cm="1">
        <f t="array" aca="1" ref="H215" ca="1">IF('Raw Data'!G217="",_xlfn.REGEXEXTRACT(CELL("address",'Raw Data'!G217),"\$([A-Z]+)\$[0-9]+"),"")</f>
        <v>$G$217</v>
      </c>
      <c r="I215" t="str" cm="1">
        <f t="array" aca="1" ref="I215" ca="1">IF('Raw Data'!H217="",_xlfn.REGEXEXTRACT(CELL("address",'Raw Data'!H217),"\$([A-Z]+)\$[0-9]+"),"")</f>
        <v>$H$217</v>
      </c>
    </row>
    <row r="216" spans="2:9" x14ac:dyDescent="0.25">
      <c r="B216" t="str" cm="1">
        <f t="array" aca="1" ref="B216" ca="1">IF('Raw Data'!B218="",_xlfn.REGEXEXTRACT(CELL("address",'Raw Data'!B218),"\$([A-Z]+)\$[0-9]+"),"")</f>
        <v>$B$218</v>
      </c>
      <c r="C216" t="str" cm="1">
        <f t="array" aca="1" ref="C216" ca="1">IF('Raw Data'!C218="",_xlfn.REGEXEXTRACT(CELL("address",'Raw Data'!C218),"\$([A-Z]+)\$[0-9]+"),"")</f>
        <v>$C$218</v>
      </c>
      <c r="D216" t="str" cm="1">
        <f t="array" aca="1" ref="D216" ca="1">IF('Raw Data'!D218="",_xlfn.REGEXEXTRACT(CELL("address",'Raw Data'!D218),"\$([A-Z]+)\$[0-9]+"),"")</f>
        <v>$D$218</v>
      </c>
      <c r="E216" t="str" cm="1">
        <f t="array" aca="1" ref="E216" ca="1">IF('Raw Data'!E218="",_xlfn.REGEXEXTRACT(CELL("address",'Raw Data'!E218),"\$([A-Z]+)\$[0-9]+"),"")</f>
        <v>$E$218</v>
      </c>
      <c r="F216" t="str" cm="1">
        <f t="array" aca="1" ref="F216" ca="1">IF('Raw Data'!F218="",_xlfn.REGEXEXTRACT(CELL("address",'Raw Data'!F218),"\$([A-Z]+)\$[0-9]+"),"")</f>
        <v>$F$218</v>
      </c>
      <c r="G216" t="e" cm="1">
        <f t="array" aca="1" ref="G216" ca="1">IF('Raw Data'!#REF!="",_xlfn.REGEXEXTRACT(CELL("address",'Raw Data'!#REF!),"\$([A-Z]+)\$[0-9]+"),"")</f>
        <v>#REF!</v>
      </c>
      <c r="H216" t="str" cm="1">
        <f t="array" aca="1" ref="H216" ca="1">IF('Raw Data'!G218="",_xlfn.REGEXEXTRACT(CELL("address",'Raw Data'!G218),"\$([A-Z]+)\$[0-9]+"),"")</f>
        <v>$G$218</v>
      </c>
      <c r="I216" t="str" cm="1">
        <f t="array" aca="1" ref="I216" ca="1">IF('Raw Data'!H218="",_xlfn.REGEXEXTRACT(CELL("address",'Raw Data'!H218),"\$([A-Z]+)\$[0-9]+"),"")</f>
        <v>$H$218</v>
      </c>
    </row>
    <row r="217" spans="2:9" x14ac:dyDescent="0.25">
      <c r="B217" t="str" cm="1">
        <f t="array" aca="1" ref="B217" ca="1">IF('Raw Data'!B219="",_xlfn.REGEXEXTRACT(CELL("address",'Raw Data'!B219),"\$([A-Z]+)\$[0-9]+"),"")</f>
        <v>$B$219</v>
      </c>
      <c r="C217" t="str" cm="1">
        <f t="array" aca="1" ref="C217" ca="1">IF('Raw Data'!C219="",_xlfn.REGEXEXTRACT(CELL("address",'Raw Data'!C219),"\$([A-Z]+)\$[0-9]+"),"")</f>
        <v>$C$219</v>
      </c>
      <c r="D217" t="str" cm="1">
        <f t="array" aca="1" ref="D217" ca="1">IF('Raw Data'!D219="",_xlfn.REGEXEXTRACT(CELL("address",'Raw Data'!D219),"\$([A-Z]+)\$[0-9]+"),"")</f>
        <v>$D$219</v>
      </c>
      <c r="E217" t="str" cm="1">
        <f t="array" aca="1" ref="E217" ca="1">IF('Raw Data'!E219="",_xlfn.REGEXEXTRACT(CELL("address",'Raw Data'!E219),"\$([A-Z]+)\$[0-9]+"),"")</f>
        <v>$E$219</v>
      </c>
      <c r="F217" t="str" cm="1">
        <f t="array" aca="1" ref="F217" ca="1">IF('Raw Data'!F219="",_xlfn.REGEXEXTRACT(CELL("address",'Raw Data'!F219),"\$([A-Z]+)\$[0-9]+"),"")</f>
        <v>$F$219</v>
      </c>
      <c r="G217" t="e" cm="1">
        <f t="array" aca="1" ref="G217" ca="1">IF('Raw Data'!#REF!="",_xlfn.REGEXEXTRACT(CELL("address",'Raw Data'!#REF!),"\$([A-Z]+)\$[0-9]+"),"")</f>
        <v>#REF!</v>
      </c>
      <c r="H217" t="str" cm="1">
        <f t="array" aca="1" ref="H217" ca="1">IF('Raw Data'!G219="",_xlfn.REGEXEXTRACT(CELL("address",'Raw Data'!G219),"\$([A-Z]+)\$[0-9]+"),"")</f>
        <v>$G$219</v>
      </c>
      <c r="I217" t="str" cm="1">
        <f t="array" aca="1" ref="I217" ca="1">IF('Raw Data'!H219="",_xlfn.REGEXEXTRACT(CELL("address",'Raw Data'!H219),"\$([A-Z]+)\$[0-9]+"),"")</f>
        <v>$H$219</v>
      </c>
    </row>
    <row r="218" spans="2:9" x14ac:dyDescent="0.25">
      <c r="B218" t="str" cm="1">
        <f t="array" aca="1" ref="B218" ca="1">IF('Raw Data'!B220="",_xlfn.REGEXEXTRACT(CELL("address",'Raw Data'!B220),"\$([A-Z]+)\$[0-9]+"),"")</f>
        <v>$B$220</v>
      </c>
      <c r="C218" t="str" cm="1">
        <f t="array" aca="1" ref="C218" ca="1">IF('Raw Data'!C220="",_xlfn.REGEXEXTRACT(CELL("address",'Raw Data'!C220),"\$([A-Z]+)\$[0-9]+"),"")</f>
        <v>$C$220</v>
      </c>
      <c r="D218" t="str" cm="1">
        <f t="array" aca="1" ref="D218" ca="1">IF('Raw Data'!D220="",_xlfn.REGEXEXTRACT(CELL("address",'Raw Data'!D220),"\$([A-Z]+)\$[0-9]+"),"")</f>
        <v>$D$220</v>
      </c>
      <c r="E218" t="str" cm="1">
        <f t="array" aca="1" ref="E218" ca="1">IF('Raw Data'!E220="",_xlfn.REGEXEXTRACT(CELL("address",'Raw Data'!E220),"\$([A-Z]+)\$[0-9]+"),"")</f>
        <v>$E$220</v>
      </c>
      <c r="F218" t="str" cm="1">
        <f t="array" aca="1" ref="F218" ca="1">IF('Raw Data'!F220="",_xlfn.REGEXEXTRACT(CELL("address",'Raw Data'!F220),"\$([A-Z]+)\$[0-9]+"),"")</f>
        <v>$F$220</v>
      </c>
      <c r="G218" t="e" cm="1">
        <f t="array" aca="1" ref="G218" ca="1">IF('Raw Data'!#REF!="",_xlfn.REGEXEXTRACT(CELL("address",'Raw Data'!#REF!),"\$([A-Z]+)\$[0-9]+"),"")</f>
        <v>#REF!</v>
      </c>
      <c r="H218" t="str" cm="1">
        <f t="array" aca="1" ref="H218" ca="1">IF('Raw Data'!G220="",_xlfn.REGEXEXTRACT(CELL("address",'Raw Data'!G220),"\$([A-Z]+)\$[0-9]+"),"")</f>
        <v>$G$220</v>
      </c>
      <c r="I218" t="str" cm="1">
        <f t="array" aca="1" ref="I218" ca="1">IF('Raw Data'!H220="",_xlfn.REGEXEXTRACT(CELL("address",'Raw Data'!H220),"\$([A-Z]+)\$[0-9]+"),"")</f>
        <v>$H$220</v>
      </c>
    </row>
    <row r="219" spans="2:9" x14ac:dyDescent="0.25">
      <c r="B219" t="str" cm="1">
        <f t="array" aca="1" ref="B219" ca="1">IF('Raw Data'!B221="",_xlfn.REGEXEXTRACT(CELL("address",'Raw Data'!B221),"\$([A-Z]+)\$[0-9]+"),"")</f>
        <v>$B$221</v>
      </c>
      <c r="C219" t="str" cm="1">
        <f t="array" aca="1" ref="C219" ca="1">IF('Raw Data'!C221="",_xlfn.REGEXEXTRACT(CELL("address",'Raw Data'!C221),"\$([A-Z]+)\$[0-9]+"),"")</f>
        <v>$C$221</v>
      </c>
      <c r="D219" t="str" cm="1">
        <f t="array" aca="1" ref="D219" ca="1">IF('Raw Data'!D221="",_xlfn.REGEXEXTRACT(CELL("address",'Raw Data'!D221),"\$([A-Z]+)\$[0-9]+"),"")</f>
        <v>$D$221</v>
      </c>
      <c r="E219" t="str" cm="1">
        <f t="array" aca="1" ref="E219" ca="1">IF('Raw Data'!E221="",_xlfn.REGEXEXTRACT(CELL("address",'Raw Data'!E221),"\$([A-Z]+)\$[0-9]+"),"")</f>
        <v>$E$221</v>
      </c>
      <c r="F219" t="str" cm="1">
        <f t="array" aca="1" ref="F219" ca="1">IF('Raw Data'!F221="",_xlfn.REGEXEXTRACT(CELL("address",'Raw Data'!F221),"\$([A-Z]+)\$[0-9]+"),"")</f>
        <v>$F$221</v>
      </c>
      <c r="G219" t="e" cm="1">
        <f t="array" aca="1" ref="G219" ca="1">IF('Raw Data'!#REF!="",_xlfn.REGEXEXTRACT(CELL("address",'Raw Data'!#REF!),"\$([A-Z]+)\$[0-9]+"),"")</f>
        <v>#REF!</v>
      </c>
      <c r="H219" t="str" cm="1">
        <f t="array" aca="1" ref="H219" ca="1">IF('Raw Data'!G221="",_xlfn.REGEXEXTRACT(CELL("address",'Raw Data'!G221),"\$([A-Z]+)\$[0-9]+"),"")</f>
        <v>$G$221</v>
      </c>
      <c r="I219" t="str" cm="1">
        <f t="array" aca="1" ref="I219" ca="1">IF('Raw Data'!H221="",_xlfn.REGEXEXTRACT(CELL("address",'Raw Data'!H221),"\$([A-Z]+)\$[0-9]+"),"")</f>
        <v>$H$221</v>
      </c>
    </row>
    <row r="220" spans="2:9" x14ac:dyDescent="0.25">
      <c r="B220" t="str" cm="1">
        <f t="array" aca="1" ref="B220" ca="1">IF('Raw Data'!B222="",_xlfn.REGEXEXTRACT(CELL("address",'Raw Data'!B222),"\$([A-Z]+)\$[0-9]+"),"")</f>
        <v>$B$222</v>
      </c>
      <c r="C220" t="str" cm="1">
        <f t="array" aca="1" ref="C220" ca="1">IF('Raw Data'!C222="",_xlfn.REGEXEXTRACT(CELL("address",'Raw Data'!C222),"\$([A-Z]+)\$[0-9]+"),"")</f>
        <v>$C$222</v>
      </c>
      <c r="D220" t="str" cm="1">
        <f t="array" aca="1" ref="D220" ca="1">IF('Raw Data'!D222="",_xlfn.REGEXEXTRACT(CELL("address",'Raw Data'!D222),"\$([A-Z]+)\$[0-9]+"),"")</f>
        <v>$D$222</v>
      </c>
      <c r="E220" t="str" cm="1">
        <f t="array" aca="1" ref="E220" ca="1">IF('Raw Data'!E222="",_xlfn.REGEXEXTRACT(CELL("address",'Raw Data'!E222),"\$([A-Z]+)\$[0-9]+"),"")</f>
        <v>$E$222</v>
      </c>
      <c r="F220" t="str" cm="1">
        <f t="array" aca="1" ref="F220" ca="1">IF('Raw Data'!F222="",_xlfn.REGEXEXTRACT(CELL("address",'Raw Data'!F222),"\$([A-Z]+)\$[0-9]+"),"")</f>
        <v>$F$222</v>
      </c>
      <c r="G220" t="e" cm="1">
        <f t="array" aca="1" ref="G220" ca="1">IF('Raw Data'!#REF!="",_xlfn.REGEXEXTRACT(CELL("address",'Raw Data'!#REF!),"\$([A-Z]+)\$[0-9]+"),"")</f>
        <v>#REF!</v>
      </c>
      <c r="H220" t="str" cm="1">
        <f t="array" aca="1" ref="H220" ca="1">IF('Raw Data'!G222="",_xlfn.REGEXEXTRACT(CELL("address",'Raw Data'!G222),"\$([A-Z]+)\$[0-9]+"),"")</f>
        <v>$G$222</v>
      </c>
      <c r="I220" t="str" cm="1">
        <f t="array" aca="1" ref="I220" ca="1">IF('Raw Data'!H222="",_xlfn.REGEXEXTRACT(CELL("address",'Raw Data'!H222),"\$([A-Z]+)\$[0-9]+"),"")</f>
        <v>$H$222</v>
      </c>
    </row>
    <row r="221" spans="2:9" x14ac:dyDescent="0.25">
      <c r="B221" t="str" cm="1">
        <f t="array" aca="1" ref="B221" ca="1">IF('Raw Data'!B223="",_xlfn.REGEXEXTRACT(CELL("address",'Raw Data'!B223),"\$([A-Z]+)\$[0-9]+"),"")</f>
        <v>$B$223</v>
      </c>
      <c r="C221" t="str" cm="1">
        <f t="array" aca="1" ref="C221" ca="1">IF('Raw Data'!C223="",_xlfn.REGEXEXTRACT(CELL("address",'Raw Data'!C223),"\$([A-Z]+)\$[0-9]+"),"")</f>
        <v>$C$223</v>
      </c>
      <c r="D221" t="str" cm="1">
        <f t="array" aca="1" ref="D221" ca="1">IF('Raw Data'!D223="",_xlfn.REGEXEXTRACT(CELL("address",'Raw Data'!D223),"\$([A-Z]+)\$[0-9]+"),"")</f>
        <v>$D$223</v>
      </c>
      <c r="E221" t="str" cm="1">
        <f t="array" aca="1" ref="E221" ca="1">IF('Raw Data'!E223="",_xlfn.REGEXEXTRACT(CELL("address",'Raw Data'!E223),"\$([A-Z]+)\$[0-9]+"),"")</f>
        <v>$E$223</v>
      </c>
      <c r="F221" t="str" cm="1">
        <f t="array" aca="1" ref="F221" ca="1">IF('Raw Data'!F223="",_xlfn.REGEXEXTRACT(CELL("address",'Raw Data'!F223),"\$([A-Z]+)\$[0-9]+"),"")</f>
        <v>$F$223</v>
      </c>
      <c r="G221" t="e" cm="1">
        <f t="array" aca="1" ref="G221" ca="1">IF('Raw Data'!#REF!="",_xlfn.REGEXEXTRACT(CELL("address",'Raw Data'!#REF!),"\$([A-Z]+)\$[0-9]+"),"")</f>
        <v>#REF!</v>
      </c>
      <c r="H221" t="str" cm="1">
        <f t="array" aca="1" ref="H221" ca="1">IF('Raw Data'!G223="",_xlfn.REGEXEXTRACT(CELL("address",'Raw Data'!G223),"\$([A-Z]+)\$[0-9]+"),"")</f>
        <v>$G$223</v>
      </c>
      <c r="I221" t="str" cm="1">
        <f t="array" aca="1" ref="I221" ca="1">IF('Raw Data'!H223="",_xlfn.REGEXEXTRACT(CELL("address",'Raw Data'!H223),"\$([A-Z]+)\$[0-9]+"),"")</f>
        <v>$H$223</v>
      </c>
    </row>
    <row r="222" spans="2:9" x14ac:dyDescent="0.25">
      <c r="B222" t="str" cm="1">
        <f t="array" aca="1" ref="B222" ca="1">IF('Raw Data'!B224="",_xlfn.REGEXEXTRACT(CELL("address",'Raw Data'!B224),"\$([A-Z]+)\$[0-9]+"),"")</f>
        <v>$B$224</v>
      </c>
      <c r="C222" t="str" cm="1">
        <f t="array" aca="1" ref="C222" ca="1">IF('Raw Data'!C224="",_xlfn.REGEXEXTRACT(CELL("address",'Raw Data'!C224),"\$([A-Z]+)\$[0-9]+"),"")</f>
        <v>$C$224</v>
      </c>
      <c r="D222" t="str" cm="1">
        <f t="array" aca="1" ref="D222" ca="1">IF('Raw Data'!D224="",_xlfn.REGEXEXTRACT(CELL("address",'Raw Data'!D224),"\$([A-Z]+)\$[0-9]+"),"")</f>
        <v>$D$224</v>
      </c>
      <c r="E222" t="str" cm="1">
        <f t="array" aca="1" ref="E222" ca="1">IF('Raw Data'!E224="",_xlfn.REGEXEXTRACT(CELL("address",'Raw Data'!E224),"\$([A-Z]+)\$[0-9]+"),"")</f>
        <v>$E$224</v>
      </c>
      <c r="F222" t="str" cm="1">
        <f t="array" aca="1" ref="F222" ca="1">IF('Raw Data'!F224="",_xlfn.REGEXEXTRACT(CELL("address",'Raw Data'!F224),"\$([A-Z]+)\$[0-9]+"),"")</f>
        <v>$F$224</v>
      </c>
      <c r="G222" t="e" cm="1">
        <f t="array" aca="1" ref="G222" ca="1">IF('Raw Data'!#REF!="",_xlfn.REGEXEXTRACT(CELL("address",'Raw Data'!#REF!),"\$([A-Z]+)\$[0-9]+"),"")</f>
        <v>#REF!</v>
      </c>
      <c r="H222" t="str" cm="1">
        <f t="array" aca="1" ref="H222" ca="1">IF('Raw Data'!G224="",_xlfn.REGEXEXTRACT(CELL("address",'Raw Data'!G224),"\$([A-Z]+)\$[0-9]+"),"")</f>
        <v>$G$224</v>
      </c>
      <c r="I222" t="str" cm="1">
        <f t="array" aca="1" ref="I222" ca="1">IF('Raw Data'!H224="",_xlfn.REGEXEXTRACT(CELL("address",'Raw Data'!H224),"\$([A-Z]+)\$[0-9]+"),"")</f>
        <v>$H$224</v>
      </c>
    </row>
    <row r="223" spans="2:9" x14ac:dyDescent="0.25">
      <c r="B223" t="str" cm="1">
        <f t="array" aca="1" ref="B223" ca="1">IF('Raw Data'!B225="",_xlfn.REGEXEXTRACT(CELL("address",'Raw Data'!B225),"\$([A-Z]+)\$[0-9]+"),"")</f>
        <v>$B$225</v>
      </c>
      <c r="C223" t="str" cm="1">
        <f t="array" aca="1" ref="C223" ca="1">IF('Raw Data'!C225="",_xlfn.REGEXEXTRACT(CELL("address",'Raw Data'!C225),"\$([A-Z]+)\$[0-9]+"),"")</f>
        <v>$C$225</v>
      </c>
      <c r="D223" t="str" cm="1">
        <f t="array" aca="1" ref="D223" ca="1">IF('Raw Data'!D225="",_xlfn.REGEXEXTRACT(CELL("address",'Raw Data'!D225),"\$([A-Z]+)\$[0-9]+"),"")</f>
        <v>$D$225</v>
      </c>
      <c r="E223" t="str" cm="1">
        <f t="array" aca="1" ref="E223" ca="1">IF('Raw Data'!E225="",_xlfn.REGEXEXTRACT(CELL("address",'Raw Data'!E225),"\$([A-Z]+)\$[0-9]+"),"")</f>
        <v>$E$225</v>
      </c>
      <c r="F223" t="str" cm="1">
        <f t="array" aca="1" ref="F223" ca="1">IF('Raw Data'!F225="",_xlfn.REGEXEXTRACT(CELL("address",'Raw Data'!F225),"\$([A-Z]+)\$[0-9]+"),"")</f>
        <v>$F$225</v>
      </c>
      <c r="G223" t="e" cm="1">
        <f t="array" aca="1" ref="G223" ca="1">IF('Raw Data'!#REF!="",_xlfn.REGEXEXTRACT(CELL("address",'Raw Data'!#REF!),"\$([A-Z]+)\$[0-9]+"),"")</f>
        <v>#REF!</v>
      </c>
      <c r="H223" t="str" cm="1">
        <f t="array" aca="1" ref="H223" ca="1">IF('Raw Data'!G225="",_xlfn.REGEXEXTRACT(CELL("address",'Raw Data'!G225),"\$([A-Z]+)\$[0-9]+"),"")</f>
        <v>$G$225</v>
      </c>
      <c r="I223" t="str" cm="1">
        <f t="array" aca="1" ref="I223" ca="1">IF('Raw Data'!H225="",_xlfn.REGEXEXTRACT(CELL("address",'Raw Data'!H225),"\$([A-Z]+)\$[0-9]+"),"")</f>
        <v>$H$225</v>
      </c>
    </row>
    <row r="224" spans="2:9" x14ac:dyDescent="0.25">
      <c r="B224" t="str" cm="1">
        <f t="array" aca="1" ref="B224" ca="1">IF('Raw Data'!B226="",_xlfn.REGEXEXTRACT(CELL("address",'Raw Data'!B226),"\$([A-Z]+)\$[0-9]+"),"")</f>
        <v>$B$226</v>
      </c>
      <c r="C224" t="str" cm="1">
        <f t="array" aca="1" ref="C224" ca="1">IF('Raw Data'!C226="",_xlfn.REGEXEXTRACT(CELL("address",'Raw Data'!C226),"\$([A-Z]+)\$[0-9]+"),"")</f>
        <v>$C$226</v>
      </c>
      <c r="D224" t="str" cm="1">
        <f t="array" aca="1" ref="D224" ca="1">IF('Raw Data'!D226="",_xlfn.REGEXEXTRACT(CELL("address",'Raw Data'!D226),"\$([A-Z]+)\$[0-9]+"),"")</f>
        <v>$D$226</v>
      </c>
      <c r="E224" t="str" cm="1">
        <f t="array" aca="1" ref="E224" ca="1">IF('Raw Data'!E226="",_xlfn.REGEXEXTRACT(CELL("address",'Raw Data'!E226),"\$([A-Z]+)\$[0-9]+"),"")</f>
        <v>$E$226</v>
      </c>
      <c r="F224" t="str" cm="1">
        <f t="array" aca="1" ref="F224" ca="1">IF('Raw Data'!F226="",_xlfn.REGEXEXTRACT(CELL("address",'Raw Data'!F226),"\$([A-Z]+)\$[0-9]+"),"")</f>
        <v>$F$226</v>
      </c>
      <c r="G224" t="e" cm="1">
        <f t="array" aca="1" ref="G224" ca="1">IF('Raw Data'!#REF!="",_xlfn.REGEXEXTRACT(CELL("address",'Raw Data'!#REF!),"\$([A-Z]+)\$[0-9]+"),"")</f>
        <v>#REF!</v>
      </c>
      <c r="H224" t="str" cm="1">
        <f t="array" aca="1" ref="H224" ca="1">IF('Raw Data'!G226="",_xlfn.REGEXEXTRACT(CELL("address",'Raw Data'!G226),"\$([A-Z]+)\$[0-9]+"),"")</f>
        <v>$G$226</v>
      </c>
      <c r="I224" t="str" cm="1">
        <f t="array" aca="1" ref="I224" ca="1">IF('Raw Data'!H226="",_xlfn.REGEXEXTRACT(CELL("address",'Raw Data'!H226),"\$([A-Z]+)\$[0-9]+"),"")</f>
        <v>$H$226</v>
      </c>
    </row>
    <row r="225" spans="2:9" x14ac:dyDescent="0.25">
      <c r="B225" t="str" cm="1">
        <f t="array" aca="1" ref="B225" ca="1">IF('Raw Data'!B227="",_xlfn.REGEXEXTRACT(CELL("address",'Raw Data'!B227),"\$([A-Z]+)\$[0-9]+"),"")</f>
        <v>$B$227</v>
      </c>
      <c r="C225" t="str" cm="1">
        <f t="array" aca="1" ref="C225" ca="1">IF('Raw Data'!C227="",_xlfn.REGEXEXTRACT(CELL("address",'Raw Data'!C227),"\$([A-Z]+)\$[0-9]+"),"")</f>
        <v>$C$227</v>
      </c>
      <c r="D225" t="str" cm="1">
        <f t="array" aca="1" ref="D225" ca="1">IF('Raw Data'!D227="",_xlfn.REGEXEXTRACT(CELL("address",'Raw Data'!D227),"\$([A-Z]+)\$[0-9]+"),"")</f>
        <v>$D$227</v>
      </c>
      <c r="E225" t="str" cm="1">
        <f t="array" aca="1" ref="E225" ca="1">IF('Raw Data'!E227="",_xlfn.REGEXEXTRACT(CELL("address",'Raw Data'!E227),"\$([A-Z]+)\$[0-9]+"),"")</f>
        <v>$E$227</v>
      </c>
      <c r="F225" t="str" cm="1">
        <f t="array" aca="1" ref="F225" ca="1">IF('Raw Data'!F227="",_xlfn.REGEXEXTRACT(CELL("address",'Raw Data'!F227),"\$([A-Z]+)\$[0-9]+"),"")</f>
        <v>$F$227</v>
      </c>
      <c r="G225" t="e" cm="1">
        <f t="array" aca="1" ref="G225" ca="1">IF('Raw Data'!#REF!="",_xlfn.REGEXEXTRACT(CELL("address",'Raw Data'!#REF!),"\$([A-Z]+)\$[0-9]+"),"")</f>
        <v>#REF!</v>
      </c>
      <c r="H225" t="str" cm="1">
        <f t="array" aca="1" ref="H225" ca="1">IF('Raw Data'!G227="",_xlfn.REGEXEXTRACT(CELL("address",'Raw Data'!G227),"\$([A-Z]+)\$[0-9]+"),"")</f>
        <v>$G$227</v>
      </c>
      <c r="I225" t="str" cm="1">
        <f t="array" aca="1" ref="I225" ca="1">IF('Raw Data'!H227="",_xlfn.REGEXEXTRACT(CELL("address",'Raw Data'!H227),"\$([A-Z]+)\$[0-9]+"),"")</f>
        <v>$H$227</v>
      </c>
    </row>
    <row r="226" spans="2:9" x14ac:dyDescent="0.25">
      <c r="B226" t="str" cm="1">
        <f t="array" aca="1" ref="B226" ca="1">IF('Raw Data'!B228="",_xlfn.REGEXEXTRACT(CELL("address",'Raw Data'!B228),"\$([A-Z]+)\$[0-9]+"),"")</f>
        <v>$B$228</v>
      </c>
      <c r="C226" t="str" cm="1">
        <f t="array" aca="1" ref="C226" ca="1">IF('Raw Data'!C228="",_xlfn.REGEXEXTRACT(CELL("address",'Raw Data'!C228),"\$([A-Z]+)\$[0-9]+"),"")</f>
        <v>$C$228</v>
      </c>
      <c r="D226" t="str" cm="1">
        <f t="array" aca="1" ref="D226" ca="1">IF('Raw Data'!D228="",_xlfn.REGEXEXTRACT(CELL("address",'Raw Data'!D228),"\$([A-Z]+)\$[0-9]+"),"")</f>
        <v>$D$228</v>
      </c>
      <c r="E226" t="str" cm="1">
        <f t="array" aca="1" ref="E226" ca="1">IF('Raw Data'!E228="",_xlfn.REGEXEXTRACT(CELL("address",'Raw Data'!E228),"\$([A-Z]+)\$[0-9]+"),"")</f>
        <v>$E$228</v>
      </c>
      <c r="F226" t="str" cm="1">
        <f t="array" aca="1" ref="F226" ca="1">IF('Raw Data'!F228="",_xlfn.REGEXEXTRACT(CELL("address",'Raw Data'!F228),"\$([A-Z]+)\$[0-9]+"),"")</f>
        <v>$F$228</v>
      </c>
      <c r="G226" t="e" cm="1">
        <f t="array" aca="1" ref="G226" ca="1">IF('Raw Data'!#REF!="",_xlfn.REGEXEXTRACT(CELL("address",'Raw Data'!#REF!),"\$([A-Z]+)\$[0-9]+"),"")</f>
        <v>#REF!</v>
      </c>
      <c r="H226" t="str" cm="1">
        <f t="array" aca="1" ref="H226" ca="1">IF('Raw Data'!G228="",_xlfn.REGEXEXTRACT(CELL("address",'Raw Data'!G228),"\$([A-Z]+)\$[0-9]+"),"")</f>
        <v>$G$228</v>
      </c>
      <c r="I226" t="str" cm="1">
        <f t="array" aca="1" ref="I226" ca="1">IF('Raw Data'!H228="",_xlfn.REGEXEXTRACT(CELL("address",'Raw Data'!H228),"\$([A-Z]+)\$[0-9]+"),"")</f>
        <v>$H$228</v>
      </c>
    </row>
    <row r="227" spans="2:9" x14ac:dyDescent="0.25">
      <c r="B227" t="str" cm="1">
        <f t="array" aca="1" ref="B227" ca="1">IF('Raw Data'!B229="",_xlfn.REGEXEXTRACT(CELL("address",'Raw Data'!B229),"\$([A-Z]+)\$[0-9]+"),"")</f>
        <v>$B$229</v>
      </c>
      <c r="C227" t="str" cm="1">
        <f t="array" aca="1" ref="C227" ca="1">IF('Raw Data'!C229="",_xlfn.REGEXEXTRACT(CELL("address",'Raw Data'!C229),"\$([A-Z]+)\$[0-9]+"),"")</f>
        <v>$C$229</v>
      </c>
      <c r="D227" t="str" cm="1">
        <f t="array" aca="1" ref="D227" ca="1">IF('Raw Data'!D229="",_xlfn.REGEXEXTRACT(CELL("address",'Raw Data'!D229),"\$([A-Z]+)\$[0-9]+"),"")</f>
        <v>$D$229</v>
      </c>
      <c r="E227" t="str" cm="1">
        <f t="array" aca="1" ref="E227" ca="1">IF('Raw Data'!E229="",_xlfn.REGEXEXTRACT(CELL("address",'Raw Data'!E229),"\$([A-Z]+)\$[0-9]+"),"")</f>
        <v>$E$229</v>
      </c>
      <c r="F227" t="str" cm="1">
        <f t="array" aca="1" ref="F227" ca="1">IF('Raw Data'!F229="",_xlfn.REGEXEXTRACT(CELL("address",'Raw Data'!F229),"\$([A-Z]+)\$[0-9]+"),"")</f>
        <v>$F$229</v>
      </c>
      <c r="G227" t="e" cm="1">
        <f t="array" aca="1" ref="G227" ca="1">IF('Raw Data'!#REF!="",_xlfn.REGEXEXTRACT(CELL("address",'Raw Data'!#REF!),"\$([A-Z]+)\$[0-9]+"),"")</f>
        <v>#REF!</v>
      </c>
      <c r="H227" t="str" cm="1">
        <f t="array" aca="1" ref="H227" ca="1">IF('Raw Data'!G229="",_xlfn.REGEXEXTRACT(CELL("address",'Raw Data'!G229),"\$([A-Z]+)\$[0-9]+"),"")</f>
        <v>$G$229</v>
      </c>
      <c r="I227" t="str" cm="1">
        <f t="array" aca="1" ref="I227" ca="1">IF('Raw Data'!H229="",_xlfn.REGEXEXTRACT(CELL("address",'Raw Data'!H229),"\$([A-Z]+)\$[0-9]+"),"")</f>
        <v>$H$229</v>
      </c>
    </row>
    <row r="228" spans="2:9" x14ac:dyDescent="0.25">
      <c r="B228" t="str" cm="1">
        <f t="array" aca="1" ref="B228" ca="1">IF('Raw Data'!B230="",_xlfn.REGEXEXTRACT(CELL("address",'Raw Data'!B230),"\$([A-Z]+)\$[0-9]+"),"")</f>
        <v>$B$230</v>
      </c>
      <c r="C228" t="str" cm="1">
        <f t="array" aca="1" ref="C228" ca="1">IF('Raw Data'!C230="",_xlfn.REGEXEXTRACT(CELL("address",'Raw Data'!C230),"\$([A-Z]+)\$[0-9]+"),"")</f>
        <v>$C$230</v>
      </c>
      <c r="D228" t="str" cm="1">
        <f t="array" aca="1" ref="D228" ca="1">IF('Raw Data'!D230="",_xlfn.REGEXEXTRACT(CELL("address",'Raw Data'!D230),"\$([A-Z]+)\$[0-9]+"),"")</f>
        <v>$D$230</v>
      </c>
      <c r="E228" t="str" cm="1">
        <f t="array" aca="1" ref="E228" ca="1">IF('Raw Data'!E230="",_xlfn.REGEXEXTRACT(CELL("address",'Raw Data'!E230),"\$([A-Z]+)\$[0-9]+"),"")</f>
        <v>$E$230</v>
      </c>
      <c r="F228" t="str" cm="1">
        <f t="array" aca="1" ref="F228" ca="1">IF('Raw Data'!F230="",_xlfn.REGEXEXTRACT(CELL("address",'Raw Data'!F230),"\$([A-Z]+)\$[0-9]+"),"")</f>
        <v>$F$230</v>
      </c>
      <c r="G228" t="e" cm="1">
        <f t="array" aca="1" ref="G228" ca="1">IF('Raw Data'!#REF!="",_xlfn.REGEXEXTRACT(CELL("address",'Raw Data'!#REF!),"\$([A-Z]+)\$[0-9]+"),"")</f>
        <v>#REF!</v>
      </c>
      <c r="H228" t="str" cm="1">
        <f t="array" aca="1" ref="H228" ca="1">IF('Raw Data'!G230="",_xlfn.REGEXEXTRACT(CELL("address",'Raw Data'!G230),"\$([A-Z]+)\$[0-9]+"),"")</f>
        <v>$G$230</v>
      </c>
      <c r="I228" t="str" cm="1">
        <f t="array" aca="1" ref="I228" ca="1">IF('Raw Data'!H230="",_xlfn.REGEXEXTRACT(CELL("address",'Raw Data'!H230),"\$([A-Z]+)\$[0-9]+"),"")</f>
        <v>$H$230</v>
      </c>
    </row>
    <row r="229" spans="2:9" x14ac:dyDescent="0.25">
      <c r="B229" t="str" cm="1">
        <f t="array" aca="1" ref="B229" ca="1">IF('Raw Data'!B231="",_xlfn.REGEXEXTRACT(CELL("address",'Raw Data'!B231),"\$([A-Z]+)\$[0-9]+"),"")</f>
        <v>$B$231</v>
      </c>
      <c r="C229" t="str" cm="1">
        <f t="array" aca="1" ref="C229" ca="1">IF('Raw Data'!C231="",_xlfn.REGEXEXTRACT(CELL("address",'Raw Data'!C231),"\$([A-Z]+)\$[0-9]+"),"")</f>
        <v>$C$231</v>
      </c>
      <c r="D229" t="str" cm="1">
        <f t="array" aca="1" ref="D229" ca="1">IF('Raw Data'!D231="",_xlfn.REGEXEXTRACT(CELL("address",'Raw Data'!D231),"\$([A-Z]+)\$[0-9]+"),"")</f>
        <v>$D$231</v>
      </c>
      <c r="E229" t="str" cm="1">
        <f t="array" aca="1" ref="E229" ca="1">IF('Raw Data'!E231="",_xlfn.REGEXEXTRACT(CELL("address",'Raw Data'!E231),"\$([A-Z]+)\$[0-9]+"),"")</f>
        <v>$E$231</v>
      </c>
      <c r="F229" t="str" cm="1">
        <f t="array" aca="1" ref="F229" ca="1">IF('Raw Data'!F231="",_xlfn.REGEXEXTRACT(CELL("address",'Raw Data'!F231),"\$([A-Z]+)\$[0-9]+"),"")</f>
        <v>$F$231</v>
      </c>
      <c r="G229" t="e" cm="1">
        <f t="array" aca="1" ref="G229" ca="1">IF('Raw Data'!#REF!="",_xlfn.REGEXEXTRACT(CELL("address",'Raw Data'!#REF!),"\$([A-Z]+)\$[0-9]+"),"")</f>
        <v>#REF!</v>
      </c>
      <c r="H229" t="str" cm="1">
        <f t="array" aca="1" ref="H229" ca="1">IF('Raw Data'!G231="",_xlfn.REGEXEXTRACT(CELL("address",'Raw Data'!G231),"\$([A-Z]+)\$[0-9]+"),"")</f>
        <v>$G$231</v>
      </c>
      <c r="I229" t="str" cm="1">
        <f t="array" aca="1" ref="I229" ca="1">IF('Raw Data'!H231="",_xlfn.REGEXEXTRACT(CELL("address",'Raw Data'!H231),"\$([A-Z]+)\$[0-9]+"),"")</f>
        <v>$H$231</v>
      </c>
    </row>
    <row r="230" spans="2:9" x14ac:dyDescent="0.25">
      <c r="B230" t="str" cm="1">
        <f t="array" aca="1" ref="B230" ca="1">IF('Raw Data'!B232="",_xlfn.REGEXEXTRACT(CELL("address",'Raw Data'!B232),"\$([A-Z]+)\$[0-9]+"),"")</f>
        <v>$B$232</v>
      </c>
      <c r="C230" t="str" cm="1">
        <f t="array" aca="1" ref="C230" ca="1">IF('Raw Data'!C232="",_xlfn.REGEXEXTRACT(CELL("address",'Raw Data'!C232),"\$([A-Z]+)\$[0-9]+"),"")</f>
        <v>$C$232</v>
      </c>
      <c r="D230" t="str" cm="1">
        <f t="array" aca="1" ref="D230" ca="1">IF('Raw Data'!D232="",_xlfn.REGEXEXTRACT(CELL("address",'Raw Data'!D232),"\$([A-Z]+)\$[0-9]+"),"")</f>
        <v>$D$232</v>
      </c>
      <c r="E230" t="str" cm="1">
        <f t="array" aca="1" ref="E230" ca="1">IF('Raw Data'!E232="",_xlfn.REGEXEXTRACT(CELL("address",'Raw Data'!E232),"\$([A-Z]+)\$[0-9]+"),"")</f>
        <v>$E$232</v>
      </c>
      <c r="F230" t="str" cm="1">
        <f t="array" aca="1" ref="F230" ca="1">IF('Raw Data'!F232="",_xlfn.REGEXEXTRACT(CELL("address",'Raw Data'!F232),"\$([A-Z]+)\$[0-9]+"),"")</f>
        <v>$F$232</v>
      </c>
      <c r="G230" t="e" cm="1">
        <f t="array" aca="1" ref="G230" ca="1">IF('Raw Data'!#REF!="",_xlfn.REGEXEXTRACT(CELL("address",'Raw Data'!#REF!),"\$([A-Z]+)\$[0-9]+"),"")</f>
        <v>#REF!</v>
      </c>
      <c r="H230" t="str" cm="1">
        <f t="array" aca="1" ref="H230" ca="1">IF('Raw Data'!G232="",_xlfn.REGEXEXTRACT(CELL("address",'Raw Data'!G232),"\$([A-Z]+)\$[0-9]+"),"")</f>
        <v>$G$232</v>
      </c>
      <c r="I230" t="str" cm="1">
        <f t="array" aca="1" ref="I230" ca="1">IF('Raw Data'!H232="",_xlfn.REGEXEXTRACT(CELL("address",'Raw Data'!H232),"\$([A-Z]+)\$[0-9]+"),"")</f>
        <v>$H$232</v>
      </c>
    </row>
    <row r="231" spans="2:9" x14ac:dyDescent="0.25">
      <c r="B231" t="str" cm="1">
        <f t="array" aca="1" ref="B231" ca="1">IF('Raw Data'!B233="",_xlfn.REGEXEXTRACT(CELL("address",'Raw Data'!B233),"\$([A-Z]+)\$[0-9]+"),"")</f>
        <v>$B$233</v>
      </c>
      <c r="C231" t="str" cm="1">
        <f t="array" aca="1" ref="C231" ca="1">IF('Raw Data'!C233="",_xlfn.REGEXEXTRACT(CELL("address",'Raw Data'!C233),"\$([A-Z]+)\$[0-9]+"),"")</f>
        <v>$C$233</v>
      </c>
      <c r="D231" t="str" cm="1">
        <f t="array" aca="1" ref="D231" ca="1">IF('Raw Data'!D233="",_xlfn.REGEXEXTRACT(CELL("address",'Raw Data'!D233),"\$([A-Z]+)\$[0-9]+"),"")</f>
        <v>$D$233</v>
      </c>
      <c r="E231" t="str" cm="1">
        <f t="array" aca="1" ref="E231" ca="1">IF('Raw Data'!E233="",_xlfn.REGEXEXTRACT(CELL("address",'Raw Data'!E233),"\$([A-Z]+)\$[0-9]+"),"")</f>
        <v>$E$233</v>
      </c>
      <c r="F231" t="str" cm="1">
        <f t="array" aca="1" ref="F231" ca="1">IF('Raw Data'!F233="",_xlfn.REGEXEXTRACT(CELL("address",'Raw Data'!F233),"\$([A-Z]+)\$[0-9]+"),"")</f>
        <v>$F$233</v>
      </c>
      <c r="G231" t="e" cm="1">
        <f t="array" aca="1" ref="G231" ca="1">IF('Raw Data'!#REF!="",_xlfn.REGEXEXTRACT(CELL("address",'Raw Data'!#REF!),"\$([A-Z]+)\$[0-9]+"),"")</f>
        <v>#REF!</v>
      </c>
      <c r="H231" t="str" cm="1">
        <f t="array" aca="1" ref="H231" ca="1">IF('Raw Data'!G233="",_xlfn.REGEXEXTRACT(CELL("address",'Raw Data'!G233),"\$([A-Z]+)\$[0-9]+"),"")</f>
        <v>$G$233</v>
      </c>
      <c r="I231" t="str" cm="1">
        <f t="array" aca="1" ref="I231" ca="1">IF('Raw Data'!H233="",_xlfn.REGEXEXTRACT(CELL("address",'Raw Data'!H233),"\$([A-Z]+)\$[0-9]+"),"")</f>
        <v>$H$233</v>
      </c>
    </row>
    <row r="232" spans="2:9" x14ac:dyDescent="0.25">
      <c r="B232" t="str" cm="1">
        <f t="array" aca="1" ref="B232" ca="1">IF('Raw Data'!B234="",_xlfn.REGEXEXTRACT(CELL("address",'Raw Data'!B234),"\$([A-Z]+)\$[0-9]+"),"")</f>
        <v>$B$234</v>
      </c>
      <c r="C232" t="str" cm="1">
        <f t="array" aca="1" ref="C232" ca="1">IF('Raw Data'!C234="",_xlfn.REGEXEXTRACT(CELL("address",'Raw Data'!C234),"\$([A-Z]+)\$[0-9]+"),"")</f>
        <v>$C$234</v>
      </c>
      <c r="D232" t="str" cm="1">
        <f t="array" aca="1" ref="D232" ca="1">IF('Raw Data'!D234="",_xlfn.REGEXEXTRACT(CELL("address",'Raw Data'!D234),"\$([A-Z]+)\$[0-9]+"),"")</f>
        <v>$D$234</v>
      </c>
      <c r="E232" t="str" cm="1">
        <f t="array" aca="1" ref="E232" ca="1">IF('Raw Data'!E234="",_xlfn.REGEXEXTRACT(CELL("address",'Raw Data'!E234),"\$([A-Z]+)\$[0-9]+"),"")</f>
        <v>$E$234</v>
      </c>
      <c r="F232" t="str" cm="1">
        <f t="array" aca="1" ref="F232" ca="1">IF('Raw Data'!F234="",_xlfn.REGEXEXTRACT(CELL("address",'Raw Data'!F234),"\$([A-Z]+)\$[0-9]+"),"")</f>
        <v>$F$234</v>
      </c>
      <c r="G232" t="e" cm="1">
        <f t="array" aca="1" ref="G232" ca="1">IF('Raw Data'!#REF!="",_xlfn.REGEXEXTRACT(CELL("address",'Raw Data'!#REF!),"\$([A-Z]+)\$[0-9]+"),"")</f>
        <v>#REF!</v>
      </c>
      <c r="H232" t="str" cm="1">
        <f t="array" aca="1" ref="H232" ca="1">IF('Raw Data'!G234="",_xlfn.REGEXEXTRACT(CELL("address",'Raw Data'!G234),"\$([A-Z]+)\$[0-9]+"),"")</f>
        <v>$G$234</v>
      </c>
      <c r="I232" t="str" cm="1">
        <f t="array" aca="1" ref="I232" ca="1">IF('Raw Data'!H234="",_xlfn.REGEXEXTRACT(CELL("address",'Raw Data'!H234),"\$([A-Z]+)\$[0-9]+"),"")</f>
        <v>$H$234</v>
      </c>
    </row>
    <row r="233" spans="2:9" x14ac:dyDescent="0.25">
      <c r="B233" t="str" cm="1">
        <f t="array" aca="1" ref="B233" ca="1">IF('Raw Data'!B235="",_xlfn.REGEXEXTRACT(CELL("address",'Raw Data'!B235),"\$([A-Z]+)\$[0-9]+"),"")</f>
        <v>$B$235</v>
      </c>
      <c r="C233" t="str" cm="1">
        <f t="array" aca="1" ref="C233" ca="1">IF('Raw Data'!C235="",_xlfn.REGEXEXTRACT(CELL("address",'Raw Data'!C235),"\$([A-Z]+)\$[0-9]+"),"")</f>
        <v>$C$235</v>
      </c>
      <c r="D233" t="str" cm="1">
        <f t="array" aca="1" ref="D233" ca="1">IF('Raw Data'!D235="",_xlfn.REGEXEXTRACT(CELL("address",'Raw Data'!D235),"\$([A-Z]+)\$[0-9]+"),"")</f>
        <v>$D$235</v>
      </c>
      <c r="E233" t="str" cm="1">
        <f t="array" aca="1" ref="E233" ca="1">IF('Raw Data'!E235="",_xlfn.REGEXEXTRACT(CELL("address",'Raw Data'!E235),"\$([A-Z]+)\$[0-9]+"),"")</f>
        <v>$E$235</v>
      </c>
      <c r="F233" t="str" cm="1">
        <f t="array" aca="1" ref="F233" ca="1">IF('Raw Data'!F235="",_xlfn.REGEXEXTRACT(CELL("address",'Raw Data'!F235),"\$([A-Z]+)\$[0-9]+"),"")</f>
        <v>$F$235</v>
      </c>
      <c r="G233" t="e" cm="1">
        <f t="array" aca="1" ref="G233" ca="1">IF('Raw Data'!#REF!="",_xlfn.REGEXEXTRACT(CELL("address",'Raw Data'!#REF!),"\$([A-Z]+)\$[0-9]+"),"")</f>
        <v>#REF!</v>
      </c>
      <c r="H233" t="str" cm="1">
        <f t="array" aca="1" ref="H233" ca="1">IF('Raw Data'!G235="",_xlfn.REGEXEXTRACT(CELL("address",'Raw Data'!G235),"\$([A-Z]+)\$[0-9]+"),"")</f>
        <v>$G$235</v>
      </c>
      <c r="I233" t="str" cm="1">
        <f t="array" aca="1" ref="I233" ca="1">IF('Raw Data'!H235="",_xlfn.REGEXEXTRACT(CELL("address",'Raw Data'!H235),"\$([A-Z]+)\$[0-9]+"),"")</f>
        <v>$H$235</v>
      </c>
    </row>
    <row r="234" spans="2:9" x14ac:dyDescent="0.25">
      <c r="B234" t="str" cm="1">
        <f t="array" aca="1" ref="B234" ca="1">IF('Raw Data'!B236="",_xlfn.REGEXEXTRACT(CELL("address",'Raw Data'!B236),"\$([A-Z]+)\$[0-9]+"),"")</f>
        <v>$B$236</v>
      </c>
      <c r="C234" t="str" cm="1">
        <f t="array" aca="1" ref="C234" ca="1">IF('Raw Data'!C236="",_xlfn.REGEXEXTRACT(CELL("address",'Raw Data'!C236),"\$([A-Z]+)\$[0-9]+"),"")</f>
        <v>$C$236</v>
      </c>
      <c r="D234" t="str" cm="1">
        <f t="array" aca="1" ref="D234" ca="1">IF('Raw Data'!D236="",_xlfn.REGEXEXTRACT(CELL("address",'Raw Data'!D236),"\$([A-Z]+)\$[0-9]+"),"")</f>
        <v>$D$236</v>
      </c>
      <c r="E234" t="str" cm="1">
        <f t="array" aca="1" ref="E234" ca="1">IF('Raw Data'!E236="",_xlfn.REGEXEXTRACT(CELL("address",'Raw Data'!E236),"\$([A-Z]+)\$[0-9]+"),"")</f>
        <v>$E$236</v>
      </c>
      <c r="F234" t="str" cm="1">
        <f t="array" aca="1" ref="F234" ca="1">IF('Raw Data'!F236="",_xlfn.REGEXEXTRACT(CELL("address",'Raw Data'!F236),"\$([A-Z]+)\$[0-9]+"),"")</f>
        <v>$F$236</v>
      </c>
      <c r="G234" t="e" cm="1">
        <f t="array" aca="1" ref="G234" ca="1">IF('Raw Data'!#REF!="",_xlfn.REGEXEXTRACT(CELL("address",'Raw Data'!#REF!),"\$([A-Z]+)\$[0-9]+"),"")</f>
        <v>#REF!</v>
      </c>
      <c r="H234" t="str" cm="1">
        <f t="array" aca="1" ref="H234" ca="1">IF('Raw Data'!G236="",_xlfn.REGEXEXTRACT(CELL("address",'Raw Data'!G236),"\$([A-Z]+)\$[0-9]+"),"")</f>
        <v>$G$236</v>
      </c>
      <c r="I234" t="str" cm="1">
        <f t="array" aca="1" ref="I234" ca="1">IF('Raw Data'!H236="",_xlfn.REGEXEXTRACT(CELL("address",'Raw Data'!H236),"\$([A-Z]+)\$[0-9]+"),"")</f>
        <v>$H$236</v>
      </c>
    </row>
    <row r="235" spans="2:9" x14ac:dyDescent="0.25">
      <c r="B235" t="str" cm="1">
        <f t="array" aca="1" ref="B235" ca="1">IF('Raw Data'!B237="",_xlfn.REGEXEXTRACT(CELL("address",'Raw Data'!B237),"\$([A-Z]+)\$[0-9]+"),"")</f>
        <v>$B$237</v>
      </c>
      <c r="C235" t="str" cm="1">
        <f t="array" aca="1" ref="C235" ca="1">IF('Raw Data'!C237="",_xlfn.REGEXEXTRACT(CELL("address",'Raw Data'!C237),"\$([A-Z]+)\$[0-9]+"),"")</f>
        <v>$C$237</v>
      </c>
      <c r="D235" t="str" cm="1">
        <f t="array" aca="1" ref="D235" ca="1">IF('Raw Data'!D237="",_xlfn.REGEXEXTRACT(CELL("address",'Raw Data'!D237),"\$([A-Z]+)\$[0-9]+"),"")</f>
        <v>$D$237</v>
      </c>
      <c r="E235" t="str" cm="1">
        <f t="array" aca="1" ref="E235" ca="1">IF('Raw Data'!E237="",_xlfn.REGEXEXTRACT(CELL("address",'Raw Data'!E237),"\$([A-Z]+)\$[0-9]+"),"")</f>
        <v>$E$237</v>
      </c>
      <c r="F235" t="str" cm="1">
        <f t="array" aca="1" ref="F235" ca="1">IF('Raw Data'!F237="",_xlfn.REGEXEXTRACT(CELL("address",'Raw Data'!F237),"\$([A-Z]+)\$[0-9]+"),"")</f>
        <v>$F$237</v>
      </c>
      <c r="G235" t="e" cm="1">
        <f t="array" aca="1" ref="G235" ca="1">IF('Raw Data'!#REF!="",_xlfn.REGEXEXTRACT(CELL("address",'Raw Data'!#REF!),"\$([A-Z]+)\$[0-9]+"),"")</f>
        <v>#REF!</v>
      </c>
      <c r="H235" t="str" cm="1">
        <f t="array" aca="1" ref="H235" ca="1">IF('Raw Data'!G237="",_xlfn.REGEXEXTRACT(CELL("address",'Raw Data'!G237),"\$([A-Z]+)\$[0-9]+"),"")</f>
        <v>$G$237</v>
      </c>
      <c r="I235" t="str" cm="1">
        <f t="array" aca="1" ref="I235" ca="1">IF('Raw Data'!H237="",_xlfn.REGEXEXTRACT(CELL("address",'Raw Data'!H237),"\$([A-Z]+)\$[0-9]+"),"")</f>
        <v>$H$237</v>
      </c>
    </row>
    <row r="236" spans="2:9" x14ac:dyDescent="0.25">
      <c r="B236" t="str" cm="1">
        <f t="array" aca="1" ref="B236" ca="1">IF('Raw Data'!B238="",_xlfn.REGEXEXTRACT(CELL("address",'Raw Data'!B238),"\$([A-Z]+)\$[0-9]+"),"")</f>
        <v>$B$238</v>
      </c>
      <c r="C236" t="str" cm="1">
        <f t="array" aca="1" ref="C236" ca="1">IF('Raw Data'!C238="",_xlfn.REGEXEXTRACT(CELL("address",'Raw Data'!C238),"\$([A-Z]+)\$[0-9]+"),"")</f>
        <v>$C$238</v>
      </c>
      <c r="D236" t="str" cm="1">
        <f t="array" aca="1" ref="D236" ca="1">IF('Raw Data'!D238="",_xlfn.REGEXEXTRACT(CELL("address",'Raw Data'!D238),"\$([A-Z]+)\$[0-9]+"),"")</f>
        <v>$D$238</v>
      </c>
      <c r="E236" t="str" cm="1">
        <f t="array" aca="1" ref="E236" ca="1">IF('Raw Data'!E238="",_xlfn.REGEXEXTRACT(CELL("address",'Raw Data'!E238),"\$([A-Z]+)\$[0-9]+"),"")</f>
        <v>$E$238</v>
      </c>
      <c r="F236" t="str" cm="1">
        <f t="array" aca="1" ref="F236" ca="1">IF('Raw Data'!F238="",_xlfn.REGEXEXTRACT(CELL("address",'Raw Data'!F238),"\$([A-Z]+)\$[0-9]+"),"")</f>
        <v>$F$238</v>
      </c>
      <c r="G236" t="e" cm="1">
        <f t="array" aca="1" ref="G236" ca="1">IF('Raw Data'!#REF!="",_xlfn.REGEXEXTRACT(CELL("address",'Raw Data'!#REF!),"\$([A-Z]+)\$[0-9]+"),"")</f>
        <v>#REF!</v>
      </c>
      <c r="H236" t="str" cm="1">
        <f t="array" aca="1" ref="H236" ca="1">IF('Raw Data'!G238="",_xlfn.REGEXEXTRACT(CELL("address",'Raw Data'!G238),"\$([A-Z]+)\$[0-9]+"),"")</f>
        <v>$G$238</v>
      </c>
      <c r="I236" t="str" cm="1">
        <f t="array" aca="1" ref="I236" ca="1">IF('Raw Data'!H238="",_xlfn.REGEXEXTRACT(CELL("address",'Raw Data'!H238),"\$([A-Z]+)\$[0-9]+"),"")</f>
        <v>$H$238</v>
      </c>
    </row>
    <row r="237" spans="2:9" x14ac:dyDescent="0.25">
      <c r="B237" t="str" cm="1">
        <f t="array" aca="1" ref="B237" ca="1">IF('Raw Data'!B239="",_xlfn.REGEXEXTRACT(CELL("address",'Raw Data'!B239),"\$([A-Z]+)\$[0-9]+"),"")</f>
        <v>$B$239</v>
      </c>
      <c r="C237" t="str" cm="1">
        <f t="array" aca="1" ref="C237" ca="1">IF('Raw Data'!C239="",_xlfn.REGEXEXTRACT(CELL("address",'Raw Data'!C239),"\$([A-Z]+)\$[0-9]+"),"")</f>
        <v>$C$239</v>
      </c>
      <c r="D237" t="str" cm="1">
        <f t="array" aca="1" ref="D237" ca="1">IF('Raw Data'!D239="",_xlfn.REGEXEXTRACT(CELL("address",'Raw Data'!D239),"\$([A-Z]+)\$[0-9]+"),"")</f>
        <v>$D$239</v>
      </c>
      <c r="E237" t="str" cm="1">
        <f t="array" aca="1" ref="E237" ca="1">IF('Raw Data'!E239="",_xlfn.REGEXEXTRACT(CELL("address",'Raw Data'!E239),"\$([A-Z]+)\$[0-9]+"),"")</f>
        <v>$E$239</v>
      </c>
      <c r="F237" t="str" cm="1">
        <f t="array" aca="1" ref="F237" ca="1">IF('Raw Data'!F239="",_xlfn.REGEXEXTRACT(CELL("address",'Raw Data'!F239),"\$([A-Z]+)\$[0-9]+"),"")</f>
        <v>$F$239</v>
      </c>
      <c r="G237" t="e" cm="1">
        <f t="array" aca="1" ref="G237" ca="1">IF('Raw Data'!#REF!="",_xlfn.REGEXEXTRACT(CELL("address",'Raw Data'!#REF!),"\$([A-Z]+)\$[0-9]+"),"")</f>
        <v>#REF!</v>
      </c>
      <c r="H237" t="str" cm="1">
        <f t="array" aca="1" ref="H237" ca="1">IF('Raw Data'!G239="",_xlfn.REGEXEXTRACT(CELL("address",'Raw Data'!G239),"\$([A-Z]+)\$[0-9]+"),"")</f>
        <v>$G$239</v>
      </c>
      <c r="I237" t="str" cm="1">
        <f t="array" aca="1" ref="I237" ca="1">IF('Raw Data'!H239="",_xlfn.REGEXEXTRACT(CELL("address",'Raw Data'!H239),"\$([A-Z]+)\$[0-9]+"),"")</f>
        <v>$H$239</v>
      </c>
    </row>
    <row r="238" spans="2:9" x14ac:dyDescent="0.25">
      <c r="B238" t="str" cm="1">
        <f t="array" aca="1" ref="B238" ca="1">IF('Raw Data'!B240="",_xlfn.REGEXEXTRACT(CELL("address",'Raw Data'!B240),"\$([A-Z]+)\$[0-9]+"),"")</f>
        <v>$B$240</v>
      </c>
      <c r="C238" t="str" cm="1">
        <f t="array" aca="1" ref="C238" ca="1">IF('Raw Data'!C240="",_xlfn.REGEXEXTRACT(CELL("address",'Raw Data'!C240),"\$([A-Z]+)\$[0-9]+"),"")</f>
        <v>$C$240</v>
      </c>
      <c r="D238" t="str" cm="1">
        <f t="array" aca="1" ref="D238" ca="1">IF('Raw Data'!D240="",_xlfn.REGEXEXTRACT(CELL("address",'Raw Data'!D240),"\$([A-Z]+)\$[0-9]+"),"")</f>
        <v>$D$240</v>
      </c>
      <c r="E238" t="str" cm="1">
        <f t="array" aca="1" ref="E238" ca="1">IF('Raw Data'!E240="",_xlfn.REGEXEXTRACT(CELL("address",'Raw Data'!E240),"\$([A-Z]+)\$[0-9]+"),"")</f>
        <v>$E$240</v>
      </c>
      <c r="F238" t="str" cm="1">
        <f t="array" aca="1" ref="F238" ca="1">IF('Raw Data'!F240="",_xlfn.REGEXEXTRACT(CELL("address",'Raw Data'!F240),"\$([A-Z]+)\$[0-9]+"),"")</f>
        <v>$F$240</v>
      </c>
      <c r="G238" t="e" cm="1">
        <f t="array" aca="1" ref="G238" ca="1">IF('Raw Data'!#REF!="",_xlfn.REGEXEXTRACT(CELL("address",'Raw Data'!#REF!),"\$([A-Z]+)\$[0-9]+"),"")</f>
        <v>#REF!</v>
      </c>
      <c r="H238" t="str" cm="1">
        <f t="array" aca="1" ref="H238" ca="1">IF('Raw Data'!G240="",_xlfn.REGEXEXTRACT(CELL("address",'Raw Data'!G240),"\$([A-Z]+)\$[0-9]+"),"")</f>
        <v>$G$240</v>
      </c>
      <c r="I238" t="str" cm="1">
        <f t="array" aca="1" ref="I238" ca="1">IF('Raw Data'!H240="",_xlfn.REGEXEXTRACT(CELL("address",'Raw Data'!H240),"\$([A-Z]+)\$[0-9]+"),"")</f>
        <v>$H$240</v>
      </c>
    </row>
    <row r="239" spans="2:9" x14ac:dyDescent="0.25">
      <c r="B239" t="str" cm="1">
        <f t="array" aca="1" ref="B239" ca="1">IF('Raw Data'!B241="",_xlfn.REGEXEXTRACT(CELL("address",'Raw Data'!B241),"\$([A-Z]+)\$[0-9]+"),"")</f>
        <v>$B$241</v>
      </c>
      <c r="C239" t="str" cm="1">
        <f t="array" aca="1" ref="C239" ca="1">IF('Raw Data'!C241="",_xlfn.REGEXEXTRACT(CELL("address",'Raw Data'!C241),"\$([A-Z]+)\$[0-9]+"),"")</f>
        <v>$C$241</v>
      </c>
      <c r="D239" t="str" cm="1">
        <f t="array" aca="1" ref="D239" ca="1">IF('Raw Data'!D241="",_xlfn.REGEXEXTRACT(CELL("address",'Raw Data'!D241),"\$([A-Z]+)\$[0-9]+"),"")</f>
        <v>$D$241</v>
      </c>
      <c r="E239" t="str" cm="1">
        <f t="array" aca="1" ref="E239" ca="1">IF('Raw Data'!E241="",_xlfn.REGEXEXTRACT(CELL("address",'Raw Data'!E241),"\$([A-Z]+)\$[0-9]+"),"")</f>
        <v>$E$241</v>
      </c>
      <c r="F239" t="str" cm="1">
        <f t="array" aca="1" ref="F239" ca="1">IF('Raw Data'!F241="",_xlfn.REGEXEXTRACT(CELL("address",'Raw Data'!F241),"\$([A-Z]+)\$[0-9]+"),"")</f>
        <v>$F$241</v>
      </c>
      <c r="G239" t="e" cm="1">
        <f t="array" aca="1" ref="G239" ca="1">IF('Raw Data'!#REF!="",_xlfn.REGEXEXTRACT(CELL("address",'Raw Data'!#REF!),"\$([A-Z]+)\$[0-9]+"),"")</f>
        <v>#REF!</v>
      </c>
      <c r="H239" t="str" cm="1">
        <f t="array" aca="1" ref="H239" ca="1">IF('Raw Data'!G241="",_xlfn.REGEXEXTRACT(CELL("address",'Raw Data'!G241),"\$([A-Z]+)\$[0-9]+"),"")</f>
        <v>$G$241</v>
      </c>
      <c r="I239" t="str" cm="1">
        <f t="array" aca="1" ref="I239" ca="1">IF('Raw Data'!H241="",_xlfn.REGEXEXTRACT(CELL("address",'Raw Data'!H241),"\$([A-Z]+)\$[0-9]+"),"")</f>
        <v>$H$241</v>
      </c>
    </row>
    <row r="240" spans="2:9" x14ac:dyDescent="0.25">
      <c r="B240" t="str" cm="1">
        <f t="array" aca="1" ref="B240" ca="1">IF('Raw Data'!B242="",_xlfn.REGEXEXTRACT(CELL("address",'Raw Data'!B242),"\$([A-Z]+)\$[0-9]+"),"")</f>
        <v>$B$242</v>
      </c>
      <c r="C240" t="str" cm="1">
        <f t="array" aca="1" ref="C240" ca="1">IF('Raw Data'!C242="",_xlfn.REGEXEXTRACT(CELL("address",'Raw Data'!C242),"\$([A-Z]+)\$[0-9]+"),"")</f>
        <v>$C$242</v>
      </c>
      <c r="D240" t="str" cm="1">
        <f t="array" aca="1" ref="D240" ca="1">IF('Raw Data'!D242="",_xlfn.REGEXEXTRACT(CELL("address",'Raw Data'!D242),"\$([A-Z]+)\$[0-9]+"),"")</f>
        <v>$D$242</v>
      </c>
      <c r="E240" t="str" cm="1">
        <f t="array" aca="1" ref="E240" ca="1">IF('Raw Data'!E242="",_xlfn.REGEXEXTRACT(CELL("address",'Raw Data'!E242),"\$([A-Z]+)\$[0-9]+"),"")</f>
        <v>$E$242</v>
      </c>
      <c r="F240" t="str" cm="1">
        <f t="array" aca="1" ref="F240" ca="1">IF('Raw Data'!F242="",_xlfn.REGEXEXTRACT(CELL("address",'Raw Data'!F242),"\$([A-Z]+)\$[0-9]+"),"")</f>
        <v>$F$242</v>
      </c>
      <c r="G240" t="e" cm="1">
        <f t="array" aca="1" ref="G240" ca="1">IF('Raw Data'!#REF!="",_xlfn.REGEXEXTRACT(CELL("address",'Raw Data'!#REF!),"\$([A-Z]+)\$[0-9]+"),"")</f>
        <v>#REF!</v>
      </c>
      <c r="H240" t="str" cm="1">
        <f t="array" aca="1" ref="H240" ca="1">IF('Raw Data'!G242="",_xlfn.REGEXEXTRACT(CELL("address",'Raw Data'!G242),"\$([A-Z]+)\$[0-9]+"),"")</f>
        <v>$G$242</v>
      </c>
      <c r="I240" t="str" cm="1">
        <f t="array" aca="1" ref="I240" ca="1">IF('Raw Data'!H242="",_xlfn.REGEXEXTRACT(CELL("address",'Raw Data'!H242),"\$([A-Z]+)\$[0-9]+"),"")</f>
        <v>$H$242</v>
      </c>
    </row>
    <row r="241" spans="2:9" x14ac:dyDescent="0.25">
      <c r="B241" t="str" cm="1">
        <f t="array" aca="1" ref="B241" ca="1">IF('Raw Data'!B243="",_xlfn.REGEXEXTRACT(CELL("address",'Raw Data'!B243),"\$([A-Z]+)\$[0-9]+"),"")</f>
        <v>$B$243</v>
      </c>
      <c r="C241" t="str" cm="1">
        <f t="array" aca="1" ref="C241" ca="1">IF('Raw Data'!C243="",_xlfn.REGEXEXTRACT(CELL("address",'Raw Data'!C243),"\$([A-Z]+)\$[0-9]+"),"")</f>
        <v>$C$243</v>
      </c>
      <c r="D241" t="str" cm="1">
        <f t="array" aca="1" ref="D241" ca="1">IF('Raw Data'!D243="",_xlfn.REGEXEXTRACT(CELL("address",'Raw Data'!D243),"\$([A-Z]+)\$[0-9]+"),"")</f>
        <v>$D$243</v>
      </c>
      <c r="E241" t="str" cm="1">
        <f t="array" aca="1" ref="E241" ca="1">IF('Raw Data'!E243="",_xlfn.REGEXEXTRACT(CELL("address",'Raw Data'!E243),"\$([A-Z]+)\$[0-9]+"),"")</f>
        <v>$E$243</v>
      </c>
      <c r="F241" t="str" cm="1">
        <f t="array" aca="1" ref="F241" ca="1">IF('Raw Data'!F243="",_xlfn.REGEXEXTRACT(CELL("address",'Raw Data'!F243),"\$([A-Z]+)\$[0-9]+"),"")</f>
        <v>$F$243</v>
      </c>
      <c r="G241" t="e" cm="1">
        <f t="array" aca="1" ref="G241" ca="1">IF('Raw Data'!#REF!="",_xlfn.REGEXEXTRACT(CELL("address",'Raw Data'!#REF!),"\$([A-Z]+)\$[0-9]+"),"")</f>
        <v>#REF!</v>
      </c>
      <c r="H241" t="str" cm="1">
        <f t="array" aca="1" ref="H241" ca="1">IF('Raw Data'!G243="",_xlfn.REGEXEXTRACT(CELL("address",'Raw Data'!G243),"\$([A-Z]+)\$[0-9]+"),"")</f>
        <v>$G$243</v>
      </c>
      <c r="I241" t="str" cm="1">
        <f t="array" aca="1" ref="I241" ca="1">IF('Raw Data'!H243="",_xlfn.REGEXEXTRACT(CELL("address",'Raw Data'!H243),"\$([A-Z]+)\$[0-9]+"),"")</f>
        <v>$H$243</v>
      </c>
    </row>
    <row r="242" spans="2:9" x14ac:dyDescent="0.25">
      <c r="B242" t="str" cm="1">
        <f t="array" aca="1" ref="B242" ca="1">IF('Raw Data'!B244="",_xlfn.REGEXEXTRACT(CELL("address",'Raw Data'!B244),"\$([A-Z]+)\$[0-9]+"),"")</f>
        <v>$B$244</v>
      </c>
      <c r="C242" t="str" cm="1">
        <f t="array" aca="1" ref="C242" ca="1">IF('Raw Data'!C244="",_xlfn.REGEXEXTRACT(CELL("address",'Raw Data'!C244),"\$([A-Z]+)\$[0-9]+"),"")</f>
        <v>$C$244</v>
      </c>
      <c r="D242" t="str" cm="1">
        <f t="array" aca="1" ref="D242" ca="1">IF('Raw Data'!D244="",_xlfn.REGEXEXTRACT(CELL("address",'Raw Data'!D244),"\$([A-Z]+)\$[0-9]+"),"")</f>
        <v>$D$244</v>
      </c>
      <c r="E242" t="str" cm="1">
        <f t="array" aca="1" ref="E242" ca="1">IF('Raw Data'!E244="",_xlfn.REGEXEXTRACT(CELL("address",'Raw Data'!E244),"\$([A-Z]+)\$[0-9]+"),"")</f>
        <v>$E$244</v>
      </c>
      <c r="F242" t="str" cm="1">
        <f t="array" aca="1" ref="F242" ca="1">IF('Raw Data'!F244="",_xlfn.REGEXEXTRACT(CELL("address",'Raw Data'!F244),"\$([A-Z]+)\$[0-9]+"),"")</f>
        <v>$F$244</v>
      </c>
      <c r="G242" t="e" cm="1">
        <f t="array" aca="1" ref="G242" ca="1">IF('Raw Data'!#REF!="",_xlfn.REGEXEXTRACT(CELL("address",'Raw Data'!#REF!),"\$([A-Z]+)\$[0-9]+"),"")</f>
        <v>#REF!</v>
      </c>
      <c r="H242" t="str" cm="1">
        <f t="array" aca="1" ref="H242" ca="1">IF('Raw Data'!G244="",_xlfn.REGEXEXTRACT(CELL("address",'Raw Data'!G244),"\$([A-Z]+)\$[0-9]+"),"")</f>
        <v>$G$244</v>
      </c>
      <c r="I242" t="str" cm="1">
        <f t="array" aca="1" ref="I242" ca="1">IF('Raw Data'!H244="",_xlfn.REGEXEXTRACT(CELL("address",'Raw Data'!H244),"\$([A-Z]+)\$[0-9]+"),"")</f>
        <v>$H$244</v>
      </c>
    </row>
    <row r="243" spans="2:9" x14ac:dyDescent="0.25">
      <c r="B243" t="str" cm="1">
        <f t="array" aca="1" ref="B243" ca="1">IF('Raw Data'!B245="",_xlfn.REGEXEXTRACT(CELL("address",'Raw Data'!B245),"\$([A-Z]+)\$[0-9]+"),"")</f>
        <v>$B$245</v>
      </c>
      <c r="C243" t="str" cm="1">
        <f t="array" aca="1" ref="C243" ca="1">IF('Raw Data'!C245="",_xlfn.REGEXEXTRACT(CELL("address",'Raw Data'!C245),"\$([A-Z]+)\$[0-9]+"),"")</f>
        <v>$C$245</v>
      </c>
      <c r="D243" t="str" cm="1">
        <f t="array" aca="1" ref="D243" ca="1">IF('Raw Data'!D245="",_xlfn.REGEXEXTRACT(CELL("address",'Raw Data'!D245),"\$([A-Z]+)\$[0-9]+"),"")</f>
        <v>$D$245</v>
      </c>
      <c r="E243" t="str" cm="1">
        <f t="array" aca="1" ref="E243" ca="1">IF('Raw Data'!E245="",_xlfn.REGEXEXTRACT(CELL("address",'Raw Data'!E245),"\$([A-Z]+)\$[0-9]+"),"")</f>
        <v>$E$245</v>
      </c>
      <c r="F243" t="str" cm="1">
        <f t="array" aca="1" ref="F243" ca="1">IF('Raw Data'!F245="",_xlfn.REGEXEXTRACT(CELL("address",'Raw Data'!F245),"\$([A-Z]+)\$[0-9]+"),"")</f>
        <v>$F$245</v>
      </c>
      <c r="G243" t="e" cm="1">
        <f t="array" aca="1" ref="G243" ca="1">IF('Raw Data'!#REF!="",_xlfn.REGEXEXTRACT(CELL("address",'Raw Data'!#REF!),"\$([A-Z]+)\$[0-9]+"),"")</f>
        <v>#REF!</v>
      </c>
      <c r="H243" t="str" cm="1">
        <f t="array" aca="1" ref="H243" ca="1">IF('Raw Data'!G245="",_xlfn.REGEXEXTRACT(CELL("address",'Raw Data'!G245),"\$([A-Z]+)\$[0-9]+"),"")</f>
        <v>$G$245</v>
      </c>
      <c r="I243" t="str" cm="1">
        <f t="array" aca="1" ref="I243" ca="1">IF('Raw Data'!H245="",_xlfn.REGEXEXTRACT(CELL("address",'Raw Data'!H245),"\$([A-Z]+)\$[0-9]+"),"")</f>
        <v>$H$245</v>
      </c>
    </row>
    <row r="244" spans="2:9" x14ac:dyDescent="0.25">
      <c r="B244" t="str" cm="1">
        <f t="array" aca="1" ref="B244" ca="1">IF('Raw Data'!B246="",_xlfn.REGEXEXTRACT(CELL("address",'Raw Data'!B246),"\$([A-Z]+)\$[0-9]+"),"")</f>
        <v>$B$246</v>
      </c>
      <c r="C244" t="str" cm="1">
        <f t="array" aca="1" ref="C244" ca="1">IF('Raw Data'!C246="",_xlfn.REGEXEXTRACT(CELL("address",'Raw Data'!C246),"\$([A-Z]+)\$[0-9]+"),"")</f>
        <v>$C$246</v>
      </c>
      <c r="D244" t="str" cm="1">
        <f t="array" aca="1" ref="D244" ca="1">IF('Raw Data'!D246="",_xlfn.REGEXEXTRACT(CELL("address",'Raw Data'!D246),"\$([A-Z]+)\$[0-9]+"),"")</f>
        <v>$D$246</v>
      </c>
      <c r="E244" t="str" cm="1">
        <f t="array" aca="1" ref="E244" ca="1">IF('Raw Data'!E246="",_xlfn.REGEXEXTRACT(CELL("address",'Raw Data'!E246),"\$([A-Z]+)\$[0-9]+"),"")</f>
        <v>$E$246</v>
      </c>
      <c r="F244" t="str" cm="1">
        <f t="array" aca="1" ref="F244" ca="1">IF('Raw Data'!F246="",_xlfn.REGEXEXTRACT(CELL("address",'Raw Data'!F246),"\$([A-Z]+)\$[0-9]+"),"")</f>
        <v>$F$246</v>
      </c>
      <c r="G244" t="e" cm="1">
        <f t="array" aca="1" ref="G244" ca="1">IF('Raw Data'!#REF!="",_xlfn.REGEXEXTRACT(CELL("address",'Raw Data'!#REF!),"\$([A-Z]+)\$[0-9]+"),"")</f>
        <v>#REF!</v>
      </c>
      <c r="H244" t="str" cm="1">
        <f t="array" aca="1" ref="H244" ca="1">IF('Raw Data'!G246="",_xlfn.REGEXEXTRACT(CELL("address",'Raw Data'!G246),"\$([A-Z]+)\$[0-9]+"),"")</f>
        <v>$G$246</v>
      </c>
      <c r="I244" t="str" cm="1">
        <f t="array" aca="1" ref="I244" ca="1">IF('Raw Data'!H246="",_xlfn.REGEXEXTRACT(CELL("address",'Raw Data'!H246),"\$([A-Z]+)\$[0-9]+"),"")</f>
        <v>$H$246</v>
      </c>
    </row>
    <row r="245" spans="2:9" x14ac:dyDescent="0.25">
      <c r="B245" t="str" cm="1">
        <f t="array" aca="1" ref="B245" ca="1">IF('Raw Data'!B247="",_xlfn.REGEXEXTRACT(CELL("address",'Raw Data'!B247),"\$([A-Z]+)\$[0-9]+"),"")</f>
        <v>$B$247</v>
      </c>
      <c r="C245" t="str" cm="1">
        <f t="array" aca="1" ref="C245" ca="1">IF('Raw Data'!C247="",_xlfn.REGEXEXTRACT(CELL("address",'Raw Data'!C247),"\$([A-Z]+)\$[0-9]+"),"")</f>
        <v>$C$247</v>
      </c>
      <c r="D245" t="str" cm="1">
        <f t="array" aca="1" ref="D245" ca="1">IF('Raw Data'!D247="",_xlfn.REGEXEXTRACT(CELL("address",'Raw Data'!D247),"\$([A-Z]+)\$[0-9]+"),"")</f>
        <v>$D$247</v>
      </c>
      <c r="E245" t="str" cm="1">
        <f t="array" aca="1" ref="E245" ca="1">IF('Raw Data'!E247="",_xlfn.REGEXEXTRACT(CELL("address",'Raw Data'!E247),"\$([A-Z]+)\$[0-9]+"),"")</f>
        <v>$E$247</v>
      </c>
      <c r="F245" t="str" cm="1">
        <f t="array" aca="1" ref="F245" ca="1">IF('Raw Data'!F247="",_xlfn.REGEXEXTRACT(CELL("address",'Raw Data'!F247),"\$([A-Z]+)\$[0-9]+"),"")</f>
        <v>$F$247</v>
      </c>
      <c r="G245" t="e" cm="1">
        <f t="array" aca="1" ref="G245" ca="1">IF('Raw Data'!#REF!="",_xlfn.REGEXEXTRACT(CELL("address",'Raw Data'!#REF!),"\$([A-Z]+)\$[0-9]+"),"")</f>
        <v>#REF!</v>
      </c>
      <c r="H245" t="str" cm="1">
        <f t="array" aca="1" ref="H245" ca="1">IF('Raw Data'!G247="",_xlfn.REGEXEXTRACT(CELL("address",'Raw Data'!G247),"\$([A-Z]+)\$[0-9]+"),"")</f>
        <v>$G$247</v>
      </c>
      <c r="I245" t="str" cm="1">
        <f t="array" aca="1" ref="I245" ca="1">IF('Raw Data'!H247="",_xlfn.REGEXEXTRACT(CELL("address",'Raw Data'!H247),"\$([A-Z]+)\$[0-9]+"),"")</f>
        <v>$H$247</v>
      </c>
    </row>
    <row r="246" spans="2:9" x14ac:dyDescent="0.25">
      <c r="B246" t="str" cm="1">
        <f t="array" aca="1" ref="B246" ca="1">IF('Raw Data'!B248="",_xlfn.REGEXEXTRACT(CELL("address",'Raw Data'!B248),"\$([A-Z]+)\$[0-9]+"),"")</f>
        <v>$B$248</v>
      </c>
      <c r="C246" t="str" cm="1">
        <f t="array" aca="1" ref="C246" ca="1">IF('Raw Data'!C248="",_xlfn.REGEXEXTRACT(CELL("address",'Raw Data'!C248),"\$([A-Z]+)\$[0-9]+"),"")</f>
        <v>$C$248</v>
      </c>
      <c r="D246" t="str" cm="1">
        <f t="array" aca="1" ref="D246" ca="1">IF('Raw Data'!D248="",_xlfn.REGEXEXTRACT(CELL("address",'Raw Data'!D248),"\$([A-Z]+)\$[0-9]+"),"")</f>
        <v>$D$248</v>
      </c>
      <c r="E246" t="str" cm="1">
        <f t="array" aca="1" ref="E246" ca="1">IF('Raw Data'!E248="",_xlfn.REGEXEXTRACT(CELL("address",'Raw Data'!E248),"\$([A-Z]+)\$[0-9]+"),"")</f>
        <v>$E$248</v>
      </c>
      <c r="F246" t="str" cm="1">
        <f t="array" aca="1" ref="F246" ca="1">IF('Raw Data'!F248="",_xlfn.REGEXEXTRACT(CELL("address",'Raw Data'!F248),"\$([A-Z]+)\$[0-9]+"),"")</f>
        <v>$F$248</v>
      </c>
      <c r="G246" t="e" cm="1">
        <f t="array" aca="1" ref="G246" ca="1">IF('Raw Data'!#REF!="",_xlfn.REGEXEXTRACT(CELL("address",'Raw Data'!#REF!),"\$([A-Z]+)\$[0-9]+"),"")</f>
        <v>#REF!</v>
      </c>
      <c r="H246" t="str" cm="1">
        <f t="array" aca="1" ref="H246" ca="1">IF('Raw Data'!G248="",_xlfn.REGEXEXTRACT(CELL("address",'Raw Data'!G248),"\$([A-Z]+)\$[0-9]+"),"")</f>
        <v>$G$248</v>
      </c>
      <c r="I246" t="str" cm="1">
        <f t="array" aca="1" ref="I246" ca="1">IF('Raw Data'!H248="",_xlfn.REGEXEXTRACT(CELL("address",'Raw Data'!H248),"\$([A-Z]+)\$[0-9]+"),"")</f>
        <v>$H$248</v>
      </c>
    </row>
    <row r="247" spans="2:9" x14ac:dyDescent="0.25">
      <c r="B247" t="str" cm="1">
        <f t="array" aca="1" ref="B247" ca="1">IF('Raw Data'!B249="",_xlfn.REGEXEXTRACT(CELL("address",'Raw Data'!B249),"\$([A-Z]+)\$[0-9]+"),"")</f>
        <v>$B$249</v>
      </c>
      <c r="C247" t="str" cm="1">
        <f t="array" aca="1" ref="C247" ca="1">IF('Raw Data'!C249="",_xlfn.REGEXEXTRACT(CELL("address",'Raw Data'!C249),"\$([A-Z]+)\$[0-9]+"),"")</f>
        <v>$C$249</v>
      </c>
      <c r="D247" t="str" cm="1">
        <f t="array" aca="1" ref="D247" ca="1">IF('Raw Data'!D249="",_xlfn.REGEXEXTRACT(CELL("address",'Raw Data'!D249),"\$([A-Z]+)\$[0-9]+"),"")</f>
        <v>$D$249</v>
      </c>
      <c r="E247" t="str" cm="1">
        <f t="array" aca="1" ref="E247" ca="1">IF('Raw Data'!E249="",_xlfn.REGEXEXTRACT(CELL("address",'Raw Data'!E249),"\$([A-Z]+)\$[0-9]+"),"")</f>
        <v>$E$249</v>
      </c>
      <c r="F247" t="str" cm="1">
        <f t="array" aca="1" ref="F247" ca="1">IF('Raw Data'!F249="",_xlfn.REGEXEXTRACT(CELL("address",'Raw Data'!F249),"\$([A-Z]+)\$[0-9]+"),"")</f>
        <v>$F$249</v>
      </c>
      <c r="G247" t="e" cm="1">
        <f t="array" aca="1" ref="G247" ca="1">IF('Raw Data'!#REF!="",_xlfn.REGEXEXTRACT(CELL("address",'Raw Data'!#REF!),"\$([A-Z]+)\$[0-9]+"),"")</f>
        <v>#REF!</v>
      </c>
      <c r="H247" t="str" cm="1">
        <f t="array" aca="1" ref="H247" ca="1">IF('Raw Data'!G249="",_xlfn.REGEXEXTRACT(CELL("address",'Raw Data'!G249),"\$([A-Z]+)\$[0-9]+"),"")</f>
        <v>$G$249</v>
      </c>
      <c r="I247" t="str" cm="1">
        <f t="array" aca="1" ref="I247" ca="1">IF('Raw Data'!H249="",_xlfn.REGEXEXTRACT(CELL("address",'Raw Data'!H249),"\$([A-Z]+)\$[0-9]+"),"")</f>
        <v>$H$249</v>
      </c>
    </row>
    <row r="248" spans="2:9" x14ac:dyDescent="0.25">
      <c r="B248" t="str" cm="1">
        <f t="array" aca="1" ref="B248" ca="1">IF('Raw Data'!B250="",_xlfn.REGEXEXTRACT(CELL("address",'Raw Data'!B250),"\$([A-Z]+)\$[0-9]+"),"")</f>
        <v>$B$250</v>
      </c>
      <c r="C248" t="str" cm="1">
        <f t="array" aca="1" ref="C248" ca="1">IF('Raw Data'!C250="",_xlfn.REGEXEXTRACT(CELL("address",'Raw Data'!C250),"\$([A-Z]+)\$[0-9]+"),"")</f>
        <v>$C$250</v>
      </c>
      <c r="D248" t="str" cm="1">
        <f t="array" aca="1" ref="D248" ca="1">IF('Raw Data'!D250="",_xlfn.REGEXEXTRACT(CELL("address",'Raw Data'!D250),"\$([A-Z]+)\$[0-9]+"),"")</f>
        <v>$D$250</v>
      </c>
      <c r="E248" t="str" cm="1">
        <f t="array" aca="1" ref="E248" ca="1">IF('Raw Data'!E250="",_xlfn.REGEXEXTRACT(CELL("address",'Raw Data'!E250),"\$([A-Z]+)\$[0-9]+"),"")</f>
        <v>$E$250</v>
      </c>
      <c r="F248" t="str" cm="1">
        <f t="array" aca="1" ref="F248" ca="1">IF('Raw Data'!F250="",_xlfn.REGEXEXTRACT(CELL("address",'Raw Data'!F250),"\$([A-Z]+)\$[0-9]+"),"")</f>
        <v>$F$250</v>
      </c>
      <c r="G248" t="e" cm="1">
        <f t="array" aca="1" ref="G248" ca="1">IF('Raw Data'!#REF!="",_xlfn.REGEXEXTRACT(CELL("address",'Raw Data'!#REF!),"\$([A-Z]+)\$[0-9]+"),"")</f>
        <v>#REF!</v>
      </c>
      <c r="H248" t="str" cm="1">
        <f t="array" aca="1" ref="H248" ca="1">IF('Raw Data'!G250="",_xlfn.REGEXEXTRACT(CELL("address",'Raw Data'!G250),"\$([A-Z]+)\$[0-9]+"),"")</f>
        <v>$G$250</v>
      </c>
      <c r="I248" t="str" cm="1">
        <f t="array" aca="1" ref="I248" ca="1">IF('Raw Data'!H250="",_xlfn.REGEXEXTRACT(CELL("address",'Raw Data'!H250),"\$([A-Z]+)\$[0-9]+"),"")</f>
        <v>$H$250</v>
      </c>
    </row>
    <row r="249" spans="2:9" x14ac:dyDescent="0.25">
      <c r="B249" t="str" cm="1">
        <f t="array" aca="1" ref="B249" ca="1">IF('Raw Data'!B251="",_xlfn.REGEXEXTRACT(CELL("address",'Raw Data'!B251),"\$([A-Z]+)\$[0-9]+"),"")</f>
        <v>$B$251</v>
      </c>
      <c r="C249" t="str" cm="1">
        <f t="array" aca="1" ref="C249" ca="1">IF('Raw Data'!C251="",_xlfn.REGEXEXTRACT(CELL("address",'Raw Data'!C251),"\$([A-Z]+)\$[0-9]+"),"")</f>
        <v>$C$251</v>
      </c>
      <c r="D249" t="str" cm="1">
        <f t="array" aca="1" ref="D249" ca="1">IF('Raw Data'!D251="",_xlfn.REGEXEXTRACT(CELL("address",'Raw Data'!D251),"\$([A-Z]+)\$[0-9]+"),"")</f>
        <v>$D$251</v>
      </c>
      <c r="E249" t="str" cm="1">
        <f t="array" aca="1" ref="E249" ca="1">IF('Raw Data'!E251="",_xlfn.REGEXEXTRACT(CELL("address",'Raw Data'!E251),"\$([A-Z]+)\$[0-9]+"),"")</f>
        <v>$E$251</v>
      </c>
      <c r="F249" t="str" cm="1">
        <f t="array" aca="1" ref="F249" ca="1">IF('Raw Data'!F251="",_xlfn.REGEXEXTRACT(CELL("address",'Raw Data'!F251),"\$([A-Z]+)\$[0-9]+"),"")</f>
        <v>$F$251</v>
      </c>
      <c r="G249" t="e" cm="1">
        <f t="array" aca="1" ref="G249" ca="1">IF('Raw Data'!#REF!="",_xlfn.REGEXEXTRACT(CELL("address",'Raw Data'!#REF!),"\$([A-Z]+)\$[0-9]+"),"")</f>
        <v>#REF!</v>
      </c>
      <c r="H249" t="str" cm="1">
        <f t="array" aca="1" ref="H249" ca="1">IF('Raw Data'!G251="",_xlfn.REGEXEXTRACT(CELL("address",'Raw Data'!G251),"\$([A-Z]+)\$[0-9]+"),"")</f>
        <v>$G$251</v>
      </c>
      <c r="I249" t="str" cm="1">
        <f t="array" aca="1" ref="I249" ca="1">IF('Raw Data'!H251="",_xlfn.REGEXEXTRACT(CELL("address",'Raw Data'!H251),"\$([A-Z]+)\$[0-9]+"),"")</f>
        <v>$H$251</v>
      </c>
    </row>
    <row r="250" spans="2:9" x14ac:dyDescent="0.25">
      <c r="B250" t="str" cm="1">
        <f t="array" aca="1" ref="B250" ca="1">IF('Raw Data'!B252="",_xlfn.REGEXEXTRACT(CELL("address",'Raw Data'!B252),"\$([A-Z]+)\$[0-9]+"),"")</f>
        <v>$B$252</v>
      </c>
      <c r="C250" t="str" cm="1">
        <f t="array" aca="1" ref="C250" ca="1">IF('Raw Data'!C252="",_xlfn.REGEXEXTRACT(CELL("address",'Raw Data'!C252),"\$([A-Z]+)\$[0-9]+"),"")</f>
        <v>$C$252</v>
      </c>
      <c r="D250" t="str" cm="1">
        <f t="array" aca="1" ref="D250" ca="1">IF('Raw Data'!D252="",_xlfn.REGEXEXTRACT(CELL("address",'Raw Data'!D252),"\$([A-Z]+)\$[0-9]+"),"")</f>
        <v>$D$252</v>
      </c>
      <c r="E250" t="str" cm="1">
        <f t="array" aca="1" ref="E250" ca="1">IF('Raw Data'!E252="",_xlfn.REGEXEXTRACT(CELL("address",'Raw Data'!E252),"\$([A-Z]+)\$[0-9]+"),"")</f>
        <v>$E$252</v>
      </c>
      <c r="F250" t="str" cm="1">
        <f t="array" aca="1" ref="F250" ca="1">IF('Raw Data'!F252="",_xlfn.REGEXEXTRACT(CELL("address",'Raw Data'!F252),"\$([A-Z]+)\$[0-9]+"),"")</f>
        <v>$F$252</v>
      </c>
      <c r="G250" t="e" cm="1">
        <f t="array" aca="1" ref="G250" ca="1">IF('Raw Data'!#REF!="",_xlfn.REGEXEXTRACT(CELL("address",'Raw Data'!#REF!),"\$([A-Z]+)\$[0-9]+"),"")</f>
        <v>#REF!</v>
      </c>
      <c r="H250" t="str" cm="1">
        <f t="array" aca="1" ref="H250" ca="1">IF('Raw Data'!G252="",_xlfn.REGEXEXTRACT(CELL("address",'Raw Data'!G252),"\$([A-Z]+)\$[0-9]+"),"")</f>
        <v>$G$252</v>
      </c>
      <c r="I250" t="str" cm="1">
        <f t="array" aca="1" ref="I250" ca="1">IF('Raw Data'!H252="",_xlfn.REGEXEXTRACT(CELL("address",'Raw Data'!H252),"\$([A-Z]+)\$[0-9]+"),"")</f>
        <v>$H$252</v>
      </c>
    </row>
    <row r="251" spans="2:9" x14ac:dyDescent="0.25">
      <c r="B251" t="str" cm="1">
        <f t="array" aca="1" ref="B251" ca="1">IF('Raw Data'!B253="",_xlfn.REGEXEXTRACT(CELL("address",'Raw Data'!B253),"\$([A-Z]+)\$[0-9]+"),"")</f>
        <v>$B$253</v>
      </c>
      <c r="C251" t="str" cm="1">
        <f t="array" aca="1" ref="C251" ca="1">IF('Raw Data'!C253="",_xlfn.REGEXEXTRACT(CELL("address",'Raw Data'!C253),"\$([A-Z]+)\$[0-9]+"),"")</f>
        <v>$C$253</v>
      </c>
      <c r="D251" t="str" cm="1">
        <f t="array" aca="1" ref="D251" ca="1">IF('Raw Data'!D253="",_xlfn.REGEXEXTRACT(CELL("address",'Raw Data'!D253),"\$([A-Z]+)\$[0-9]+"),"")</f>
        <v>$D$253</v>
      </c>
      <c r="E251" t="str" cm="1">
        <f t="array" aca="1" ref="E251" ca="1">IF('Raw Data'!E253="",_xlfn.REGEXEXTRACT(CELL("address",'Raw Data'!E253),"\$([A-Z]+)\$[0-9]+"),"")</f>
        <v>$E$253</v>
      </c>
      <c r="F251" t="str" cm="1">
        <f t="array" aca="1" ref="F251" ca="1">IF('Raw Data'!F253="",_xlfn.REGEXEXTRACT(CELL("address",'Raw Data'!F253),"\$([A-Z]+)\$[0-9]+"),"")</f>
        <v>$F$253</v>
      </c>
      <c r="G251" t="e" cm="1">
        <f t="array" aca="1" ref="G251" ca="1">IF('Raw Data'!#REF!="",_xlfn.REGEXEXTRACT(CELL("address",'Raw Data'!#REF!),"\$([A-Z]+)\$[0-9]+"),"")</f>
        <v>#REF!</v>
      </c>
      <c r="H251" t="str" cm="1">
        <f t="array" aca="1" ref="H251" ca="1">IF('Raw Data'!G253="",_xlfn.REGEXEXTRACT(CELL("address",'Raw Data'!G253),"\$([A-Z]+)\$[0-9]+"),"")</f>
        <v>$G$253</v>
      </c>
      <c r="I251" t="str" cm="1">
        <f t="array" aca="1" ref="I251" ca="1">IF('Raw Data'!H253="",_xlfn.REGEXEXTRACT(CELL("address",'Raw Data'!H253),"\$([A-Z]+)\$[0-9]+"),"")</f>
        <v>$H$253</v>
      </c>
    </row>
    <row r="252" spans="2:9" x14ac:dyDescent="0.25">
      <c r="B252" t="str" cm="1">
        <f t="array" aca="1" ref="B252" ca="1">IF('Raw Data'!B254="",_xlfn.REGEXEXTRACT(CELL("address",'Raw Data'!B254),"\$([A-Z]+)\$[0-9]+"),"")</f>
        <v>$B$254</v>
      </c>
      <c r="C252" t="str" cm="1">
        <f t="array" aca="1" ref="C252" ca="1">IF('Raw Data'!C254="",_xlfn.REGEXEXTRACT(CELL("address",'Raw Data'!C254),"\$([A-Z]+)\$[0-9]+"),"")</f>
        <v>$C$254</v>
      </c>
      <c r="D252" t="str" cm="1">
        <f t="array" aca="1" ref="D252" ca="1">IF('Raw Data'!D254="",_xlfn.REGEXEXTRACT(CELL("address",'Raw Data'!D254),"\$([A-Z]+)\$[0-9]+"),"")</f>
        <v>$D$254</v>
      </c>
      <c r="E252" t="str" cm="1">
        <f t="array" aca="1" ref="E252" ca="1">IF('Raw Data'!E254="",_xlfn.REGEXEXTRACT(CELL("address",'Raw Data'!E254),"\$([A-Z]+)\$[0-9]+"),"")</f>
        <v>$E$254</v>
      </c>
      <c r="F252" t="str" cm="1">
        <f t="array" aca="1" ref="F252" ca="1">IF('Raw Data'!F254="",_xlfn.REGEXEXTRACT(CELL("address",'Raw Data'!F254),"\$([A-Z]+)\$[0-9]+"),"")</f>
        <v>$F$254</v>
      </c>
      <c r="G252" t="e" cm="1">
        <f t="array" aca="1" ref="G252" ca="1">IF('Raw Data'!#REF!="",_xlfn.REGEXEXTRACT(CELL("address",'Raw Data'!#REF!),"\$([A-Z]+)\$[0-9]+"),"")</f>
        <v>#REF!</v>
      </c>
      <c r="H252" t="str" cm="1">
        <f t="array" aca="1" ref="H252" ca="1">IF('Raw Data'!G254="",_xlfn.REGEXEXTRACT(CELL("address",'Raw Data'!G254),"\$([A-Z]+)\$[0-9]+"),"")</f>
        <v>$G$254</v>
      </c>
      <c r="I252" t="str" cm="1">
        <f t="array" aca="1" ref="I252" ca="1">IF('Raw Data'!H254="",_xlfn.REGEXEXTRACT(CELL("address",'Raw Data'!H254),"\$([A-Z]+)\$[0-9]+"),"")</f>
        <v>$H$254</v>
      </c>
    </row>
    <row r="253" spans="2:9" x14ac:dyDescent="0.25">
      <c r="B253" t="str" cm="1">
        <f t="array" aca="1" ref="B253" ca="1">IF('Raw Data'!B255="",_xlfn.REGEXEXTRACT(CELL("address",'Raw Data'!B255),"\$([A-Z]+)\$[0-9]+"),"")</f>
        <v>$B$255</v>
      </c>
      <c r="C253" t="str" cm="1">
        <f t="array" aca="1" ref="C253" ca="1">IF('Raw Data'!C255="",_xlfn.REGEXEXTRACT(CELL("address",'Raw Data'!C255),"\$([A-Z]+)\$[0-9]+"),"")</f>
        <v>$C$255</v>
      </c>
      <c r="D253" t="str" cm="1">
        <f t="array" aca="1" ref="D253" ca="1">IF('Raw Data'!D255="",_xlfn.REGEXEXTRACT(CELL("address",'Raw Data'!D255),"\$([A-Z]+)\$[0-9]+"),"")</f>
        <v>$D$255</v>
      </c>
      <c r="E253" t="str" cm="1">
        <f t="array" aca="1" ref="E253" ca="1">IF('Raw Data'!E255="",_xlfn.REGEXEXTRACT(CELL("address",'Raw Data'!E255),"\$([A-Z]+)\$[0-9]+"),"")</f>
        <v>$E$255</v>
      </c>
      <c r="F253" t="str" cm="1">
        <f t="array" aca="1" ref="F253" ca="1">IF('Raw Data'!F255="",_xlfn.REGEXEXTRACT(CELL("address",'Raw Data'!F255),"\$([A-Z]+)\$[0-9]+"),"")</f>
        <v>$F$255</v>
      </c>
      <c r="G253" t="e" cm="1">
        <f t="array" aca="1" ref="G253" ca="1">IF('Raw Data'!#REF!="",_xlfn.REGEXEXTRACT(CELL("address",'Raw Data'!#REF!),"\$([A-Z]+)\$[0-9]+"),"")</f>
        <v>#REF!</v>
      </c>
      <c r="H253" t="str" cm="1">
        <f t="array" aca="1" ref="H253" ca="1">IF('Raw Data'!G255="",_xlfn.REGEXEXTRACT(CELL("address",'Raw Data'!G255),"\$([A-Z]+)\$[0-9]+"),"")</f>
        <v>$G$255</v>
      </c>
      <c r="I253" t="str" cm="1">
        <f t="array" aca="1" ref="I253" ca="1">IF('Raw Data'!H255="",_xlfn.REGEXEXTRACT(CELL("address",'Raw Data'!H255),"\$([A-Z]+)\$[0-9]+"),"")</f>
        <v>$H$255</v>
      </c>
    </row>
    <row r="254" spans="2:9" x14ac:dyDescent="0.25">
      <c r="B254" t="str" cm="1">
        <f t="array" aca="1" ref="B254" ca="1">IF('Raw Data'!B256="",_xlfn.REGEXEXTRACT(CELL("address",'Raw Data'!B256),"\$([A-Z]+)\$[0-9]+"),"")</f>
        <v>$B$256</v>
      </c>
      <c r="C254" t="str" cm="1">
        <f t="array" aca="1" ref="C254" ca="1">IF('Raw Data'!C256="",_xlfn.REGEXEXTRACT(CELL("address",'Raw Data'!C256),"\$([A-Z]+)\$[0-9]+"),"")</f>
        <v>$C$256</v>
      </c>
      <c r="D254" t="str" cm="1">
        <f t="array" aca="1" ref="D254" ca="1">IF('Raw Data'!D256="",_xlfn.REGEXEXTRACT(CELL("address",'Raw Data'!D256),"\$([A-Z]+)\$[0-9]+"),"")</f>
        <v>$D$256</v>
      </c>
      <c r="E254" t="str" cm="1">
        <f t="array" aca="1" ref="E254" ca="1">IF('Raw Data'!E256="",_xlfn.REGEXEXTRACT(CELL("address",'Raw Data'!E256),"\$([A-Z]+)\$[0-9]+"),"")</f>
        <v>$E$256</v>
      </c>
      <c r="F254" t="str" cm="1">
        <f t="array" aca="1" ref="F254" ca="1">IF('Raw Data'!F256="",_xlfn.REGEXEXTRACT(CELL("address",'Raw Data'!F256),"\$([A-Z]+)\$[0-9]+"),"")</f>
        <v>$F$256</v>
      </c>
      <c r="G254" t="e" cm="1">
        <f t="array" aca="1" ref="G254" ca="1">IF('Raw Data'!#REF!="",_xlfn.REGEXEXTRACT(CELL("address",'Raw Data'!#REF!),"\$([A-Z]+)\$[0-9]+"),"")</f>
        <v>#REF!</v>
      </c>
      <c r="H254" t="str" cm="1">
        <f t="array" aca="1" ref="H254" ca="1">IF('Raw Data'!G256="",_xlfn.REGEXEXTRACT(CELL("address",'Raw Data'!G256),"\$([A-Z]+)\$[0-9]+"),"")</f>
        <v>$G$256</v>
      </c>
      <c r="I254" t="str" cm="1">
        <f t="array" aca="1" ref="I254" ca="1">IF('Raw Data'!H256="",_xlfn.REGEXEXTRACT(CELL("address",'Raw Data'!H256),"\$([A-Z]+)\$[0-9]+"),"")</f>
        <v>$H$256</v>
      </c>
    </row>
    <row r="255" spans="2:9" x14ac:dyDescent="0.25">
      <c r="B255" t="str" cm="1">
        <f t="array" aca="1" ref="B255" ca="1">IF('Raw Data'!B257="",_xlfn.REGEXEXTRACT(CELL("address",'Raw Data'!B257),"\$([A-Z]+)\$[0-9]+"),"")</f>
        <v>$B$257</v>
      </c>
      <c r="C255" t="str" cm="1">
        <f t="array" aca="1" ref="C255" ca="1">IF('Raw Data'!C257="",_xlfn.REGEXEXTRACT(CELL("address",'Raw Data'!C257),"\$([A-Z]+)\$[0-9]+"),"")</f>
        <v>$C$257</v>
      </c>
      <c r="D255" t="str" cm="1">
        <f t="array" aca="1" ref="D255" ca="1">IF('Raw Data'!D257="",_xlfn.REGEXEXTRACT(CELL("address",'Raw Data'!D257),"\$([A-Z]+)\$[0-9]+"),"")</f>
        <v>$D$257</v>
      </c>
      <c r="E255" t="str" cm="1">
        <f t="array" aca="1" ref="E255" ca="1">IF('Raw Data'!E257="",_xlfn.REGEXEXTRACT(CELL("address",'Raw Data'!E257),"\$([A-Z]+)\$[0-9]+"),"")</f>
        <v>$E$257</v>
      </c>
      <c r="F255" t="str" cm="1">
        <f t="array" aca="1" ref="F255" ca="1">IF('Raw Data'!F257="",_xlfn.REGEXEXTRACT(CELL("address",'Raw Data'!F257),"\$([A-Z]+)\$[0-9]+"),"")</f>
        <v>$F$257</v>
      </c>
      <c r="G255" t="e" cm="1">
        <f t="array" aca="1" ref="G255" ca="1">IF('Raw Data'!#REF!="",_xlfn.REGEXEXTRACT(CELL("address",'Raw Data'!#REF!),"\$([A-Z]+)\$[0-9]+"),"")</f>
        <v>#REF!</v>
      </c>
      <c r="H255" t="str" cm="1">
        <f t="array" aca="1" ref="H255" ca="1">IF('Raw Data'!G257="",_xlfn.REGEXEXTRACT(CELL("address",'Raw Data'!G257),"\$([A-Z]+)\$[0-9]+"),"")</f>
        <v>$G$257</v>
      </c>
      <c r="I255" t="str" cm="1">
        <f t="array" aca="1" ref="I255" ca="1">IF('Raw Data'!H257="",_xlfn.REGEXEXTRACT(CELL("address",'Raw Data'!H257),"\$([A-Z]+)\$[0-9]+"),"")</f>
        <v>$H$257</v>
      </c>
    </row>
    <row r="256" spans="2:9" x14ac:dyDescent="0.25">
      <c r="B256" t="str" cm="1">
        <f t="array" aca="1" ref="B256" ca="1">IF('Raw Data'!B258="",_xlfn.REGEXEXTRACT(CELL("address",'Raw Data'!B258),"\$([A-Z]+)\$[0-9]+"),"")</f>
        <v>$B$258</v>
      </c>
      <c r="C256" t="str" cm="1">
        <f t="array" aca="1" ref="C256" ca="1">IF('Raw Data'!C258="",_xlfn.REGEXEXTRACT(CELL("address",'Raw Data'!C258),"\$([A-Z]+)\$[0-9]+"),"")</f>
        <v>$C$258</v>
      </c>
      <c r="D256" t="str" cm="1">
        <f t="array" aca="1" ref="D256" ca="1">IF('Raw Data'!D258="",_xlfn.REGEXEXTRACT(CELL("address",'Raw Data'!D258),"\$([A-Z]+)\$[0-9]+"),"")</f>
        <v>$D$258</v>
      </c>
      <c r="E256" t="str" cm="1">
        <f t="array" aca="1" ref="E256" ca="1">IF('Raw Data'!E258="",_xlfn.REGEXEXTRACT(CELL("address",'Raw Data'!E258),"\$([A-Z]+)\$[0-9]+"),"")</f>
        <v>$E$258</v>
      </c>
      <c r="F256" t="str" cm="1">
        <f t="array" aca="1" ref="F256" ca="1">IF('Raw Data'!F258="",_xlfn.REGEXEXTRACT(CELL("address",'Raw Data'!F258),"\$([A-Z]+)\$[0-9]+"),"")</f>
        <v>$F$258</v>
      </c>
      <c r="G256" t="e" cm="1">
        <f t="array" aca="1" ref="G256" ca="1">IF('Raw Data'!#REF!="",_xlfn.REGEXEXTRACT(CELL("address",'Raw Data'!#REF!),"\$([A-Z]+)\$[0-9]+"),"")</f>
        <v>#REF!</v>
      </c>
      <c r="H256" t="str" cm="1">
        <f t="array" aca="1" ref="H256" ca="1">IF('Raw Data'!G258="",_xlfn.REGEXEXTRACT(CELL("address",'Raw Data'!G258),"\$([A-Z]+)\$[0-9]+"),"")</f>
        <v>$G$258</v>
      </c>
      <c r="I256" t="str" cm="1">
        <f t="array" aca="1" ref="I256" ca="1">IF('Raw Data'!H258="",_xlfn.REGEXEXTRACT(CELL("address",'Raw Data'!H258),"\$([A-Z]+)\$[0-9]+"),"")</f>
        <v>$H$258</v>
      </c>
    </row>
    <row r="257" spans="2:9" x14ac:dyDescent="0.25">
      <c r="B257" t="str" cm="1">
        <f t="array" aca="1" ref="B257" ca="1">IF('Raw Data'!B259="",_xlfn.REGEXEXTRACT(CELL("address",'Raw Data'!B259),"\$([A-Z]+)\$[0-9]+"),"")</f>
        <v>$B$259</v>
      </c>
      <c r="C257" t="str" cm="1">
        <f t="array" aca="1" ref="C257" ca="1">IF('Raw Data'!C259="",_xlfn.REGEXEXTRACT(CELL("address",'Raw Data'!C259),"\$([A-Z]+)\$[0-9]+"),"")</f>
        <v>$C$259</v>
      </c>
      <c r="D257" t="str" cm="1">
        <f t="array" aca="1" ref="D257" ca="1">IF('Raw Data'!D259="",_xlfn.REGEXEXTRACT(CELL("address",'Raw Data'!D259),"\$([A-Z]+)\$[0-9]+"),"")</f>
        <v>$D$259</v>
      </c>
      <c r="E257" t="str" cm="1">
        <f t="array" aca="1" ref="E257" ca="1">IF('Raw Data'!E259="",_xlfn.REGEXEXTRACT(CELL("address",'Raw Data'!E259),"\$([A-Z]+)\$[0-9]+"),"")</f>
        <v>$E$259</v>
      </c>
      <c r="F257" t="str" cm="1">
        <f t="array" aca="1" ref="F257" ca="1">IF('Raw Data'!F259="",_xlfn.REGEXEXTRACT(CELL("address",'Raw Data'!F259),"\$([A-Z]+)\$[0-9]+"),"")</f>
        <v>$F$259</v>
      </c>
      <c r="G257" t="e" cm="1">
        <f t="array" aca="1" ref="G257" ca="1">IF('Raw Data'!#REF!="",_xlfn.REGEXEXTRACT(CELL("address",'Raw Data'!#REF!),"\$([A-Z]+)\$[0-9]+"),"")</f>
        <v>#REF!</v>
      </c>
      <c r="H257" t="str" cm="1">
        <f t="array" aca="1" ref="H257" ca="1">IF('Raw Data'!G259="",_xlfn.REGEXEXTRACT(CELL("address",'Raw Data'!G259),"\$([A-Z]+)\$[0-9]+"),"")</f>
        <v>$G$259</v>
      </c>
      <c r="I257" t="str" cm="1">
        <f t="array" aca="1" ref="I257" ca="1">IF('Raw Data'!H259="",_xlfn.REGEXEXTRACT(CELL("address",'Raw Data'!H259),"\$([A-Z]+)\$[0-9]+"),"")</f>
        <v>$H$259</v>
      </c>
    </row>
    <row r="258" spans="2:9" x14ac:dyDescent="0.25">
      <c r="B258" t="str" cm="1">
        <f t="array" aca="1" ref="B258" ca="1">IF('Raw Data'!B260="",_xlfn.REGEXEXTRACT(CELL("address",'Raw Data'!B260),"\$([A-Z]+)\$[0-9]+"),"")</f>
        <v>$B$260</v>
      </c>
      <c r="C258" t="str" cm="1">
        <f t="array" aca="1" ref="C258" ca="1">IF('Raw Data'!C260="",_xlfn.REGEXEXTRACT(CELL("address",'Raw Data'!C260),"\$([A-Z]+)\$[0-9]+"),"")</f>
        <v>$C$260</v>
      </c>
      <c r="D258" t="str" cm="1">
        <f t="array" aca="1" ref="D258" ca="1">IF('Raw Data'!D260="",_xlfn.REGEXEXTRACT(CELL("address",'Raw Data'!D260),"\$([A-Z]+)\$[0-9]+"),"")</f>
        <v>$D$260</v>
      </c>
      <c r="E258" t="str" cm="1">
        <f t="array" aca="1" ref="E258" ca="1">IF('Raw Data'!E260="",_xlfn.REGEXEXTRACT(CELL("address",'Raw Data'!E260),"\$([A-Z]+)\$[0-9]+"),"")</f>
        <v>$E$260</v>
      </c>
      <c r="F258" t="str" cm="1">
        <f t="array" aca="1" ref="F258" ca="1">IF('Raw Data'!F260="",_xlfn.REGEXEXTRACT(CELL("address",'Raw Data'!F260),"\$([A-Z]+)\$[0-9]+"),"")</f>
        <v>$F$260</v>
      </c>
      <c r="G258" t="e" cm="1">
        <f t="array" aca="1" ref="G258" ca="1">IF('Raw Data'!#REF!="",_xlfn.REGEXEXTRACT(CELL("address",'Raw Data'!#REF!),"\$([A-Z]+)\$[0-9]+"),"")</f>
        <v>#REF!</v>
      </c>
      <c r="H258" t="str" cm="1">
        <f t="array" aca="1" ref="H258" ca="1">IF('Raw Data'!G260="",_xlfn.REGEXEXTRACT(CELL("address",'Raw Data'!G260),"\$([A-Z]+)\$[0-9]+"),"")</f>
        <v>$G$260</v>
      </c>
      <c r="I258" t="str" cm="1">
        <f t="array" aca="1" ref="I258" ca="1">IF('Raw Data'!H260="",_xlfn.REGEXEXTRACT(CELL("address",'Raw Data'!H260),"\$([A-Z]+)\$[0-9]+"),"")</f>
        <v>$H$260</v>
      </c>
    </row>
    <row r="259" spans="2:9" x14ac:dyDescent="0.25">
      <c r="B259" t="str" cm="1">
        <f t="array" aca="1" ref="B259" ca="1">IF('Raw Data'!B261="",_xlfn.REGEXEXTRACT(CELL("address",'Raw Data'!B261),"\$([A-Z]+)\$[0-9]+"),"")</f>
        <v>$B$261</v>
      </c>
      <c r="C259" t="str" cm="1">
        <f t="array" aca="1" ref="C259" ca="1">IF('Raw Data'!C261="",_xlfn.REGEXEXTRACT(CELL("address",'Raw Data'!C261),"\$([A-Z]+)\$[0-9]+"),"")</f>
        <v>$C$261</v>
      </c>
      <c r="D259" t="str" cm="1">
        <f t="array" aca="1" ref="D259" ca="1">IF('Raw Data'!D261="",_xlfn.REGEXEXTRACT(CELL("address",'Raw Data'!D261),"\$([A-Z]+)\$[0-9]+"),"")</f>
        <v>$D$261</v>
      </c>
      <c r="E259" t="str" cm="1">
        <f t="array" aca="1" ref="E259" ca="1">IF('Raw Data'!E261="",_xlfn.REGEXEXTRACT(CELL("address",'Raw Data'!E261),"\$([A-Z]+)\$[0-9]+"),"")</f>
        <v>$E$261</v>
      </c>
      <c r="F259" t="str" cm="1">
        <f t="array" aca="1" ref="F259" ca="1">IF('Raw Data'!F261="",_xlfn.REGEXEXTRACT(CELL("address",'Raw Data'!F261),"\$([A-Z]+)\$[0-9]+"),"")</f>
        <v>$F$261</v>
      </c>
      <c r="G259" t="e" cm="1">
        <f t="array" aca="1" ref="G259" ca="1">IF('Raw Data'!#REF!="",_xlfn.REGEXEXTRACT(CELL("address",'Raw Data'!#REF!),"\$([A-Z]+)\$[0-9]+"),"")</f>
        <v>#REF!</v>
      </c>
      <c r="H259" t="str" cm="1">
        <f t="array" aca="1" ref="H259" ca="1">IF('Raw Data'!G261="",_xlfn.REGEXEXTRACT(CELL("address",'Raw Data'!G261),"\$([A-Z]+)\$[0-9]+"),"")</f>
        <v>$G$261</v>
      </c>
      <c r="I259" t="str" cm="1">
        <f t="array" aca="1" ref="I259" ca="1">IF('Raw Data'!H261="",_xlfn.REGEXEXTRACT(CELL("address",'Raw Data'!H261),"\$([A-Z]+)\$[0-9]+"),"")</f>
        <v>$H$261</v>
      </c>
    </row>
    <row r="260" spans="2:9" x14ac:dyDescent="0.25">
      <c r="B260" t="str" cm="1">
        <f t="array" aca="1" ref="B260" ca="1">IF('Raw Data'!B262="",_xlfn.REGEXEXTRACT(CELL("address",'Raw Data'!B262),"\$([A-Z]+)\$[0-9]+"),"")</f>
        <v>$B$262</v>
      </c>
      <c r="C260" t="str" cm="1">
        <f t="array" aca="1" ref="C260" ca="1">IF('Raw Data'!C262="",_xlfn.REGEXEXTRACT(CELL("address",'Raw Data'!C262),"\$([A-Z]+)\$[0-9]+"),"")</f>
        <v>$C$262</v>
      </c>
      <c r="D260" t="str" cm="1">
        <f t="array" aca="1" ref="D260" ca="1">IF('Raw Data'!D262="",_xlfn.REGEXEXTRACT(CELL("address",'Raw Data'!D262),"\$([A-Z]+)\$[0-9]+"),"")</f>
        <v>$D$262</v>
      </c>
      <c r="E260" t="str" cm="1">
        <f t="array" aca="1" ref="E260" ca="1">IF('Raw Data'!E262="",_xlfn.REGEXEXTRACT(CELL("address",'Raw Data'!E262),"\$([A-Z]+)\$[0-9]+"),"")</f>
        <v>$E$262</v>
      </c>
      <c r="F260" t="str" cm="1">
        <f t="array" aca="1" ref="F260" ca="1">IF('Raw Data'!F262="",_xlfn.REGEXEXTRACT(CELL("address",'Raw Data'!F262),"\$([A-Z]+)\$[0-9]+"),"")</f>
        <v>$F$262</v>
      </c>
      <c r="G260" t="e" cm="1">
        <f t="array" aca="1" ref="G260" ca="1">IF('Raw Data'!#REF!="",_xlfn.REGEXEXTRACT(CELL("address",'Raw Data'!#REF!),"\$([A-Z]+)\$[0-9]+"),"")</f>
        <v>#REF!</v>
      </c>
      <c r="H260" t="str" cm="1">
        <f t="array" aca="1" ref="H260" ca="1">IF('Raw Data'!G262="",_xlfn.REGEXEXTRACT(CELL("address",'Raw Data'!G262),"\$([A-Z]+)\$[0-9]+"),"")</f>
        <v>$G$262</v>
      </c>
      <c r="I260" t="str" cm="1">
        <f t="array" aca="1" ref="I260" ca="1">IF('Raw Data'!H262="",_xlfn.REGEXEXTRACT(CELL("address",'Raw Data'!H262),"\$([A-Z]+)\$[0-9]+"),"")</f>
        <v>$H$262</v>
      </c>
    </row>
    <row r="261" spans="2:9" x14ac:dyDescent="0.25">
      <c r="B261" t="str" cm="1">
        <f t="array" aca="1" ref="B261" ca="1">IF('Raw Data'!B263="",_xlfn.REGEXEXTRACT(CELL("address",'Raw Data'!B263),"\$([A-Z]+)\$[0-9]+"),"")</f>
        <v>$B$263</v>
      </c>
      <c r="C261" t="str" cm="1">
        <f t="array" aca="1" ref="C261" ca="1">IF('Raw Data'!C263="",_xlfn.REGEXEXTRACT(CELL("address",'Raw Data'!C263),"\$([A-Z]+)\$[0-9]+"),"")</f>
        <v>$C$263</v>
      </c>
      <c r="D261" t="str" cm="1">
        <f t="array" aca="1" ref="D261" ca="1">IF('Raw Data'!D263="",_xlfn.REGEXEXTRACT(CELL("address",'Raw Data'!D263),"\$([A-Z]+)\$[0-9]+"),"")</f>
        <v>$D$263</v>
      </c>
      <c r="E261" t="str" cm="1">
        <f t="array" aca="1" ref="E261" ca="1">IF('Raw Data'!E263="",_xlfn.REGEXEXTRACT(CELL("address",'Raw Data'!E263),"\$([A-Z]+)\$[0-9]+"),"")</f>
        <v>$E$263</v>
      </c>
      <c r="F261" t="str" cm="1">
        <f t="array" aca="1" ref="F261" ca="1">IF('Raw Data'!F263="",_xlfn.REGEXEXTRACT(CELL("address",'Raw Data'!F263),"\$([A-Z]+)\$[0-9]+"),"")</f>
        <v>$F$263</v>
      </c>
      <c r="G261" t="e" cm="1">
        <f t="array" aca="1" ref="G261" ca="1">IF('Raw Data'!#REF!="",_xlfn.REGEXEXTRACT(CELL("address",'Raw Data'!#REF!),"\$([A-Z]+)\$[0-9]+"),"")</f>
        <v>#REF!</v>
      </c>
      <c r="H261" t="str" cm="1">
        <f t="array" aca="1" ref="H261" ca="1">IF('Raw Data'!G263="",_xlfn.REGEXEXTRACT(CELL("address",'Raw Data'!G263),"\$([A-Z]+)\$[0-9]+"),"")</f>
        <v>$G$263</v>
      </c>
      <c r="I261" t="str" cm="1">
        <f t="array" aca="1" ref="I261" ca="1">IF('Raw Data'!H263="",_xlfn.REGEXEXTRACT(CELL("address",'Raw Data'!H263),"\$([A-Z]+)\$[0-9]+"),"")</f>
        <v>$H$263</v>
      </c>
    </row>
    <row r="262" spans="2:9" x14ac:dyDescent="0.25">
      <c r="B262" t="str" cm="1">
        <f t="array" aca="1" ref="B262" ca="1">IF('Raw Data'!B264="",_xlfn.REGEXEXTRACT(CELL("address",'Raw Data'!B264),"\$([A-Z]+)\$[0-9]+"),"")</f>
        <v>$B$264</v>
      </c>
      <c r="C262" t="str" cm="1">
        <f t="array" aca="1" ref="C262" ca="1">IF('Raw Data'!C264="",_xlfn.REGEXEXTRACT(CELL("address",'Raw Data'!C264),"\$([A-Z]+)\$[0-9]+"),"")</f>
        <v>$C$264</v>
      </c>
      <c r="D262" t="str" cm="1">
        <f t="array" aca="1" ref="D262" ca="1">IF('Raw Data'!D264="",_xlfn.REGEXEXTRACT(CELL("address",'Raw Data'!D264),"\$([A-Z]+)\$[0-9]+"),"")</f>
        <v>$D$264</v>
      </c>
      <c r="E262" t="str" cm="1">
        <f t="array" aca="1" ref="E262" ca="1">IF('Raw Data'!E264="",_xlfn.REGEXEXTRACT(CELL("address",'Raw Data'!E264),"\$([A-Z]+)\$[0-9]+"),"")</f>
        <v>$E$264</v>
      </c>
      <c r="F262" t="str" cm="1">
        <f t="array" aca="1" ref="F262" ca="1">IF('Raw Data'!F264="",_xlfn.REGEXEXTRACT(CELL("address",'Raw Data'!F264),"\$([A-Z]+)\$[0-9]+"),"")</f>
        <v>$F$264</v>
      </c>
      <c r="G262" t="e" cm="1">
        <f t="array" aca="1" ref="G262" ca="1">IF('Raw Data'!#REF!="",_xlfn.REGEXEXTRACT(CELL("address",'Raw Data'!#REF!),"\$([A-Z]+)\$[0-9]+"),"")</f>
        <v>#REF!</v>
      </c>
      <c r="H262" t="str" cm="1">
        <f t="array" aca="1" ref="H262" ca="1">IF('Raw Data'!G264="",_xlfn.REGEXEXTRACT(CELL("address",'Raw Data'!G264),"\$([A-Z]+)\$[0-9]+"),"")</f>
        <v>$G$264</v>
      </c>
      <c r="I262" t="str" cm="1">
        <f t="array" aca="1" ref="I262" ca="1">IF('Raw Data'!H264="",_xlfn.REGEXEXTRACT(CELL("address",'Raw Data'!H264),"\$([A-Z]+)\$[0-9]+"),"")</f>
        <v>$H$264</v>
      </c>
    </row>
    <row r="263" spans="2:9" x14ac:dyDescent="0.25">
      <c r="B263" t="str" cm="1">
        <f t="array" aca="1" ref="B263" ca="1">IF('Raw Data'!B265="",_xlfn.REGEXEXTRACT(CELL("address",'Raw Data'!B265),"\$([A-Z]+)\$[0-9]+"),"")</f>
        <v>$B$265</v>
      </c>
      <c r="C263" t="str" cm="1">
        <f t="array" aca="1" ref="C263" ca="1">IF('Raw Data'!C265="",_xlfn.REGEXEXTRACT(CELL("address",'Raw Data'!C265),"\$([A-Z]+)\$[0-9]+"),"")</f>
        <v>$C$265</v>
      </c>
      <c r="D263" t="str" cm="1">
        <f t="array" aca="1" ref="D263" ca="1">IF('Raw Data'!D265="",_xlfn.REGEXEXTRACT(CELL("address",'Raw Data'!D265),"\$([A-Z]+)\$[0-9]+"),"")</f>
        <v>$D$265</v>
      </c>
      <c r="E263" t="str" cm="1">
        <f t="array" aca="1" ref="E263" ca="1">IF('Raw Data'!E265="",_xlfn.REGEXEXTRACT(CELL("address",'Raw Data'!E265),"\$([A-Z]+)\$[0-9]+"),"")</f>
        <v>$E$265</v>
      </c>
      <c r="F263" t="str" cm="1">
        <f t="array" aca="1" ref="F263" ca="1">IF('Raw Data'!F265="",_xlfn.REGEXEXTRACT(CELL("address",'Raw Data'!F265),"\$([A-Z]+)\$[0-9]+"),"")</f>
        <v>$F$265</v>
      </c>
      <c r="G263" t="e" cm="1">
        <f t="array" aca="1" ref="G263" ca="1">IF('Raw Data'!#REF!="",_xlfn.REGEXEXTRACT(CELL("address",'Raw Data'!#REF!),"\$([A-Z]+)\$[0-9]+"),"")</f>
        <v>#REF!</v>
      </c>
      <c r="H263" t="str" cm="1">
        <f t="array" aca="1" ref="H263" ca="1">IF('Raw Data'!G265="",_xlfn.REGEXEXTRACT(CELL("address",'Raw Data'!G265),"\$([A-Z]+)\$[0-9]+"),"")</f>
        <v>$G$265</v>
      </c>
      <c r="I263" t="str" cm="1">
        <f t="array" aca="1" ref="I263" ca="1">IF('Raw Data'!H265="",_xlfn.REGEXEXTRACT(CELL("address",'Raw Data'!H265),"\$([A-Z]+)\$[0-9]+"),"")</f>
        <v>$H$265</v>
      </c>
    </row>
    <row r="264" spans="2:9" x14ac:dyDescent="0.25">
      <c r="B264" t="str" cm="1">
        <f t="array" aca="1" ref="B264" ca="1">IF('Raw Data'!B266="",_xlfn.REGEXEXTRACT(CELL("address",'Raw Data'!B266),"\$([A-Z]+)\$[0-9]+"),"")</f>
        <v>$B$266</v>
      </c>
      <c r="C264" t="str" cm="1">
        <f t="array" aca="1" ref="C264" ca="1">IF('Raw Data'!C266="",_xlfn.REGEXEXTRACT(CELL("address",'Raw Data'!C266),"\$([A-Z]+)\$[0-9]+"),"")</f>
        <v>$C$266</v>
      </c>
      <c r="D264" t="str" cm="1">
        <f t="array" aca="1" ref="D264" ca="1">IF('Raw Data'!D266="",_xlfn.REGEXEXTRACT(CELL("address",'Raw Data'!D266),"\$([A-Z]+)\$[0-9]+"),"")</f>
        <v>$D$266</v>
      </c>
      <c r="E264" t="str" cm="1">
        <f t="array" aca="1" ref="E264" ca="1">IF('Raw Data'!E266="",_xlfn.REGEXEXTRACT(CELL("address",'Raw Data'!E266),"\$([A-Z]+)\$[0-9]+"),"")</f>
        <v>$E$266</v>
      </c>
      <c r="F264" t="str" cm="1">
        <f t="array" aca="1" ref="F264" ca="1">IF('Raw Data'!F266="",_xlfn.REGEXEXTRACT(CELL("address",'Raw Data'!F266),"\$([A-Z]+)\$[0-9]+"),"")</f>
        <v>$F$266</v>
      </c>
      <c r="G264" t="e" cm="1">
        <f t="array" aca="1" ref="G264" ca="1">IF('Raw Data'!#REF!="",_xlfn.REGEXEXTRACT(CELL("address",'Raw Data'!#REF!),"\$([A-Z]+)\$[0-9]+"),"")</f>
        <v>#REF!</v>
      </c>
      <c r="H264" t="str" cm="1">
        <f t="array" aca="1" ref="H264" ca="1">IF('Raw Data'!G266="",_xlfn.REGEXEXTRACT(CELL("address",'Raw Data'!G266),"\$([A-Z]+)\$[0-9]+"),"")</f>
        <v>$G$266</v>
      </c>
      <c r="I264" t="str" cm="1">
        <f t="array" aca="1" ref="I264" ca="1">IF('Raw Data'!H266="",_xlfn.REGEXEXTRACT(CELL("address",'Raw Data'!H266),"\$([A-Z]+)\$[0-9]+"),"")</f>
        <v>$H$266</v>
      </c>
    </row>
    <row r="265" spans="2:9" x14ac:dyDescent="0.25">
      <c r="B265" t="str" cm="1">
        <f t="array" aca="1" ref="B265" ca="1">IF('Raw Data'!B267="",_xlfn.REGEXEXTRACT(CELL("address",'Raw Data'!B267),"\$([A-Z]+)\$[0-9]+"),"")</f>
        <v>$B$267</v>
      </c>
      <c r="C265" t="str" cm="1">
        <f t="array" aca="1" ref="C265" ca="1">IF('Raw Data'!C267="",_xlfn.REGEXEXTRACT(CELL("address",'Raw Data'!C267),"\$([A-Z]+)\$[0-9]+"),"")</f>
        <v>$C$267</v>
      </c>
      <c r="D265" t="str" cm="1">
        <f t="array" aca="1" ref="D265" ca="1">IF('Raw Data'!D267="",_xlfn.REGEXEXTRACT(CELL("address",'Raw Data'!D267),"\$([A-Z]+)\$[0-9]+"),"")</f>
        <v>$D$267</v>
      </c>
      <c r="E265" t="str" cm="1">
        <f t="array" aca="1" ref="E265" ca="1">IF('Raw Data'!E267="",_xlfn.REGEXEXTRACT(CELL("address",'Raw Data'!E267),"\$([A-Z]+)\$[0-9]+"),"")</f>
        <v>$E$267</v>
      </c>
      <c r="F265" t="str" cm="1">
        <f t="array" aca="1" ref="F265" ca="1">IF('Raw Data'!F267="",_xlfn.REGEXEXTRACT(CELL("address",'Raw Data'!F267),"\$([A-Z]+)\$[0-9]+"),"")</f>
        <v>$F$267</v>
      </c>
      <c r="G265" t="e" cm="1">
        <f t="array" aca="1" ref="G265" ca="1">IF('Raw Data'!#REF!="",_xlfn.REGEXEXTRACT(CELL("address",'Raw Data'!#REF!),"\$([A-Z]+)\$[0-9]+"),"")</f>
        <v>#REF!</v>
      </c>
      <c r="H265" t="str" cm="1">
        <f t="array" aca="1" ref="H265" ca="1">IF('Raw Data'!G267="",_xlfn.REGEXEXTRACT(CELL("address",'Raw Data'!G267),"\$([A-Z]+)\$[0-9]+"),"")</f>
        <v>$G$267</v>
      </c>
      <c r="I265" t="str" cm="1">
        <f t="array" aca="1" ref="I265" ca="1">IF('Raw Data'!H267="",_xlfn.REGEXEXTRACT(CELL("address",'Raw Data'!H267),"\$([A-Z]+)\$[0-9]+"),"")</f>
        <v>$H$267</v>
      </c>
    </row>
    <row r="266" spans="2:9" x14ac:dyDescent="0.25">
      <c r="B266" t="str" cm="1">
        <f t="array" aca="1" ref="B266" ca="1">IF('Raw Data'!B268="",_xlfn.REGEXEXTRACT(CELL("address",'Raw Data'!B268),"\$([A-Z]+)\$[0-9]+"),"")</f>
        <v>$B$268</v>
      </c>
      <c r="C266" t="str" cm="1">
        <f t="array" aca="1" ref="C266" ca="1">IF('Raw Data'!C268="",_xlfn.REGEXEXTRACT(CELL("address",'Raw Data'!C268),"\$([A-Z]+)\$[0-9]+"),"")</f>
        <v>$C$268</v>
      </c>
      <c r="D266" t="str" cm="1">
        <f t="array" aca="1" ref="D266" ca="1">IF('Raw Data'!D268="",_xlfn.REGEXEXTRACT(CELL("address",'Raw Data'!D268),"\$([A-Z]+)\$[0-9]+"),"")</f>
        <v>$D$268</v>
      </c>
      <c r="E266" t="str" cm="1">
        <f t="array" aca="1" ref="E266" ca="1">IF('Raw Data'!E268="",_xlfn.REGEXEXTRACT(CELL("address",'Raw Data'!E268),"\$([A-Z]+)\$[0-9]+"),"")</f>
        <v>$E$268</v>
      </c>
      <c r="F266" t="str" cm="1">
        <f t="array" aca="1" ref="F266" ca="1">IF('Raw Data'!F268="",_xlfn.REGEXEXTRACT(CELL("address",'Raw Data'!F268),"\$([A-Z]+)\$[0-9]+"),"")</f>
        <v>$F$268</v>
      </c>
      <c r="G266" t="e" cm="1">
        <f t="array" aca="1" ref="G266" ca="1">IF('Raw Data'!#REF!="",_xlfn.REGEXEXTRACT(CELL("address",'Raw Data'!#REF!),"\$([A-Z]+)\$[0-9]+"),"")</f>
        <v>#REF!</v>
      </c>
      <c r="H266" t="str" cm="1">
        <f t="array" aca="1" ref="H266" ca="1">IF('Raw Data'!G268="",_xlfn.REGEXEXTRACT(CELL("address",'Raw Data'!G268),"\$([A-Z]+)\$[0-9]+"),"")</f>
        <v>$G$268</v>
      </c>
      <c r="I266" t="str" cm="1">
        <f t="array" aca="1" ref="I266" ca="1">IF('Raw Data'!H268="",_xlfn.REGEXEXTRACT(CELL("address",'Raw Data'!H268),"\$([A-Z]+)\$[0-9]+"),"")</f>
        <v>$H$268</v>
      </c>
    </row>
    <row r="267" spans="2:9" x14ac:dyDescent="0.25">
      <c r="B267" t="str" cm="1">
        <f t="array" aca="1" ref="B267" ca="1">IF('Raw Data'!B269="",_xlfn.REGEXEXTRACT(CELL("address",'Raw Data'!B269),"\$([A-Z]+)\$[0-9]+"),"")</f>
        <v>$B$269</v>
      </c>
      <c r="C267" t="str" cm="1">
        <f t="array" aca="1" ref="C267" ca="1">IF('Raw Data'!C269="",_xlfn.REGEXEXTRACT(CELL("address",'Raw Data'!C269),"\$([A-Z]+)\$[0-9]+"),"")</f>
        <v>$C$269</v>
      </c>
      <c r="D267" t="str" cm="1">
        <f t="array" aca="1" ref="D267" ca="1">IF('Raw Data'!D269="",_xlfn.REGEXEXTRACT(CELL("address",'Raw Data'!D269),"\$([A-Z]+)\$[0-9]+"),"")</f>
        <v>$D$269</v>
      </c>
      <c r="E267" t="str" cm="1">
        <f t="array" aca="1" ref="E267" ca="1">IF('Raw Data'!E269="",_xlfn.REGEXEXTRACT(CELL("address",'Raw Data'!E269),"\$([A-Z]+)\$[0-9]+"),"")</f>
        <v>$E$269</v>
      </c>
      <c r="F267" t="str" cm="1">
        <f t="array" aca="1" ref="F267" ca="1">IF('Raw Data'!F269="",_xlfn.REGEXEXTRACT(CELL("address",'Raw Data'!F269),"\$([A-Z]+)\$[0-9]+"),"")</f>
        <v>$F$269</v>
      </c>
      <c r="G267" t="e" cm="1">
        <f t="array" aca="1" ref="G267" ca="1">IF('Raw Data'!#REF!="",_xlfn.REGEXEXTRACT(CELL("address",'Raw Data'!#REF!),"\$([A-Z]+)\$[0-9]+"),"")</f>
        <v>#REF!</v>
      </c>
      <c r="H267" t="str" cm="1">
        <f t="array" aca="1" ref="H267" ca="1">IF('Raw Data'!G269="",_xlfn.REGEXEXTRACT(CELL("address",'Raw Data'!G269),"\$([A-Z]+)\$[0-9]+"),"")</f>
        <v>$G$269</v>
      </c>
      <c r="I267" t="str" cm="1">
        <f t="array" aca="1" ref="I267" ca="1">IF('Raw Data'!H269="",_xlfn.REGEXEXTRACT(CELL("address",'Raw Data'!H269),"\$([A-Z]+)\$[0-9]+"),"")</f>
        <v>$H$269</v>
      </c>
    </row>
    <row r="268" spans="2:9" x14ac:dyDescent="0.25">
      <c r="B268" t="str" cm="1">
        <f t="array" aca="1" ref="B268" ca="1">IF('Raw Data'!B270="",_xlfn.REGEXEXTRACT(CELL("address",'Raw Data'!B270),"\$([A-Z]+)\$[0-9]+"),"")</f>
        <v>$B$270</v>
      </c>
      <c r="C268" t="str" cm="1">
        <f t="array" aca="1" ref="C268" ca="1">IF('Raw Data'!C270="",_xlfn.REGEXEXTRACT(CELL("address",'Raw Data'!C270),"\$([A-Z]+)\$[0-9]+"),"")</f>
        <v>$C$270</v>
      </c>
      <c r="D268" t="str" cm="1">
        <f t="array" aca="1" ref="D268" ca="1">IF('Raw Data'!D270="",_xlfn.REGEXEXTRACT(CELL("address",'Raw Data'!D270),"\$([A-Z]+)\$[0-9]+"),"")</f>
        <v>$D$270</v>
      </c>
      <c r="E268" t="str" cm="1">
        <f t="array" aca="1" ref="E268" ca="1">IF('Raw Data'!E270="",_xlfn.REGEXEXTRACT(CELL("address",'Raw Data'!E270),"\$([A-Z]+)\$[0-9]+"),"")</f>
        <v>$E$270</v>
      </c>
      <c r="F268" t="str" cm="1">
        <f t="array" aca="1" ref="F268" ca="1">IF('Raw Data'!F270="",_xlfn.REGEXEXTRACT(CELL("address",'Raw Data'!F270),"\$([A-Z]+)\$[0-9]+"),"")</f>
        <v>$F$270</v>
      </c>
      <c r="G268" t="e" cm="1">
        <f t="array" aca="1" ref="G268" ca="1">IF('Raw Data'!#REF!="",_xlfn.REGEXEXTRACT(CELL("address",'Raw Data'!#REF!),"\$([A-Z]+)\$[0-9]+"),"")</f>
        <v>#REF!</v>
      </c>
      <c r="H268" t="str" cm="1">
        <f t="array" aca="1" ref="H268" ca="1">IF('Raw Data'!G270="",_xlfn.REGEXEXTRACT(CELL("address",'Raw Data'!G270),"\$([A-Z]+)\$[0-9]+"),"")</f>
        <v>$G$270</v>
      </c>
      <c r="I268" t="str" cm="1">
        <f t="array" aca="1" ref="I268" ca="1">IF('Raw Data'!H270="",_xlfn.REGEXEXTRACT(CELL("address",'Raw Data'!H270),"\$([A-Z]+)\$[0-9]+"),"")</f>
        <v>$H$270</v>
      </c>
    </row>
    <row r="269" spans="2:9" x14ac:dyDescent="0.25">
      <c r="B269" t="str" cm="1">
        <f t="array" aca="1" ref="B269" ca="1">IF('Raw Data'!B271="",_xlfn.REGEXEXTRACT(CELL("address",'Raw Data'!B271),"\$([A-Z]+)\$[0-9]+"),"")</f>
        <v>$B$271</v>
      </c>
      <c r="C269" t="str" cm="1">
        <f t="array" aca="1" ref="C269" ca="1">IF('Raw Data'!C271="",_xlfn.REGEXEXTRACT(CELL("address",'Raw Data'!C271),"\$([A-Z]+)\$[0-9]+"),"")</f>
        <v>$C$271</v>
      </c>
      <c r="D269" t="str" cm="1">
        <f t="array" aca="1" ref="D269" ca="1">IF('Raw Data'!D271="",_xlfn.REGEXEXTRACT(CELL("address",'Raw Data'!D271),"\$([A-Z]+)\$[0-9]+"),"")</f>
        <v>$D$271</v>
      </c>
      <c r="E269" t="str" cm="1">
        <f t="array" aca="1" ref="E269" ca="1">IF('Raw Data'!E271="",_xlfn.REGEXEXTRACT(CELL("address",'Raw Data'!E271),"\$([A-Z]+)\$[0-9]+"),"")</f>
        <v>$E$271</v>
      </c>
      <c r="F269" t="str" cm="1">
        <f t="array" aca="1" ref="F269" ca="1">IF('Raw Data'!F271="",_xlfn.REGEXEXTRACT(CELL("address",'Raw Data'!F271),"\$([A-Z]+)\$[0-9]+"),"")</f>
        <v>$F$271</v>
      </c>
      <c r="G269" t="e" cm="1">
        <f t="array" aca="1" ref="G269" ca="1">IF('Raw Data'!#REF!="",_xlfn.REGEXEXTRACT(CELL("address",'Raw Data'!#REF!),"\$([A-Z]+)\$[0-9]+"),"")</f>
        <v>#REF!</v>
      </c>
      <c r="H269" t="str" cm="1">
        <f t="array" aca="1" ref="H269" ca="1">IF('Raw Data'!G271="",_xlfn.REGEXEXTRACT(CELL("address",'Raw Data'!G271),"\$([A-Z]+)\$[0-9]+"),"")</f>
        <v>$G$271</v>
      </c>
      <c r="I269" t="str" cm="1">
        <f t="array" aca="1" ref="I269" ca="1">IF('Raw Data'!H271="",_xlfn.REGEXEXTRACT(CELL("address",'Raw Data'!H271),"\$([A-Z]+)\$[0-9]+"),"")</f>
        <v>$H$271</v>
      </c>
    </row>
    <row r="270" spans="2:9" x14ac:dyDescent="0.25">
      <c r="B270" t="str" cm="1">
        <f t="array" aca="1" ref="B270" ca="1">IF('Raw Data'!B272="",_xlfn.REGEXEXTRACT(CELL("address",'Raw Data'!B272),"\$([A-Z]+)\$[0-9]+"),"")</f>
        <v>$B$272</v>
      </c>
      <c r="C270" t="str" cm="1">
        <f t="array" aca="1" ref="C270" ca="1">IF('Raw Data'!C272="",_xlfn.REGEXEXTRACT(CELL("address",'Raw Data'!C272),"\$([A-Z]+)\$[0-9]+"),"")</f>
        <v>$C$272</v>
      </c>
      <c r="D270" t="str" cm="1">
        <f t="array" aca="1" ref="D270" ca="1">IF('Raw Data'!D272="",_xlfn.REGEXEXTRACT(CELL("address",'Raw Data'!D272),"\$([A-Z]+)\$[0-9]+"),"")</f>
        <v>$D$272</v>
      </c>
      <c r="E270" t="str" cm="1">
        <f t="array" aca="1" ref="E270" ca="1">IF('Raw Data'!E272="",_xlfn.REGEXEXTRACT(CELL("address",'Raw Data'!E272),"\$([A-Z]+)\$[0-9]+"),"")</f>
        <v>$E$272</v>
      </c>
      <c r="F270" t="str" cm="1">
        <f t="array" aca="1" ref="F270" ca="1">IF('Raw Data'!F272="",_xlfn.REGEXEXTRACT(CELL("address",'Raw Data'!F272),"\$([A-Z]+)\$[0-9]+"),"")</f>
        <v>$F$272</v>
      </c>
      <c r="G270" t="e" cm="1">
        <f t="array" aca="1" ref="G270" ca="1">IF('Raw Data'!#REF!="",_xlfn.REGEXEXTRACT(CELL("address",'Raw Data'!#REF!),"\$([A-Z]+)\$[0-9]+"),"")</f>
        <v>#REF!</v>
      </c>
      <c r="H270" t="str" cm="1">
        <f t="array" aca="1" ref="H270" ca="1">IF('Raw Data'!G272="",_xlfn.REGEXEXTRACT(CELL("address",'Raw Data'!G272),"\$([A-Z]+)\$[0-9]+"),"")</f>
        <v>$G$272</v>
      </c>
      <c r="I270" t="str" cm="1">
        <f t="array" aca="1" ref="I270" ca="1">IF('Raw Data'!H272="",_xlfn.REGEXEXTRACT(CELL("address",'Raw Data'!H272),"\$([A-Z]+)\$[0-9]+"),"")</f>
        <v>$H$272</v>
      </c>
    </row>
    <row r="271" spans="2:9" x14ac:dyDescent="0.25">
      <c r="B271" t="str" cm="1">
        <f t="array" aca="1" ref="B271" ca="1">IF('Raw Data'!B273="",_xlfn.REGEXEXTRACT(CELL("address",'Raw Data'!B273),"\$([A-Z]+)\$[0-9]+"),"")</f>
        <v>$B$273</v>
      </c>
      <c r="C271" t="str" cm="1">
        <f t="array" aca="1" ref="C271" ca="1">IF('Raw Data'!C273="",_xlfn.REGEXEXTRACT(CELL("address",'Raw Data'!C273),"\$([A-Z]+)\$[0-9]+"),"")</f>
        <v>$C$273</v>
      </c>
      <c r="D271" t="str" cm="1">
        <f t="array" aca="1" ref="D271" ca="1">IF('Raw Data'!D273="",_xlfn.REGEXEXTRACT(CELL("address",'Raw Data'!D273),"\$([A-Z]+)\$[0-9]+"),"")</f>
        <v>$D$273</v>
      </c>
      <c r="E271" t="str" cm="1">
        <f t="array" aca="1" ref="E271" ca="1">IF('Raw Data'!E273="",_xlfn.REGEXEXTRACT(CELL("address",'Raw Data'!E273),"\$([A-Z]+)\$[0-9]+"),"")</f>
        <v>$E$273</v>
      </c>
      <c r="F271" t="str" cm="1">
        <f t="array" aca="1" ref="F271" ca="1">IF('Raw Data'!F273="",_xlfn.REGEXEXTRACT(CELL("address",'Raw Data'!F273),"\$([A-Z]+)\$[0-9]+"),"")</f>
        <v>$F$273</v>
      </c>
      <c r="G271" t="e" cm="1">
        <f t="array" aca="1" ref="G271" ca="1">IF('Raw Data'!#REF!="",_xlfn.REGEXEXTRACT(CELL("address",'Raw Data'!#REF!),"\$([A-Z]+)\$[0-9]+"),"")</f>
        <v>#REF!</v>
      </c>
      <c r="H271" t="str" cm="1">
        <f t="array" aca="1" ref="H271" ca="1">IF('Raw Data'!G273="",_xlfn.REGEXEXTRACT(CELL("address",'Raw Data'!G273),"\$([A-Z]+)\$[0-9]+"),"")</f>
        <v>$G$273</v>
      </c>
      <c r="I271" t="str" cm="1">
        <f t="array" aca="1" ref="I271" ca="1">IF('Raw Data'!H273="",_xlfn.REGEXEXTRACT(CELL("address",'Raw Data'!H273),"\$([A-Z]+)\$[0-9]+"),"")</f>
        <v>$H$273</v>
      </c>
    </row>
    <row r="272" spans="2:9" x14ac:dyDescent="0.25">
      <c r="B272" t="str" cm="1">
        <f t="array" aca="1" ref="B272" ca="1">IF('Raw Data'!B274="",_xlfn.REGEXEXTRACT(CELL("address",'Raw Data'!B274),"\$([A-Z]+)\$[0-9]+"),"")</f>
        <v>$B$274</v>
      </c>
      <c r="C272" t="str" cm="1">
        <f t="array" aca="1" ref="C272" ca="1">IF('Raw Data'!C274="",_xlfn.REGEXEXTRACT(CELL("address",'Raw Data'!C274),"\$([A-Z]+)\$[0-9]+"),"")</f>
        <v>$C$274</v>
      </c>
      <c r="D272" t="str" cm="1">
        <f t="array" aca="1" ref="D272" ca="1">IF('Raw Data'!D274="",_xlfn.REGEXEXTRACT(CELL("address",'Raw Data'!D274),"\$([A-Z]+)\$[0-9]+"),"")</f>
        <v>$D$274</v>
      </c>
      <c r="E272" t="str" cm="1">
        <f t="array" aca="1" ref="E272" ca="1">IF('Raw Data'!E274="",_xlfn.REGEXEXTRACT(CELL("address",'Raw Data'!E274),"\$([A-Z]+)\$[0-9]+"),"")</f>
        <v>$E$274</v>
      </c>
      <c r="F272" t="str" cm="1">
        <f t="array" aca="1" ref="F272" ca="1">IF('Raw Data'!F274="",_xlfn.REGEXEXTRACT(CELL("address",'Raw Data'!F274),"\$([A-Z]+)\$[0-9]+"),"")</f>
        <v>$F$274</v>
      </c>
      <c r="G272" t="e" cm="1">
        <f t="array" aca="1" ref="G272" ca="1">IF('Raw Data'!#REF!="",_xlfn.REGEXEXTRACT(CELL("address",'Raw Data'!#REF!),"\$([A-Z]+)\$[0-9]+"),"")</f>
        <v>#REF!</v>
      </c>
      <c r="H272" t="str" cm="1">
        <f t="array" aca="1" ref="H272" ca="1">IF('Raw Data'!G274="",_xlfn.REGEXEXTRACT(CELL("address",'Raw Data'!G274),"\$([A-Z]+)\$[0-9]+"),"")</f>
        <v>$G$274</v>
      </c>
      <c r="I272" t="str" cm="1">
        <f t="array" aca="1" ref="I272" ca="1">IF('Raw Data'!H274="",_xlfn.REGEXEXTRACT(CELL("address",'Raw Data'!H274),"\$([A-Z]+)\$[0-9]+"),"")</f>
        <v>$H$274</v>
      </c>
    </row>
    <row r="273" spans="2:9" x14ac:dyDescent="0.25">
      <c r="B273" t="str" cm="1">
        <f t="array" aca="1" ref="B273" ca="1">IF('Raw Data'!B275="",_xlfn.REGEXEXTRACT(CELL("address",'Raw Data'!B275),"\$([A-Z]+)\$[0-9]+"),"")</f>
        <v>$B$275</v>
      </c>
      <c r="C273" t="str" cm="1">
        <f t="array" aca="1" ref="C273" ca="1">IF('Raw Data'!C275="",_xlfn.REGEXEXTRACT(CELL("address",'Raw Data'!C275),"\$([A-Z]+)\$[0-9]+"),"")</f>
        <v>$C$275</v>
      </c>
      <c r="D273" t="str" cm="1">
        <f t="array" aca="1" ref="D273" ca="1">IF('Raw Data'!D275="",_xlfn.REGEXEXTRACT(CELL("address",'Raw Data'!D275),"\$([A-Z]+)\$[0-9]+"),"")</f>
        <v>$D$275</v>
      </c>
      <c r="E273" t="str" cm="1">
        <f t="array" aca="1" ref="E273" ca="1">IF('Raw Data'!E275="",_xlfn.REGEXEXTRACT(CELL("address",'Raw Data'!E275),"\$([A-Z]+)\$[0-9]+"),"")</f>
        <v>$E$275</v>
      </c>
      <c r="F273" t="str" cm="1">
        <f t="array" aca="1" ref="F273" ca="1">IF('Raw Data'!F275="",_xlfn.REGEXEXTRACT(CELL("address",'Raw Data'!F275),"\$([A-Z]+)\$[0-9]+"),"")</f>
        <v>$F$275</v>
      </c>
      <c r="G273" t="e" cm="1">
        <f t="array" aca="1" ref="G273" ca="1">IF('Raw Data'!#REF!="",_xlfn.REGEXEXTRACT(CELL("address",'Raw Data'!#REF!),"\$([A-Z]+)\$[0-9]+"),"")</f>
        <v>#REF!</v>
      </c>
      <c r="H273" t="str" cm="1">
        <f t="array" aca="1" ref="H273" ca="1">IF('Raw Data'!G275="",_xlfn.REGEXEXTRACT(CELL("address",'Raw Data'!G275),"\$([A-Z]+)\$[0-9]+"),"")</f>
        <v>$G$275</v>
      </c>
      <c r="I273" t="str" cm="1">
        <f t="array" aca="1" ref="I273" ca="1">IF('Raw Data'!H275="",_xlfn.REGEXEXTRACT(CELL("address",'Raw Data'!H275),"\$([A-Z]+)\$[0-9]+"),"")</f>
        <v>$H$275</v>
      </c>
    </row>
    <row r="274" spans="2:9" x14ac:dyDescent="0.25">
      <c r="B274" t="str" cm="1">
        <f t="array" aca="1" ref="B274" ca="1">IF('Raw Data'!B276="",_xlfn.REGEXEXTRACT(CELL("address",'Raw Data'!B276),"\$([A-Z]+)\$[0-9]+"),"")</f>
        <v>$B$276</v>
      </c>
      <c r="C274" t="str" cm="1">
        <f t="array" aca="1" ref="C274" ca="1">IF('Raw Data'!C276="",_xlfn.REGEXEXTRACT(CELL("address",'Raw Data'!C276),"\$([A-Z]+)\$[0-9]+"),"")</f>
        <v>$C$276</v>
      </c>
      <c r="D274" t="str" cm="1">
        <f t="array" aca="1" ref="D274" ca="1">IF('Raw Data'!D276="",_xlfn.REGEXEXTRACT(CELL("address",'Raw Data'!D276),"\$([A-Z]+)\$[0-9]+"),"")</f>
        <v>$D$276</v>
      </c>
      <c r="E274" t="str" cm="1">
        <f t="array" aca="1" ref="E274" ca="1">IF('Raw Data'!E276="",_xlfn.REGEXEXTRACT(CELL("address",'Raw Data'!E276),"\$([A-Z]+)\$[0-9]+"),"")</f>
        <v>$E$276</v>
      </c>
      <c r="F274" t="str" cm="1">
        <f t="array" aca="1" ref="F274" ca="1">IF('Raw Data'!F276="",_xlfn.REGEXEXTRACT(CELL("address",'Raw Data'!F276),"\$([A-Z]+)\$[0-9]+"),"")</f>
        <v>$F$276</v>
      </c>
      <c r="G274" t="e" cm="1">
        <f t="array" aca="1" ref="G274" ca="1">IF('Raw Data'!#REF!="",_xlfn.REGEXEXTRACT(CELL("address",'Raw Data'!#REF!),"\$([A-Z]+)\$[0-9]+"),"")</f>
        <v>#REF!</v>
      </c>
      <c r="H274" t="str" cm="1">
        <f t="array" aca="1" ref="H274" ca="1">IF('Raw Data'!G276="",_xlfn.REGEXEXTRACT(CELL("address",'Raw Data'!G276),"\$([A-Z]+)\$[0-9]+"),"")</f>
        <v>$G$276</v>
      </c>
      <c r="I274" t="str" cm="1">
        <f t="array" aca="1" ref="I274" ca="1">IF('Raw Data'!H276="",_xlfn.REGEXEXTRACT(CELL("address",'Raw Data'!H276),"\$([A-Z]+)\$[0-9]+"),"")</f>
        <v>$H$276</v>
      </c>
    </row>
    <row r="275" spans="2:9" x14ac:dyDescent="0.25">
      <c r="B275" t="str" cm="1">
        <f t="array" aca="1" ref="B275" ca="1">IF('Raw Data'!B277="",_xlfn.REGEXEXTRACT(CELL("address",'Raw Data'!B277),"\$([A-Z]+)\$[0-9]+"),"")</f>
        <v>$B$277</v>
      </c>
      <c r="C275" t="str" cm="1">
        <f t="array" aca="1" ref="C275" ca="1">IF('Raw Data'!C277="",_xlfn.REGEXEXTRACT(CELL("address",'Raw Data'!C277),"\$([A-Z]+)\$[0-9]+"),"")</f>
        <v>$C$277</v>
      </c>
      <c r="D275" t="str" cm="1">
        <f t="array" aca="1" ref="D275" ca="1">IF('Raw Data'!D277="",_xlfn.REGEXEXTRACT(CELL("address",'Raw Data'!D277),"\$([A-Z]+)\$[0-9]+"),"")</f>
        <v>$D$277</v>
      </c>
      <c r="E275" t="str" cm="1">
        <f t="array" aca="1" ref="E275" ca="1">IF('Raw Data'!E277="",_xlfn.REGEXEXTRACT(CELL("address",'Raw Data'!E277),"\$([A-Z]+)\$[0-9]+"),"")</f>
        <v>$E$277</v>
      </c>
      <c r="F275" t="str" cm="1">
        <f t="array" aca="1" ref="F275" ca="1">IF('Raw Data'!F277="",_xlfn.REGEXEXTRACT(CELL("address",'Raw Data'!F277),"\$([A-Z]+)\$[0-9]+"),"")</f>
        <v>$F$277</v>
      </c>
      <c r="G275" t="e" cm="1">
        <f t="array" aca="1" ref="G275" ca="1">IF('Raw Data'!#REF!="",_xlfn.REGEXEXTRACT(CELL("address",'Raw Data'!#REF!),"\$([A-Z]+)\$[0-9]+"),"")</f>
        <v>#REF!</v>
      </c>
      <c r="H275" t="str" cm="1">
        <f t="array" aca="1" ref="H275" ca="1">IF('Raw Data'!G277="",_xlfn.REGEXEXTRACT(CELL("address",'Raw Data'!G277),"\$([A-Z]+)\$[0-9]+"),"")</f>
        <v>$G$277</v>
      </c>
      <c r="I275" t="str" cm="1">
        <f t="array" aca="1" ref="I275" ca="1">IF('Raw Data'!H277="",_xlfn.REGEXEXTRACT(CELL("address",'Raw Data'!H277),"\$([A-Z]+)\$[0-9]+"),"")</f>
        <v>$H$277</v>
      </c>
    </row>
    <row r="276" spans="2:9" x14ac:dyDescent="0.25">
      <c r="B276" t="str" cm="1">
        <f t="array" aca="1" ref="B276" ca="1">IF('Raw Data'!B278="",_xlfn.REGEXEXTRACT(CELL("address",'Raw Data'!B278),"\$([A-Z]+)\$[0-9]+"),"")</f>
        <v>$B$278</v>
      </c>
      <c r="C276" t="str" cm="1">
        <f t="array" aca="1" ref="C276" ca="1">IF('Raw Data'!C278="",_xlfn.REGEXEXTRACT(CELL("address",'Raw Data'!C278),"\$([A-Z]+)\$[0-9]+"),"")</f>
        <v>$C$278</v>
      </c>
      <c r="D276" t="str" cm="1">
        <f t="array" aca="1" ref="D276" ca="1">IF('Raw Data'!D278="",_xlfn.REGEXEXTRACT(CELL("address",'Raw Data'!D278),"\$([A-Z]+)\$[0-9]+"),"")</f>
        <v>$D$278</v>
      </c>
      <c r="E276" t="str" cm="1">
        <f t="array" aca="1" ref="E276" ca="1">IF('Raw Data'!E278="",_xlfn.REGEXEXTRACT(CELL("address",'Raw Data'!E278),"\$([A-Z]+)\$[0-9]+"),"")</f>
        <v>$E$278</v>
      </c>
      <c r="F276" t="str" cm="1">
        <f t="array" aca="1" ref="F276" ca="1">IF('Raw Data'!F278="",_xlfn.REGEXEXTRACT(CELL("address",'Raw Data'!F278),"\$([A-Z]+)\$[0-9]+"),"")</f>
        <v>$F$278</v>
      </c>
      <c r="G276" t="e" cm="1">
        <f t="array" aca="1" ref="G276" ca="1">IF('Raw Data'!#REF!="",_xlfn.REGEXEXTRACT(CELL("address",'Raw Data'!#REF!),"\$([A-Z]+)\$[0-9]+"),"")</f>
        <v>#REF!</v>
      </c>
      <c r="H276" t="str" cm="1">
        <f t="array" aca="1" ref="H276" ca="1">IF('Raw Data'!G278="",_xlfn.REGEXEXTRACT(CELL("address",'Raw Data'!G278),"\$([A-Z]+)\$[0-9]+"),"")</f>
        <v>$G$278</v>
      </c>
      <c r="I276" t="str" cm="1">
        <f t="array" aca="1" ref="I276" ca="1">IF('Raw Data'!H278="",_xlfn.REGEXEXTRACT(CELL("address",'Raw Data'!H278),"\$([A-Z]+)\$[0-9]+"),"")</f>
        <v>$H$278</v>
      </c>
    </row>
    <row r="277" spans="2:9" x14ac:dyDescent="0.25">
      <c r="B277" t="str" cm="1">
        <f t="array" aca="1" ref="B277" ca="1">IF('Raw Data'!B279="",_xlfn.REGEXEXTRACT(CELL("address",'Raw Data'!B279),"\$([A-Z]+)\$[0-9]+"),"")</f>
        <v>$B$279</v>
      </c>
      <c r="C277" t="str" cm="1">
        <f t="array" aca="1" ref="C277" ca="1">IF('Raw Data'!C279="",_xlfn.REGEXEXTRACT(CELL("address",'Raw Data'!C279),"\$([A-Z]+)\$[0-9]+"),"")</f>
        <v>$C$279</v>
      </c>
      <c r="D277" t="str" cm="1">
        <f t="array" aca="1" ref="D277" ca="1">IF('Raw Data'!D279="",_xlfn.REGEXEXTRACT(CELL("address",'Raw Data'!D279),"\$([A-Z]+)\$[0-9]+"),"")</f>
        <v>$D$279</v>
      </c>
      <c r="E277" t="str" cm="1">
        <f t="array" aca="1" ref="E277" ca="1">IF('Raw Data'!E279="",_xlfn.REGEXEXTRACT(CELL("address",'Raw Data'!E279),"\$([A-Z]+)\$[0-9]+"),"")</f>
        <v>$E$279</v>
      </c>
      <c r="F277" t="str" cm="1">
        <f t="array" aca="1" ref="F277" ca="1">IF('Raw Data'!F279="",_xlfn.REGEXEXTRACT(CELL("address",'Raw Data'!F279),"\$([A-Z]+)\$[0-9]+"),"")</f>
        <v>$F$279</v>
      </c>
      <c r="G277" t="e" cm="1">
        <f t="array" aca="1" ref="G277" ca="1">IF('Raw Data'!#REF!="",_xlfn.REGEXEXTRACT(CELL("address",'Raw Data'!#REF!),"\$([A-Z]+)\$[0-9]+"),"")</f>
        <v>#REF!</v>
      </c>
      <c r="H277" t="str" cm="1">
        <f t="array" aca="1" ref="H277" ca="1">IF('Raw Data'!G279="",_xlfn.REGEXEXTRACT(CELL("address",'Raw Data'!G279),"\$([A-Z]+)\$[0-9]+"),"")</f>
        <v>$G$279</v>
      </c>
      <c r="I277" t="str" cm="1">
        <f t="array" aca="1" ref="I277" ca="1">IF('Raw Data'!H279="",_xlfn.REGEXEXTRACT(CELL("address",'Raw Data'!H279),"\$([A-Z]+)\$[0-9]+"),"")</f>
        <v>$H$279</v>
      </c>
    </row>
    <row r="278" spans="2:9" x14ac:dyDescent="0.25">
      <c r="B278" t="str" cm="1">
        <f t="array" aca="1" ref="B278" ca="1">IF('Raw Data'!B280="",_xlfn.REGEXEXTRACT(CELL("address",'Raw Data'!B280),"\$([A-Z]+)\$[0-9]+"),"")</f>
        <v>$B$280</v>
      </c>
      <c r="C278" t="str" cm="1">
        <f t="array" aca="1" ref="C278" ca="1">IF('Raw Data'!C280="",_xlfn.REGEXEXTRACT(CELL("address",'Raw Data'!C280),"\$([A-Z]+)\$[0-9]+"),"")</f>
        <v>$C$280</v>
      </c>
      <c r="D278" t="str" cm="1">
        <f t="array" aca="1" ref="D278" ca="1">IF('Raw Data'!D280="",_xlfn.REGEXEXTRACT(CELL("address",'Raw Data'!D280),"\$([A-Z]+)\$[0-9]+"),"")</f>
        <v>$D$280</v>
      </c>
      <c r="E278" t="str" cm="1">
        <f t="array" aca="1" ref="E278" ca="1">IF('Raw Data'!E280="",_xlfn.REGEXEXTRACT(CELL("address",'Raw Data'!E280),"\$([A-Z]+)\$[0-9]+"),"")</f>
        <v>$E$280</v>
      </c>
      <c r="F278" t="str" cm="1">
        <f t="array" aca="1" ref="F278" ca="1">IF('Raw Data'!F280="",_xlfn.REGEXEXTRACT(CELL("address",'Raw Data'!F280),"\$([A-Z]+)\$[0-9]+"),"")</f>
        <v>$F$280</v>
      </c>
      <c r="G278" t="e" cm="1">
        <f t="array" aca="1" ref="G278" ca="1">IF('Raw Data'!#REF!="",_xlfn.REGEXEXTRACT(CELL("address",'Raw Data'!#REF!),"\$([A-Z]+)\$[0-9]+"),"")</f>
        <v>#REF!</v>
      </c>
      <c r="H278" t="str" cm="1">
        <f t="array" aca="1" ref="H278" ca="1">IF('Raw Data'!G280="",_xlfn.REGEXEXTRACT(CELL("address",'Raw Data'!G280),"\$([A-Z]+)\$[0-9]+"),"")</f>
        <v>$G$280</v>
      </c>
      <c r="I278" t="str" cm="1">
        <f t="array" aca="1" ref="I278" ca="1">IF('Raw Data'!H280="",_xlfn.REGEXEXTRACT(CELL("address",'Raw Data'!H280),"\$([A-Z]+)\$[0-9]+"),"")</f>
        <v>$H$280</v>
      </c>
    </row>
    <row r="279" spans="2:9" x14ac:dyDescent="0.25">
      <c r="B279" t="str" cm="1">
        <f t="array" aca="1" ref="B279" ca="1">IF('Raw Data'!B281="",_xlfn.REGEXEXTRACT(CELL("address",'Raw Data'!B281),"\$([A-Z]+)\$[0-9]+"),"")</f>
        <v>$B$281</v>
      </c>
      <c r="C279" t="str" cm="1">
        <f t="array" aca="1" ref="C279" ca="1">IF('Raw Data'!C281="",_xlfn.REGEXEXTRACT(CELL("address",'Raw Data'!C281),"\$([A-Z]+)\$[0-9]+"),"")</f>
        <v>$C$281</v>
      </c>
      <c r="D279" t="str" cm="1">
        <f t="array" aca="1" ref="D279" ca="1">IF('Raw Data'!D281="",_xlfn.REGEXEXTRACT(CELL("address",'Raw Data'!D281),"\$([A-Z]+)\$[0-9]+"),"")</f>
        <v>$D$281</v>
      </c>
      <c r="E279" t="str" cm="1">
        <f t="array" aca="1" ref="E279" ca="1">IF('Raw Data'!E281="",_xlfn.REGEXEXTRACT(CELL("address",'Raw Data'!E281),"\$([A-Z]+)\$[0-9]+"),"")</f>
        <v>$E$281</v>
      </c>
      <c r="F279" t="str" cm="1">
        <f t="array" aca="1" ref="F279" ca="1">IF('Raw Data'!F281="",_xlfn.REGEXEXTRACT(CELL("address",'Raw Data'!F281),"\$([A-Z]+)\$[0-9]+"),"")</f>
        <v>$F$281</v>
      </c>
      <c r="G279" t="e" cm="1">
        <f t="array" aca="1" ref="G279" ca="1">IF('Raw Data'!#REF!="",_xlfn.REGEXEXTRACT(CELL("address",'Raw Data'!#REF!),"\$([A-Z]+)\$[0-9]+"),"")</f>
        <v>#REF!</v>
      </c>
      <c r="H279" t="str" cm="1">
        <f t="array" aca="1" ref="H279" ca="1">IF('Raw Data'!G281="",_xlfn.REGEXEXTRACT(CELL("address",'Raw Data'!G281),"\$([A-Z]+)\$[0-9]+"),"")</f>
        <v>$G$281</v>
      </c>
      <c r="I279" t="str" cm="1">
        <f t="array" aca="1" ref="I279" ca="1">IF('Raw Data'!H281="",_xlfn.REGEXEXTRACT(CELL("address",'Raw Data'!H281),"\$([A-Z]+)\$[0-9]+"),"")</f>
        <v>$H$281</v>
      </c>
    </row>
    <row r="280" spans="2:9" x14ac:dyDescent="0.25">
      <c r="B280" t="str" cm="1">
        <f t="array" aca="1" ref="B280" ca="1">IF('Raw Data'!B282="",_xlfn.REGEXEXTRACT(CELL("address",'Raw Data'!B282),"\$([A-Z]+)\$[0-9]+"),"")</f>
        <v>$B$282</v>
      </c>
      <c r="C280" t="str" cm="1">
        <f t="array" aca="1" ref="C280" ca="1">IF('Raw Data'!C282="",_xlfn.REGEXEXTRACT(CELL("address",'Raw Data'!C282),"\$([A-Z]+)\$[0-9]+"),"")</f>
        <v>$C$282</v>
      </c>
      <c r="D280" t="str" cm="1">
        <f t="array" aca="1" ref="D280" ca="1">IF('Raw Data'!D282="",_xlfn.REGEXEXTRACT(CELL("address",'Raw Data'!D282),"\$([A-Z]+)\$[0-9]+"),"")</f>
        <v>$D$282</v>
      </c>
      <c r="E280" t="str" cm="1">
        <f t="array" aca="1" ref="E280" ca="1">IF('Raw Data'!E282="",_xlfn.REGEXEXTRACT(CELL("address",'Raw Data'!E282),"\$([A-Z]+)\$[0-9]+"),"")</f>
        <v>$E$282</v>
      </c>
      <c r="F280" t="str" cm="1">
        <f t="array" aca="1" ref="F280" ca="1">IF('Raw Data'!F282="",_xlfn.REGEXEXTRACT(CELL("address",'Raw Data'!F282),"\$([A-Z]+)\$[0-9]+"),"")</f>
        <v>$F$282</v>
      </c>
      <c r="G280" t="e" cm="1">
        <f t="array" aca="1" ref="G280" ca="1">IF('Raw Data'!#REF!="",_xlfn.REGEXEXTRACT(CELL("address",'Raw Data'!#REF!),"\$([A-Z]+)\$[0-9]+"),"")</f>
        <v>#REF!</v>
      </c>
      <c r="H280" t="str" cm="1">
        <f t="array" aca="1" ref="H280" ca="1">IF('Raw Data'!G282="",_xlfn.REGEXEXTRACT(CELL("address",'Raw Data'!G282),"\$([A-Z]+)\$[0-9]+"),"")</f>
        <v>$G$282</v>
      </c>
      <c r="I280" t="str" cm="1">
        <f t="array" aca="1" ref="I280" ca="1">IF('Raw Data'!H282="",_xlfn.REGEXEXTRACT(CELL("address",'Raw Data'!H282),"\$([A-Z]+)\$[0-9]+"),"")</f>
        <v>$H$282</v>
      </c>
    </row>
    <row r="281" spans="2:9" x14ac:dyDescent="0.25">
      <c r="B281" t="str" cm="1">
        <f t="array" aca="1" ref="B281" ca="1">IF('Raw Data'!B283="",_xlfn.REGEXEXTRACT(CELL("address",'Raw Data'!B283),"\$([A-Z]+)\$[0-9]+"),"")</f>
        <v>$B$283</v>
      </c>
      <c r="C281" t="str" cm="1">
        <f t="array" aca="1" ref="C281" ca="1">IF('Raw Data'!C283="",_xlfn.REGEXEXTRACT(CELL("address",'Raw Data'!C283),"\$([A-Z]+)\$[0-9]+"),"")</f>
        <v>$C$283</v>
      </c>
      <c r="D281" t="str" cm="1">
        <f t="array" aca="1" ref="D281" ca="1">IF('Raw Data'!D283="",_xlfn.REGEXEXTRACT(CELL("address",'Raw Data'!D283),"\$([A-Z]+)\$[0-9]+"),"")</f>
        <v>$D$283</v>
      </c>
      <c r="E281" t="str" cm="1">
        <f t="array" aca="1" ref="E281" ca="1">IF('Raw Data'!E283="",_xlfn.REGEXEXTRACT(CELL("address",'Raw Data'!E283),"\$([A-Z]+)\$[0-9]+"),"")</f>
        <v>$E$283</v>
      </c>
      <c r="F281" t="str" cm="1">
        <f t="array" aca="1" ref="F281" ca="1">IF('Raw Data'!F283="",_xlfn.REGEXEXTRACT(CELL("address",'Raw Data'!F283),"\$([A-Z]+)\$[0-9]+"),"")</f>
        <v>$F$283</v>
      </c>
      <c r="G281" t="e" cm="1">
        <f t="array" aca="1" ref="G281" ca="1">IF('Raw Data'!#REF!="",_xlfn.REGEXEXTRACT(CELL("address",'Raw Data'!#REF!),"\$([A-Z]+)\$[0-9]+"),"")</f>
        <v>#REF!</v>
      </c>
      <c r="H281" t="str" cm="1">
        <f t="array" aca="1" ref="H281" ca="1">IF('Raw Data'!G283="",_xlfn.REGEXEXTRACT(CELL("address",'Raw Data'!G283),"\$([A-Z]+)\$[0-9]+"),"")</f>
        <v>$G$283</v>
      </c>
      <c r="I281" t="str" cm="1">
        <f t="array" aca="1" ref="I281" ca="1">IF('Raw Data'!H283="",_xlfn.REGEXEXTRACT(CELL("address",'Raw Data'!H283),"\$([A-Z]+)\$[0-9]+"),"")</f>
        <v>$H$283</v>
      </c>
    </row>
    <row r="282" spans="2:9" x14ac:dyDescent="0.25">
      <c r="B282" t="str" cm="1">
        <f t="array" aca="1" ref="B282" ca="1">IF('Raw Data'!B284="",_xlfn.REGEXEXTRACT(CELL("address",'Raw Data'!B284),"\$([A-Z]+)\$[0-9]+"),"")</f>
        <v>$B$284</v>
      </c>
      <c r="C282" t="str" cm="1">
        <f t="array" aca="1" ref="C282" ca="1">IF('Raw Data'!C284="",_xlfn.REGEXEXTRACT(CELL("address",'Raw Data'!C284),"\$([A-Z]+)\$[0-9]+"),"")</f>
        <v>$C$284</v>
      </c>
      <c r="D282" t="str" cm="1">
        <f t="array" aca="1" ref="D282" ca="1">IF('Raw Data'!D284="",_xlfn.REGEXEXTRACT(CELL("address",'Raw Data'!D284),"\$([A-Z]+)\$[0-9]+"),"")</f>
        <v>$D$284</v>
      </c>
      <c r="E282" t="str" cm="1">
        <f t="array" aca="1" ref="E282" ca="1">IF('Raw Data'!E284="",_xlfn.REGEXEXTRACT(CELL("address",'Raw Data'!E284),"\$([A-Z]+)\$[0-9]+"),"")</f>
        <v>$E$284</v>
      </c>
      <c r="F282" t="str" cm="1">
        <f t="array" aca="1" ref="F282" ca="1">IF('Raw Data'!F284="",_xlfn.REGEXEXTRACT(CELL("address",'Raw Data'!F284),"\$([A-Z]+)\$[0-9]+"),"")</f>
        <v>$F$284</v>
      </c>
      <c r="G282" t="e" cm="1">
        <f t="array" aca="1" ref="G282" ca="1">IF('Raw Data'!#REF!="",_xlfn.REGEXEXTRACT(CELL("address",'Raw Data'!#REF!),"\$([A-Z]+)\$[0-9]+"),"")</f>
        <v>#REF!</v>
      </c>
      <c r="H282" t="str" cm="1">
        <f t="array" aca="1" ref="H282" ca="1">IF('Raw Data'!G284="",_xlfn.REGEXEXTRACT(CELL("address",'Raw Data'!G284),"\$([A-Z]+)\$[0-9]+"),"")</f>
        <v>$G$284</v>
      </c>
      <c r="I282" t="str" cm="1">
        <f t="array" aca="1" ref="I282" ca="1">IF('Raw Data'!H284="",_xlfn.REGEXEXTRACT(CELL("address",'Raw Data'!H284),"\$([A-Z]+)\$[0-9]+"),"")</f>
        <v>$H$284</v>
      </c>
    </row>
    <row r="283" spans="2:9" x14ac:dyDescent="0.25">
      <c r="B283" t="str" cm="1">
        <f t="array" aca="1" ref="B283" ca="1">IF('Raw Data'!B285="",_xlfn.REGEXEXTRACT(CELL("address",'Raw Data'!B285),"\$([A-Z]+)\$[0-9]+"),"")</f>
        <v>$B$285</v>
      </c>
      <c r="C283" t="str" cm="1">
        <f t="array" aca="1" ref="C283" ca="1">IF('Raw Data'!C285="",_xlfn.REGEXEXTRACT(CELL("address",'Raw Data'!C285),"\$([A-Z]+)\$[0-9]+"),"")</f>
        <v>$C$285</v>
      </c>
      <c r="D283" t="str" cm="1">
        <f t="array" aca="1" ref="D283" ca="1">IF('Raw Data'!D285="",_xlfn.REGEXEXTRACT(CELL("address",'Raw Data'!D285),"\$([A-Z]+)\$[0-9]+"),"")</f>
        <v>$D$285</v>
      </c>
      <c r="E283" t="str" cm="1">
        <f t="array" aca="1" ref="E283" ca="1">IF('Raw Data'!E285="",_xlfn.REGEXEXTRACT(CELL("address",'Raw Data'!E285),"\$([A-Z]+)\$[0-9]+"),"")</f>
        <v>$E$285</v>
      </c>
      <c r="F283" t="str" cm="1">
        <f t="array" aca="1" ref="F283" ca="1">IF('Raw Data'!F285="",_xlfn.REGEXEXTRACT(CELL("address",'Raw Data'!F285),"\$([A-Z]+)\$[0-9]+"),"")</f>
        <v>$F$285</v>
      </c>
      <c r="G283" t="e" cm="1">
        <f t="array" aca="1" ref="G283" ca="1">IF('Raw Data'!#REF!="",_xlfn.REGEXEXTRACT(CELL("address",'Raw Data'!#REF!),"\$([A-Z]+)\$[0-9]+"),"")</f>
        <v>#REF!</v>
      </c>
      <c r="H283" t="str" cm="1">
        <f t="array" aca="1" ref="H283" ca="1">IF('Raw Data'!G285="",_xlfn.REGEXEXTRACT(CELL("address",'Raw Data'!G285),"\$([A-Z]+)\$[0-9]+"),"")</f>
        <v>$G$285</v>
      </c>
      <c r="I283" t="str" cm="1">
        <f t="array" aca="1" ref="I283" ca="1">IF('Raw Data'!H285="",_xlfn.REGEXEXTRACT(CELL("address",'Raw Data'!H285),"\$([A-Z]+)\$[0-9]+"),"")</f>
        <v>$H$285</v>
      </c>
    </row>
    <row r="284" spans="2:9" x14ac:dyDescent="0.25">
      <c r="B284" t="str" cm="1">
        <f t="array" aca="1" ref="B284" ca="1">IF('Raw Data'!B286="",_xlfn.REGEXEXTRACT(CELL("address",'Raw Data'!B286),"\$([A-Z]+)\$[0-9]+"),"")</f>
        <v>$B$286</v>
      </c>
      <c r="C284" t="str" cm="1">
        <f t="array" aca="1" ref="C284" ca="1">IF('Raw Data'!C286="",_xlfn.REGEXEXTRACT(CELL("address",'Raw Data'!C286),"\$([A-Z]+)\$[0-9]+"),"")</f>
        <v>$C$286</v>
      </c>
      <c r="D284" t="str" cm="1">
        <f t="array" aca="1" ref="D284" ca="1">IF('Raw Data'!D286="",_xlfn.REGEXEXTRACT(CELL("address",'Raw Data'!D286),"\$([A-Z]+)\$[0-9]+"),"")</f>
        <v>$D$286</v>
      </c>
      <c r="E284" t="str" cm="1">
        <f t="array" aca="1" ref="E284" ca="1">IF('Raw Data'!E286="",_xlfn.REGEXEXTRACT(CELL("address",'Raw Data'!E286),"\$([A-Z]+)\$[0-9]+"),"")</f>
        <v>$E$286</v>
      </c>
      <c r="F284" t="str" cm="1">
        <f t="array" aca="1" ref="F284" ca="1">IF('Raw Data'!F286="",_xlfn.REGEXEXTRACT(CELL("address",'Raw Data'!F286),"\$([A-Z]+)\$[0-9]+"),"")</f>
        <v>$F$286</v>
      </c>
      <c r="G284" t="e" cm="1">
        <f t="array" aca="1" ref="G284" ca="1">IF('Raw Data'!#REF!="",_xlfn.REGEXEXTRACT(CELL("address",'Raw Data'!#REF!),"\$([A-Z]+)\$[0-9]+"),"")</f>
        <v>#REF!</v>
      </c>
      <c r="H284" t="str" cm="1">
        <f t="array" aca="1" ref="H284" ca="1">IF('Raw Data'!G286="",_xlfn.REGEXEXTRACT(CELL("address",'Raw Data'!G286),"\$([A-Z]+)\$[0-9]+"),"")</f>
        <v>$G$286</v>
      </c>
      <c r="I284" t="str" cm="1">
        <f t="array" aca="1" ref="I284" ca="1">IF('Raw Data'!H286="",_xlfn.REGEXEXTRACT(CELL("address",'Raw Data'!H286),"\$([A-Z]+)\$[0-9]+"),"")</f>
        <v>$H$286</v>
      </c>
    </row>
    <row r="285" spans="2:9" x14ac:dyDescent="0.25">
      <c r="B285" t="str" cm="1">
        <f t="array" aca="1" ref="B285" ca="1">IF('Raw Data'!B287="",_xlfn.REGEXEXTRACT(CELL("address",'Raw Data'!B287),"\$([A-Z]+)\$[0-9]+"),"")</f>
        <v>$B$287</v>
      </c>
      <c r="C285" t="str" cm="1">
        <f t="array" aca="1" ref="C285" ca="1">IF('Raw Data'!C287="",_xlfn.REGEXEXTRACT(CELL("address",'Raw Data'!C287),"\$([A-Z]+)\$[0-9]+"),"")</f>
        <v>$C$287</v>
      </c>
      <c r="D285" t="str" cm="1">
        <f t="array" aca="1" ref="D285" ca="1">IF('Raw Data'!D287="",_xlfn.REGEXEXTRACT(CELL("address",'Raw Data'!D287),"\$([A-Z]+)\$[0-9]+"),"")</f>
        <v>$D$287</v>
      </c>
      <c r="E285" t="str" cm="1">
        <f t="array" aca="1" ref="E285" ca="1">IF('Raw Data'!E287="",_xlfn.REGEXEXTRACT(CELL("address",'Raw Data'!E287),"\$([A-Z]+)\$[0-9]+"),"")</f>
        <v>$E$287</v>
      </c>
      <c r="F285" t="str" cm="1">
        <f t="array" aca="1" ref="F285" ca="1">IF('Raw Data'!F287="",_xlfn.REGEXEXTRACT(CELL("address",'Raw Data'!F287),"\$([A-Z]+)\$[0-9]+"),"")</f>
        <v>$F$287</v>
      </c>
      <c r="G285" t="e" cm="1">
        <f t="array" aca="1" ref="G285" ca="1">IF('Raw Data'!#REF!="",_xlfn.REGEXEXTRACT(CELL("address",'Raw Data'!#REF!),"\$([A-Z]+)\$[0-9]+"),"")</f>
        <v>#REF!</v>
      </c>
      <c r="H285" t="str" cm="1">
        <f t="array" aca="1" ref="H285" ca="1">IF('Raw Data'!G287="",_xlfn.REGEXEXTRACT(CELL("address",'Raw Data'!G287),"\$([A-Z]+)\$[0-9]+"),"")</f>
        <v>$G$287</v>
      </c>
      <c r="I285" t="str" cm="1">
        <f t="array" aca="1" ref="I285" ca="1">IF('Raw Data'!H287="",_xlfn.REGEXEXTRACT(CELL("address",'Raw Data'!H287),"\$([A-Z]+)\$[0-9]+"),"")</f>
        <v>$H$287</v>
      </c>
    </row>
    <row r="286" spans="2:9" x14ac:dyDescent="0.25">
      <c r="B286" t="str" cm="1">
        <f t="array" aca="1" ref="B286" ca="1">IF('Raw Data'!B288="",_xlfn.REGEXEXTRACT(CELL("address",'Raw Data'!B288),"\$([A-Z]+)\$[0-9]+"),"")</f>
        <v>$B$288</v>
      </c>
      <c r="C286" t="str" cm="1">
        <f t="array" aca="1" ref="C286" ca="1">IF('Raw Data'!C288="",_xlfn.REGEXEXTRACT(CELL("address",'Raw Data'!C288),"\$([A-Z]+)\$[0-9]+"),"")</f>
        <v>$C$288</v>
      </c>
      <c r="D286" t="str" cm="1">
        <f t="array" aca="1" ref="D286" ca="1">IF('Raw Data'!D288="",_xlfn.REGEXEXTRACT(CELL("address",'Raw Data'!D288),"\$([A-Z]+)\$[0-9]+"),"")</f>
        <v>$D$288</v>
      </c>
      <c r="E286" t="str" cm="1">
        <f t="array" aca="1" ref="E286" ca="1">IF('Raw Data'!E288="",_xlfn.REGEXEXTRACT(CELL("address",'Raw Data'!E288),"\$([A-Z]+)\$[0-9]+"),"")</f>
        <v>$E$288</v>
      </c>
      <c r="F286" t="str" cm="1">
        <f t="array" aca="1" ref="F286" ca="1">IF('Raw Data'!F288="",_xlfn.REGEXEXTRACT(CELL("address",'Raw Data'!F288),"\$([A-Z]+)\$[0-9]+"),"")</f>
        <v>$F$288</v>
      </c>
      <c r="G286" t="e" cm="1">
        <f t="array" aca="1" ref="G286" ca="1">IF('Raw Data'!#REF!="",_xlfn.REGEXEXTRACT(CELL("address",'Raw Data'!#REF!),"\$([A-Z]+)\$[0-9]+"),"")</f>
        <v>#REF!</v>
      </c>
      <c r="H286" t="str" cm="1">
        <f t="array" aca="1" ref="H286" ca="1">IF('Raw Data'!G288="",_xlfn.REGEXEXTRACT(CELL("address",'Raw Data'!G288),"\$([A-Z]+)\$[0-9]+"),"")</f>
        <v>$G$288</v>
      </c>
      <c r="I286" t="str" cm="1">
        <f t="array" aca="1" ref="I286" ca="1">IF('Raw Data'!H288="",_xlfn.REGEXEXTRACT(CELL("address",'Raw Data'!H288),"\$([A-Z]+)\$[0-9]+"),"")</f>
        <v>$H$288</v>
      </c>
    </row>
    <row r="287" spans="2:9" x14ac:dyDescent="0.25">
      <c r="B287" t="str" cm="1">
        <f t="array" aca="1" ref="B287" ca="1">IF('Raw Data'!B289="",_xlfn.REGEXEXTRACT(CELL("address",'Raw Data'!B289),"\$([A-Z]+)\$[0-9]+"),"")</f>
        <v>$B$289</v>
      </c>
      <c r="C287" t="str" cm="1">
        <f t="array" aca="1" ref="C287" ca="1">IF('Raw Data'!C289="",_xlfn.REGEXEXTRACT(CELL("address",'Raw Data'!C289),"\$([A-Z]+)\$[0-9]+"),"")</f>
        <v>$C$289</v>
      </c>
      <c r="D287" t="str" cm="1">
        <f t="array" aca="1" ref="D287" ca="1">IF('Raw Data'!D289="",_xlfn.REGEXEXTRACT(CELL("address",'Raw Data'!D289),"\$([A-Z]+)\$[0-9]+"),"")</f>
        <v>$D$289</v>
      </c>
      <c r="E287" t="str" cm="1">
        <f t="array" aca="1" ref="E287" ca="1">IF('Raw Data'!E289="",_xlfn.REGEXEXTRACT(CELL("address",'Raw Data'!E289),"\$([A-Z]+)\$[0-9]+"),"")</f>
        <v>$E$289</v>
      </c>
      <c r="F287" t="str" cm="1">
        <f t="array" aca="1" ref="F287" ca="1">IF('Raw Data'!F289="",_xlfn.REGEXEXTRACT(CELL("address",'Raw Data'!F289),"\$([A-Z]+)\$[0-9]+"),"")</f>
        <v>$F$289</v>
      </c>
      <c r="G287" t="e" cm="1">
        <f t="array" aca="1" ref="G287" ca="1">IF('Raw Data'!#REF!="",_xlfn.REGEXEXTRACT(CELL("address",'Raw Data'!#REF!),"\$([A-Z]+)\$[0-9]+"),"")</f>
        <v>#REF!</v>
      </c>
      <c r="H287" t="str" cm="1">
        <f t="array" aca="1" ref="H287" ca="1">IF('Raw Data'!G289="",_xlfn.REGEXEXTRACT(CELL("address",'Raw Data'!G289),"\$([A-Z]+)\$[0-9]+"),"")</f>
        <v>$G$289</v>
      </c>
      <c r="I287" t="str" cm="1">
        <f t="array" aca="1" ref="I287" ca="1">IF('Raw Data'!H289="",_xlfn.REGEXEXTRACT(CELL("address",'Raw Data'!H289),"\$([A-Z]+)\$[0-9]+"),"")</f>
        <v>$H$289</v>
      </c>
    </row>
    <row r="288" spans="2:9" x14ac:dyDescent="0.25">
      <c r="B288" t="str" cm="1">
        <f t="array" aca="1" ref="B288" ca="1">IF('Raw Data'!B290="",_xlfn.REGEXEXTRACT(CELL("address",'Raw Data'!B290),"\$([A-Z]+)\$[0-9]+"),"")</f>
        <v>$B$290</v>
      </c>
      <c r="C288" t="str" cm="1">
        <f t="array" aca="1" ref="C288" ca="1">IF('Raw Data'!C290="",_xlfn.REGEXEXTRACT(CELL("address",'Raw Data'!C290),"\$([A-Z]+)\$[0-9]+"),"")</f>
        <v>$C$290</v>
      </c>
      <c r="D288" t="str" cm="1">
        <f t="array" aca="1" ref="D288" ca="1">IF('Raw Data'!D290="",_xlfn.REGEXEXTRACT(CELL("address",'Raw Data'!D290),"\$([A-Z]+)\$[0-9]+"),"")</f>
        <v>$D$290</v>
      </c>
      <c r="E288" t="str" cm="1">
        <f t="array" aca="1" ref="E288" ca="1">IF('Raw Data'!E290="",_xlfn.REGEXEXTRACT(CELL("address",'Raw Data'!E290),"\$([A-Z]+)\$[0-9]+"),"")</f>
        <v>$E$290</v>
      </c>
      <c r="F288" t="str" cm="1">
        <f t="array" aca="1" ref="F288" ca="1">IF('Raw Data'!F290="",_xlfn.REGEXEXTRACT(CELL("address",'Raw Data'!F290),"\$([A-Z]+)\$[0-9]+"),"")</f>
        <v>$F$290</v>
      </c>
      <c r="G288" t="e" cm="1">
        <f t="array" aca="1" ref="G288" ca="1">IF('Raw Data'!#REF!="",_xlfn.REGEXEXTRACT(CELL("address",'Raw Data'!#REF!),"\$([A-Z]+)\$[0-9]+"),"")</f>
        <v>#REF!</v>
      </c>
      <c r="H288" t="str" cm="1">
        <f t="array" aca="1" ref="H288" ca="1">IF('Raw Data'!G290="",_xlfn.REGEXEXTRACT(CELL("address",'Raw Data'!G290),"\$([A-Z]+)\$[0-9]+"),"")</f>
        <v>$G$290</v>
      </c>
      <c r="I288" t="str" cm="1">
        <f t="array" aca="1" ref="I288" ca="1">IF('Raw Data'!H290="",_xlfn.REGEXEXTRACT(CELL("address",'Raw Data'!H290),"\$([A-Z]+)\$[0-9]+"),"")</f>
        <v>$H$290</v>
      </c>
    </row>
    <row r="289" spans="2:9" x14ac:dyDescent="0.25">
      <c r="B289" t="str" cm="1">
        <f t="array" aca="1" ref="B289" ca="1">IF('Raw Data'!B291="",_xlfn.REGEXEXTRACT(CELL("address",'Raw Data'!B291),"\$([A-Z]+)\$[0-9]+"),"")</f>
        <v>$B$291</v>
      </c>
      <c r="C289" t="str" cm="1">
        <f t="array" aca="1" ref="C289" ca="1">IF('Raw Data'!C291="",_xlfn.REGEXEXTRACT(CELL("address",'Raw Data'!C291),"\$([A-Z]+)\$[0-9]+"),"")</f>
        <v>$C$291</v>
      </c>
      <c r="D289" t="str" cm="1">
        <f t="array" aca="1" ref="D289" ca="1">IF('Raw Data'!D291="",_xlfn.REGEXEXTRACT(CELL("address",'Raw Data'!D291),"\$([A-Z]+)\$[0-9]+"),"")</f>
        <v>$D$291</v>
      </c>
      <c r="E289" t="str" cm="1">
        <f t="array" aca="1" ref="E289" ca="1">IF('Raw Data'!E291="",_xlfn.REGEXEXTRACT(CELL("address",'Raw Data'!E291),"\$([A-Z]+)\$[0-9]+"),"")</f>
        <v>$E$291</v>
      </c>
      <c r="F289" t="str" cm="1">
        <f t="array" aca="1" ref="F289" ca="1">IF('Raw Data'!F291="",_xlfn.REGEXEXTRACT(CELL("address",'Raw Data'!F291),"\$([A-Z]+)\$[0-9]+"),"")</f>
        <v>$F$291</v>
      </c>
      <c r="G289" t="e" cm="1">
        <f t="array" aca="1" ref="G289" ca="1">IF('Raw Data'!#REF!="",_xlfn.REGEXEXTRACT(CELL("address",'Raw Data'!#REF!),"\$([A-Z]+)\$[0-9]+"),"")</f>
        <v>#REF!</v>
      </c>
      <c r="H289" t="str" cm="1">
        <f t="array" aca="1" ref="H289" ca="1">IF('Raw Data'!G291="",_xlfn.REGEXEXTRACT(CELL("address",'Raw Data'!G291),"\$([A-Z]+)\$[0-9]+"),"")</f>
        <v>$G$291</v>
      </c>
      <c r="I289" t="str" cm="1">
        <f t="array" aca="1" ref="I289" ca="1">IF('Raw Data'!H291="",_xlfn.REGEXEXTRACT(CELL("address",'Raw Data'!H291),"\$([A-Z]+)\$[0-9]+"),"")</f>
        <v>$H$291</v>
      </c>
    </row>
    <row r="290" spans="2:9" x14ac:dyDescent="0.25">
      <c r="B290" t="str" cm="1">
        <f t="array" aca="1" ref="B290" ca="1">IF('Raw Data'!B292="",_xlfn.REGEXEXTRACT(CELL("address",'Raw Data'!B292),"\$([A-Z]+)\$[0-9]+"),"")</f>
        <v>$B$292</v>
      </c>
      <c r="C290" t="str" cm="1">
        <f t="array" aca="1" ref="C290" ca="1">IF('Raw Data'!C292="",_xlfn.REGEXEXTRACT(CELL("address",'Raw Data'!C292),"\$([A-Z]+)\$[0-9]+"),"")</f>
        <v>$C$292</v>
      </c>
      <c r="D290" t="str" cm="1">
        <f t="array" aca="1" ref="D290" ca="1">IF('Raw Data'!D292="",_xlfn.REGEXEXTRACT(CELL("address",'Raw Data'!D292),"\$([A-Z]+)\$[0-9]+"),"")</f>
        <v>$D$292</v>
      </c>
      <c r="E290" t="str" cm="1">
        <f t="array" aca="1" ref="E290" ca="1">IF('Raw Data'!E292="",_xlfn.REGEXEXTRACT(CELL("address",'Raw Data'!E292),"\$([A-Z]+)\$[0-9]+"),"")</f>
        <v>$E$292</v>
      </c>
      <c r="F290" t="str" cm="1">
        <f t="array" aca="1" ref="F290" ca="1">IF('Raw Data'!F292="",_xlfn.REGEXEXTRACT(CELL("address",'Raw Data'!F292),"\$([A-Z]+)\$[0-9]+"),"")</f>
        <v>$F$292</v>
      </c>
      <c r="G290" t="e" cm="1">
        <f t="array" aca="1" ref="G290" ca="1">IF('Raw Data'!#REF!="",_xlfn.REGEXEXTRACT(CELL("address",'Raw Data'!#REF!),"\$([A-Z]+)\$[0-9]+"),"")</f>
        <v>#REF!</v>
      </c>
      <c r="H290" t="str" cm="1">
        <f t="array" aca="1" ref="H290" ca="1">IF('Raw Data'!G292="",_xlfn.REGEXEXTRACT(CELL("address",'Raw Data'!G292),"\$([A-Z]+)\$[0-9]+"),"")</f>
        <v>$G$292</v>
      </c>
      <c r="I290" t="str" cm="1">
        <f t="array" aca="1" ref="I290" ca="1">IF('Raw Data'!H292="",_xlfn.REGEXEXTRACT(CELL("address",'Raw Data'!H292),"\$([A-Z]+)\$[0-9]+"),"")</f>
        <v>$H$292</v>
      </c>
    </row>
    <row r="291" spans="2:9" x14ac:dyDescent="0.25">
      <c r="B291" t="str" cm="1">
        <f t="array" aca="1" ref="B291" ca="1">IF('Raw Data'!B293="",_xlfn.REGEXEXTRACT(CELL("address",'Raw Data'!B293),"\$([A-Z]+)\$[0-9]+"),"")</f>
        <v>$B$293</v>
      </c>
      <c r="C291" t="str" cm="1">
        <f t="array" aca="1" ref="C291" ca="1">IF('Raw Data'!C293="",_xlfn.REGEXEXTRACT(CELL("address",'Raw Data'!C293),"\$([A-Z]+)\$[0-9]+"),"")</f>
        <v>$C$293</v>
      </c>
      <c r="D291" t="str" cm="1">
        <f t="array" aca="1" ref="D291" ca="1">IF('Raw Data'!D293="",_xlfn.REGEXEXTRACT(CELL("address",'Raw Data'!D293),"\$([A-Z]+)\$[0-9]+"),"")</f>
        <v>$D$293</v>
      </c>
      <c r="E291" t="str" cm="1">
        <f t="array" aca="1" ref="E291" ca="1">IF('Raw Data'!E293="",_xlfn.REGEXEXTRACT(CELL("address",'Raw Data'!E293),"\$([A-Z]+)\$[0-9]+"),"")</f>
        <v>$E$293</v>
      </c>
      <c r="F291" t="str" cm="1">
        <f t="array" aca="1" ref="F291" ca="1">IF('Raw Data'!F293="",_xlfn.REGEXEXTRACT(CELL("address",'Raw Data'!F293),"\$([A-Z]+)\$[0-9]+"),"")</f>
        <v>$F$293</v>
      </c>
      <c r="G291" t="e" cm="1">
        <f t="array" aca="1" ref="G291" ca="1">IF('Raw Data'!#REF!="",_xlfn.REGEXEXTRACT(CELL("address",'Raw Data'!#REF!),"\$([A-Z]+)\$[0-9]+"),"")</f>
        <v>#REF!</v>
      </c>
      <c r="H291" t="str" cm="1">
        <f t="array" aca="1" ref="H291" ca="1">IF('Raw Data'!G293="",_xlfn.REGEXEXTRACT(CELL("address",'Raw Data'!G293),"\$([A-Z]+)\$[0-9]+"),"")</f>
        <v>$G$293</v>
      </c>
      <c r="I291" t="str" cm="1">
        <f t="array" aca="1" ref="I291" ca="1">IF('Raw Data'!H293="",_xlfn.REGEXEXTRACT(CELL("address",'Raw Data'!H293),"\$([A-Z]+)\$[0-9]+"),"")</f>
        <v>$H$293</v>
      </c>
    </row>
    <row r="292" spans="2:9" x14ac:dyDescent="0.25">
      <c r="B292" t="str" cm="1">
        <f t="array" aca="1" ref="B292" ca="1">IF('Raw Data'!B294="",_xlfn.REGEXEXTRACT(CELL("address",'Raw Data'!B294),"\$([A-Z]+)\$[0-9]+"),"")</f>
        <v>$B$294</v>
      </c>
      <c r="C292" t="str" cm="1">
        <f t="array" aca="1" ref="C292" ca="1">IF('Raw Data'!C294="",_xlfn.REGEXEXTRACT(CELL("address",'Raw Data'!C294),"\$([A-Z]+)\$[0-9]+"),"")</f>
        <v>$C$294</v>
      </c>
      <c r="D292" t="str" cm="1">
        <f t="array" aca="1" ref="D292" ca="1">IF('Raw Data'!D294="",_xlfn.REGEXEXTRACT(CELL("address",'Raw Data'!D294),"\$([A-Z]+)\$[0-9]+"),"")</f>
        <v>$D$294</v>
      </c>
      <c r="E292" t="str" cm="1">
        <f t="array" aca="1" ref="E292" ca="1">IF('Raw Data'!E294="",_xlfn.REGEXEXTRACT(CELL("address",'Raw Data'!E294),"\$([A-Z]+)\$[0-9]+"),"")</f>
        <v>$E$294</v>
      </c>
      <c r="F292" t="str" cm="1">
        <f t="array" aca="1" ref="F292" ca="1">IF('Raw Data'!F294="",_xlfn.REGEXEXTRACT(CELL("address",'Raw Data'!F294),"\$([A-Z]+)\$[0-9]+"),"")</f>
        <v>$F$294</v>
      </c>
      <c r="G292" t="e" cm="1">
        <f t="array" aca="1" ref="G292" ca="1">IF('Raw Data'!#REF!="",_xlfn.REGEXEXTRACT(CELL("address",'Raw Data'!#REF!),"\$([A-Z]+)\$[0-9]+"),"")</f>
        <v>#REF!</v>
      </c>
      <c r="H292" t="str" cm="1">
        <f t="array" aca="1" ref="H292" ca="1">IF('Raw Data'!G294="",_xlfn.REGEXEXTRACT(CELL("address",'Raw Data'!G294),"\$([A-Z]+)\$[0-9]+"),"")</f>
        <v>$G$294</v>
      </c>
      <c r="I292" t="str" cm="1">
        <f t="array" aca="1" ref="I292" ca="1">IF('Raw Data'!H294="",_xlfn.REGEXEXTRACT(CELL("address",'Raw Data'!H294),"\$([A-Z]+)\$[0-9]+"),"")</f>
        <v>$H$294</v>
      </c>
    </row>
    <row r="293" spans="2:9" x14ac:dyDescent="0.25">
      <c r="B293" t="str" cm="1">
        <f t="array" aca="1" ref="B293" ca="1">IF('Raw Data'!B295="",_xlfn.REGEXEXTRACT(CELL("address",'Raw Data'!B295),"\$([A-Z]+)\$[0-9]+"),"")</f>
        <v>$B$295</v>
      </c>
      <c r="C293" t="str" cm="1">
        <f t="array" aca="1" ref="C293" ca="1">IF('Raw Data'!C295="",_xlfn.REGEXEXTRACT(CELL("address",'Raw Data'!C295),"\$([A-Z]+)\$[0-9]+"),"")</f>
        <v>$C$295</v>
      </c>
      <c r="D293" t="str" cm="1">
        <f t="array" aca="1" ref="D293" ca="1">IF('Raw Data'!D295="",_xlfn.REGEXEXTRACT(CELL("address",'Raw Data'!D295),"\$([A-Z]+)\$[0-9]+"),"")</f>
        <v>$D$295</v>
      </c>
      <c r="E293" t="str" cm="1">
        <f t="array" aca="1" ref="E293" ca="1">IF('Raw Data'!E295="",_xlfn.REGEXEXTRACT(CELL("address",'Raw Data'!E295),"\$([A-Z]+)\$[0-9]+"),"")</f>
        <v>$E$295</v>
      </c>
      <c r="F293" t="str" cm="1">
        <f t="array" aca="1" ref="F293" ca="1">IF('Raw Data'!F295="",_xlfn.REGEXEXTRACT(CELL("address",'Raw Data'!F295),"\$([A-Z]+)\$[0-9]+"),"")</f>
        <v>$F$295</v>
      </c>
      <c r="G293" t="e" cm="1">
        <f t="array" aca="1" ref="G293" ca="1">IF('Raw Data'!#REF!="",_xlfn.REGEXEXTRACT(CELL("address",'Raw Data'!#REF!),"\$([A-Z]+)\$[0-9]+"),"")</f>
        <v>#REF!</v>
      </c>
      <c r="H293" t="str" cm="1">
        <f t="array" aca="1" ref="H293" ca="1">IF('Raw Data'!G295="",_xlfn.REGEXEXTRACT(CELL("address",'Raw Data'!G295),"\$([A-Z]+)\$[0-9]+"),"")</f>
        <v>$G$295</v>
      </c>
      <c r="I293" t="str" cm="1">
        <f t="array" aca="1" ref="I293" ca="1">IF('Raw Data'!H295="",_xlfn.REGEXEXTRACT(CELL("address",'Raw Data'!H295),"\$([A-Z]+)\$[0-9]+"),"")</f>
        <v>$H$295</v>
      </c>
    </row>
    <row r="294" spans="2:9" x14ac:dyDescent="0.25">
      <c r="B294" t="str" cm="1">
        <f t="array" aca="1" ref="B294" ca="1">IF('Raw Data'!B296="",_xlfn.REGEXEXTRACT(CELL("address",'Raw Data'!B296),"\$([A-Z]+)\$[0-9]+"),"")</f>
        <v>$B$296</v>
      </c>
      <c r="C294" t="str" cm="1">
        <f t="array" aca="1" ref="C294" ca="1">IF('Raw Data'!C296="",_xlfn.REGEXEXTRACT(CELL("address",'Raw Data'!C296),"\$([A-Z]+)\$[0-9]+"),"")</f>
        <v>$C$296</v>
      </c>
      <c r="D294" t="str" cm="1">
        <f t="array" aca="1" ref="D294" ca="1">IF('Raw Data'!D296="",_xlfn.REGEXEXTRACT(CELL("address",'Raw Data'!D296),"\$([A-Z]+)\$[0-9]+"),"")</f>
        <v>$D$296</v>
      </c>
      <c r="E294" t="str" cm="1">
        <f t="array" aca="1" ref="E294" ca="1">IF('Raw Data'!E296="",_xlfn.REGEXEXTRACT(CELL("address",'Raw Data'!E296),"\$([A-Z]+)\$[0-9]+"),"")</f>
        <v>$E$296</v>
      </c>
      <c r="F294" t="str" cm="1">
        <f t="array" aca="1" ref="F294" ca="1">IF('Raw Data'!F296="",_xlfn.REGEXEXTRACT(CELL("address",'Raw Data'!F296),"\$([A-Z]+)\$[0-9]+"),"")</f>
        <v>$F$296</v>
      </c>
      <c r="G294" t="e" cm="1">
        <f t="array" aca="1" ref="G294" ca="1">IF('Raw Data'!#REF!="",_xlfn.REGEXEXTRACT(CELL("address",'Raw Data'!#REF!),"\$([A-Z]+)\$[0-9]+"),"")</f>
        <v>#REF!</v>
      </c>
      <c r="H294" t="str" cm="1">
        <f t="array" aca="1" ref="H294" ca="1">IF('Raw Data'!G296="",_xlfn.REGEXEXTRACT(CELL("address",'Raw Data'!G296),"\$([A-Z]+)\$[0-9]+"),"")</f>
        <v>$G$296</v>
      </c>
      <c r="I294" t="str" cm="1">
        <f t="array" aca="1" ref="I294" ca="1">IF('Raw Data'!H296="",_xlfn.REGEXEXTRACT(CELL("address",'Raw Data'!H296),"\$([A-Z]+)\$[0-9]+"),"")</f>
        <v>$H$296</v>
      </c>
    </row>
    <row r="295" spans="2:9" x14ac:dyDescent="0.25">
      <c r="B295" t="str" cm="1">
        <f t="array" aca="1" ref="B295" ca="1">IF('Raw Data'!B297="",_xlfn.REGEXEXTRACT(CELL("address",'Raw Data'!B297),"\$([A-Z]+)\$[0-9]+"),"")</f>
        <v>$B$297</v>
      </c>
      <c r="C295" t="str" cm="1">
        <f t="array" aca="1" ref="C295" ca="1">IF('Raw Data'!C297="",_xlfn.REGEXEXTRACT(CELL("address",'Raw Data'!C297),"\$([A-Z]+)\$[0-9]+"),"")</f>
        <v>$C$297</v>
      </c>
      <c r="D295" t="str" cm="1">
        <f t="array" aca="1" ref="D295" ca="1">IF('Raw Data'!D297="",_xlfn.REGEXEXTRACT(CELL("address",'Raw Data'!D297),"\$([A-Z]+)\$[0-9]+"),"")</f>
        <v>$D$297</v>
      </c>
      <c r="E295" t="str" cm="1">
        <f t="array" aca="1" ref="E295" ca="1">IF('Raw Data'!E297="",_xlfn.REGEXEXTRACT(CELL("address",'Raw Data'!E297),"\$([A-Z]+)\$[0-9]+"),"")</f>
        <v>$E$297</v>
      </c>
      <c r="F295" t="str" cm="1">
        <f t="array" aca="1" ref="F295" ca="1">IF('Raw Data'!F297="",_xlfn.REGEXEXTRACT(CELL("address",'Raw Data'!F297),"\$([A-Z]+)\$[0-9]+"),"")</f>
        <v>$F$297</v>
      </c>
      <c r="G295" t="e" cm="1">
        <f t="array" aca="1" ref="G295" ca="1">IF('Raw Data'!#REF!="",_xlfn.REGEXEXTRACT(CELL("address",'Raw Data'!#REF!),"\$([A-Z]+)\$[0-9]+"),"")</f>
        <v>#REF!</v>
      </c>
      <c r="H295" t="str" cm="1">
        <f t="array" aca="1" ref="H295" ca="1">IF('Raw Data'!G297="",_xlfn.REGEXEXTRACT(CELL("address",'Raw Data'!G297),"\$([A-Z]+)\$[0-9]+"),"")</f>
        <v>$G$297</v>
      </c>
      <c r="I295" t="str" cm="1">
        <f t="array" aca="1" ref="I295" ca="1">IF('Raw Data'!H297="",_xlfn.REGEXEXTRACT(CELL("address",'Raw Data'!H297),"\$([A-Z]+)\$[0-9]+"),"")</f>
        <v>$H$297</v>
      </c>
    </row>
    <row r="296" spans="2:9" x14ac:dyDescent="0.25">
      <c r="B296" t="str" cm="1">
        <f t="array" aca="1" ref="B296" ca="1">IF('Raw Data'!B298="",_xlfn.REGEXEXTRACT(CELL("address",'Raw Data'!B298),"\$([A-Z]+)\$[0-9]+"),"")</f>
        <v>$B$298</v>
      </c>
      <c r="C296" t="str" cm="1">
        <f t="array" aca="1" ref="C296" ca="1">IF('Raw Data'!C298="",_xlfn.REGEXEXTRACT(CELL("address",'Raw Data'!C298),"\$([A-Z]+)\$[0-9]+"),"")</f>
        <v>$C$298</v>
      </c>
      <c r="D296" t="str" cm="1">
        <f t="array" aca="1" ref="D296" ca="1">IF('Raw Data'!D298="",_xlfn.REGEXEXTRACT(CELL("address",'Raw Data'!D298),"\$([A-Z]+)\$[0-9]+"),"")</f>
        <v>$D$298</v>
      </c>
      <c r="E296" t="str" cm="1">
        <f t="array" aca="1" ref="E296" ca="1">IF('Raw Data'!E298="",_xlfn.REGEXEXTRACT(CELL("address",'Raw Data'!E298),"\$([A-Z]+)\$[0-9]+"),"")</f>
        <v>$E$298</v>
      </c>
      <c r="F296" t="str" cm="1">
        <f t="array" aca="1" ref="F296" ca="1">IF('Raw Data'!F298="",_xlfn.REGEXEXTRACT(CELL("address",'Raw Data'!F298),"\$([A-Z]+)\$[0-9]+"),"")</f>
        <v>$F$298</v>
      </c>
      <c r="G296" t="e" cm="1">
        <f t="array" aca="1" ref="G296" ca="1">IF('Raw Data'!#REF!="",_xlfn.REGEXEXTRACT(CELL("address",'Raw Data'!#REF!),"\$([A-Z]+)\$[0-9]+"),"")</f>
        <v>#REF!</v>
      </c>
      <c r="H296" t="str" cm="1">
        <f t="array" aca="1" ref="H296" ca="1">IF('Raw Data'!G298="",_xlfn.REGEXEXTRACT(CELL("address",'Raw Data'!G298),"\$([A-Z]+)\$[0-9]+"),"")</f>
        <v>$G$298</v>
      </c>
      <c r="I296" t="str" cm="1">
        <f t="array" aca="1" ref="I296" ca="1">IF('Raw Data'!H298="",_xlfn.REGEXEXTRACT(CELL("address",'Raw Data'!H298),"\$([A-Z]+)\$[0-9]+"),"")</f>
        <v>$H$298</v>
      </c>
    </row>
    <row r="297" spans="2:9" x14ac:dyDescent="0.25">
      <c r="B297" t="str" cm="1">
        <f t="array" aca="1" ref="B297" ca="1">IF('Raw Data'!B299="",_xlfn.REGEXEXTRACT(CELL("address",'Raw Data'!B299),"\$([A-Z]+)\$[0-9]+"),"")</f>
        <v>$B$299</v>
      </c>
      <c r="C297" t="str" cm="1">
        <f t="array" aca="1" ref="C297" ca="1">IF('Raw Data'!C299="",_xlfn.REGEXEXTRACT(CELL("address",'Raw Data'!C299),"\$([A-Z]+)\$[0-9]+"),"")</f>
        <v>$C$299</v>
      </c>
      <c r="D297" t="str" cm="1">
        <f t="array" aca="1" ref="D297" ca="1">IF('Raw Data'!D299="",_xlfn.REGEXEXTRACT(CELL("address",'Raw Data'!D299),"\$([A-Z]+)\$[0-9]+"),"")</f>
        <v>$D$299</v>
      </c>
      <c r="E297" t="str" cm="1">
        <f t="array" aca="1" ref="E297" ca="1">IF('Raw Data'!E299="",_xlfn.REGEXEXTRACT(CELL("address",'Raw Data'!E299),"\$([A-Z]+)\$[0-9]+"),"")</f>
        <v>$E$299</v>
      </c>
      <c r="F297" t="str" cm="1">
        <f t="array" aca="1" ref="F297" ca="1">IF('Raw Data'!F299="",_xlfn.REGEXEXTRACT(CELL("address",'Raw Data'!F299),"\$([A-Z]+)\$[0-9]+"),"")</f>
        <v>$F$299</v>
      </c>
      <c r="G297" t="e" cm="1">
        <f t="array" aca="1" ref="G297" ca="1">IF('Raw Data'!#REF!="",_xlfn.REGEXEXTRACT(CELL("address",'Raw Data'!#REF!),"\$([A-Z]+)\$[0-9]+"),"")</f>
        <v>#REF!</v>
      </c>
      <c r="H297" t="str" cm="1">
        <f t="array" aca="1" ref="H297" ca="1">IF('Raw Data'!G299="",_xlfn.REGEXEXTRACT(CELL("address",'Raw Data'!G299),"\$([A-Z]+)\$[0-9]+"),"")</f>
        <v>$G$299</v>
      </c>
      <c r="I297" t="str" cm="1">
        <f t="array" aca="1" ref="I297" ca="1">IF('Raw Data'!H299="",_xlfn.REGEXEXTRACT(CELL("address",'Raw Data'!H299),"\$([A-Z]+)\$[0-9]+"),"")</f>
        <v>$H$299</v>
      </c>
    </row>
    <row r="298" spans="2:9" x14ac:dyDescent="0.25">
      <c r="B298" t="str" cm="1">
        <f t="array" aca="1" ref="B298" ca="1">IF('Raw Data'!B300="",_xlfn.REGEXEXTRACT(CELL("address",'Raw Data'!B300),"\$([A-Z]+)\$[0-9]+"),"")</f>
        <v>$B$300</v>
      </c>
      <c r="C298" t="str" cm="1">
        <f t="array" aca="1" ref="C298" ca="1">IF('Raw Data'!C300="",_xlfn.REGEXEXTRACT(CELL("address",'Raw Data'!C300),"\$([A-Z]+)\$[0-9]+"),"")</f>
        <v>$C$300</v>
      </c>
      <c r="D298" t="str" cm="1">
        <f t="array" aca="1" ref="D298" ca="1">IF('Raw Data'!D300="",_xlfn.REGEXEXTRACT(CELL("address",'Raw Data'!D300),"\$([A-Z]+)\$[0-9]+"),"")</f>
        <v>$D$300</v>
      </c>
      <c r="E298" t="str" cm="1">
        <f t="array" aca="1" ref="E298" ca="1">IF('Raw Data'!E300="",_xlfn.REGEXEXTRACT(CELL("address",'Raw Data'!E300),"\$([A-Z]+)\$[0-9]+"),"")</f>
        <v>$E$300</v>
      </c>
      <c r="F298" t="str" cm="1">
        <f t="array" aca="1" ref="F298" ca="1">IF('Raw Data'!F300="",_xlfn.REGEXEXTRACT(CELL("address",'Raw Data'!F300),"\$([A-Z]+)\$[0-9]+"),"")</f>
        <v>$F$300</v>
      </c>
      <c r="G298" t="e" cm="1">
        <f t="array" aca="1" ref="G298" ca="1">IF('Raw Data'!#REF!="",_xlfn.REGEXEXTRACT(CELL("address",'Raw Data'!#REF!),"\$([A-Z]+)\$[0-9]+"),"")</f>
        <v>#REF!</v>
      </c>
      <c r="H298" t="str" cm="1">
        <f t="array" aca="1" ref="H298" ca="1">IF('Raw Data'!G300="",_xlfn.REGEXEXTRACT(CELL("address",'Raw Data'!G300),"\$([A-Z]+)\$[0-9]+"),"")</f>
        <v>$G$300</v>
      </c>
      <c r="I298" t="str" cm="1">
        <f t="array" aca="1" ref="I298" ca="1">IF('Raw Data'!H300="",_xlfn.REGEXEXTRACT(CELL("address",'Raw Data'!H300),"\$([A-Z]+)\$[0-9]+"),"")</f>
        <v>$H$300</v>
      </c>
    </row>
    <row r="299" spans="2:9" x14ac:dyDescent="0.25">
      <c r="B299" t="str" cm="1">
        <f t="array" aca="1" ref="B299" ca="1">IF('Raw Data'!B301="",_xlfn.REGEXEXTRACT(CELL("address",'Raw Data'!B301),"\$([A-Z]+)\$[0-9]+"),"")</f>
        <v>$B$301</v>
      </c>
      <c r="C299" t="str" cm="1">
        <f t="array" aca="1" ref="C299" ca="1">IF('Raw Data'!C301="",_xlfn.REGEXEXTRACT(CELL("address",'Raw Data'!C301),"\$([A-Z]+)\$[0-9]+"),"")</f>
        <v>$C$301</v>
      </c>
      <c r="D299" t="str" cm="1">
        <f t="array" aca="1" ref="D299" ca="1">IF('Raw Data'!D301="",_xlfn.REGEXEXTRACT(CELL("address",'Raw Data'!D301),"\$([A-Z]+)\$[0-9]+"),"")</f>
        <v>$D$301</v>
      </c>
      <c r="E299" t="str" cm="1">
        <f t="array" aca="1" ref="E299" ca="1">IF('Raw Data'!E301="",_xlfn.REGEXEXTRACT(CELL("address",'Raw Data'!E301),"\$([A-Z]+)\$[0-9]+"),"")</f>
        <v>$E$301</v>
      </c>
      <c r="F299" t="str" cm="1">
        <f t="array" aca="1" ref="F299" ca="1">IF('Raw Data'!F301="",_xlfn.REGEXEXTRACT(CELL("address",'Raw Data'!F301),"\$([A-Z]+)\$[0-9]+"),"")</f>
        <v>$F$301</v>
      </c>
      <c r="G299" t="e" cm="1">
        <f t="array" aca="1" ref="G299" ca="1">IF('Raw Data'!#REF!="",_xlfn.REGEXEXTRACT(CELL("address",'Raw Data'!#REF!),"\$([A-Z]+)\$[0-9]+"),"")</f>
        <v>#REF!</v>
      </c>
      <c r="H299" t="str" cm="1">
        <f t="array" aca="1" ref="H299" ca="1">IF('Raw Data'!G301="",_xlfn.REGEXEXTRACT(CELL("address",'Raw Data'!G301),"\$([A-Z]+)\$[0-9]+"),"")</f>
        <v>$G$301</v>
      </c>
      <c r="I299" t="str" cm="1">
        <f t="array" aca="1" ref="I299" ca="1">IF('Raw Data'!H301="",_xlfn.REGEXEXTRACT(CELL("address",'Raw Data'!H301),"\$([A-Z]+)\$[0-9]+"),"")</f>
        <v>$H$301</v>
      </c>
    </row>
    <row r="300" spans="2:9" x14ac:dyDescent="0.25">
      <c r="B300" t="str" cm="1">
        <f t="array" aca="1" ref="B300" ca="1">IF('Raw Data'!B302="",_xlfn.REGEXEXTRACT(CELL("address",'Raw Data'!B302),"\$([A-Z]+)\$[0-9]+"),"")</f>
        <v>$B$302</v>
      </c>
      <c r="C300" t="str" cm="1">
        <f t="array" aca="1" ref="C300" ca="1">IF('Raw Data'!C302="",_xlfn.REGEXEXTRACT(CELL("address",'Raw Data'!C302),"\$([A-Z]+)\$[0-9]+"),"")</f>
        <v>$C$302</v>
      </c>
      <c r="D300" t="str" cm="1">
        <f t="array" aca="1" ref="D300" ca="1">IF('Raw Data'!D302="",_xlfn.REGEXEXTRACT(CELL("address",'Raw Data'!D302),"\$([A-Z]+)\$[0-9]+"),"")</f>
        <v>$D$302</v>
      </c>
      <c r="E300" t="str" cm="1">
        <f t="array" aca="1" ref="E300" ca="1">IF('Raw Data'!E302="",_xlfn.REGEXEXTRACT(CELL("address",'Raw Data'!E302),"\$([A-Z]+)\$[0-9]+"),"")</f>
        <v>$E$302</v>
      </c>
      <c r="F300" t="str" cm="1">
        <f t="array" aca="1" ref="F300" ca="1">IF('Raw Data'!F302="",_xlfn.REGEXEXTRACT(CELL("address",'Raw Data'!F302),"\$([A-Z]+)\$[0-9]+"),"")</f>
        <v>$F$302</v>
      </c>
      <c r="G300" t="e" cm="1">
        <f t="array" aca="1" ref="G300" ca="1">IF('Raw Data'!#REF!="",_xlfn.REGEXEXTRACT(CELL("address",'Raw Data'!#REF!),"\$([A-Z]+)\$[0-9]+"),"")</f>
        <v>#REF!</v>
      </c>
      <c r="H300" t="str" cm="1">
        <f t="array" aca="1" ref="H300" ca="1">IF('Raw Data'!G302="",_xlfn.REGEXEXTRACT(CELL("address",'Raw Data'!G302),"\$([A-Z]+)\$[0-9]+"),"")</f>
        <v>$G$302</v>
      </c>
      <c r="I300" t="str" cm="1">
        <f t="array" aca="1" ref="I300" ca="1">IF('Raw Data'!H302="",_xlfn.REGEXEXTRACT(CELL("address",'Raw Data'!H302),"\$([A-Z]+)\$[0-9]+"),"")</f>
        <v>$H$302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66DA3702E1A14681A7752EFBDA10D8" ma:contentTypeVersion="10" ma:contentTypeDescription="Create a new document." ma:contentTypeScope="" ma:versionID="a8491fcfc1575a34af03aaf041f1b1c5">
  <xsd:schema xmlns:xsd="http://www.w3.org/2001/XMLSchema" xmlns:xs="http://www.w3.org/2001/XMLSchema" xmlns:p="http://schemas.microsoft.com/office/2006/metadata/properties" xmlns:ns2="82bfd1a8-954c-439e-a286-ef353ebc026f" xmlns:ns3="5e1c2f93-a2fb-4cf1-9521-08720b4e64d5" targetNamespace="http://schemas.microsoft.com/office/2006/metadata/properties" ma:root="true" ma:fieldsID="7731705f95507e2ea5a143a26fe9bb84" ns2:_="" ns3:_="">
    <xsd:import namespace="82bfd1a8-954c-439e-a286-ef353ebc026f"/>
    <xsd:import namespace="5e1c2f93-a2fb-4cf1-9521-08720b4e64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bfd1a8-954c-439e-a286-ef353ebc02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e832c67-4ea2-4596-92fd-4bcf6a73f48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1c2f93-a2fb-4cf1-9521-08720b4e64d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9c7fa1e-6c1f-4822-983c-c0d3dfb2363e}" ma:internalName="TaxCatchAll" ma:showField="CatchAllData" ma:web="5e1c2f93-a2fb-4cf1-9521-08720b4e64d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e1c2f93-a2fb-4cf1-9521-08720b4e64d5" xsi:nil="true"/>
    <lcf76f155ced4ddcb4097134ff3c332f xmlns="82bfd1a8-954c-439e-a286-ef353ebc02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BFF4656-AEDD-4D18-821A-2E7F83C46C7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51EDB5A-0146-4749-ACF7-55C1D371BB7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2bfd1a8-954c-439e-a286-ef353ebc026f"/>
    <ds:schemaRef ds:uri="5e1c2f93-a2fb-4cf1-9521-08720b4e64d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E66182D-89AE-463C-8565-396A954D7E2C}">
  <ds:schemaRefs>
    <ds:schemaRef ds:uri="http://schemas.microsoft.com/office/2006/metadata/properties"/>
    <ds:schemaRef ds:uri="http://schemas.microsoft.com/office/infopath/2007/PartnerControls"/>
    <ds:schemaRef ds:uri="7c50c559-fa5a-43f4-984b-5769aabd1a15"/>
    <ds:schemaRef ds:uri="105f6f6b-27db-4f49-a63a-89e0dc0cf9c4"/>
    <ds:schemaRef ds:uri="5e1c2f93-a2fb-4cf1-9521-08720b4e64d5"/>
    <ds:schemaRef ds:uri="82bfd1a8-954c-439e-a286-ef353ebc026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Raw Data</vt:lpstr>
      <vt:lpstr>Validate_Empty</vt:lpstr>
      <vt:lpstr>Validate_Value</vt:lpstr>
      <vt:lpstr>Validate_Condition</vt:lpstr>
      <vt:lpstr>Condition</vt:lpstr>
      <vt:lpstr>Configuration</vt:lpstr>
      <vt:lpstr>Validate_Type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Phurin Suttaphun</dc:creator>
  <cp:keywords/>
  <dc:description/>
  <cp:lastModifiedBy>Ui_Robot1</cp:lastModifiedBy>
  <cp:revision/>
  <dcterms:created xsi:type="dcterms:W3CDTF">2025-11-11T03:53:36Z</dcterms:created>
  <dcterms:modified xsi:type="dcterms:W3CDTF">2026-03-10T04:07:29Z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0x0101005466DA3702E1A14681A7752EFBDA10D8</vt:lpwstr>
  </property>
  <property fmtid="{D5CDD505-2E9C-101B-9397-08002B2CF9AE}" pid="3" name="MediaServiceImageTags">
    <vt:lpwstr/>
  </property>
</Properties>
</file>